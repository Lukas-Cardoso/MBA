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ão 1" sheetId="1" r:id="rId4"/>
    <sheet state="visible" name="Questão 2" sheetId="2" r:id="rId5"/>
    <sheet state="visible" name="Questão 3" sheetId="3" r:id="rId6"/>
    <sheet state="visible" name="Questão 4" sheetId="4" r:id="rId7"/>
    <sheet state="visible" name="Questão 6" sheetId="5" r:id="rId8"/>
    <sheet state="visible" name="Questão 9" sheetId="6" r:id="rId9"/>
    <sheet state="visible" name="Questão 10" sheetId="7" r:id="rId10"/>
    <sheet state="visible" name="Questão 11" sheetId="8" r:id="rId11"/>
    <sheet state="visible" name="Questão 13" sheetId="9" r:id="rId12"/>
  </sheets>
  <definedNames/>
  <calcPr/>
  <extLst>
    <ext uri="GoogleSheetsCustomDataVersion2">
      <go:sheetsCustomData xmlns:go="http://customooxmlschemas.google.com/" r:id="rId13" roundtripDataChecksum="Xuqf8soTyPNAFj5e9TeoDVD3DYnwj/l5r/Ps57xzsI4="/>
    </ext>
  </extLst>
</workbook>
</file>

<file path=xl/sharedStrings.xml><?xml version="1.0" encoding="utf-8"?>
<sst xmlns="http://schemas.openxmlformats.org/spreadsheetml/2006/main" count="84" uniqueCount="67">
  <si>
    <t>Receitas mensais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</si>
  <si>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</si>
  <si>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</si>
  <si>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</si>
  <si>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</si>
  <si>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</si>
  <si>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</si>
  <si>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</si>
  <si>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</si>
  <si>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</si>
  <si>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</si>
  <si>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</si>
  <si>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</si>
  <si>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Folha de pagamentos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</si>
  <si>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</si>
  <si>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</si>
  <si>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</si>
  <si>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</si>
  <si>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</si>
  <si>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</si>
  <si>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</si>
  <si>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</si>
  <si>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</si>
  <si>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</si>
  <si>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</si>
  <si>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</si>
  <si>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</si>
  <si>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</si>
  <si>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</si>
  <si>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Comissões de vendas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</si>
  <si>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</si>
  <si>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</si>
  <si>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</si>
  <si>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</si>
  <si>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</si>
  <si>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</si>
  <si>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</si>
  <si>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</si>
  <si>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</si>
  <si>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</si>
  <si>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Maior comissão</t>
  </si>
  <si>
    <t>Média das comissões</t>
  </si>
  <si>
    <t>Fazenda</t>
  </si>
  <si>
    <t>Área em 
hectares</t>
  </si>
  <si>
    <t>Produtividade 
(sacas/hectares)</t>
  </si>
  <si>
    <t>Produção 
total</t>
  </si>
  <si>
    <t>Fazenda 1</t>
  </si>
  <si>
    <t>Fazenda 2</t>
  </si>
  <si>
    <t>Fazenda 3</t>
  </si>
  <si>
    <t>Fazenda 4</t>
  </si>
  <si>
    <t>Fazenda 5</t>
  </si>
  <si>
    <t>Valor presente</t>
  </si>
  <si>
    <t>Número de períodos</t>
  </si>
  <si>
    <t>Taxa de juros</t>
  </si>
  <si>
    <t>Investimento inicial</t>
  </si>
  <si>
    <t>Ganhos em 2017</t>
  </si>
  <si>
    <t>Ganhos em 2018</t>
  </si>
  <si>
    <t>Ganhos em 2019</t>
  </si>
  <si>
    <t>Ganhos em 2020</t>
  </si>
  <si>
    <t>Ganhos em 2021</t>
  </si>
  <si>
    <t>Ganhos em 2022</t>
  </si>
  <si>
    <t>Ganhos obtidos</t>
  </si>
  <si>
    <t>Retorno do investimento (ROI</t>
  </si>
  <si>
    <t xml:space="preserve">Retorno do investimento (ROI) </t>
  </si>
  <si>
    <t>Taxa Interna de Retorno</t>
  </si>
  <si>
    <t>Valor Presente Líquido</t>
  </si>
  <si>
    <t>Número de matrícula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</si>
</sst>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0.0000"/>
    <numFmt numFmtId="166" formatCode="&quot;R$&quot;\ #,##0.00;[Red]\-&quot;R$&quot;\ #,##0.00"/>
    <numFmt numFmtId="167" formatCode="&quot;R$&quot;\ #,##0;[Red]\-&quot;R$&quot;\ 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  <xf borderId="1" fillId="2" fontId="3" numFmtId="164" xfId="0" applyBorder="1" applyFill="1" applyFont="1" applyNumberFormat="1"/>
    <xf borderId="0" fillId="0" fontId="3" numFmtId="165" xfId="0" applyFont="1" applyNumberFormat="1"/>
    <xf borderId="0" fillId="0" fontId="1" numFmtId="0" xfId="0" applyFont="1"/>
    <xf borderId="0" fillId="0" fontId="1" numFmtId="0" xfId="0" applyAlignment="1" applyFont="1">
      <alignment horizontal="center" shrinkToFit="0" wrapText="1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3" numFmtId="0" xfId="0" applyBorder="1" applyFont="1"/>
    <xf borderId="0" fillId="0" fontId="3" numFmtId="166" xfId="0" applyFont="1" applyNumberFormat="1"/>
    <xf borderId="0" fillId="0" fontId="3" numFmtId="10" xfId="0" applyFont="1" applyNumberFormat="1"/>
    <xf borderId="1" fillId="2" fontId="3" numFmtId="166" xfId="0" applyBorder="1" applyFont="1" applyNumberFormat="1"/>
    <xf borderId="0" fillId="0" fontId="3" numFmtId="167" xfId="0" applyFont="1" applyNumberFormat="1"/>
    <xf borderId="1" fillId="2" fontId="3" numFmtId="9" xfId="0" applyBorder="1" applyFont="1" applyNumberFormat="1"/>
    <xf borderId="0" fillId="0" fontId="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11.43"/>
    <col customWidth="1" min="4" max="26" width="8.71"/>
  </cols>
  <sheetData>
    <row r="1">
      <c r="A1" s="1" t="s">
        <v>0</v>
      </c>
    </row>
    <row r="2">
      <c r="A2" s="2" t="s">
        <v>1</v>
      </c>
      <c r="B2" s="3">
        <v>30311.0</v>
      </c>
    </row>
    <row r="3">
      <c r="A3" s="2" t="s">
        <v>2</v>
      </c>
      <c r="B3" s="3">
        <v>24112.0</v>
      </c>
    </row>
    <row r="4">
      <c r="A4" s="2" t="s">
        <v>3</v>
      </c>
      <c r="B4" s="3">
        <v>22654.0</v>
      </c>
    </row>
    <row r="5">
      <c r="A5" s="2" t="s">
        <v>4</v>
      </c>
      <c r="B5" s="3">
        <v>26125.0</v>
      </c>
    </row>
    <row r="6">
      <c r="A6" s="2" t="s">
        <v>5</v>
      </c>
      <c r="B6" s="3">
        <v>37142.0</v>
      </c>
      <c r="C6" s="3"/>
    </row>
    <row r="7">
      <c r="A7" s="2" t="s">
        <v>6</v>
      </c>
      <c r="B7" s="3">
        <v>33631.0</v>
      </c>
    </row>
    <row r="8">
      <c r="A8" s="2" t="s">
        <v>7</v>
      </c>
      <c r="B8" s="3">
        <v>29000.0</v>
      </c>
    </row>
    <row r="9">
      <c r="A9" s="2" t="s">
        <v>8</v>
      </c>
      <c r="B9" s="3">
        <v>44629.0</v>
      </c>
    </row>
    <row r="10">
      <c r="A10" s="2" t="s">
        <v>9</v>
      </c>
      <c r="B10" s="3">
        <v>21088.0</v>
      </c>
    </row>
    <row r="11">
      <c r="A11" s="2" t="s">
        <v>10</v>
      </c>
      <c r="B11" s="3">
        <v>34389.0</v>
      </c>
    </row>
    <row r="12">
      <c r="A12" s="2" t="s">
        <v>11</v>
      </c>
      <c r="B12" s="3">
        <v>21046.0</v>
      </c>
    </row>
    <row r="13">
      <c r="A13" s="2" t="s">
        <v>12</v>
      </c>
      <c r="B13" s="3">
        <v>43133.0</v>
      </c>
    </row>
    <row r="14">
      <c r="B14" s="4">
        <f>SUM(B2:B13)</f>
        <v>367260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1.43"/>
    <col customWidth="1" min="3" max="3" width="8.71"/>
    <col customWidth="1" min="4" max="4" width="10.29"/>
    <col customWidth="1" min="5" max="26" width="8.71"/>
  </cols>
  <sheetData>
    <row r="1">
      <c r="A1" s="1" t="s">
        <v>13</v>
      </c>
    </row>
    <row r="2">
      <c r="A2" s="2" t="s">
        <v>14</v>
      </c>
      <c r="B2" s="3">
        <v>14103.0</v>
      </c>
    </row>
    <row r="3">
      <c r="A3" s="2" t="s">
        <v>15</v>
      </c>
      <c r="B3" s="3">
        <v>13321.0</v>
      </c>
    </row>
    <row r="4">
      <c r="A4" s="2" t="s">
        <v>16</v>
      </c>
      <c r="B4" s="3">
        <v>6104.0</v>
      </c>
    </row>
    <row r="5">
      <c r="A5" s="2" t="s">
        <v>17</v>
      </c>
      <c r="B5" s="3">
        <v>4878.0</v>
      </c>
    </row>
    <row r="6">
      <c r="A6" s="2" t="s">
        <v>18</v>
      </c>
      <c r="B6" s="3">
        <v>7474.0</v>
      </c>
    </row>
    <row r="7">
      <c r="A7" s="2" t="s">
        <v>19</v>
      </c>
      <c r="B7" s="3">
        <v>11532.0</v>
      </c>
    </row>
    <row r="8">
      <c r="A8" s="2" t="s">
        <v>20</v>
      </c>
      <c r="B8" s="3">
        <v>3359.0</v>
      </c>
    </row>
    <row r="9">
      <c r="A9" s="2" t="s">
        <v>21</v>
      </c>
      <c r="B9" s="3">
        <v>6412.0</v>
      </c>
    </row>
    <row r="10">
      <c r="A10" s="2" t="s">
        <v>22</v>
      </c>
      <c r="B10" s="3">
        <v>8688.0</v>
      </c>
    </row>
    <row r="11">
      <c r="A11" s="2" t="s">
        <v>23</v>
      </c>
      <c r="B11" s="3">
        <v>1361.0</v>
      </c>
    </row>
    <row r="12">
      <c r="A12" s="2" t="s">
        <v>24</v>
      </c>
      <c r="B12" s="3">
        <v>2594.0</v>
      </c>
    </row>
    <row r="13">
      <c r="A13" s="2" t="s">
        <v>25</v>
      </c>
      <c r="B13" s="3">
        <v>8667.0</v>
      </c>
    </row>
    <row r="14">
      <c r="A14" s="2" t="s">
        <v>26</v>
      </c>
      <c r="B14" s="3">
        <v>17201.0</v>
      </c>
      <c r="D14" s="5"/>
    </row>
    <row r="15">
      <c r="A15" s="2" t="s">
        <v>27</v>
      </c>
      <c r="B15" s="3">
        <v>12550.0</v>
      </c>
    </row>
    <row r="16">
      <c r="A16" s="2" t="s">
        <v>28</v>
      </c>
      <c r="B16" s="3">
        <v>1362.0</v>
      </c>
    </row>
    <row r="17">
      <c r="B17" s="4">
        <f>AVERAGE(B2:B16)</f>
        <v>7973.733333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43"/>
    <col customWidth="1" min="3" max="26" width="8.71"/>
  </cols>
  <sheetData>
    <row r="1">
      <c r="A1" s="1" t="s">
        <v>29</v>
      </c>
    </row>
    <row r="2">
      <c r="A2" s="2" t="s">
        <v>30</v>
      </c>
      <c r="B2" s="3">
        <v>3422.0</v>
      </c>
    </row>
    <row r="3">
      <c r="A3" s="2" t="s">
        <v>31</v>
      </c>
      <c r="B3" s="3">
        <v>4627.0</v>
      </c>
    </row>
    <row r="4">
      <c r="A4" s="2" t="s">
        <v>32</v>
      </c>
      <c r="B4" s="3">
        <v>3073.0</v>
      </c>
    </row>
    <row r="5">
      <c r="A5" s="2" t="s">
        <v>33</v>
      </c>
      <c r="B5" s="3">
        <v>6308.0</v>
      </c>
    </row>
    <row r="6">
      <c r="A6" s="2" t="s">
        <v>34</v>
      </c>
      <c r="B6" s="3">
        <v>6663.0</v>
      </c>
    </row>
    <row r="7">
      <c r="A7" s="2" t="s">
        <v>35</v>
      </c>
      <c r="B7" s="3">
        <v>6849.0</v>
      </c>
    </row>
    <row r="8">
      <c r="A8" s="2" t="s">
        <v>36</v>
      </c>
      <c r="B8" s="3">
        <v>2039.0</v>
      </c>
    </row>
    <row r="9">
      <c r="A9" s="2" t="s">
        <v>37</v>
      </c>
      <c r="B9" s="3">
        <v>6845.0</v>
      </c>
    </row>
    <row r="10">
      <c r="A10" s="2" t="s">
        <v>38</v>
      </c>
      <c r="B10" s="3">
        <v>5322.0</v>
      </c>
    </row>
    <row r="11">
      <c r="A11" s="2" t="s">
        <v>39</v>
      </c>
      <c r="B11" s="3">
        <v>2872.0</v>
      </c>
    </row>
    <row r="12">
      <c r="A12" s="2" t="s">
        <v>40</v>
      </c>
      <c r="B12" s="4">
        <f>MAX(B2:B11)</f>
        <v>6849</v>
      </c>
    </row>
    <row r="13">
      <c r="A13" s="2" t="s">
        <v>41</v>
      </c>
      <c r="B13" s="4">
        <f>AVERAGE(B2:B11)</f>
        <v>4802</v>
      </c>
    </row>
    <row r="14">
      <c r="B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71"/>
    <col customWidth="1" min="3" max="3" width="14.43"/>
    <col customWidth="1" min="4" max="26" width="8.71"/>
  </cols>
  <sheetData>
    <row r="1" ht="27.75" customHeight="1">
      <c r="A1" s="6" t="s">
        <v>42</v>
      </c>
      <c r="B1" s="7" t="s">
        <v>43</v>
      </c>
      <c r="C1" s="7" t="s">
        <v>44</v>
      </c>
      <c r="D1" s="7" t="s">
        <v>45</v>
      </c>
    </row>
    <row r="2">
      <c r="A2" s="2" t="s">
        <v>46</v>
      </c>
      <c r="B2" s="8">
        <v>1500.0</v>
      </c>
      <c r="C2" s="9">
        <v>65.0</v>
      </c>
      <c r="D2" s="10">
        <f>SUMPRODUCT(B2:B6,C2:C6)</f>
        <v>587400</v>
      </c>
    </row>
    <row r="3">
      <c r="A3" s="2" t="s">
        <v>47</v>
      </c>
      <c r="B3" s="8">
        <v>2000.0</v>
      </c>
      <c r="C3" s="9">
        <v>60.0</v>
      </c>
    </row>
    <row r="4">
      <c r="A4" s="2" t="s">
        <v>48</v>
      </c>
      <c r="B4" s="8">
        <v>3000.0</v>
      </c>
      <c r="C4" s="9">
        <v>53.0</v>
      </c>
    </row>
    <row r="5">
      <c r="A5" s="2" t="s">
        <v>49</v>
      </c>
      <c r="B5" s="8">
        <v>1800.0</v>
      </c>
      <c r="C5" s="9">
        <v>76.0</v>
      </c>
    </row>
    <row r="6">
      <c r="A6" s="2" t="s">
        <v>50</v>
      </c>
      <c r="B6" s="8">
        <v>950.0</v>
      </c>
      <c r="C6" s="9">
        <v>78.0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6.57"/>
    <col customWidth="1" min="3" max="3" width="8.71"/>
    <col customWidth="1" min="4" max="4" width="15.0"/>
    <col customWidth="1" min="5" max="26" width="8.71"/>
  </cols>
  <sheetData>
    <row r="3">
      <c r="A3" s="2" t="s">
        <v>51</v>
      </c>
      <c r="B3" s="3">
        <v>-400000.0</v>
      </c>
    </row>
    <row r="4">
      <c r="A4" s="2" t="s">
        <v>52</v>
      </c>
      <c r="B4" s="2">
        <v>180.0</v>
      </c>
      <c r="D4" s="11"/>
    </row>
    <row r="5">
      <c r="A5" s="2" t="s">
        <v>53</v>
      </c>
      <c r="B5" s="12">
        <v>0.0096</v>
      </c>
    </row>
    <row r="7">
      <c r="B7" s="13">
        <f>FV(B5,B4,,B3)</f>
        <v>2233271.55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0.57"/>
    <col customWidth="1" min="3" max="26" width="8.71"/>
  </cols>
  <sheetData>
    <row r="2">
      <c r="A2" s="2" t="s">
        <v>54</v>
      </c>
      <c r="B2" s="14">
        <v>-80000.0</v>
      </c>
    </row>
    <row r="3">
      <c r="A3" s="2" t="s">
        <v>55</v>
      </c>
      <c r="B3" s="14">
        <v>5000.0</v>
      </c>
    </row>
    <row r="4">
      <c r="A4" s="2" t="s">
        <v>56</v>
      </c>
      <c r="B4" s="14">
        <v>6000.0</v>
      </c>
    </row>
    <row r="5">
      <c r="A5" s="2" t="s">
        <v>57</v>
      </c>
      <c r="B5" s="14">
        <v>45000.0</v>
      </c>
    </row>
    <row r="6">
      <c r="A6" s="2" t="s">
        <v>58</v>
      </c>
      <c r="B6" s="14">
        <v>32000.0</v>
      </c>
    </row>
    <row r="7">
      <c r="A7" s="2" t="s">
        <v>59</v>
      </c>
      <c r="B7" s="14">
        <v>67000.0</v>
      </c>
    </row>
    <row r="8">
      <c r="A8" s="2" t="s">
        <v>60</v>
      </c>
      <c r="B8" s="14">
        <v>79000.0</v>
      </c>
    </row>
    <row r="10">
      <c r="A10" s="2" t="s">
        <v>61</v>
      </c>
      <c r="B10" s="14">
        <f>SUM(B3:B8)</f>
        <v>234000</v>
      </c>
    </row>
    <row r="12">
      <c r="A12" s="2" t="s">
        <v>62</v>
      </c>
      <c r="B12" s="15">
        <f>B10/-B2-1</f>
        <v>1.925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9.86"/>
    <col customWidth="1" min="3" max="26" width="8.71"/>
  </cols>
  <sheetData>
    <row r="2">
      <c r="A2" s="2" t="s">
        <v>54</v>
      </c>
      <c r="B2" s="14">
        <v>-80000.0</v>
      </c>
    </row>
    <row r="3">
      <c r="A3" s="2" t="s">
        <v>55</v>
      </c>
      <c r="B3" s="14">
        <v>5000.0</v>
      </c>
    </row>
    <row r="4">
      <c r="A4" s="2" t="s">
        <v>56</v>
      </c>
      <c r="B4" s="14">
        <v>6000.0</v>
      </c>
    </row>
    <row r="5">
      <c r="A5" s="2" t="s">
        <v>57</v>
      </c>
      <c r="B5" s="14">
        <v>45000.0</v>
      </c>
    </row>
    <row r="6">
      <c r="A6" s="2" t="s">
        <v>58</v>
      </c>
      <c r="B6" s="14">
        <v>32000.0</v>
      </c>
    </row>
    <row r="7">
      <c r="A7" s="2" t="s">
        <v>59</v>
      </c>
      <c r="B7" s="14">
        <v>67000.0</v>
      </c>
    </row>
    <row r="8">
      <c r="A8" s="2" t="s">
        <v>60</v>
      </c>
      <c r="B8" s="14">
        <v>79000.0</v>
      </c>
    </row>
    <row r="10">
      <c r="A10" s="2" t="s">
        <v>61</v>
      </c>
      <c r="B10" s="14">
        <f>SUM(B3:B8)</f>
        <v>234000</v>
      </c>
    </row>
    <row r="12">
      <c r="A12" s="2" t="s">
        <v>63</v>
      </c>
      <c r="B12" s="16">
        <f>B10/-B2-1</f>
        <v>1.925</v>
      </c>
    </row>
    <row r="14">
      <c r="A14" s="2" t="s">
        <v>64</v>
      </c>
      <c r="B14" s="15">
        <f>IRR(B2:B8)</f>
        <v>0.2738858095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2.43"/>
    <col customWidth="1" min="3" max="26" width="8.71"/>
  </cols>
  <sheetData>
    <row r="2">
      <c r="A2" s="2" t="s">
        <v>54</v>
      </c>
      <c r="B2" s="14">
        <v>-60000.0</v>
      </c>
    </row>
    <row r="3">
      <c r="A3" s="2" t="s">
        <v>56</v>
      </c>
      <c r="B3" s="14">
        <v>4000.0</v>
      </c>
    </row>
    <row r="4">
      <c r="A4" s="2" t="s">
        <v>57</v>
      </c>
      <c r="B4" s="14">
        <v>35000.0</v>
      </c>
    </row>
    <row r="5">
      <c r="A5" s="2" t="s">
        <v>58</v>
      </c>
      <c r="B5" s="14">
        <v>28000.0</v>
      </c>
    </row>
    <row r="6">
      <c r="A6" s="2" t="s">
        <v>59</v>
      </c>
      <c r="B6" s="14">
        <v>56000.0</v>
      </c>
    </row>
    <row r="7">
      <c r="A7" s="2" t="s">
        <v>60</v>
      </c>
      <c r="B7" s="14">
        <v>49000.0</v>
      </c>
    </row>
    <row r="9">
      <c r="A9" s="2" t="s">
        <v>61</v>
      </c>
      <c r="B9" s="14">
        <f>SUM(B3:B7)</f>
        <v>172000</v>
      </c>
    </row>
    <row r="11">
      <c r="A11" s="2" t="s">
        <v>63</v>
      </c>
      <c r="B11" s="16">
        <f>B9/-B2-1</f>
        <v>1.866666667</v>
      </c>
    </row>
    <row r="13">
      <c r="A13" s="2" t="s">
        <v>64</v>
      </c>
      <c r="B13" s="15">
        <f>IRR(B2:B7)</f>
        <v>0.3592692104</v>
      </c>
    </row>
    <row r="15">
      <c r="A15" s="2" t="s">
        <v>65</v>
      </c>
      <c r="B15" s="13">
        <f t="array" ref="B15">NPV(B13,B3:B7)</f>
        <v>60000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6" width="8.71"/>
  </cols>
  <sheetData>
    <row r="1">
      <c r="A1" s="6" t="s">
        <v>66</v>
      </c>
    </row>
    <row r="2">
      <c r="A2" s="2">
        <v>3.298202E7</v>
      </c>
      <c r="B2" s="10" t="str">
        <f t="shared" ref="B2:B6" si="1">RIGHT(A2:A6,4)</f>
        <v>2020</v>
      </c>
    </row>
    <row r="3">
      <c r="A3" s="2">
        <v>5.0212019E7</v>
      </c>
      <c r="B3" s="10" t="str">
        <f t="shared" si="1"/>
        <v>2019</v>
      </c>
    </row>
    <row r="4">
      <c r="A4" s="2">
        <v>8.8922021E7</v>
      </c>
      <c r="B4" s="10" t="str">
        <f t="shared" si="1"/>
        <v>2021</v>
      </c>
    </row>
    <row r="5">
      <c r="A5" s="2">
        <v>2.0562022E7</v>
      </c>
      <c r="B5" s="10" t="str">
        <f t="shared" si="1"/>
        <v>2022</v>
      </c>
    </row>
    <row r="6">
      <c r="A6" s="2">
        <v>5.5672023E7</v>
      </c>
      <c r="B6" s="10" t="str">
        <f t="shared" si="1"/>
        <v>2023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2023-06-12T14:11:48Z</dcterms:created>
  <dc:creator>Gladinston Luciano Manenti Si</dc:creator>
</cp:coreProperties>
</file>