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FE5E44E3-554D-4D6D-9A9F-3B873494FF3B}" xr6:coauthVersionLast="47" xr6:coauthVersionMax="47" xr10:uidLastSave="{00000000-0000-0000-0000-000000000000}"/>
  <bookViews>
    <workbookView xWindow="-120" yWindow="-120" windowWidth="38640" windowHeight="16440" tabRatio="831" xr2:uid="{F15A65A0-50AE-4DFC-B720-C4AB79DEF1D3}"/>
  </bookViews>
  <sheets>
    <sheet name="Introdução" sheetId="2" r:id="rId1"/>
    <sheet name="Navegação (A)" sheetId="3" r:id="rId2"/>
    <sheet name="Navegação (B)" sheetId="4" r:id="rId3"/>
    <sheet name="Navegação (C)" sheetId="5" r:id="rId4"/>
    <sheet name="Edição" sheetId="6" r:id="rId5"/>
    <sheet name="Formatação" sheetId="7" r:id="rId6"/>
    <sheet name="Fórmulas" sheetId="8" r:id="rId7"/>
    <sheet name="Funções Básicas" sheetId="10" r:id="rId8"/>
    <sheet name="Funções Lógicas" sheetId="13" r:id="rId9"/>
    <sheet name="Funções de Texto" sheetId="9" r:id="rId10"/>
    <sheet name="Funções Financeiras" sheetId="12" r:id="rId11"/>
    <sheet name="Planilha de Previsão" sheetId="31" r:id="rId12"/>
    <sheet name="Análise de Dados" sheetId="1" r:id="rId13"/>
    <sheet name="Procura e Referência" sheetId="14" r:id="rId14"/>
    <sheet name="Matrizes Dinâmicas" sheetId="25" r:id="rId15"/>
    <sheet name="Classificação e Filtro" sheetId="15" r:id="rId16"/>
    <sheet name="Tabela Dinâmica" sheetId="17" r:id="rId17"/>
    <sheet name="Tabela Dinâmica Pronta" sheetId="34" r:id="rId18"/>
    <sheet name="Gráficos" sheetId="18" r:id="rId19"/>
    <sheet name="Carteira" sheetId="19" r:id="rId20"/>
    <sheet name="Diretores" sheetId="27" r:id="rId21"/>
    <sheet name="Tipos de Dados" sheetId="28" r:id="rId22"/>
    <sheet name="Power Query" sheetId="29" r:id="rId23"/>
    <sheet name="Serviço Web" sheetId="35" r:id="rId24"/>
    <sheet name="Indicadores" sheetId="30" r:id="rId25"/>
    <sheet name="Bônus" sheetId="36" r:id="rId26"/>
  </sheets>
  <definedNames>
    <definedName name="_xlnm._FilterDatabase" localSheetId="4" hidden="1">Edição!$A$3:$G$2003</definedName>
    <definedName name="_xlnm._FilterDatabase" localSheetId="5" hidden="1">Formatação!$A$3:$B$24</definedName>
    <definedName name="_xlnm._FilterDatabase" localSheetId="13" hidden="1">'Procura e Referência'!$A$3:$G$2003</definedName>
    <definedName name="_xlcn.WorksheetConnection_PrimoExercícios.xlsxtbGestores1" hidden="1">tbGestores[]</definedName>
    <definedName name="_xlcn.WorksheetConnection_PrimoExercícios.xlsxtbPrincipal1" hidden="1">tbPrincipal[]</definedName>
    <definedName name="preços">'Análise de Dados'!$A$4:$A$245</definedName>
    <definedName name="primeiro">Fórmulas!$B$12</definedName>
    <definedName name="segundo">Fórmulas!$C$12</definedName>
    <definedName name="solver_adj" localSheetId="19" hidden="1">Carteira!$J$9:$J$13</definedName>
    <definedName name="solver_cvg" localSheetId="19" hidden="1">0.0001</definedName>
    <definedName name="solver_drv" localSheetId="19" hidden="1">2</definedName>
    <definedName name="solver_eng" localSheetId="19" hidden="1">1</definedName>
    <definedName name="solver_est" localSheetId="19" hidden="1">1</definedName>
    <definedName name="solver_itr" localSheetId="19" hidden="1">2147483647</definedName>
    <definedName name="solver_lhs1" localSheetId="19" hidden="1">Carteira!$I$14</definedName>
    <definedName name="solver_lhs2" localSheetId="19" hidden="1">Carteira!$J$14</definedName>
    <definedName name="solver_lhs3" localSheetId="19" hidden="1">Carteira!$K$9:$K$13</definedName>
    <definedName name="solver_mip" localSheetId="19" hidden="1">2147483647</definedName>
    <definedName name="solver_mni" localSheetId="19" hidden="1">30</definedName>
    <definedName name="solver_mrt" localSheetId="19" hidden="1">0.075</definedName>
    <definedName name="solver_msl" localSheetId="19" hidden="1">2</definedName>
    <definedName name="solver_neg" localSheetId="19" hidden="1">1</definedName>
    <definedName name="solver_nod" localSheetId="19" hidden="1">2147483647</definedName>
    <definedName name="solver_num" localSheetId="19" hidden="1">3</definedName>
    <definedName name="solver_nwt" localSheetId="19" hidden="1">1</definedName>
    <definedName name="solver_opt" localSheetId="19" hidden="1">Carteira!$L$14</definedName>
    <definedName name="solver_pre" localSheetId="19" hidden="1">0.000001</definedName>
    <definedName name="solver_rbv" localSheetId="19" hidden="1">2</definedName>
    <definedName name="solver_rel1" localSheetId="19" hidden="1">1</definedName>
    <definedName name="solver_rel2" localSheetId="19" hidden="1">1</definedName>
    <definedName name="solver_rel3" localSheetId="19" hidden="1">1</definedName>
    <definedName name="solver_rhs1" localSheetId="19" hidden="1">Carteira!$C$6</definedName>
    <definedName name="solver_rhs2" localSheetId="19" hidden="1">Carteira!$C$3</definedName>
    <definedName name="solver_rhs3" localSheetId="19" hidden="1">Carteira!$C$5</definedName>
    <definedName name="solver_rlx" localSheetId="19" hidden="1">2</definedName>
    <definedName name="solver_rsd" localSheetId="19" hidden="1">0</definedName>
    <definedName name="solver_scl" localSheetId="19" hidden="1">2</definedName>
    <definedName name="solver_sho" localSheetId="19" hidden="1">2</definedName>
    <definedName name="solver_ssz" localSheetId="19" hidden="1">100</definedName>
    <definedName name="solver_tim" localSheetId="19" hidden="1">2147483647</definedName>
    <definedName name="solver_tol" localSheetId="19" hidden="1">0.01</definedName>
    <definedName name="solver_typ" localSheetId="19" hidden="1">1</definedName>
    <definedName name="solver_val" localSheetId="19" hidden="1">0</definedName>
    <definedName name="solver_ver" localSheetId="19" hidden="1">3</definedName>
    <definedName name="unidades">'Análise de Dados'!$B$4:$B$245</definedName>
    <definedName name="valores_usd">'Funções Lógicas'!$D$4:$D$15</definedName>
  </definedNames>
  <calcPr calcId="191029"/>
  <pivotCaches>
    <pivotCache cacheId="0" r:id="rId2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Principal" name="tbPrincipal" connection="WorksheetConnection_Primo - Exercícios.xlsx!tbPrincipal"/>
          <x15:modelTable id="tbGestores" name="tbGestores" connection="WorksheetConnection_Primo - Exercícios.xlsx!tbGestores"/>
        </x15:modelTables>
        <x15:modelRelationships>
          <x15:modelRelationship fromTable="tbPrincipal" fromColumn="Assessor" toTable="tbGestores" toColumn="Assesso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35" i="1"/>
  <c r="A8" i="35"/>
  <c r="A11" i="35" s="1" a="1"/>
  <c r="A11" i="35" s="1"/>
  <c r="L4" i="28" a="1"/>
  <c r="L4" i="28" s="1"/>
  <c r="K4" i="28" a="1"/>
  <c r="K4" i="28" s="1"/>
  <c r="J4" i="28" a="1"/>
  <c r="J4" i="28" s="1"/>
  <c r="I10" i="19"/>
  <c r="I11" i="19"/>
  <c r="I12" i="19"/>
  <c r="I13" i="19"/>
  <c r="I9" i="19"/>
  <c r="H9" i="19"/>
  <c r="G9" i="19"/>
  <c r="A11" i="15" a="1"/>
  <c r="A11" i="15" s="1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6" i="25"/>
  <c r="D6" i="25" a="1"/>
  <c r="D6" i="25" s="1"/>
  <c r="K20" i="14"/>
  <c r="K21" i="14"/>
  <c r="K22" i="14"/>
  <c r="K23" i="14"/>
  <c r="K24" i="14"/>
  <c r="K25" i="14"/>
  <c r="K26" i="14"/>
  <c r="K27" i="14"/>
  <c r="K28" i="14"/>
  <c r="K29" i="14"/>
  <c r="K30" i="14"/>
  <c r="K31" i="14"/>
  <c r="K19" i="14"/>
  <c r="K4" i="14"/>
  <c r="L4" i="14"/>
  <c r="K5" i="14"/>
  <c r="L5" i="14"/>
  <c r="K6" i="14"/>
  <c r="L6" i="14"/>
  <c r="K7" i="14"/>
  <c r="L7" i="14"/>
  <c r="K8" i="14"/>
  <c r="L8" i="14"/>
  <c r="K9" i="14"/>
  <c r="L9" i="14"/>
  <c r="J5" i="14"/>
  <c r="J6" i="14"/>
  <c r="J7" i="14"/>
  <c r="J8" i="14"/>
  <c r="J9" i="14"/>
  <c r="J4" i="14"/>
  <c r="F2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103" i="31"/>
  <c r="F104" i="31"/>
  <c r="F105" i="31"/>
  <c r="F106" i="31"/>
  <c r="F107" i="31"/>
  <c r="F108" i="31"/>
  <c r="F109" i="31"/>
  <c r="F110" i="31"/>
  <c r="F111" i="31"/>
  <c r="F112" i="31"/>
  <c r="F113" i="31"/>
  <c r="F114" i="31"/>
  <c r="F115" i="31"/>
  <c r="F116" i="31"/>
  <c r="F117" i="31"/>
  <c r="F118" i="31"/>
  <c r="F119" i="31"/>
  <c r="F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66" i="31"/>
  <c r="F167" i="31"/>
  <c r="F168" i="31"/>
  <c r="F169" i="31"/>
  <c r="F170" i="31"/>
  <c r="F171" i="31"/>
  <c r="F172" i="31"/>
  <c r="F173" i="31"/>
  <c r="F174" i="31"/>
  <c r="F175" i="31"/>
  <c r="F176" i="31"/>
  <c r="F177" i="31"/>
  <c r="F178" i="31"/>
  <c r="F179" i="31"/>
  <c r="F180" i="31"/>
  <c r="F181" i="31"/>
  <c r="F182" i="31"/>
  <c r="F183" i="31"/>
  <c r="F184" i="31"/>
  <c r="F185" i="31"/>
  <c r="F186" i="31"/>
  <c r="F187" i="31"/>
  <c r="F188" i="31"/>
  <c r="F189" i="31"/>
  <c r="F190" i="31"/>
  <c r="F191" i="31"/>
  <c r="F192" i="31"/>
  <c r="F193" i="31"/>
  <c r="F194" i="31"/>
  <c r="F195" i="31"/>
  <c r="F196" i="31"/>
  <c r="F197" i="31"/>
  <c r="F198" i="31"/>
  <c r="F199" i="31"/>
  <c r="F200" i="31"/>
  <c r="F201" i="31"/>
  <c r="F202" i="31"/>
  <c r="F203" i="31"/>
  <c r="F204" i="31"/>
  <c r="F205" i="31"/>
  <c r="F206" i="31"/>
  <c r="F207" i="31"/>
  <c r="F208" i="31"/>
  <c r="F209" i="31"/>
  <c r="F210" i="31"/>
  <c r="F211" i="31"/>
  <c r="F212" i="31"/>
  <c r="F213" i="31"/>
  <c r="F214" i="31"/>
  <c r="F215" i="31"/>
  <c r="F216" i="31"/>
  <c r="F217" i="31"/>
  <c r="F218" i="31"/>
  <c r="F219" i="31"/>
  <c r="F220" i="31"/>
  <c r="F221" i="31"/>
  <c r="F222" i="31"/>
  <c r="F223" i="31"/>
  <c r="F224" i="31"/>
  <c r="F225" i="31"/>
  <c r="F226" i="31"/>
  <c r="F227" i="31"/>
  <c r="F228" i="31"/>
  <c r="F229" i="31"/>
  <c r="F230" i="31"/>
  <c r="F231" i="31"/>
  <c r="F232" i="31"/>
  <c r="F233" i="31"/>
  <c r="F234" i="31"/>
  <c r="F235" i="31"/>
  <c r="F236" i="31"/>
  <c r="F237" i="31"/>
  <c r="F238" i="31"/>
  <c r="C195" i="31"/>
  <c r="C207" i="31"/>
  <c r="C219" i="31"/>
  <c r="C231" i="31"/>
  <c r="C234" i="31"/>
  <c r="C223" i="31"/>
  <c r="C200" i="31"/>
  <c r="C201" i="31"/>
  <c r="C237" i="31"/>
  <c r="C202" i="31"/>
  <c r="C238" i="31"/>
  <c r="C191" i="31"/>
  <c r="C228" i="31"/>
  <c r="C193" i="31"/>
  <c r="C217" i="31"/>
  <c r="C218" i="31"/>
  <c r="C196" i="31"/>
  <c r="C208" i="31"/>
  <c r="C220" i="31"/>
  <c r="C232" i="31"/>
  <c r="C210" i="31"/>
  <c r="C211" i="31"/>
  <c r="C212" i="31"/>
  <c r="C213" i="31"/>
  <c r="C214" i="31"/>
  <c r="C215" i="31"/>
  <c r="C192" i="31"/>
  <c r="C206" i="31"/>
  <c r="C197" i="31"/>
  <c r="C209" i="31"/>
  <c r="C221" i="31"/>
  <c r="C233" i="31"/>
  <c r="C222" i="31"/>
  <c r="C199" i="31"/>
  <c r="C235" i="31"/>
  <c r="C224" i="31"/>
  <c r="C236" i="31"/>
  <c r="C225" i="31"/>
  <c r="C226" i="31"/>
  <c r="C203" i="31"/>
  <c r="C227" i="31"/>
  <c r="C204" i="31"/>
  <c r="C205" i="31"/>
  <c r="C229" i="31"/>
  <c r="C230" i="31"/>
  <c r="C198" i="31"/>
  <c r="C194" i="31"/>
  <c r="C216" i="31"/>
  <c r="I6" i="28" a="1"/>
  <c r="I6" i="28" l="1"/>
  <c r="I14" i="19"/>
  <c r="D216" i="31"/>
  <c r="E216" i="31"/>
  <c r="D204" i="31"/>
  <c r="D224" i="31"/>
  <c r="E209" i="31"/>
  <c r="D213" i="31"/>
  <c r="E208" i="31"/>
  <c r="E194" i="31"/>
  <c r="E227" i="31"/>
  <c r="D235" i="31"/>
  <c r="E197" i="31"/>
  <c r="D212" i="31"/>
  <c r="D196" i="31"/>
  <c r="D238" i="31"/>
  <c r="D234" i="31"/>
  <c r="E235" i="31"/>
  <c r="E212" i="31"/>
  <c r="E196" i="31"/>
  <c r="E234" i="31"/>
  <c r="D192" i="31"/>
  <c r="D237" i="31"/>
  <c r="D222" i="31"/>
  <c r="E192" i="31"/>
  <c r="E237" i="31"/>
  <c r="E219" i="31"/>
  <c r="E233" i="31"/>
  <c r="D193" i="31"/>
  <c r="E225" i="31"/>
  <c r="E232" i="31"/>
  <c r="D205" i="31"/>
  <c r="D220" i="31"/>
  <c r="E195" i="31"/>
  <c r="D208" i="31"/>
  <c r="D191" i="31"/>
  <c r="D194" i="31"/>
  <c r="D227" i="31"/>
  <c r="D197" i="31"/>
  <c r="E238" i="31"/>
  <c r="D219" i="31"/>
  <c r="E226" i="31"/>
  <c r="E210" i="31"/>
  <c r="D229" i="31"/>
  <c r="D232" i="31"/>
  <c r="D207" i="31"/>
  <c r="D233" i="31"/>
  <c r="E193" i="31"/>
  <c r="D221" i="31"/>
  <c r="D228" i="31"/>
  <c r="E200" i="31"/>
  <c r="E224" i="31"/>
  <c r="E191" i="31"/>
  <c r="D198" i="31"/>
  <c r="D203" i="31"/>
  <c r="D199" i="31"/>
  <c r="D206" i="31"/>
  <c r="D211" i="31"/>
  <c r="E218" i="31"/>
  <c r="E202" i="31"/>
  <c r="D231" i="31"/>
  <c r="E198" i="31"/>
  <c r="E203" i="31"/>
  <c r="E199" i="31"/>
  <c r="E206" i="31"/>
  <c r="E211" i="31"/>
  <c r="D218" i="31"/>
  <c r="D202" i="31"/>
  <c r="E231" i="31"/>
  <c r="D230" i="31"/>
  <c r="D226" i="31"/>
  <c r="E222" i="31"/>
  <c r="D210" i="31"/>
  <c r="E217" i="31"/>
  <c r="E230" i="31"/>
  <c r="D217" i="31"/>
  <c r="D225" i="31"/>
  <c r="D215" i="31"/>
  <c r="D201" i="31"/>
  <c r="E229" i="31"/>
  <c r="E215" i="31"/>
  <c r="E201" i="31"/>
  <c r="D236" i="31"/>
  <c r="D214" i="31"/>
  <c r="D195" i="31"/>
  <c r="E213" i="31"/>
  <c r="D223" i="31"/>
  <c r="D209" i="31"/>
  <c r="E207" i="31"/>
  <c r="E205" i="31"/>
  <c r="E236" i="31"/>
  <c r="E221" i="31"/>
  <c r="E214" i="31"/>
  <c r="E220" i="31"/>
  <c r="E228" i="31"/>
  <c r="D200" i="31"/>
  <c r="E204" i="31"/>
  <c r="E223" i="31"/>
  <c r="G4" i="1" l="1"/>
  <c r="G5" i="1"/>
  <c r="F5" i="1"/>
  <c r="F4" i="1"/>
  <c r="F6" i="1"/>
  <c r="C25" i="12"/>
  <c r="C26" i="12" s="1"/>
  <c r="C27" i="12" s="1"/>
  <c r="C28" i="12" s="1"/>
  <c r="C29" i="12" s="1"/>
  <c r="C30" i="12" s="1"/>
  <c r="C31" i="12" s="1"/>
  <c r="C24" i="12"/>
  <c r="B32" i="12"/>
  <c r="B20" i="12"/>
  <c r="B13" i="12"/>
  <c r="B7" i="12"/>
  <c r="G13" i="9"/>
  <c r="G14" i="9"/>
  <c r="G12" i="9"/>
  <c r="Q6" i="9" a="1"/>
  <c r="Q6" i="9" s="1"/>
  <c r="Q4" i="9"/>
  <c r="J5" i="9"/>
  <c r="J6" i="9"/>
  <c r="J7" i="9"/>
  <c r="J8" i="9"/>
  <c r="J9" i="9"/>
  <c r="J4" i="9"/>
  <c r="I4" i="9" a="1"/>
  <c r="I4" i="9" s="1"/>
  <c r="H4" i="9" a="1"/>
  <c r="H4" i="9" s="1"/>
  <c r="G4" i="9"/>
  <c r="G5" i="9"/>
  <c r="G6" i="9"/>
  <c r="G7" i="9"/>
  <c r="G8" i="9"/>
  <c r="G9" i="9"/>
  <c r="B6" i="9"/>
  <c r="B7" i="9"/>
  <c r="B5" i="9"/>
  <c r="A3" i="9"/>
  <c r="H9" i="13"/>
  <c r="H10" i="13"/>
  <c r="H8" i="13"/>
  <c r="I14" i="10"/>
  <c r="F15" i="10"/>
  <c r="I13" i="10"/>
  <c r="I12" i="10"/>
  <c r="I11" i="10"/>
  <c r="I10" i="10"/>
  <c r="I7" i="10"/>
  <c r="I6" i="10"/>
  <c r="I5" i="10"/>
  <c r="I4" i="10"/>
  <c r="F4" i="10" a="1"/>
  <c r="F4" i="10" s="1"/>
  <c r="D26" i="8" a="1"/>
  <c r="D26" i="8" s="1"/>
  <c r="C18" i="8"/>
  <c r="C19" i="8"/>
  <c r="C20" i="8"/>
  <c r="C21" i="8"/>
  <c r="C22" i="8"/>
  <c r="C17" i="8"/>
  <c r="D12" i="8"/>
  <c r="D6" i="2" a="1"/>
  <c r="D6" i="2" s="1"/>
  <c r="D11" i="30" l="1"/>
  <c r="D9" i="30"/>
  <c r="D13" i="30"/>
  <c r="D15" i="30" s="1"/>
  <c r="A3" i="28" a="1"/>
  <c r="A3" i="28" l="1"/>
  <c r="H10" i="19" l="1"/>
  <c r="H11" i="19"/>
  <c r="H12" i="19"/>
  <c r="H13" i="19"/>
  <c r="G10" i="19"/>
  <c r="L10" i="19" s="1"/>
  <c r="G11" i="19"/>
  <c r="L11" i="19" s="1"/>
  <c r="G12" i="19"/>
  <c r="L12" i="19" s="1"/>
  <c r="G13" i="19"/>
  <c r="L13" i="19" s="1"/>
  <c r="J14" i="19"/>
  <c r="L9" i="19"/>
  <c r="D4" i="10" a="1"/>
  <c r="D4" i="10" s="1"/>
  <c r="E4" i="13" a="1"/>
  <c r="E4" i="13" s="1"/>
  <c r="A22" i="18" a="1"/>
  <c r="K10" i="19" l="1"/>
  <c r="K11" i="19"/>
  <c r="K12" i="19"/>
  <c r="K9" i="19"/>
  <c r="K13" i="19"/>
  <c r="L14" i="19"/>
  <c r="A22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4" i="1"/>
  <c r="K14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Cristiano</author>
  </authors>
  <commentList>
    <comment ref="H34" authorId="0" shapeId="0" xr:uid="{25B3A4AB-681B-430E-9DE0-2F97365806D2}">
      <text>
        <r>
          <rPr>
            <b/>
            <sz val="9"/>
            <color indexed="81"/>
            <rFont val="Segoe UI"/>
            <family val="2"/>
          </rPr>
          <t>Cristiano Galvão:</t>
        </r>
        <r>
          <rPr>
            <sz val="9"/>
            <color indexed="81"/>
            <rFont val="Segoe UI"/>
            <family val="2"/>
          </rPr>
          <t xml:space="preserve">
Um exercício interessante é descontar a inflação dos preços antes de estimar as unidades vendidas. Uma função útil para isto é a VP.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Cristiano</author>
  </authors>
  <commentList>
    <comment ref="B5" authorId="0" shapeId="0" xr:uid="{7C9660E7-035F-496D-915A-B92ECD2D2BD0}">
      <text>
        <r>
          <rPr>
            <b/>
            <sz val="9"/>
            <color indexed="81"/>
            <rFont val="Segoe UI"/>
            <family val="2"/>
          </rPr>
          <t>Proteção de Planilhas (1):</t>
        </r>
        <r>
          <rPr>
            <sz val="9"/>
            <color indexed="81"/>
            <rFont val="Segoe UI"/>
            <family val="2"/>
          </rPr>
          <t xml:space="preserve">
Suponha que você queira permitir que os usuários editem apenas as células que não são cinza neste exemplo. Selecione as células brancas com Ctrl. Depois, use o botão da direita, acione "Formatar Células" e desmarque a caixa "Bloqueadas", como na figura de dica ao lado. Depois, vá na guia Revisão e ative "Proteger Planilha". Todas as células vão ficar protegidas, menos estas. É possível usar senha e impedir que os usuários cliquem nas células protegidas também.</t>
        </r>
      </text>
    </comment>
    <comment ref="D5" authorId="0" shapeId="0" xr:uid="{18F222C7-5604-439F-BAC7-3C04F88A03F9}">
      <text>
        <r>
          <rPr>
            <b/>
            <sz val="9"/>
            <color indexed="81"/>
            <rFont val="Segoe UI"/>
            <family val="2"/>
          </rPr>
          <t>Validação de Dados (2):</t>
        </r>
        <r>
          <rPr>
            <sz val="9"/>
            <color indexed="81"/>
            <rFont val="Segoe UI"/>
            <family val="2"/>
          </rPr>
          <t xml:space="preserve">
Clique nesta célula, vá até a guia Dados e clique em "Validação de Dados". Em "Permitir", escolha "Lista" e selecione os ativos da coluna G. Pressione OK e veja o resultado ao clicar na célula outra vez! Depois disto, volte na Validação de Dados e explore as guias de mensagem e de erro.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EB8B6-5439-442C-8D2A-5F77A8CC5BDE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B45A5F3-B80A-4BE6-881A-B75A2007EB20}" name="WorksheetConnection_Primo - Exercícios.xlsx!tbGestores" type="102" refreshedVersion="8" minRefreshableVersion="5">
    <extLst>
      <ext xmlns:x15="http://schemas.microsoft.com/office/spreadsheetml/2010/11/main" uri="{DE250136-89BD-433C-8126-D09CA5730AF9}">
        <x15:connection id="tbGestores">
          <x15:rangePr sourceName="_xlcn.WorksheetConnection_PrimoExercícios.xlsxtbGestores1"/>
        </x15:connection>
      </ext>
    </extLst>
  </connection>
  <connection id="3" xr16:uid="{4F62937F-D33D-42D3-860E-9C04779F45B4}" name="WorksheetConnection_Primo - Exercícios.xlsx!tbPrincipal" type="102" refreshedVersion="8" minRefreshableVersion="5">
    <extLst>
      <ext xmlns:x15="http://schemas.microsoft.com/office/spreadsheetml/2010/11/main" uri="{DE250136-89BD-433C-8126-D09CA5730AF9}">
        <x15:connection id="tbPrincipal">
          <x15:rangePr sourceName="_xlcn.WorksheetConnection_PrimoExercícios.xlsxtbPrincipal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62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</futureMetadata>
  <cellMetadata count="1">
    <bk>
      <rc t="1" v="0"/>
    </bk>
  </cellMetadata>
  <valueMetadata count="46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</valueMetadata>
</metadata>
</file>

<file path=xl/sharedStrings.xml><?xml version="1.0" encoding="utf-8"?>
<sst xmlns="http://schemas.openxmlformats.org/spreadsheetml/2006/main" count="21827" uniqueCount="5949">
  <si>
    <t>Preço</t>
  </si>
  <si>
    <t>Vendas</t>
  </si>
  <si>
    <t>Unidades</t>
  </si>
  <si>
    <t>Simulação</t>
  </si>
  <si>
    <t>Dado</t>
  </si>
  <si>
    <t>Introdução</t>
  </si>
  <si>
    <t>Valores</t>
  </si>
  <si>
    <t>Impostos</t>
  </si>
  <si>
    <t>Navegação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</si>
  <si>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</si>
  <si>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</si>
  <si>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</si>
  <si>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</si>
  <si>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</si>
  <si>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</si>
  <si>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</si>
  <si>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</si>
  <si>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</si>
  <si>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</si>
  <si>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</si>
  <si>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</si>
  <si>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</si>
  <si>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Teste1</t>
  </si>
  <si>
    <t>Teste2</t>
  </si>
  <si>
    <t>Teste3</t>
  </si>
  <si>
    <t>Teste4</t>
  </si>
  <si>
    <t>Teste5</t>
  </si>
  <si>
    <t>Teste6</t>
  </si>
  <si>
    <t>Teste7</t>
  </si>
  <si>
    <t>Teste8</t>
  </si>
  <si>
    <t>Teste9</t>
  </si>
  <si>
    <t>ID</t>
  </si>
  <si>
    <t>Nome</t>
  </si>
  <si>
    <t>Cidade</t>
  </si>
  <si>
    <t>País</t>
  </si>
  <si>
    <t>467990726-6</t>
  </si>
  <si>
    <t>Sudimanik</t>
  </si>
  <si>
    <t>Indonesia</t>
  </si>
  <si>
    <t>173786618-8</t>
  </si>
  <si>
    <t>Marčelji</t>
  </si>
  <si>
    <t>Croatia</t>
  </si>
  <si>
    <t>907908823-4</t>
  </si>
  <si>
    <t>Krapivna</t>
  </si>
  <si>
    <t>Russia</t>
  </si>
  <si>
    <t>091240219-9</t>
  </si>
  <si>
    <t>Cache Creek</t>
  </si>
  <si>
    <t>Canada</t>
  </si>
  <si>
    <t>501108281-4</t>
  </si>
  <si>
    <t>400125712-2</t>
  </si>
  <si>
    <t>Krajan Caluk</t>
  </si>
  <si>
    <t>288950444-1</t>
  </si>
  <si>
    <t>Banjar Bau Kawan</t>
  </si>
  <si>
    <t>068466572-7</t>
  </si>
  <si>
    <t>Jambesari</t>
  </si>
  <si>
    <t>024183994-7</t>
  </si>
  <si>
    <t>Koz’modem’yansk</t>
  </si>
  <si>
    <t>265503087-7</t>
  </si>
  <si>
    <t>Ankazondandy</t>
  </si>
  <si>
    <t>Madagascar</t>
  </si>
  <si>
    <t>770498913-8</t>
  </si>
  <si>
    <t>Roma</t>
  </si>
  <si>
    <t>Italy</t>
  </si>
  <si>
    <t>Naurskaya</t>
  </si>
  <si>
    <t>297588562-8</t>
  </si>
  <si>
    <t>Kibondo</t>
  </si>
  <si>
    <t>Tanzania</t>
  </si>
  <si>
    <t>460012061-2</t>
  </si>
  <si>
    <t>Sundsvall</t>
  </si>
  <si>
    <t>Sweden</t>
  </si>
  <si>
    <t>870371078-5</t>
  </si>
  <si>
    <t>374745787-8</t>
  </si>
  <si>
    <t>Yūki</t>
  </si>
  <si>
    <t>Japan</t>
  </si>
  <si>
    <t>787001851-1</t>
  </si>
  <si>
    <t>Sotomayor</t>
  </si>
  <si>
    <t>Bolivia</t>
  </si>
  <si>
    <t>302113083-6</t>
  </si>
  <si>
    <t>La Esperanza</t>
  </si>
  <si>
    <t>Mexico</t>
  </si>
  <si>
    <t>116485461-5</t>
  </si>
  <si>
    <t>El Porvenir</t>
  </si>
  <si>
    <t>761174418-6</t>
  </si>
  <si>
    <t>Ust’-Omchug</t>
  </si>
  <si>
    <t>476274912-5</t>
  </si>
  <si>
    <t>Mayo Belwa</t>
  </si>
  <si>
    <t>Nigeria</t>
  </si>
  <si>
    <t>443916328-9</t>
  </si>
  <si>
    <t>Ulbroka</t>
  </si>
  <si>
    <t>Latvia</t>
  </si>
  <si>
    <t>633653093-0</t>
  </si>
  <si>
    <t>Amphawa</t>
  </si>
  <si>
    <t>Thailand</t>
  </si>
  <si>
    <t>310822251-1</t>
  </si>
  <si>
    <t>Morada Nova</t>
  </si>
  <si>
    <t>Brazil</t>
  </si>
  <si>
    <t>493541693-9</t>
  </si>
  <si>
    <t>Cestas</t>
  </si>
  <si>
    <t>France</t>
  </si>
  <si>
    <t>964977381-9</t>
  </si>
  <si>
    <t>519780281-2</t>
  </si>
  <si>
    <t>Malicboy</t>
  </si>
  <si>
    <t>Philippines</t>
  </si>
  <si>
    <t>903831492-2</t>
  </si>
  <si>
    <t>Mibu</t>
  </si>
  <si>
    <t>720799848-1</t>
  </si>
  <si>
    <t>Sebadelhe</t>
  </si>
  <si>
    <t>Portugal</t>
  </si>
  <si>
    <t>429154856-7</t>
  </si>
  <si>
    <t>Pyin Oo Lwin</t>
  </si>
  <si>
    <t>Myanmar</t>
  </si>
  <si>
    <t>650270690-8</t>
  </si>
  <si>
    <t>Skellefteå</t>
  </si>
  <si>
    <t>350331746-5</t>
  </si>
  <si>
    <t>Yên Lập</t>
  </si>
  <si>
    <t>Vietnam</t>
  </si>
  <si>
    <t>788224866-5</t>
  </si>
  <si>
    <t>857339669-5</t>
  </si>
  <si>
    <t>982862970-4</t>
  </si>
  <si>
    <t>743209765-8</t>
  </si>
  <si>
    <t>Pasarkolot</t>
  </si>
  <si>
    <t>325769803-8</t>
  </si>
  <si>
    <t>San Esteban</t>
  </si>
  <si>
    <t>Honduras</t>
  </si>
  <si>
    <t>344750834-5</t>
  </si>
  <si>
    <t>474140414-5</t>
  </si>
  <si>
    <t>911780621-6</t>
  </si>
  <si>
    <t>Sacramento</t>
  </si>
  <si>
    <t>750422693-9</t>
  </si>
  <si>
    <t>Hultsfred</t>
  </si>
  <si>
    <t>215417593-7</t>
  </si>
  <si>
    <t>890717299-4</t>
  </si>
  <si>
    <t>San Andrés Xecul</t>
  </si>
  <si>
    <t>Guatemala</t>
  </si>
  <si>
    <t>474797339-7</t>
  </si>
  <si>
    <t>Kobylí</t>
  </si>
  <si>
    <t>Czech Republic</t>
  </si>
  <si>
    <t>Pirassununga</t>
  </si>
  <si>
    <t>542036348-8</t>
  </si>
  <si>
    <t>206487953-6</t>
  </si>
  <si>
    <t>Gugark’</t>
  </si>
  <si>
    <t>Armenia</t>
  </si>
  <si>
    <t>341309623-0</t>
  </si>
  <si>
    <t>740593663-6</t>
  </si>
  <si>
    <t>704433786-4</t>
  </si>
  <si>
    <t>Piteå</t>
  </si>
  <si>
    <t>121639758-9</t>
  </si>
  <si>
    <t>Viana do Alentejo</t>
  </si>
  <si>
    <t>929052170-8</t>
  </si>
  <si>
    <t>Volovets</t>
  </si>
  <si>
    <t>Ukraine</t>
  </si>
  <si>
    <t>296601371-0</t>
  </si>
  <si>
    <t>Asaka</t>
  </si>
  <si>
    <t>403681952-6</t>
  </si>
  <si>
    <t>San Jose</t>
  </si>
  <si>
    <t>169848684-7</t>
  </si>
  <si>
    <t>Kapsabet</t>
  </si>
  <si>
    <t>Kenya</t>
  </si>
  <si>
    <t>Cawayan</t>
  </si>
  <si>
    <t>866819043-1</t>
  </si>
  <si>
    <t>Phatthalung</t>
  </si>
  <si>
    <t>695001717-0</t>
  </si>
  <si>
    <t>Starý Bohumín</t>
  </si>
  <si>
    <t>807008647-5</t>
  </si>
  <si>
    <t>Oral</t>
  </si>
  <si>
    <t>Kazakhstan</t>
  </si>
  <si>
    <t>443008412-2</t>
  </si>
  <si>
    <t>688840876-0</t>
  </si>
  <si>
    <t>Khorlovo</t>
  </si>
  <si>
    <t>530188643-6</t>
  </si>
  <si>
    <t>Bogoroditsk</t>
  </si>
  <si>
    <t>994806908-0</t>
  </si>
  <si>
    <t>Olafulihaa</t>
  </si>
  <si>
    <t>874236753-0</t>
  </si>
  <si>
    <t>Cujillo</t>
  </si>
  <si>
    <t>Peru</t>
  </si>
  <si>
    <t>149886560-7</t>
  </si>
  <si>
    <t>718381818-7</t>
  </si>
  <si>
    <t>Dajasongai</t>
  </si>
  <si>
    <t>755039061-4</t>
  </si>
  <si>
    <t>Banaba</t>
  </si>
  <si>
    <t>974308168-2</t>
  </si>
  <si>
    <t>Pouébo</t>
  </si>
  <si>
    <t>New Caledonia</t>
  </si>
  <si>
    <t>037611012-0</t>
  </si>
  <si>
    <t>Zamoskvorech’ye</t>
  </si>
  <si>
    <t>Fao Rai</t>
  </si>
  <si>
    <t>088620148-9</t>
  </si>
  <si>
    <t>Rizómilos</t>
  </si>
  <si>
    <t>Greece</t>
  </si>
  <si>
    <t>130124720-0</t>
  </si>
  <si>
    <t>484231613-6</t>
  </si>
  <si>
    <t>Irosin</t>
  </si>
  <si>
    <t>290088365-2</t>
  </si>
  <si>
    <t>Binuangan</t>
  </si>
  <si>
    <t>442882057-7</t>
  </si>
  <si>
    <t>Martanesh</t>
  </si>
  <si>
    <t>Albania</t>
  </si>
  <si>
    <t>168291350-3</t>
  </si>
  <si>
    <t>Batanghari</t>
  </si>
  <si>
    <t>155455850-6</t>
  </si>
  <si>
    <t>308848118-5</t>
  </si>
  <si>
    <t>La Unión</t>
  </si>
  <si>
    <t>El Salvador</t>
  </si>
  <si>
    <t>647883489-1</t>
  </si>
  <si>
    <t>Pom Prap Sattru Phai</t>
  </si>
  <si>
    <t>Olinda</t>
  </si>
  <si>
    <t>648158864-2</t>
  </si>
  <si>
    <t>Boleszkowice</t>
  </si>
  <si>
    <t>Poland</t>
  </si>
  <si>
    <t>859432781-1</t>
  </si>
  <si>
    <t>Central</t>
  </si>
  <si>
    <t>Hong Kong</t>
  </si>
  <si>
    <t>992961943-7</t>
  </si>
  <si>
    <t>709147569-0</t>
  </si>
  <si>
    <t>Rancho Nuevo</t>
  </si>
  <si>
    <t>645441168-0</t>
  </si>
  <si>
    <t>Bellavista</t>
  </si>
  <si>
    <t>910873081-4</t>
  </si>
  <si>
    <t>Buganda</t>
  </si>
  <si>
    <t>Burundi</t>
  </si>
  <si>
    <t>763335453-4</t>
  </si>
  <si>
    <t>Matungao</t>
  </si>
  <si>
    <t>312908162-3</t>
  </si>
  <si>
    <t>Hénin-Beaumont</t>
  </si>
  <si>
    <t>387327412-4</t>
  </si>
  <si>
    <t>Velas</t>
  </si>
  <si>
    <t>013338363-6</t>
  </si>
  <si>
    <t>Pejë</t>
  </si>
  <si>
    <t>Kosovo</t>
  </si>
  <si>
    <t>Ébolowa</t>
  </si>
  <si>
    <t>Cameroon</t>
  </si>
  <si>
    <t>057755278-3</t>
  </si>
  <si>
    <t>Mina Clavero</t>
  </si>
  <si>
    <t>Argentina</t>
  </si>
  <si>
    <t>273873570-3</t>
  </si>
  <si>
    <t>Razgrad</t>
  </si>
  <si>
    <t>Bulgaria</t>
  </si>
  <si>
    <t>732239250-7</t>
  </si>
  <si>
    <t>Sundbyberg</t>
  </si>
  <si>
    <t>988547426-9</t>
  </si>
  <si>
    <t>724828157-3</t>
  </si>
  <si>
    <t>Cerrillos</t>
  </si>
  <si>
    <t>085340448-8</t>
  </si>
  <si>
    <t>Garies</t>
  </si>
  <si>
    <t>South Africa</t>
  </si>
  <si>
    <t>573029189-2</t>
  </si>
  <si>
    <t>Norton</t>
  </si>
  <si>
    <t>United Kingdom</t>
  </si>
  <si>
    <t>848220247-2</t>
  </si>
  <si>
    <t>892832258-8</t>
  </si>
  <si>
    <t>Devnya</t>
  </si>
  <si>
    <t>268080699-9</t>
  </si>
  <si>
    <t>Höganäs</t>
  </si>
  <si>
    <t>089587411-3</t>
  </si>
  <si>
    <t>Welisara</t>
  </si>
  <si>
    <t>Sri Lanka</t>
  </si>
  <si>
    <t>719530442-6</t>
  </si>
  <si>
    <t>Şuraabad</t>
  </si>
  <si>
    <t>Azerbaijan</t>
  </si>
  <si>
    <t>042103208-1</t>
  </si>
  <si>
    <t>Paungde</t>
  </si>
  <si>
    <t>378331356-2</t>
  </si>
  <si>
    <t>Bettendorf</t>
  </si>
  <si>
    <t>Luxembourg</t>
  </si>
  <si>
    <t>704100091-5</t>
  </si>
  <si>
    <t>Piru</t>
  </si>
  <si>
    <t>Porto Seguro</t>
  </si>
  <si>
    <t>Montalvão</t>
  </si>
  <si>
    <t>104344316-9</t>
  </si>
  <si>
    <t>Novhorodka</t>
  </si>
  <si>
    <t>611100918-4</t>
  </si>
  <si>
    <t>Susiec</t>
  </si>
  <si>
    <t>869694413-5</t>
  </si>
  <si>
    <t>Chapadinha</t>
  </si>
  <si>
    <t>736543492-9</t>
  </si>
  <si>
    <t>Pępowo</t>
  </si>
  <si>
    <t>189609763-4</t>
  </si>
  <si>
    <t>Guaxupé</t>
  </si>
  <si>
    <t>413157096-3</t>
  </si>
  <si>
    <t>Tanggung</t>
  </si>
  <si>
    <t>Elx/Elche</t>
  </si>
  <si>
    <t>Spain</t>
  </si>
  <si>
    <t>014561957-5</t>
  </si>
  <si>
    <t>Ouanaminthe</t>
  </si>
  <si>
    <t>Haiti</t>
  </si>
  <si>
    <t>519491796-1</t>
  </si>
  <si>
    <t>231318467-6</t>
  </si>
  <si>
    <t>Chervonohryhorivka</t>
  </si>
  <si>
    <t>714555409-7</t>
  </si>
  <si>
    <t>Bulawayo</t>
  </si>
  <si>
    <t>Zimbabwe</t>
  </si>
  <si>
    <t>014895410-3</t>
  </si>
  <si>
    <t>San Jerónimo</t>
  </si>
  <si>
    <t>048382520-4</t>
  </si>
  <si>
    <t>273474110-5</t>
  </si>
  <si>
    <t>Santa Ana</t>
  </si>
  <si>
    <t>351344387-0</t>
  </si>
  <si>
    <t>Houston</t>
  </si>
  <si>
    <t>United States</t>
  </si>
  <si>
    <t>197720710-3</t>
  </si>
  <si>
    <t>Buguruslan</t>
  </si>
  <si>
    <t>756569415-0</t>
  </si>
  <si>
    <t>As Suwaydā</t>
  </si>
  <si>
    <t>Yemen</t>
  </si>
  <si>
    <t>490533675-9</t>
  </si>
  <si>
    <t>Soure</t>
  </si>
  <si>
    <t>Tempel</t>
  </si>
  <si>
    <t>387793375-0</t>
  </si>
  <si>
    <t>Poli</t>
  </si>
  <si>
    <t>977401816-8</t>
  </si>
  <si>
    <t>Piedras</t>
  </si>
  <si>
    <t>Colombia</t>
  </si>
  <si>
    <t>820850118-2</t>
  </si>
  <si>
    <t>716559174-5</t>
  </si>
  <si>
    <t>Kinnegad</t>
  </si>
  <si>
    <t>Ireland</t>
  </si>
  <si>
    <t>242402479-0</t>
  </si>
  <si>
    <t>Los Angeles</t>
  </si>
  <si>
    <t>216270235-5</t>
  </si>
  <si>
    <t>Takarazuka</t>
  </si>
  <si>
    <t>852157509-2</t>
  </si>
  <si>
    <t>Wattegama</t>
  </si>
  <si>
    <t>283919558-5</t>
  </si>
  <si>
    <t>Kawengan</t>
  </si>
  <si>
    <t>585497045-7</t>
  </si>
  <si>
    <t>Magok</t>
  </si>
  <si>
    <t>750718843-4</t>
  </si>
  <si>
    <t>Mirocin</t>
  </si>
  <si>
    <t>732305904-6</t>
  </si>
  <si>
    <t>Pekuncen</t>
  </si>
  <si>
    <t>285912301-6</t>
  </si>
  <si>
    <t>900522866-0</t>
  </si>
  <si>
    <t>Ithari</t>
  </si>
  <si>
    <t>Nepal</t>
  </si>
  <si>
    <t>265279453-1</t>
  </si>
  <si>
    <t>Chinú</t>
  </si>
  <si>
    <t>011069427-9</t>
  </si>
  <si>
    <t>Lazurne</t>
  </si>
  <si>
    <t>523093058-6</t>
  </si>
  <si>
    <t>248433590-3</t>
  </si>
  <si>
    <t>Borås</t>
  </si>
  <si>
    <t>537398237-7</t>
  </si>
  <si>
    <t>046318749-0</t>
  </si>
  <si>
    <t>Kallithéa</t>
  </si>
  <si>
    <t>942526535-6</t>
  </si>
  <si>
    <t>Radzyń Chełmiński</t>
  </si>
  <si>
    <t>642384456-9</t>
  </si>
  <si>
    <t>Bundoc</t>
  </si>
  <si>
    <t>070683128-4</t>
  </si>
  <si>
    <t>Gemblengmulyo</t>
  </si>
  <si>
    <t>164787824-1</t>
  </si>
  <si>
    <t>232092749-2</t>
  </si>
  <si>
    <t>Al Munīrah</t>
  </si>
  <si>
    <t>448335962-2</t>
  </si>
  <si>
    <t>498903910-6</t>
  </si>
  <si>
    <t>São Pedro</t>
  </si>
  <si>
    <t>432528840-6</t>
  </si>
  <si>
    <t>Oebaki</t>
  </si>
  <si>
    <t>200590630-1</t>
  </si>
  <si>
    <t>El Paraíso</t>
  </si>
  <si>
    <t>936480804-5</t>
  </si>
  <si>
    <t>Detroit</t>
  </si>
  <si>
    <t>598510250-5</t>
  </si>
  <si>
    <t>Rosthern</t>
  </si>
  <si>
    <t>637436650-6</t>
  </si>
  <si>
    <t>New York City</t>
  </si>
  <si>
    <t>Kuantan</t>
  </si>
  <si>
    <t>Malaysia</t>
  </si>
  <si>
    <t>707930208-0</t>
  </si>
  <si>
    <t>397041841-0</t>
  </si>
  <si>
    <t>Aramecina</t>
  </si>
  <si>
    <t>499762329-6</t>
  </si>
  <si>
    <t>995775794-6</t>
  </si>
  <si>
    <t>942448927-7</t>
  </si>
  <si>
    <t>Fifi</t>
  </si>
  <si>
    <t>Morocco</t>
  </si>
  <si>
    <t>861232359-2</t>
  </si>
  <si>
    <t>168507385-9</t>
  </si>
  <si>
    <t>Mompós</t>
  </si>
  <si>
    <t>659294092-1</t>
  </si>
  <si>
    <t>Dassun</t>
  </si>
  <si>
    <t>355126319-1</t>
  </si>
  <si>
    <t>Betzdorf</t>
  </si>
  <si>
    <t>090377878-5</t>
  </si>
  <si>
    <t>Marília</t>
  </si>
  <si>
    <t>323088396-9</t>
  </si>
  <si>
    <t>Ladário</t>
  </si>
  <si>
    <t>636995579-5</t>
  </si>
  <si>
    <t>Az Zawr</t>
  </si>
  <si>
    <t>Kuwait</t>
  </si>
  <si>
    <t>908024488-0</t>
  </si>
  <si>
    <t>Lons-le-Saunier</t>
  </si>
  <si>
    <t>Baumata</t>
  </si>
  <si>
    <t>749273296-1</t>
  </si>
  <si>
    <t>Bechyně</t>
  </si>
  <si>
    <t>376510858-8</t>
  </si>
  <si>
    <t>057181274-0</t>
  </si>
  <si>
    <t>Manat</t>
  </si>
  <si>
    <t>355138753-2</t>
  </si>
  <si>
    <t>Kukurečani</t>
  </si>
  <si>
    <t>Macedonia</t>
  </si>
  <si>
    <t>974632223-0</t>
  </si>
  <si>
    <t>Marcala</t>
  </si>
  <si>
    <t>856814447-0</t>
  </si>
  <si>
    <t>Daşoguz</t>
  </si>
  <si>
    <t>Turkmenistan</t>
  </si>
  <si>
    <t>627247725-2</t>
  </si>
  <si>
    <t>Haninge</t>
  </si>
  <si>
    <t>110773874-1</t>
  </si>
  <si>
    <t>Tanamiting</t>
  </si>
  <si>
    <t>932198841-6</t>
  </si>
  <si>
    <t>Sintung Timur</t>
  </si>
  <si>
    <t>805081850-0</t>
  </si>
  <si>
    <t>Sérifos</t>
  </si>
  <si>
    <t>261832041-7</t>
  </si>
  <si>
    <t>Oratorio</t>
  </si>
  <si>
    <t>840031757-2</t>
  </si>
  <si>
    <t>Krasnoye</t>
  </si>
  <si>
    <t>806387699-7</t>
  </si>
  <si>
    <t>544033755-5</t>
  </si>
  <si>
    <t>Llauta</t>
  </si>
  <si>
    <t>Butterworth</t>
  </si>
  <si>
    <t>268810979-0</t>
  </si>
  <si>
    <t>Taveiro</t>
  </si>
  <si>
    <t>301629198-3</t>
  </si>
  <si>
    <t>Valencia</t>
  </si>
  <si>
    <t>Venezuela</t>
  </si>
  <si>
    <t>682351491-4</t>
  </si>
  <si>
    <t>604992971-8</t>
  </si>
  <si>
    <t>Granica</t>
  </si>
  <si>
    <t>856001884-0</t>
  </si>
  <si>
    <t>Puyung</t>
  </si>
  <si>
    <t>218456537-7</t>
  </si>
  <si>
    <t>712678419-8</t>
  </si>
  <si>
    <t>Vichuga</t>
  </si>
  <si>
    <t>201420633-3</t>
  </si>
  <si>
    <t>Gadang</t>
  </si>
  <si>
    <t>392641207-0</t>
  </si>
  <si>
    <t>Mizoch</t>
  </si>
  <si>
    <t>758002910-3</t>
  </si>
  <si>
    <t>Bagroy</t>
  </si>
  <si>
    <t>874657384-4</t>
  </si>
  <si>
    <t>Hamilton</t>
  </si>
  <si>
    <t>Veldhoven</t>
  </si>
  <si>
    <t>Netherlands</t>
  </si>
  <si>
    <t>480845430-0</t>
  </si>
  <si>
    <t>Paris 19</t>
  </si>
  <si>
    <t>890877574-9</t>
  </si>
  <si>
    <t>San Miguel</t>
  </si>
  <si>
    <t>596020099-6</t>
  </si>
  <si>
    <t>523872139-0</t>
  </si>
  <si>
    <t>La Estancia</t>
  </si>
  <si>
    <t>822274792-4</t>
  </si>
  <si>
    <t>Hang Dong</t>
  </si>
  <si>
    <t>907768261-9</t>
  </si>
  <si>
    <t>Dawuhan</t>
  </si>
  <si>
    <t>103758673-5</t>
  </si>
  <si>
    <t>Znamenskoye</t>
  </si>
  <si>
    <t>Lelekovice</t>
  </si>
  <si>
    <t>905664025-9</t>
  </si>
  <si>
    <t>An Lão</t>
  </si>
  <si>
    <t>261343409-0</t>
  </si>
  <si>
    <t>Pontevedra</t>
  </si>
  <si>
    <t>Fengshan</t>
  </si>
  <si>
    <t>Taiwan</t>
  </si>
  <si>
    <t>941727137-7</t>
  </si>
  <si>
    <t>Ouahigouya</t>
  </si>
  <si>
    <t>Burkina Faso</t>
  </si>
  <si>
    <t>477365194-6</t>
  </si>
  <si>
    <t>Natitingou</t>
  </si>
  <si>
    <t>Benin</t>
  </si>
  <si>
    <t>666985148-0</t>
  </si>
  <si>
    <t>Lukunor</t>
  </si>
  <si>
    <t>Micronesia</t>
  </si>
  <si>
    <t>373942109-6</t>
  </si>
  <si>
    <t>Kalilangan</t>
  </si>
  <si>
    <t>710858633-9</t>
  </si>
  <si>
    <t>Ríohacha</t>
  </si>
  <si>
    <t>661671981-2</t>
  </si>
  <si>
    <t>Al Ḩāḑir</t>
  </si>
  <si>
    <t>Syria</t>
  </si>
  <si>
    <t>069417065-8</t>
  </si>
  <si>
    <t>272407686-9</t>
  </si>
  <si>
    <t>Grande Cache</t>
  </si>
  <si>
    <t>497476238-9</t>
  </si>
  <si>
    <t>766398839-6</t>
  </si>
  <si>
    <t>Teluk Pinang</t>
  </si>
  <si>
    <t>585221818-9</t>
  </si>
  <si>
    <t>Totoral</t>
  </si>
  <si>
    <t>936499517-1</t>
  </si>
  <si>
    <t>Banjar Danginsema</t>
  </si>
  <si>
    <t>514653577-9</t>
  </si>
  <si>
    <t>Chiquinquirá</t>
  </si>
  <si>
    <t>376586405-6</t>
  </si>
  <si>
    <t>Gandekan</t>
  </si>
  <si>
    <t>635628673-3</t>
  </si>
  <si>
    <t>Jarash</t>
  </si>
  <si>
    <t>Jordan</t>
  </si>
  <si>
    <t>225558678-9</t>
  </si>
  <si>
    <t>Bobigny</t>
  </si>
  <si>
    <t>603033202-3</t>
  </si>
  <si>
    <t>304618230-9</t>
  </si>
  <si>
    <t>804385289-8</t>
  </si>
  <si>
    <t>032578294-6</t>
  </si>
  <si>
    <t>Huaquirca</t>
  </si>
  <si>
    <t>582094532-8</t>
  </si>
  <si>
    <t>Caleufú</t>
  </si>
  <si>
    <t>Samut Sakhon</t>
  </si>
  <si>
    <t>398218615-3</t>
  </si>
  <si>
    <t>Kalino</t>
  </si>
  <si>
    <t>479893160-8</t>
  </si>
  <si>
    <t>Astara</t>
  </si>
  <si>
    <t>Tsushima</t>
  </si>
  <si>
    <t>419384979-1</t>
  </si>
  <si>
    <t>San Isidro</t>
  </si>
  <si>
    <t>681996221-5</t>
  </si>
  <si>
    <t>Rzeszów</t>
  </si>
  <si>
    <t>399604005-9</t>
  </si>
  <si>
    <t>Tanahwulan</t>
  </si>
  <si>
    <t>632033096-1</t>
  </si>
  <si>
    <t>Fujinomiya</t>
  </si>
  <si>
    <t>530263928-9</t>
  </si>
  <si>
    <t>Sūq Sibāḩ</t>
  </si>
  <si>
    <t>233686282-4</t>
  </si>
  <si>
    <t>Sukacai Tengah</t>
  </si>
  <si>
    <t>297843391-4</t>
  </si>
  <si>
    <t>Kampungraja</t>
  </si>
  <si>
    <t>Arras</t>
  </si>
  <si>
    <t>953268718-1</t>
  </si>
  <si>
    <t>861713918-8</t>
  </si>
  <si>
    <t>Nouâdhibou</t>
  </si>
  <si>
    <t>Mauritania</t>
  </si>
  <si>
    <t>647757394-6</t>
  </si>
  <si>
    <t>012612121-4</t>
  </si>
  <si>
    <t>Sipocot</t>
  </si>
  <si>
    <t>970931866-7</t>
  </si>
  <si>
    <t>San Vicente</t>
  </si>
  <si>
    <t>622974793-6</t>
  </si>
  <si>
    <t>Megulung</t>
  </si>
  <si>
    <t>294855646-5</t>
  </si>
  <si>
    <t>313614848-7</t>
  </si>
  <si>
    <t>194169689-9</t>
  </si>
  <si>
    <t>Thompson</t>
  </si>
  <si>
    <t>624684148-1</t>
  </si>
  <si>
    <t>168234741-9</t>
  </si>
  <si>
    <t>Tafo</t>
  </si>
  <si>
    <t>Ghana</t>
  </si>
  <si>
    <t>260712772-6</t>
  </si>
  <si>
    <t>Terang</t>
  </si>
  <si>
    <t>045860534-4</t>
  </si>
  <si>
    <t>Sendangagung</t>
  </si>
  <si>
    <t>354819013-8</t>
  </si>
  <si>
    <t>Lipinki Łużyckie</t>
  </si>
  <si>
    <t>928885860-1</t>
  </si>
  <si>
    <t>270836361-1</t>
  </si>
  <si>
    <t>Tyczyn</t>
  </si>
  <si>
    <t>229938607-6</t>
  </si>
  <si>
    <t>Middleton</t>
  </si>
  <si>
    <t>197962730-4</t>
  </si>
  <si>
    <t>Mandala</t>
  </si>
  <si>
    <t>483008695-5</t>
  </si>
  <si>
    <t>Piraquara</t>
  </si>
  <si>
    <t>446649305-7</t>
  </si>
  <si>
    <t>377921034-7</t>
  </si>
  <si>
    <t>Guarenas</t>
  </si>
  <si>
    <t>704875346-3</t>
  </si>
  <si>
    <t>Bau</t>
  </si>
  <si>
    <t>675622340-2</t>
  </si>
  <si>
    <t>Caieiras</t>
  </si>
  <si>
    <t>065389432-5</t>
  </si>
  <si>
    <t>Jepuro</t>
  </si>
  <si>
    <t>209769404-7</t>
  </si>
  <si>
    <t>Thị Trấn Việt Quang</t>
  </si>
  <si>
    <t>883424182-7</t>
  </si>
  <si>
    <t>Phú Túc</t>
  </si>
  <si>
    <t>247238210-3</t>
  </si>
  <si>
    <t>Laiponda</t>
  </si>
  <si>
    <t>699785338-2</t>
  </si>
  <si>
    <t>316672031-6</t>
  </si>
  <si>
    <t>Aguilares</t>
  </si>
  <si>
    <t>387348437-4</t>
  </si>
  <si>
    <t>São Francisco do Conde</t>
  </si>
  <si>
    <t>446980273-5</t>
  </si>
  <si>
    <t>784801680-3</t>
  </si>
  <si>
    <t>763881743-5</t>
  </si>
  <si>
    <t>Buaran</t>
  </si>
  <si>
    <t>929865932-6</t>
  </si>
  <si>
    <t>Caper</t>
  </si>
  <si>
    <t>528822820-5</t>
  </si>
  <si>
    <t>Si Narong</t>
  </si>
  <si>
    <t>790670733-8</t>
  </si>
  <si>
    <t>Zavolzh’ye</t>
  </si>
  <si>
    <t>283976277-3</t>
  </si>
  <si>
    <t>Fray Luis A. Beltrán</t>
  </si>
  <si>
    <t>005022380-1</t>
  </si>
  <si>
    <t>863196494-8</t>
  </si>
  <si>
    <t>Fos-sur-Mer</t>
  </si>
  <si>
    <t>927671076-0</t>
  </si>
  <si>
    <t>Natal</t>
  </si>
  <si>
    <t>573431717-9</t>
  </si>
  <si>
    <t>844258518-4</t>
  </si>
  <si>
    <t>Koronganayam</t>
  </si>
  <si>
    <t>120271022-0</t>
  </si>
  <si>
    <t>Wringinputih</t>
  </si>
  <si>
    <t>731586555-1</t>
  </si>
  <si>
    <t>742243162-8</t>
  </si>
  <si>
    <t>Colombo</t>
  </si>
  <si>
    <t>669574500-5</t>
  </si>
  <si>
    <t>Titay</t>
  </si>
  <si>
    <t>794277289-6</t>
  </si>
  <si>
    <t>Kebon Tengah</t>
  </si>
  <si>
    <t>521776934-3</t>
  </si>
  <si>
    <t>Talun</t>
  </si>
  <si>
    <t>614109741-3</t>
  </si>
  <si>
    <t>Vinhas</t>
  </si>
  <si>
    <t>020702763-3</t>
  </si>
  <si>
    <t>189057299-3</t>
  </si>
  <si>
    <t>Łapczyca</t>
  </si>
  <si>
    <t>879288866-6</t>
  </si>
  <si>
    <t>Głuchów</t>
  </si>
  <si>
    <t>495590960-4</t>
  </si>
  <si>
    <t>831836864-9</t>
  </si>
  <si>
    <t>Raposeira</t>
  </si>
  <si>
    <t>979323722-8</t>
  </si>
  <si>
    <t>Saint-Étienne</t>
  </si>
  <si>
    <t>345627897-7</t>
  </si>
  <si>
    <t>Cervantes</t>
  </si>
  <si>
    <t>Deauville</t>
  </si>
  <si>
    <t>898454118-4</t>
  </si>
  <si>
    <t>Złota</t>
  </si>
  <si>
    <t>054294274-7</t>
  </si>
  <si>
    <t>116527204-0</t>
  </si>
  <si>
    <t>Arroteia</t>
  </si>
  <si>
    <t>507702464-2</t>
  </si>
  <si>
    <t>Riangkroko</t>
  </si>
  <si>
    <t>499353302-0</t>
  </si>
  <si>
    <t>Morelos</t>
  </si>
  <si>
    <t>992577858-1</t>
  </si>
  <si>
    <t>La Gloria</t>
  </si>
  <si>
    <t>Tyazhinskiy</t>
  </si>
  <si>
    <t>245952283-5</t>
  </si>
  <si>
    <t>Chipoka</t>
  </si>
  <si>
    <t>Malawi</t>
  </si>
  <si>
    <t>208852698-6</t>
  </si>
  <si>
    <t>955203606-2</t>
  </si>
  <si>
    <t>Nigel</t>
  </si>
  <si>
    <t>205957604-0</t>
  </si>
  <si>
    <t>Karlstad</t>
  </si>
  <si>
    <t>240712103-1</t>
  </si>
  <si>
    <t>Karabudakhkent</t>
  </si>
  <si>
    <t>467139231-3</t>
  </si>
  <si>
    <t>398771528-6</t>
  </si>
  <si>
    <t>298377607-7</t>
  </si>
  <si>
    <t>Beška</t>
  </si>
  <si>
    <t>Serbia</t>
  </si>
  <si>
    <t>940304474-8</t>
  </si>
  <si>
    <t>597795504-9</t>
  </si>
  <si>
    <t>345743741-6</t>
  </si>
  <si>
    <t>Banzão</t>
  </si>
  <si>
    <t>661031541-8</t>
  </si>
  <si>
    <t>Nueva Ocotepeque</t>
  </si>
  <si>
    <t>176259970-8</t>
  </si>
  <si>
    <t>Racławice</t>
  </si>
  <si>
    <t>805352475-3</t>
  </si>
  <si>
    <t>444920703-3</t>
  </si>
  <si>
    <t>Manicahan</t>
  </si>
  <si>
    <t>498871240-0</t>
  </si>
  <si>
    <t>Reims</t>
  </si>
  <si>
    <t>339607654-0</t>
  </si>
  <si>
    <t>Kristianstad</t>
  </si>
  <si>
    <t>746021288-1</t>
  </si>
  <si>
    <t>Pelotas</t>
  </si>
  <si>
    <t>224332942-5</t>
  </si>
  <si>
    <t>Gajiram</t>
  </si>
  <si>
    <t>208793979-9</t>
  </si>
  <si>
    <t>Dar Chabanne</t>
  </si>
  <si>
    <t>Tunisia</t>
  </si>
  <si>
    <t>000581617-3</t>
  </si>
  <si>
    <t>Sayḩūt</t>
  </si>
  <si>
    <t>646377277-1</t>
  </si>
  <si>
    <t>Casal Galego</t>
  </si>
  <si>
    <t>654805954-9</t>
  </si>
  <si>
    <t>Linköping</t>
  </si>
  <si>
    <t>Tõrva</t>
  </si>
  <si>
    <t>Estonia</t>
  </si>
  <si>
    <t>122165718-6</t>
  </si>
  <si>
    <t>Okegawa</t>
  </si>
  <si>
    <t>698554227-1</t>
  </si>
  <si>
    <t>Asmara</t>
  </si>
  <si>
    <t>Eritrea</t>
  </si>
  <si>
    <t>619478485-7</t>
  </si>
  <si>
    <t>San Matías</t>
  </si>
  <si>
    <t>626138346-4</t>
  </si>
  <si>
    <t>Colquechaca</t>
  </si>
  <si>
    <t>Montenegro</t>
  </si>
  <si>
    <t>276044751-0</t>
  </si>
  <si>
    <t>Moret-sur-Loing</t>
  </si>
  <si>
    <t>382189502-0</t>
  </si>
  <si>
    <t>Batawa</t>
  </si>
  <si>
    <t>837532419-1</t>
  </si>
  <si>
    <t>431297729-1</t>
  </si>
  <si>
    <t>Krzynowłoga Mała</t>
  </si>
  <si>
    <t>203156132-4</t>
  </si>
  <si>
    <t>Valky</t>
  </si>
  <si>
    <t>634767398-3</t>
  </si>
  <si>
    <t>Putrajaya</t>
  </si>
  <si>
    <t>225754335-1</t>
  </si>
  <si>
    <t>Wang Yang</t>
  </si>
  <si>
    <t>901844188-0</t>
  </si>
  <si>
    <t>055029439-2</t>
  </si>
  <si>
    <t>South Bend</t>
  </si>
  <si>
    <t>854666317-3</t>
  </si>
  <si>
    <t>Cabog</t>
  </si>
  <si>
    <t>020190894-8</t>
  </si>
  <si>
    <t>Itaúna</t>
  </si>
  <si>
    <t>306946135-2</t>
  </si>
  <si>
    <t>625540036-0</t>
  </si>
  <si>
    <t>Baganga</t>
  </si>
  <si>
    <t>989986391-2</t>
  </si>
  <si>
    <t>Vilufushi</t>
  </si>
  <si>
    <t>Maldives</t>
  </si>
  <si>
    <t>548251562-1</t>
  </si>
  <si>
    <t>Machov</t>
  </si>
  <si>
    <t>Kalahang</t>
  </si>
  <si>
    <t>080551509-7</t>
  </si>
  <si>
    <t>183362434-3</t>
  </si>
  <si>
    <t>029637387-7</t>
  </si>
  <si>
    <t>Makarov</t>
  </si>
  <si>
    <t>291157381-1</t>
  </si>
  <si>
    <t>Lubniewice</t>
  </si>
  <si>
    <t>239625001-9</t>
  </si>
  <si>
    <t>050319989-3</t>
  </si>
  <si>
    <t>Tiberias</t>
  </si>
  <si>
    <t>Israel</t>
  </si>
  <si>
    <t>La Tebaida</t>
  </si>
  <si>
    <t>318041677-7</t>
  </si>
  <si>
    <t>Joypur Hāt</t>
  </si>
  <si>
    <t>Bangladesh</t>
  </si>
  <si>
    <t>620930257-2</t>
  </si>
  <si>
    <t>Pervomayskaya</t>
  </si>
  <si>
    <t>776421105-2</t>
  </si>
  <si>
    <t>Yaroslavskaya</t>
  </si>
  <si>
    <t>535254424-9</t>
  </si>
  <si>
    <t>Uberaba</t>
  </si>
  <si>
    <t>316936401-4</t>
  </si>
  <si>
    <t>Junín</t>
  </si>
  <si>
    <t>094525545-4</t>
  </si>
  <si>
    <t>035975562-3</t>
  </si>
  <si>
    <t>Cincinnati</t>
  </si>
  <si>
    <t>174233208-0</t>
  </si>
  <si>
    <t>Marianowo</t>
  </si>
  <si>
    <t>924976164-3</t>
  </si>
  <si>
    <t>Modis</t>
  </si>
  <si>
    <t>972872078-5</t>
  </si>
  <si>
    <t>Akademija (Kaunas)</t>
  </si>
  <si>
    <t>Lithuania</t>
  </si>
  <si>
    <t>374272823-7</t>
  </si>
  <si>
    <t>790554048-0</t>
  </si>
  <si>
    <t>Botao</t>
  </si>
  <si>
    <t>836689327-8</t>
  </si>
  <si>
    <t>Vydreno</t>
  </si>
  <si>
    <t>970294674-3</t>
  </si>
  <si>
    <t>Islamey</t>
  </si>
  <si>
    <t>939480277-0</t>
  </si>
  <si>
    <t>Ostružnica</t>
  </si>
  <si>
    <t>114737519-4</t>
  </si>
  <si>
    <t>002604060-3</t>
  </si>
  <si>
    <t>København</t>
  </si>
  <si>
    <t>Denmark</t>
  </si>
  <si>
    <t>562765439-2</t>
  </si>
  <si>
    <t>Tomohon</t>
  </si>
  <si>
    <t>183611280-7</t>
  </si>
  <si>
    <t>Herálec</t>
  </si>
  <si>
    <t>074266956-4</t>
  </si>
  <si>
    <t>730072039-0</t>
  </si>
  <si>
    <t>Bansko</t>
  </si>
  <si>
    <t>537117244-0</t>
  </si>
  <si>
    <t>180441810-2</t>
  </si>
  <si>
    <t>Sara Kunda</t>
  </si>
  <si>
    <t>Gambia</t>
  </si>
  <si>
    <t>131268290-6</t>
  </si>
  <si>
    <t>Rabah</t>
  </si>
  <si>
    <t>153079989-9</t>
  </si>
  <si>
    <t>Cigintung</t>
  </si>
  <si>
    <t>325209217-4</t>
  </si>
  <si>
    <t>Nglengkong</t>
  </si>
  <si>
    <t>001428724-2</t>
  </si>
  <si>
    <t>Mosquera</t>
  </si>
  <si>
    <t>572651435-1</t>
  </si>
  <si>
    <t>Arbaoua</t>
  </si>
  <si>
    <t>080603656-7</t>
  </si>
  <si>
    <t>Wiesbaden</t>
  </si>
  <si>
    <t>Germany</t>
  </si>
  <si>
    <t>151910251-8</t>
  </si>
  <si>
    <t>Florencia</t>
  </si>
  <si>
    <t>999497347-9</t>
  </si>
  <si>
    <t>Cieurih Satu</t>
  </si>
  <si>
    <t>207003997-8</t>
  </si>
  <si>
    <t>Las Animas</t>
  </si>
  <si>
    <t>907573718-1</t>
  </si>
  <si>
    <t>Thị Trấn Kim Tân</t>
  </si>
  <si>
    <t>532264205-6</t>
  </si>
  <si>
    <t>Dinan</t>
  </si>
  <si>
    <t>192137588-4</t>
  </si>
  <si>
    <t>546478706-2</t>
  </si>
  <si>
    <t>Barabedang</t>
  </si>
  <si>
    <t>Bambas</t>
  </si>
  <si>
    <t>Gagarin</t>
  </si>
  <si>
    <t>427017907-4</t>
  </si>
  <si>
    <t>Yonago</t>
  </si>
  <si>
    <t>Nidek</t>
  </si>
  <si>
    <t>819630437-4</t>
  </si>
  <si>
    <t>Barroco</t>
  </si>
  <si>
    <t>836049788-5</t>
  </si>
  <si>
    <t>803899792-1</t>
  </si>
  <si>
    <t>011389689-1</t>
  </si>
  <si>
    <t>Vårgårda</t>
  </si>
  <si>
    <t>595639815-9</t>
  </si>
  <si>
    <t>Mariscala</t>
  </si>
  <si>
    <t>Uruguay</t>
  </si>
  <si>
    <t>Dallas</t>
  </si>
  <si>
    <t>Támara</t>
  </si>
  <si>
    <t>687019753-9</t>
  </si>
  <si>
    <t>Rappang</t>
  </si>
  <si>
    <t>559280789-9</t>
  </si>
  <si>
    <t>Mashtūl as Sūq</t>
  </si>
  <si>
    <t>Egypt</t>
  </si>
  <si>
    <t>086206519-4</t>
  </si>
  <si>
    <t>202434336-8</t>
  </si>
  <si>
    <t>Bemposta</t>
  </si>
  <si>
    <t>Sibiti</t>
  </si>
  <si>
    <t>Republic of the Congo</t>
  </si>
  <si>
    <t>La Libertad</t>
  </si>
  <si>
    <t>Nicaragua</t>
  </si>
  <si>
    <t>637197755-5</t>
  </si>
  <si>
    <t>850468647-7</t>
  </si>
  <si>
    <t>Mocho</t>
  </si>
  <si>
    <t>Jamaica</t>
  </si>
  <si>
    <t>819298231-9</t>
  </si>
  <si>
    <t>Волочаевское</t>
  </si>
  <si>
    <t>753984149-4</t>
  </si>
  <si>
    <t>676524589-8</t>
  </si>
  <si>
    <t>955442341-1</t>
  </si>
  <si>
    <t>Capacho Viejo</t>
  </si>
  <si>
    <t>014222316-6</t>
  </si>
  <si>
    <t>Urazovka</t>
  </si>
  <si>
    <t>587036672-0</t>
  </si>
  <si>
    <t>Sīdī Sālim</t>
  </si>
  <si>
    <t>486750117-4</t>
  </si>
  <si>
    <t>875158151-5</t>
  </si>
  <si>
    <t>Paripiranga</t>
  </si>
  <si>
    <t>828651021-6</t>
  </si>
  <si>
    <t>Niedrzwica Duża</t>
  </si>
  <si>
    <t>093205832-9</t>
  </si>
  <si>
    <t>899118878-8</t>
  </si>
  <si>
    <t>552783513-1</t>
  </si>
  <si>
    <t>Sidi Bouzid</t>
  </si>
  <si>
    <t>885969775-1</t>
  </si>
  <si>
    <t>Platičevo</t>
  </si>
  <si>
    <t>Falënki</t>
  </si>
  <si>
    <t>332274374-8</t>
  </si>
  <si>
    <t>Rego</t>
  </si>
  <si>
    <t>760299116-8</t>
  </si>
  <si>
    <t>Sacanta</t>
  </si>
  <si>
    <t>721825516-7</t>
  </si>
  <si>
    <t>Albuquerque</t>
  </si>
  <si>
    <t>975304620-0</t>
  </si>
  <si>
    <t>145475711-6</t>
  </si>
  <si>
    <t>Syców</t>
  </si>
  <si>
    <t>Progreso</t>
  </si>
  <si>
    <t>694450074-4</t>
  </si>
  <si>
    <t>Divisoria</t>
  </si>
  <si>
    <t>Frankfort</t>
  </si>
  <si>
    <t>005950193-6</t>
  </si>
  <si>
    <t>Port Glaud</t>
  </si>
  <si>
    <t>Seychelles</t>
  </si>
  <si>
    <t>069788444-9</t>
  </si>
  <si>
    <t>Isulan</t>
  </si>
  <si>
    <t>857984399-5</t>
  </si>
  <si>
    <t>Sovetskiy</t>
  </si>
  <si>
    <t>Villa Nueva</t>
  </si>
  <si>
    <t>105602494-1</t>
  </si>
  <si>
    <t>Semënovskoye</t>
  </si>
  <si>
    <t>088134200-9</t>
  </si>
  <si>
    <t>Sumberkertokrajan</t>
  </si>
  <si>
    <t>414749326-2</t>
  </si>
  <si>
    <t>734726252-6</t>
  </si>
  <si>
    <t>Ortiga</t>
  </si>
  <si>
    <t>Monte de Fralães</t>
  </si>
  <si>
    <t>543186916-7</t>
  </si>
  <si>
    <t>Al Lubban al Gharbī</t>
  </si>
  <si>
    <t>Palestinian Territory</t>
  </si>
  <si>
    <t>090950736-8</t>
  </si>
  <si>
    <t>Lubenec</t>
  </si>
  <si>
    <t>351036002-8</t>
  </si>
  <si>
    <t>Ruše</t>
  </si>
  <si>
    <t>Slovenia</t>
  </si>
  <si>
    <t>715726998-8</t>
  </si>
  <si>
    <t>Johor Bahru</t>
  </si>
  <si>
    <t>886738592-5</t>
  </si>
  <si>
    <t>Colonia Wanda</t>
  </si>
  <si>
    <t>501272647-2</t>
  </si>
  <si>
    <t>Cabanas de Viriato</t>
  </si>
  <si>
    <t>496155029-9</t>
  </si>
  <si>
    <t>Göteborg</t>
  </si>
  <si>
    <t>540621162-5</t>
  </si>
  <si>
    <t>Nagornyy</t>
  </si>
  <si>
    <t>836554443-1</t>
  </si>
  <si>
    <t>Notsé</t>
  </si>
  <si>
    <t>Togo</t>
  </si>
  <si>
    <t>Aegela</t>
  </si>
  <si>
    <t>739556935-0</t>
  </si>
  <si>
    <t>Wongaya Kaja</t>
  </si>
  <si>
    <t>585769209-1</t>
  </si>
  <si>
    <t>Soloma</t>
  </si>
  <si>
    <t>519012721-4</t>
  </si>
  <si>
    <t>093885283-3</t>
  </si>
  <si>
    <t>Guarapari</t>
  </si>
  <si>
    <t>909235832-0</t>
  </si>
  <si>
    <t>Kalininskiy</t>
  </si>
  <si>
    <t>328968264-1</t>
  </si>
  <si>
    <t>Catriel</t>
  </si>
  <si>
    <t>669662115-6</t>
  </si>
  <si>
    <t>Limanancong</t>
  </si>
  <si>
    <t>646365331-4</t>
  </si>
  <si>
    <t>787984977-7</t>
  </si>
  <si>
    <t>910913758-0</t>
  </si>
  <si>
    <t>Bu‘eina</t>
  </si>
  <si>
    <t>Le Blanc-Mesnil</t>
  </si>
  <si>
    <t>356671817-3</t>
  </si>
  <si>
    <t>Larap</t>
  </si>
  <si>
    <t>Al Ḩaffah</t>
  </si>
  <si>
    <t>Llanera</t>
  </si>
  <si>
    <t>033957746-0</t>
  </si>
  <si>
    <t>Fāraskūr</t>
  </si>
  <si>
    <t>646701925-3</t>
  </si>
  <si>
    <t>Tonoas Municipal Building</t>
  </si>
  <si>
    <t>437910180-0</t>
  </si>
  <si>
    <t>Massy</t>
  </si>
  <si>
    <t>411928622-3</t>
  </si>
  <si>
    <t>Nerópolis</t>
  </si>
  <si>
    <t>980562221-5</t>
  </si>
  <si>
    <t>Radnice</t>
  </si>
  <si>
    <t>366314766-5</t>
  </si>
  <si>
    <t>113824650-6</t>
  </si>
  <si>
    <t>Kediri</t>
  </si>
  <si>
    <t>501073622-5</t>
  </si>
  <si>
    <t>Södertälje</t>
  </si>
  <si>
    <t>561984147-2</t>
  </si>
  <si>
    <t>Gif-sur-Yvette</t>
  </si>
  <si>
    <t>557977350-1</t>
  </si>
  <si>
    <t>Fernando Gutierrez Barrios</t>
  </si>
  <si>
    <t>123933328-5</t>
  </si>
  <si>
    <t>Izazi</t>
  </si>
  <si>
    <t>433188416-3</t>
  </si>
  <si>
    <t>Wiang Chiang Rung</t>
  </si>
  <si>
    <t>037992051-4</t>
  </si>
  <si>
    <t>Santa Catarina</t>
  </si>
  <si>
    <t>070985297-5</t>
  </si>
  <si>
    <t>Arcos</t>
  </si>
  <si>
    <t>119762132-6</t>
  </si>
  <si>
    <t>Krasnokholm</t>
  </si>
  <si>
    <t>808728231-0</t>
  </si>
  <si>
    <t>125524010-5</t>
  </si>
  <si>
    <t>Parumaan</t>
  </si>
  <si>
    <t>431998628-8</t>
  </si>
  <si>
    <t>380278964-4</t>
  </si>
  <si>
    <t>Gjilan</t>
  </si>
  <si>
    <t>447559740-4</t>
  </si>
  <si>
    <t>540062370-0</t>
  </si>
  <si>
    <t>Vyshniy Volochëk</t>
  </si>
  <si>
    <t>552280872-1</t>
  </si>
  <si>
    <t>237640717-6</t>
  </si>
  <si>
    <t>Washington</t>
  </si>
  <si>
    <t>Tulsa</t>
  </si>
  <si>
    <t>567479434-0</t>
  </si>
  <si>
    <t>959980021-4</t>
  </si>
  <si>
    <t>262420112-2</t>
  </si>
  <si>
    <t>Perepravnaya</t>
  </si>
  <si>
    <t>575971826-6</t>
  </si>
  <si>
    <t>Cassilândia</t>
  </si>
  <si>
    <t>202693999-3</t>
  </si>
  <si>
    <t>Chortkiv</t>
  </si>
  <si>
    <t>580561683-1</t>
  </si>
  <si>
    <t>Várzea</t>
  </si>
  <si>
    <t>100452751-9</t>
  </si>
  <si>
    <t>Louka</t>
  </si>
  <si>
    <t>007390589-5</t>
  </si>
  <si>
    <t>Cisiec</t>
  </si>
  <si>
    <t>172289078-9</t>
  </si>
  <si>
    <t>Gagarawa</t>
  </si>
  <si>
    <t>636059831-0</t>
  </si>
  <si>
    <t>531226854-2</t>
  </si>
  <si>
    <t>Cerklje na Gorenjskem</t>
  </si>
  <si>
    <t>304321902-3</t>
  </si>
  <si>
    <t>Rosario de Mora</t>
  </si>
  <si>
    <t>958030778-4</t>
  </si>
  <si>
    <t>Pedinó</t>
  </si>
  <si>
    <t>611865523-5</t>
  </si>
  <si>
    <t>Palocabildo</t>
  </si>
  <si>
    <t>978302979-7</t>
  </si>
  <si>
    <t>Stockholm</t>
  </si>
  <si>
    <t>542869246-4</t>
  </si>
  <si>
    <t>Cilebang Satu</t>
  </si>
  <si>
    <t>563399063-3</t>
  </si>
  <si>
    <t>Bayanbulag</t>
  </si>
  <si>
    <t>Mongolia</t>
  </si>
  <si>
    <t>658108066-7</t>
  </si>
  <si>
    <t>Reserva</t>
  </si>
  <si>
    <t>Wilków</t>
  </si>
  <si>
    <t>256685175-1</t>
  </si>
  <si>
    <t>Jastrowie</t>
  </si>
  <si>
    <t>609384331-9</t>
  </si>
  <si>
    <t>Orleans</t>
  </si>
  <si>
    <t>690576524-4</t>
  </si>
  <si>
    <t>Fuwah</t>
  </si>
  <si>
    <t>186792383-1</t>
  </si>
  <si>
    <t>Samadua</t>
  </si>
  <si>
    <t>001550580-4</t>
  </si>
  <si>
    <t>Kostyantynivka</t>
  </si>
  <si>
    <t>352959734-1</t>
  </si>
  <si>
    <t>Revolucion</t>
  </si>
  <si>
    <t>868145618-0</t>
  </si>
  <si>
    <t>431433303-0</t>
  </si>
  <si>
    <t>Barrosa</t>
  </si>
  <si>
    <t>410530007-5</t>
  </si>
  <si>
    <t>Bekondo</t>
  </si>
  <si>
    <t>834374310-5</t>
  </si>
  <si>
    <t>Kuhmoinen</t>
  </si>
  <si>
    <t>Finland</t>
  </si>
  <si>
    <t>598672642-1</t>
  </si>
  <si>
    <t>Chulakivka</t>
  </si>
  <si>
    <t>175432346-4</t>
  </si>
  <si>
    <t>Berlín</t>
  </si>
  <si>
    <t>945251978-9</t>
  </si>
  <si>
    <t>Victoria</t>
  </si>
  <si>
    <t>404879140-0</t>
  </si>
  <si>
    <t>Tawangrejo</t>
  </si>
  <si>
    <t>295845354-5</t>
  </si>
  <si>
    <t>Gorzów Śląski</t>
  </si>
  <si>
    <t>Reisjärvi</t>
  </si>
  <si>
    <t>758845159-9</t>
  </si>
  <si>
    <t>Citeureup</t>
  </si>
  <si>
    <t>607633277-8</t>
  </si>
  <si>
    <t>Monte Novo</t>
  </si>
  <si>
    <t>104557642-5</t>
  </si>
  <si>
    <t>Perth</t>
  </si>
  <si>
    <t>Australia</t>
  </si>
  <si>
    <t>Muaratiga</t>
  </si>
  <si>
    <t>816086551-1</t>
  </si>
  <si>
    <t>Artybash</t>
  </si>
  <si>
    <t>687191764-0</t>
  </si>
  <si>
    <t>650754761-1</t>
  </si>
  <si>
    <t>Ipoh</t>
  </si>
  <si>
    <t>435347681-5</t>
  </si>
  <si>
    <t>Solna</t>
  </si>
  <si>
    <t>156142534-6</t>
  </si>
  <si>
    <t>Stodolishche</t>
  </si>
  <si>
    <t>183015067-7</t>
  </si>
  <si>
    <t>Denyshi</t>
  </si>
  <si>
    <t>610090030-0</t>
  </si>
  <si>
    <t>Malilipot</t>
  </si>
  <si>
    <t>254384689-1</t>
  </si>
  <si>
    <t>Irecê</t>
  </si>
  <si>
    <t>744523738-0</t>
  </si>
  <si>
    <t>Unity</t>
  </si>
  <si>
    <t>758876036-2</t>
  </si>
  <si>
    <t>Parung</t>
  </si>
  <si>
    <t>947891227-5</t>
  </si>
  <si>
    <t>977077386-7</t>
  </si>
  <si>
    <t>356050932-7</t>
  </si>
  <si>
    <t>Kemisē</t>
  </si>
  <si>
    <t>Ethiopia</t>
  </si>
  <si>
    <t>Chunghwa</t>
  </si>
  <si>
    <t>North Korea</t>
  </si>
  <si>
    <t>059831650-7</t>
  </si>
  <si>
    <t>357031269-0</t>
  </si>
  <si>
    <t>Oslo</t>
  </si>
  <si>
    <t>Norway</t>
  </si>
  <si>
    <t>915938338-0</t>
  </si>
  <si>
    <t>Masinloc</t>
  </si>
  <si>
    <t>374168874-6</t>
  </si>
  <si>
    <t>Sydney</t>
  </si>
  <si>
    <t>776773772-1</t>
  </si>
  <si>
    <t>289176535-4</t>
  </si>
  <si>
    <t>La Mohammedia</t>
  </si>
  <si>
    <t>600401464-8</t>
  </si>
  <si>
    <t>Muyinga</t>
  </si>
  <si>
    <t>134418615-7</t>
  </si>
  <si>
    <t>781927517-0</t>
  </si>
  <si>
    <t>Polo</t>
  </si>
  <si>
    <t>828567961-6</t>
  </si>
  <si>
    <t>Venezia</t>
  </si>
  <si>
    <t>507471090-1</t>
  </si>
  <si>
    <t>Quartier Militaire</t>
  </si>
  <si>
    <t>Mauritius</t>
  </si>
  <si>
    <t>798248604-5</t>
  </si>
  <si>
    <t>Paço</t>
  </si>
  <si>
    <t>590061511-1</t>
  </si>
  <si>
    <t>Bara Datu</t>
  </si>
  <si>
    <t>004612839-5</t>
  </si>
  <si>
    <t>062340213-0</t>
  </si>
  <si>
    <t>Richmond</t>
  </si>
  <si>
    <t>703975740-0</t>
  </si>
  <si>
    <t>Placer</t>
  </si>
  <si>
    <t>420600880-9</t>
  </si>
  <si>
    <t>Wichian Buri</t>
  </si>
  <si>
    <t>971493790-6</t>
  </si>
  <si>
    <t>Angren</t>
  </si>
  <si>
    <t>Uzbekistan</t>
  </si>
  <si>
    <t>418555811-2</t>
  </si>
  <si>
    <t>Warsaw</t>
  </si>
  <si>
    <t>264447418-3</t>
  </si>
  <si>
    <t>Lindome</t>
  </si>
  <si>
    <t>460683466-8</t>
  </si>
  <si>
    <t>München</t>
  </si>
  <si>
    <t>Barreiro do Jaíba</t>
  </si>
  <si>
    <t>827539917-3</t>
  </si>
  <si>
    <t>Reisdorf</t>
  </si>
  <si>
    <t>063667090-2</t>
  </si>
  <si>
    <t>Dubovka</t>
  </si>
  <si>
    <t>105648911-1</t>
  </si>
  <si>
    <t>Banjar Ponggang</t>
  </si>
  <si>
    <t>470963739-3</t>
  </si>
  <si>
    <t>Eldama Ravine</t>
  </si>
  <si>
    <t>419729091-8</t>
  </si>
  <si>
    <t>Abuxarda</t>
  </si>
  <si>
    <t>Tsimlyansk</t>
  </si>
  <si>
    <t>Vårby</t>
  </si>
  <si>
    <t>Unidos</t>
  </si>
  <si>
    <t>405437772-6</t>
  </si>
  <si>
    <t>591972164-2</t>
  </si>
  <si>
    <t>961762697-7</t>
  </si>
  <si>
    <t>Hājīganj</t>
  </si>
  <si>
    <t>438602246-5</t>
  </si>
  <si>
    <t>Qīrah</t>
  </si>
  <si>
    <t>502923174-9</t>
  </si>
  <si>
    <t>Opinogóra Górna</t>
  </si>
  <si>
    <t>Novyye Cherëmushki</t>
  </si>
  <si>
    <t>995265368-9</t>
  </si>
  <si>
    <t>Dzerzhinskiy</t>
  </si>
  <si>
    <t>008061505-8</t>
  </si>
  <si>
    <t>Ciguha Tengah</t>
  </si>
  <si>
    <t>594115678-2</t>
  </si>
  <si>
    <t>Sułkowice</t>
  </si>
  <si>
    <t>536273443-1</t>
  </si>
  <si>
    <t>Beloeil</t>
  </si>
  <si>
    <t>874677319-3</t>
  </si>
  <si>
    <t>San Lorenzo de Esmeraldas</t>
  </si>
  <si>
    <t>Ecuador</t>
  </si>
  <si>
    <t>867238751-1</t>
  </si>
  <si>
    <t>Santo Tomas</t>
  </si>
  <si>
    <t>601930865-0</t>
  </si>
  <si>
    <t>Pacora</t>
  </si>
  <si>
    <t>Panama</t>
  </si>
  <si>
    <t>876983965-4</t>
  </si>
  <si>
    <t>Kaélé</t>
  </si>
  <si>
    <t>707377025-2</t>
  </si>
  <si>
    <t>111395622-4</t>
  </si>
  <si>
    <t>073653728-7</t>
  </si>
  <si>
    <t>Pedraza</t>
  </si>
  <si>
    <t>742856905-2</t>
  </si>
  <si>
    <t>San Manuel Chaparrón</t>
  </si>
  <si>
    <t>502031928-7</t>
  </si>
  <si>
    <t>Smålandsstenar</t>
  </si>
  <si>
    <t>Podivín</t>
  </si>
  <si>
    <t>131658542-5</t>
  </si>
  <si>
    <t>Saint-Quentin</t>
  </si>
  <si>
    <t>754116407-0</t>
  </si>
  <si>
    <t>San Diego</t>
  </si>
  <si>
    <t>438401255-1</t>
  </si>
  <si>
    <t>589186652-8</t>
  </si>
  <si>
    <t>Monterrey</t>
  </si>
  <si>
    <t>554862210-2</t>
  </si>
  <si>
    <t>Nelipyno</t>
  </si>
  <si>
    <t>976807682-8</t>
  </si>
  <si>
    <t>Condoroma</t>
  </si>
  <si>
    <t>242862835-6</t>
  </si>
  <si>
    <t>Amberd</t>
  </si>
  <si>
    <t>116652094-3</t>
  </si>
  <si>
    <t>Botoh</t>
  </si>
  <si>
    <t>736410730-4</t>
  </si>
  <si>
    <t>Biała Piska</t>
  </si>
  <si>
    <t>929627294-7</t>
  </si>
  <si>
    <t>Néo Psychikó</t>
  </si>
  <si>
    <t>359306543-6</t>
  </si>
  <si>
    <t>Mailag</t>
  </si>
  <si>
    <t>485334135-8</t>
  </si>
  <si>
    <t>Pisão</t>
  </si>
  <si>
    <t>473822860-9</t>
  </si>
  <si>
    <t>Miatli</t>
  </si>
  <si>
    <t>071920486-0</t>
  </si>
  <si>
    <t>Cayenne</t>
  </si>
  <si>
    <t>French Guiana</t>
  </si>
  <si>
    <t>685307546-3</t>
  </si>
  <si>
    <t>Kovrov</t>
  </si>
  <si>
    <t>144787760-8</t>
  </si>
  <si>
    <t>Gunungmanik</t>
  </si>
  <si>
    <t>454843171-3</t>
  </si>
  <si>
    <t>Smolino</t>
  </si>
  <si>
    <t>583980880-6</t>
  </si>
  <si>
    <t>Sakharovo</t>
  </si>
  <si>
    <t>615816774-6</t>
  </si>
  <si>
    <t>Pau</t>
  </si>
  <si>
    <t>010449383-6</t>
  </si>
  <si>
    <t>072443632-4</t>
  </si>
  <si>
    <t>Chapayevka</t>
  </si>
  <si>
    <t>923600569-1</t>
  </si>
  <si>
    <t>Vavatenina</t>
  </si>
  <si>
    <t>996718496-5</t>
  </si>
  <si>
    <t>880422296-4</t>
  </si>
  <si>
    <t>Zyryanovsk</t>
  </si>
  <si>
    <t>881172939-4</t>
  </si>
  <si>
    <t>564583286-8</t>
  </si>
  <si>
    <t>Sidi Moussa</t>
  </si>
  <si>
    <t>362105492-8</t>
  </si>
  <si>
    <t>Banjar Pangkungtibah Selatan</t>
  </si>
  <si>
    <t>901584865-3</t>
  </si>
  <si>
    <t>El Ángel</t>
  </si>
  <si>
    <t>799957496-1</t>
  </si>
  <si>
    <t>Birmingham</t>
  </si>
  <si>
    <t>335125601-9</t>
  </si>
  <si>
    <t>Calbuco</t>
  </si>
  <si>
    <t>Chile</t>
  </si>
  <si>
    <t>697797392-7</t>
  </si>
  <si>
    <t>Cerro Azul</t>
  </si>
  <si>
    <t>548871003-5</t>
  </si>
  <si>
    <t>Jalaud</t>
  </si>
  <si>
    <t>127769652-7</t>
  </si>
  <si>
    <t>Almelo</t>
  </si>
  <si>
    <t>608204011-2</t>
  </si>
  <si>
    <t>Timiryazevskiy</t>
  </si>
  <si>
    <t>372309420-1</t>
  </si>
  <si>
    <t>662273748-7</t>
  </si>
  <si>
    <t>Rio Novo do Sul</t>
  </si>
  <si>
    <t>766769130-4</t>
  </si>
  <si>
    <t>Salamina</t>
  </si>
  <si>
    <t>114832635-9</t>
  </si>
  <si>
    <t>Strasbourg</t>
  </si>
  <si>
    <t>594067387-2</t>
  </si>
  <si>
    <t>Neftegorsk</t>
  </si>
  <si>
    <t>388527349-7</t>
  </si>
  <si>
    <t>Jabat</t>
  </si>
  <si>
    <t>Marshall Islands</t>
  </si>
  <si>
    <t>658247311-5</t>
  </si>
  <si>
    <t>818331783-9</t>
  </si>
  <si>
    <t>Long Xuyên</t>
  </si>
  <si>
    <t>Богданци</t>
  </si>
  <si>
    <t>878699990-7</t>
  </si>
  <si>
    <t>457798490-3</t>
  </si>
  <si>
    <t>Tungoo</t>
  </si>
  <si>
    <t>422966643-8</t>
  </si>
  <si>
    <t>Sousse</t>
  </si>
  <si>
    <t>108179154-3</t>
  </si>
  <si>
    <t>723847233-3</t>
  </si>
  <si>
    <t>Falefa</t>
  </si>
  <si>
    <t>Samoa</t>
  </si>
  <si>
    <t>175218398-3</t>
  </si>
  <si>
    <t>Siemiechów</t>
  </si>
  <si>
    <t>569790148-8</t>
  </si>
  <si>
    <t>Łęknica</t>
  </si>
  <si>
    <t>274024955-1</t>
  </si>
  <si>
    <t>Jacobina</t>
  </si>
  <si>
    <t>801254419-9</t>
  </si>
  <si>
    <t>Alqueidão</t>
  </si>
  <si>
    <t>616749641-2</t>
  </si>
  <si>
    <t>Nesterovskaya</t>
  </si>
  <si>
    <t>658455818-5</t>
  </si>
  <si>
    <t>Vredefort</t>
  </si>
  <si>
    <t>902128423-5</t>
  </si>
  <si>
    <t>Muara</t>
  </si>
  <si>
    <t>032394580-5</t>
  </si>
  <si>
    <t>Michurinskoye</t>
  </si>
  <si>
    <t>434353614-9</t>
  </si>
  <si>
    <t>Turus</t>
  </si>
  <si>
    <t>350952177-3</t>
  </si>
  <si>
    <t>Cañuelas</t>
  </si>
  <si>
    <t>276038132-3</t>
  </si>
  <si>
    <t>Nizhniy Chir</t>
  </si>
  <si>
    <t>036335652-5</t>
  </si>
  <si>
    <t>Bongsri</t>
  </si>
  <si>
    <t>329730837-0</t>
  </si>
  <si>
    <t>Touama</t>
  </si>
  <si>
    <t>543755957-7</t>
  </si>
  <si>
    <t>Peñal</t>
  </si>
  <si>
    <t>Trinidad and Tobago</t>
  </si>
  <si>
    <t>687802360-2</t>
  </si>
  <si>
    <t>Matagami</t>
  </si>
  <si>
    <t>031093616-0</t>
  </si>
  <si>
    <t>Fershampenuaz</t>
  </si>
  <si>
    <t>460460477-0</t>
  </si>
  <si>
    <t>Muyuka</t>
  </si>
  <si>
    <t>023489515-2</t>
  </si>
  <si>
    <t>Erie</t>
  </si>
  <si>
    <t>848367754-7</t>
  </si>
  <si>
    <t>340600780-5</t>
  </si>
  <si>
    <t>Židlochovice</t>
  </si>
  <si>
    <t>375169426-9</t>
  </si>
  <si>
    <t>Canavieiras</t>
  </si>
  <si>
    <t>731573605-0</t>
  </si>
  <si>
    <t>Portelinha</t>
  </si>
  <si>
    <t>649436695-3</t>
  </si>
  <si>
    <t>El Mirador</t>
  </si>
  <si>
    <t>201473055-5</t>
  </si>
  <si>
    <t>Marsada</t>
  </si>
  <si>
    <t>506029038-7</t>
  </si>
  <si>
    <t>Arauá</t>
  </si>
  <si>
    <t>La Concepcion</t>
  </si>
  <si>
    <t>348914136-9</t>
  </si>
  <si>
    <t>905470691-0</t>
  </si>
  <si>
    <t>Svetlyy</t>
  </si>
  <si>
    <t>828346025-0</t>
  </si>
  <si>
    <t>Monino</t>
  </si>
  <si>
    <t>487592595-6</t>
  </si>
  <si>
    <t>Pŭrvomaytsi</t>
  </si>
  <si>
    <t>483442211-9</t>
  </si>
  <si>
    <t>Brest</t>
  </si>
  <si>
    <t>927563706-7</t>
  </si>
  <si>
    <t>Vohibinany</t>
  </si>
  <si>
    <t>033705430-4</t>
  </si>
  <si>
    <t>Planaltina</t>
  </si>
  <si>
    <t>896809658-9</t>
  </si>
  <si>
    <t>San Rafael</t>
  </si>
  <si>
    <t>Costa Rica</t>
  </si>
  <si>
    <t>838372887-5</t>
  </si>
  <si>
    <t>Mont-de-Marsan</t>
  </si>
  <si>
    <t>565688396-5</t>
  </si>
  <si>
    <t>Ozerki</t>
  </si>
  <si>
    <t>454154124-6</t>
  </si>
  <si>
    <t>Mesógi</t>
  </si>
  <si>
    <t>Cyprus</t>
  </si>
  <si>
    <t>597491601-8</t>
  </si>
  <si>
    <t>Kulotino</t>
  </si>
  <si>
    <t>709201104-3</t>
  </si>
  <si>
    <t>Antíparos</t>
  </si>
  <si>
    <t>237952591-9</t>
  </si>
  <si>
    <t>Comitancillo</t>
  </si>
  <si>
    <t>Newport News</t>
  </si>
  <si>
    <t>Pamplona/Iruña</t>
  </si>
  <si>
    <t>256155124-5</t>
  </si>
  <si>
    <t>Millet</t>
  </si>
  <si>
    <t>529340679-5</t>
  </si>
  <si>
    <t>Macapo</t>
  </si>
  <si>
    <t>527272411-9</t>
  </si>
  <si>
    <t>Luebo</t>
  </si>
  <si>
    <t>Democratic Republic of the Congo</t>
  </si>
  <si>
    <t>041269555-3</t>
  </si>
  <si>
    <t>Marcovia</t>
  </si>
  <si>
    <t>913475627-2</t>
  </si>
  <si>
    <t>Pedreira</t>
  </si>
  <si>
    <t>Aquidauana</t>
  </si>
  <si>
    <t>348999729-8</t>
  </si>
  <si>
    <t>Banjar Budakeling</t>
  </si>
  <si>
    <t>150564823-8</t>
  </si>
  <si>
    <t>Środa Wielkopolska</t>
  </si>
  <si>
    <t>206069920-7</t>
  </si>
  <si>
    <t>323459880-0</t>
  </si>
  <si>
    <t>Fontinha</t>
  </si>
  <si>
    <t>177439218-6</t>
  </si>
  <si>
    <t>950813501-8</t>
  </si>
  <si>
    <t>Mounlapamôk</t>
  </si>
  <si>
    <t>Laos</t>
  </si>
  <si>
    <t>950754258-2</t>
  </si>
  <si>
    <t>742135541-3</t>
  </si>
  <si>
    <t>Junik</t>
  </si>
  <si>
    <t>635884905-0</t>
  </si>
  <si>
    <t>Wingham</t>
  </si>
  <si>
    <t>Sá</t>
  </si>
  <si>
    <t>Corujeira</t>
  </si>
  <si>
    <t>891916623-4</t>
  </si>
  <si>
    <t>San Carlos</t>
  </si>
  <si>
    <t>799298001-8</t>
  </si>
  <si>
    <t>Bariri</t>
  </si>
  <si>
    <t>195735931-5</t>
  </si>
  <si>
    <t>Azogues</t>
  </si>
  <si>
    <t>096913409-6</t>
  </si>
  <si>
    <t>Toktogul</t>
  </si>
  <si>
    <t>Kyrgyzstan</t>
  </si>
  <si>
    <t>936078296-3</t>
  </si>
  <si>
    <t>Kara-Balta</t>
  </si>
  <si>
    <t>040461333-0</t>
  </si>
  <si>
    <t>Bečmen</t>
  </si>
  <si>
    <t>979080199-8</t>
  </si>
  <si>
    <t>Vermil</t>
  </si>
  <si>
    <t>896856059-5</t>
  </si>
  <si>
    <t>Monastyryshche</t>
  </si>
  <si>
    <t>018198507-1</t>
  </si>
  <si>
    <t>Kurye</t>
  </si>
  <si>
    <t>South Korea</t>
  </si>
  <si>
    <t>078012383-2</t>
  </si>
  <si>
    <t>Ketovo</t>
  </si>
  <si>
    <t>094131275-5</t>
  </si>
  <si>
    <t>230924099-0</t>
  </si>
  <si>
    <t>Vicente Guerrero</t>
  </si>
  <si>
    <t>117869616-2</t>
  </si>
  <si>
    <t>Mastaiciai</t>
  </si>
  <si>
    <t>676611537-8</t>
  </si>
  <si>
    <t>409357383-2</t>
  </si>
  <si>
    <t>Khorinsk</t>
  </si>
  <si>
    <t>671445186-5</t>
  </si>
  <si>
    <t>953091689-2</t>
  </si>
  <si>
    <t>Nowosielce-Gniewosz</t>
  </si>
  <si>
    <t>827234523-4</t>
  </si>
  <si>
    <t>Paraíso de Chabasquén</t>
  </si>
  <si>
    <t>Kinshasa</t>
  </si>
  <si>
    <t>193835289-0</t>
  </si>
  <si>
    <t>Budapest</t>
  </si>
  <si>
    <t>Hungary</t>
  </si>
  <si>
    <t>036695298-6</t>
  </si>
  <si>
    <t>395751594-7</t>
  </si>
  <si>
    <t>Dīla</t>
  </si>
  <si>
    <t>852108155-3</t>
  </si>
  <si>
    <t>Mae Chan</t>
  </si>
  <si>
    <t>San Marcos de Colón</t>
  </si>
  <si>
    <t>150194024-4</t>
  </si>
  <si>
    <t>Libouchec</t>
  </si>
  <si>
    <t>658371184-2</t>
  </si>
  <si>
    <t>Billa</t>
  </si>
  <si>
    <t>137891247-0</t>
  </si>
  <si>
    <t>Wenceslau Braz</t>
  </si>
  <si>
    <t>452574262-3</t>
  </si>
  <si>
    <t>Dmanisi</t>
  </si>
  <si>
    <t>Georgia</t>
  </si>
  <si>
    <t>Kanuma</t>
  </si>
  <si>
    <t>965429638-1</t>
  </si>
  <si>
    <t>Battaramulla South</t>
  </si>
  <si>
    <t>634447203-0</t>
  </si>
  <si>
    <t>041418069-0</t>
  </si>
  <si>
    <t>Celorico de Basto</t>
  </si>
  <si>
    <t>202167477-0</t>
  </si>
  <si>
    <t>Matalam</t>
  </si>
  <si>
    <t>041136525-8</t>
  </si>
  <si>
    <t>El Espino</t>
  </si>
  <si>
    <t>049998404-8</t>
  </si>
  <si>
    <t>Paraíso</t>
  </si>
  <si>
    <t>184652303-6</t>
  </si>
  <si>
    <t>107848765-0</t>
  </si>
  <si>
    <t>Rio Covo</t>
  </si>
  <si>
    <t>530610969-1</t>
  </si>
  <si>
    <t>Mingoyo</t>
  </si>
  <si>
    <t>947494923-9</t>
  </si>
  <si>
    <t>028933628-7</t>
  </si>
  <si>
    <t>Ulee Gle</t>
  </si>
  <si>
    <t>547842153-7</t>
  </si>
  <si>
    <t>Haligue</t>
  </si>
  <si>
    <t>431444443-6</t>
  </si>
  <si>
    <t>Sokobanteng</t>
  </si>
  <si>
    <t>339915412-7</t>
  </si>
  <si>
    <t>Vales</t>
  </si>
  <si>
    <t>578333230-5</t>
  </si>
  <si>
    <t>480600377-8</t>
  </si>
  <si>
    <t>Al Ghizlānīyah</t>
  </si>
  <si>
    <t>702465535-6</t>
  </si>
  <si>
    <t>Michałowice</t>
  </si>
  <si>
    <t>023568333-7</t>
  </si>
  <si>
    <t>Tessaoua</t>
  </si>
  <si>
    <t>Niger</t>
  </si>
  <si>
    <t>645107756-9</t>
  </si>
  <si>
    <t>770611261-6</t>
  </si>
  <si>
    <t>Turze Pole</t>
  </si>
  <si>
    <t>974243194-9</t>
  </si>
  <si>
    <t>Lakeland</t>
  </si>
  <si>
    <t>296960503-1</t>
  </si>
  <si>
    <t>Botucatu</t>
  </si>
  <si>
    <t>029695588-4</t>
  </si>
  <si>
    <t>Irbit</t>
  </si>
  <si>
    <t>635910373-7</t>
  </si>
  <si>
    <t>Ferraz de Vasconcelos</t>
  </si>
  <si>
    <t>690913512-1</t>
  </si>
  <si>
    <t>Campok</t>
  </si>
  <si>
    <t>692902719-7</t>
  </si>
  <si>
    <t>Socabaya</t>
  </si>
  <si>
    <t>248999640-1</t>
  </si>
  <si>
    <t>Zürich</t>
  </si>
  <si>
    <t>Switzerland</t>
  </si>
  <si>
    <t>485681245-9</t>
  </si>
  <si>
    <t>Kudowa-Zdrój</t>
  </si>
  <si>
    <t>190721430-5</t>
  </si>
  <si>
    <t>Kertorejo</t>
  </si>
  <si>
    <t>391333533-1</t>
  </si>
  <si>
    <t>Bangil</t>
  </si>
  <si>
    <t>831511735-1</t>
  </si>
  <si>
    <t>434967605-8</t>
  </si>
  <si>
    <t>Sandy Bay</t>
  </si>
  <si>
    <t>390832426-2</t>
  </si>
  <si>
    <t>Decatur</t>
  </si>
  <si>
    <t>796428675-7</t>
  </si>
  <si>
    <t>Tanjung Palas</t>
  </si>
  <si>
    <t>143595457-2</t>
  </si>
  <si>
    <t>Gavarr</t>
  </si>
  <si>
    <t>482759719-7</t>
  </si>
  <si>
    <t>Abua</t>
  </si>
  <si>
    <t>253474699-5</t>
  </si>
  <si>
    <t>Matadi</t>
  </si>
  <si>
    <t>024873096-7</t>
  </si>
  <si>
    <t>Győr</t>
  </si>
  <si>
    <t>255390174-7</t>
  </si>
  <si>
    <t>Artimet</t>
  </si>
  <si>
    <t>281334397-8</t>
  </si>
  <si>
    <t>Starokucherganovka</t>
  </si>
  <si>
    <t>423196434-3</t>
  </si>
  <si>
    <t>622905069-2</t>
  </si>
  <si>
    <t>499233891-7</t>
  </si>
  <si>
    <t>San Juan Ixcoy</t>
  </si>
  <si>
    <t>195530612-5</t>
  </si>
  <si>
    <t>515993739-0</t>
  </si>
  <si>
    <t>Färjestaden</t>
  </si>
  <si>
    <t>020211691-3</t>
  </si>
  <si>
    <t>166737346-3</t>
  </si>
  <si>
    <t>806674946-5</t>
  </si>
  <si>
    <t>Kenscoff</t>
  </si>
  <si>
    <t>Mysiadło</t>
  </si>
  <si>
    <t>774902514-6</t>
  </si>
  <si>
    <t>Orlando</t>
  </si>
  <si>
    <t>785497252-4</t>
  </si>
  <si>
    <t>Dolinsk</t>
  </si>
  <si>
    <t>353625180-3</t>
  </si>
  <si>
    <t>Suwaru</t>
  </si>
  <si>
    <t>835618328-6</t>
  </si>
  <si>
    <t>631921670-0</t>
  </si>
  <si>
    <t>Ma‘dān</t>
  </si>
  <si>
    <t>588813065-6</t>
  </si>
  <si>
    <t>Saint-Chamond</t>
  </si>
  <si>
    <t>263877850-8</t>
  </si>
  <si>
    <t>Неготино</t>
  </si>
  <si>
    <t>106048108-1</t>
  </si>
  <si>
    <t>Banisilan</t>
  </si>
  <si>
    <t>153648196-3</t>
  </si>
  <si>
    <t>Tumpukrenteng</t>
  </si>
  <si>
    <t>403588883-4</t>
  </si>
  <si>
    <t>Gavião</t>
  </si>
  <si>
    <t>262167821-1</t>
  </si>
  <si>
    <t>Amarete</t>
  </si>
  <si>
    <t>353254187-4</t>
  </si>
  <si>
    <t>Estevan</t>
  </si>
  <si>
    <t>566337259-8</t>
  </si>
  <si>
    <t>Petrozavodsk</t>
  </si>
  <si>
    <t>789629791-4</t>
  </si>
  <si>
    <t>437266939-9</t>
  </si>
  <si>
    <t>Marcara</t>
  </si>
  <si>
    <t>553057018-6</t>
  </si>
  <si>
    <t>El Sauce</t>
  </si>
  <si>
    <t>868891135-5</t>
  </si>
  <si>
    <t>Matanzas</t>
  </si>
  <si>
    <t>Dominican Republic</t>
  </si>
  <si>
    <t>548469463-9</t>
  </si>
  <si>
    <t>088959044-3</t>
  </si>
  <si>
    <t>Zemun</t>
  </si>
  <si>
    <t>987798235-8</t>
  </si>
  <si>
    <t>Verdun</t>
  </si>
  <si>
    <t>016686560-5</t>
  </si>
  <si>
    <t>158272168-8</t>
  </si>
  <si>
    <t>Ulaan-Ereg</t>
  </si>
  <si>
    <t>707254673-1</t>
  </si>
  <si>
    <t>Al Mughayyir</t>
  </si>
  <si>
    <t>499732936-3</t>
  </si>
  <si>
    <t>Węgorzyno</t>
  </si>
  <si>
    <t>103555949-8</t>
  </si>
  <si>
    <t>236264033-7</t>
  </si>
  <si>
    <t>Farkhor</t>
  </si>
  <si>
    <t>Tajikistan</t>
  </si>
  <si>
    <t>457474431-6</t>
  </si>
  <si>
    <t>Potet</t>
  </si>
  <si>
    <t>583470341-0</t>
  </si>
  <si>
    <t>Novoye Devyatkino</t>
  </si>
  <si>
    <t>106810587-9</t>
  </si>
  <si>
    <t>Viekšniai</t>
  </si>
  <si>
    <t>127632262-3</t>
  </si>
  <si>
    <t>Tādif</t>
  </si>
  <si>
    <t>173028634-8</t>
  </si>
  <si>
    <t>Bayasgalant</t>
  </si>
  <si>
    <t>438166677-1</t>
  </si>
  <si>
    <t>La Asunción</t>
  </si>
  <si>
    <t>359148600-0</t>
  </si>
  <si>
    <t>Tulcán</t>
  </si>
  <si>
    <t>112289348-5</t>
  </si>
  <si>
    <t>Jeżów Sudecki</t>
  </si>
  <si>
    <t>397077723-2</t>
  </si>
  <si>
    <t>Al Hoceïma</t>
  </si>
  <si>
    <t>136590209-9</t>
  </si>
  <si>
    <t>Ceres</t>
  </si>
  <si>
    <t>018302332-3</t>
  </si>
  <si>
    <t>Phuthaditjhaba</t>
  </si>
  <si>
    <t>Götene</t>
  </si>
  <si>
    <t>061676102-3</t>
  </si>
  <si>
    <t>Pražmo</t>
  </si>
  <si>
    <t>979885035-1</t>
  </si>
  <si>
    <t>Ágios Matthaíos</t>
  </si>
  <si>
    <t>741936473-7</t>
  </si>
  <si>
    <t>Rudolfov</t>
  </si>
  <si>
    <t>Berëzovka</t>
  </si>
  <si>
    <t>518150190-7</t>
  </si>
  <si>
    <t>Rano</t>
  </si>
  <si>
    <t>569652863-5</t>
  </si>
  <si>
    <t>Karangpeton</t>
  </si>
  <si>
    <t>275557971-4</t>
  </si>
  <si>
    <t>223249446-2</t>
  </si>
  <si>
    <t>Ajax</t>
  </si>
  <si>
    <t>417648891-3</t>
  </si>
  <si>
    <t>Santa Lucía Cotzumalguapa</t>
  </si>
  <si>
    <t>Leon</t>
  </si>
  <si>
    <t>451840329-0</t>
  </si>
  <si>
    <t>076514165-5</t>
  </si>
  <si>
    <t>Valejas</t>
  </si>
  <si>
    <t>442729988-1</t>
  </si>
  <si>
    <t>Muqui</t>
  </si>
  <si>
    <t>445711308-5</t>
  </si>
  <si>
    <t>Vargön</t>
  </si>
  <si>
    <t>101377416-7</t>
  </si>
  <si>
    <t>Pergan</t>
  </si>
  <si>
    <t>741035904-8</t>
  </si>
  <si>
    <t>Kankara</t>
  </si>
  <si>
    <t>919931747-8</t>
  </si>
  <si>
    <t>247186298-5</t>
  </si>
  <si>
    <t>121198102-9</t>
  </si>
  <si>
    <t>Tsukuba</t>
  </si>
  <si>
    <t>614580205-7</t>
  </si>
  <si>
    <t>Lugar Novo</t>
  </si>
  <si>
    <t>123197482-6</t>
  </si>
  <si>
    <t>809610561-2</t>
  </si>
  <si>
    <t>Tena</t>
  </si>
  <si>
    <t>313770955-5</t>
  </si>
  <si>
    <t>Pantaibesar</t>
  </si>
  <si>
    <t>804913851-8</t>
  </si>
  <si>
    <t>455883398-9</t>
  </si>
  <si>
    <t>Lao Suea Kok</t>
  </si>
  <si>
    <t>072604441-5</t>
  </si>
  <si>
    <t>Madona</t>
  </si>
  <si>
    <t>315767554-0</t>
  </si>
  <si>
    <t>Tigbaw</t>
  </si>
  <si>
    <t>170122753-3</t>
  </si>
  <si>
    <t>194080310-1</t>
  </si>
  <si>
    <t>Lago da Pedra</t>
  </si>
  <si>
    <t>127955921-7</t>
  </si>
  <si>
    <t>Rude</t>
  </si>
  <si>
    <t>275187267-0</t>
  </si>
  <si>
    <t>129955738-4</t>
  </si>
  <si>
    <t>041308879-0</t>
  </si>
  <si>
    <t>Obas</t>
  </si>
  <si>
    <t>256413695-8</t>
  </si>
  <si>
    <t>Kaum Kaler</t>
  </si>
  <si>
    <t>521190688-8</t>
  </si>
  <si>
    <t>Kura</t>
  </si>
  <si>
    <t>824733881-5</t>
  </si>
  <si>
    <t>Karditsomagoúla</t>
  </si>
  <si>
    <t>101593531-1</t>
  </si>
  <si>
    <t>058875276-2</t>
  </si>
  <si>
    <t>Laveiras</t>
  </si>
  <si>
    <t>019035683-9</t>
  </si>
  <si>
    <t>593262780-8</t>
  </si>
  <si>
    <t>Velingrad</t>
  </si>
  <si>
    <t>835633365-2</t>
  </si>
  <si>
    <t>Aguisan</t>
  </si>
  <si>
    <t>720347001-6</t>
  </si>
  <si>
    <t>Mönsterås</t>
  </si>
  <si>
    <t>593147134-0</t>
  </si>
  <si>
    <t>Carla</t>
  </si>
  <si>
    <t>Małdyty</t>
  </si>
  <si>
    <t>505618723-2</t>
  </si>
  <si>
    <t>Saint Petersburg</t>
  </si>
  <si>
    <t>713616041-3</t>
  </si>
  <si>
    <t>Kargowa</t>
  </si>
  <si>
    <t>Munjungan</t>
  </si>
  <si>
    <t>654517755-9</t>
  </si>
  <si>
    <t>Skärhamn</t>
  </si>
  <si>
    <t>347673585-0</t>
  </si>
  <si>
    <t>Paris 01</t>
  </si>
  <si>
    <t>400827289-5</t>
  </si>
  <si>
    <t>Takayama</t>
  </si>
  <si>
    <t>983863632-0</t>
  </si>
  <si>
    <t>Mjölby</t>
  </si>
  <si>
    <t>483810763-3</t>
  </si>
  <si>
    <t>Batallas</t>
  </si>
  <si>
    <t>326857205-7</t>
  </si>
  <si>
    <t>Irving</t>
  </si>
  <si>
    <t>Mirskoy</t>
  </si>
  <si>
    <t>939160077-8</t>
  </si>
  <si>
    <t>Mbanza-Ngungu</t>
  </si>
  <si>
    <t>Banyumas</t>
  </si>
  <si>
    <t>Kinéta</t>
  </si>
  <si>
    <t>707089576-3</t>
  </si>
  <si>
    <t>Tanumshede</t>
  </si>
  <si>
    <t>216808591-9</t>
  </si>
  <si>
    <t>Gouménissa</t>
  </si>
  <si>
    <t>967225879-8</t>
  </si>
  <si>
    <t>Benito Juarez</t>
  </si>
  <si>
    <t>810157463-8</t>
  </si>
  <si>
    <t>Tōno</t>
  </si>
  <si>
    <t>375682363-6</t>
  </si>
  <si>
    <t>Forécariah</t>
  </si>
  <si>
    <t>Guinea</t>
  </si>
  <si>
    <t>862034816-7</t>
  </si>
  <si>
    <t>Arys</t>
  </si>
  <si>
    <t>384627410-0</t>
  </si>
  <si>
    <t>752848901-8</t>
  </si>
  <si>
    <t>Barranca</t>
  </si>
  <si>
    <t>952187654-9</t>
  </si>
  <si>
    <t>Duluth</t>
  </si>
  <si>
    <t>773768060-8</t>
  </si>
  <si>
    <t>Bermuda</t>
  </si>
  <si>
    <t>605786268-6</t>
  </si>
  <si>
    <t>142935382-1</t>
  </si>
  <si>
    <t>Bulakbanjar</t>
  </si>
  <si>
    <t>365618184-5</t>
  </si>
  <si>
    <t>304997099-5</t>
  </si>
  <si>
    <t>Siguinon</t>
  </si>
  <si>
    <t>820048893-4</t>
  </si>
  <si>
    <t>974229121-7</t>
  </si>
  <si>
    <t>Zeleneč</t>
  </si>
  <si>
    <t>414905703-6</t>
  </si>
  <si>
    <t>Bagong Sikat</t>
  </si>
  <si>
    <t>965195433-7</t>
  </si>
  <si>
    <t>Krasnyye Barrikady</t>
  </si>
  <si>
    <t>803624123-4</t>
  </si>
  <si>
    <t>Novo Aripuanã</t>
  </si>
  <si>
    <t>169205050-8</t>
  </si>
  <si>
    <t>930683129-3</t>
  </si>
  <si>
    <t>Ouaoula</t>
  </si>
  <si>
    <t>336723692-6</t>
  </si>
  <si>
    <t>Miguel Hidalgo</t>
  </si>
  <si>
    <t>358462859-8</t>
  </si>
  <si>
    <t>Buenavista</t>
  </si>
  <si>
    <t>540338082-5</t>
  </si>
  <si>
    <t>El Asintal</t>
  </si>
  <si>
    <t>390136720-9</t>
  </si>
  <si>
    <t>Jinotega</t>
  </si>
  <si>
    <t>472133537-7</t>
  </si>
  <si>
    <t>124025818-6</t>
  </si>
  <si>
    <t>Mangseng</t>
  </si>
  <si>
    <t>517493162-4</t>
  </si>
  <si>
    <t>Bouzov</t>
  </si>
  <si>
    <t>202383316-7</t>
  </si>
  <si>
    <t>841953809-4</t>
  </si>
  <si>
    <t>Carcavelos</t>
  </si>
  <si>
    <t>648295147-3</t>
  </si>
  <si>
    <t>099428874-3</t>
  </si>
  <si>
    <t>Koua</t>
  </si>
  <si>
    <t>Comoros</t>
  </si>
  <si>
    <t>397229797-1</t>
  </si>
  <si>
    <t>861626866-9</t>
  </si>
  <si>
    <t>Mannheim</t>
  </si>
  <si>
    <t>946207217-5</t>
  </si>
  <si>
    <t>Erdenet</t>
  </si>
  <si>
    <t>Ribas</t>
  </si>
  <si>
    <t>361683651-4</t>
  </si>
  <si>
    <t>Soeng Sang</t>
  </si>
  <si>
    <t>418560329-0</t>
  </si>
  <si>
    <t>Bile</t>
  </si>
  <si>
    <t>526751454-3</t>
  </si>
  <si>
    <t>702889796-6</t>
  </si>
  <si>
    <t>167989543-5</t>
  </si>
  <si>
    <t>Otok</t>
  </si>
  <si>
    <t>252097920-8</t>
  </si>
  <si>
    <t>Klagen</t>
  </si>
  <si>
    <t>341365365-2</t>
  </si>
  <si>
    <t>Marseille</t>
  </si>
  <si>
    <t>433892600-7</t>
  </si>
  <si>
    <t>Skrunda</t>
  </si>
  <si>
    <t>533282393-2</t>
  </si>
  <si>
    <t>Budzów</t>
  </si>
  <si>
    <t>383405771-1</t>
  </si>
  <si>
    <t>Gowa</t>
  </si>
  <si>
    <t>656718086-2</t>
  </si>
  <si>
    <t>249464231-0</t>
  </si>
  <si>
    <t>Labin</t>
  </si>
  <si>
    <t>299334547-8</t>
  </si>
  <si>
    <t>810478006-9</t>
  </si>
  <si>
    <t>Leskolovo</t>
  </si>
  <si>
    <t>788471973-8</t>
  </si>
  <si>
    <t>995558399-1</t>
  </si>
  <si>
    <t>Patos</t>
  </si>
  <si>
    <t>269161129-9</t>
  </si>
  <si>
    <t>130633863-8</t>
  </si>
  <si>
    <t>Bålsta</t>
  </si>
  <si>
    <t>864957609-5</t>
  </si>
  <si>
    <t>Putina</t>
  </si>
  <si>
    <t>915435313-0</t>
  </si>
  <si>
    <t>909240719-4</t>
  </si>
  <si>
    <t>148308747-6</t>
  </si>
  <si>
    <t>Shelopugino</t>
  </si>
  <si>
    <t>708515810-7</t>
  </si>
  <si>
    <t>Sagana</t>
  </si>
  <si>
    <t>324540032-2</t>
  </si>
  <si>
    <t>743633452-2</t>
  </si>
  <si>
    <t>Ystad</t>
  </si>
  <si>
    <t>987145717-0</t>
  </si>
  <si>
    <t>Mangusu</t>
  </si>
  <si>
    <t>866661186-3</t>
  </si>
  <si>
    <t>487107817-5</t>
  </si>
  <si>
    <t>583536065-7</t>
  </si>
  <si>
    <t>Drien Rampak</t>
  </si>
  <si>
    <t>968088734-0</t>
  </si>
  <si>
    <t>Angkahgede</t>
  </si>
  <si>
    <t>255695025-0</t>
  </si>
  <si>
    <t>604123434-6</t>
  </si>
  <si>
    <t>Zielona Góra</t>
  </si>
  <si>
    <t>993688702-6</t>
  </si>
  <si>
    <t>Cabugao</t>
  </si>
  <si>
    <t>131704579-3</t>
  </si>
  <si>
    <t>Maracaçumé</t>
  </si>
  <si>
    <t>240701454-5</t>
  </si>
  <si>
    <t>Emiliano Zapata</t>
  </si>
  <si>
    <t>366368103-3</t>
  </si>
  <si>
    <t>Telaga</t>
  </si>
  <si>
    <t>473899162-0</t>
  </si>
  <si>
    <t>Pakemitan</t>
  </si>
  <si>
    <t>882521079-5</t>
  </si>
  <si>
    <t>874643129-2</t>
  </si>
  <si>
    <t>118210306-5</t>
  </si>
  <si>
    <t>Melun</t>
  </si>
  <si>
    <t>Antananarivo</t>
  </si>
  <si>
    <t>333056767-8</t>
  </si>
  <si>
    <t>Casa Quemada</t>
  </si>
  <si>
    <t>Šumice</t>
  </si>
  <si>
    <t>Vitanje</t>
  </si>
  <si>
    <t>679911761-2</t>
  </si>
  <si>
    <t>Rozkishne</t>
  </si>
  <si>
    <t>998932345-3</t>
  </si>
  <si>
    <t>622467298-9</t>
  </si>
  <si>
    <t>Yarumal</t>
  </si>
  <si>
    <t>528677085-1</t>
  </si>
  <si>
    <t>198317529-3</t>
  </si>
  <si>
    <t>Kodamachō-kodamaminami</t>
  </si>
  <si>
    <t>771056378-3</t>
  </si>
  <si>
    <t>Řečany nad Labem</t>
  </si>
  <si>
    <t>528124674-7</t>
  </si>
  <si>
    <t>Torino</t>
  </si>
  <si>
    <t>598268551-8</t>
  </si>
  <si>
    <t>Gualmatán</t>
  </si>
  <si>
    <t>Sophia Antipolis</t>
  </si>
  <si>
    <t>226783526-6</t>
  </si>
  <si>
    <t>Nangtang</t>
  </si>
  <si>
    <t>236084516-0</t>
  </si>
  <si>
    <t>Skore</t>
  </si>
  <si>
    <t>893125485-7</t>
  </si>
  <si>
    <t>347931017-6</t>
  </si>
  <si>
    <t>635772385-1</t>
  </si>
  <si>
    <t>711147436-8</t>
  </si>
  <si>
    <t>Baltimore</t>
  </si>
  <si>
    <t>824538143-8</t>
  </si>
  <si>
    <t>Maganha</t>
  </si>
  <si>
    <t>230620403-9</t>
  </si>
  <si>
    <t>Vila Nova de Santo André</t>
  </si>
  <si>
    <t>746070979-4</t>
  </si>
  <si>
    <t>Teno</t>
  </si>
  <si>
    <t>885375217-3</t>
  </si>
  <si>
    <t>Picoto</t>
  </si>
  <si>
    <t>691392192-6</t>
  </si>
  <si>
    <t>Guapimirim</t>
  </si>
  <si>
    <t>110017420-6</t>
  </si>
  <si>
    <t>Silveiros</t>
  </si>
  <si>
    <t>726003664-8</t>
  </si>
  <si>
    <t>Carson City</t>
  </si>
  <si>
    <t>344856825-2</t>
  </si>
  <si>
    <t>El Paso</t>
  </si>
  <si>
    <t>731091866-5</t>
  </si>
  <si>
    <t>Shreveport</t>
  </si>
  <si>
    <t>Piritiba</t>
  </si>
  <si>
    <t>709798665-4</t>
  </si>
  <si>
    <t>499746594-1</t>
  </si>
  <si>
    <t>Ilhabela</t>
  </si>
  <si>
    <t>381978412-8</t>
  </si>
  <si>
    <t>Tupanciretã</t>
  </si>
  <si>
    <t>439201656-0</t>
  </si>
  <si>
    <t>Envira</t>
  </si>
  <si>
    <t>134827885-4</t>
  </si>
  <si>
    <t>Cabeço de Vide</t>
  </si>
  <si>
    <t>469844381-4</t>
  </si>
  <si>
    <t>Vale</t>
  </si>
  <si>
    <t>954876903-4</t>
  </si>
  <si>
    <t>Araxá</t>
  </si>
  <si>
    <t>358219844-8</t>
  </si>
  <si>
    <t>Souto</t>
  </si>
  <si>
    <t>563162895-3</t>
  </si>
  <si>
    <t>Sincé</t>
  </si>
  <si>
    <t>420921241-5</t>
  </si>
  <si>
    <t>Springfield</t>
  </si>
  <si>
    <t>567460966-7</t>
  </si>
  <si>
    <t>Zárate</t>
  </si>
  <si>
    <t>147575040-4</t>
  </si>
  <si>
    <t>312159579-2</t>
  </si>
  <si>
    <t>Cheyenne</t>
  </si>
  <si>
    <t>386914912-4</t>
  </si>
  <si>
    <t>Portela</t>
  </si>
  <si>
    <t>Alenquer</t>
  </si>
  <si>
    <t>Toledo</t>
  </si>
  <si>
    <t>679268509-7</t>
  </si>
  <si>
    <t/>
  </si>
  <si>
    <t>412996832-7</t>
  </si>
  <si>
    <t>Palmira</t>
  </si>
  <si>
    <t>002526208-4</t>
  </si>
  <si>
    <t>Touguinha</t>
  </si>
  <si>
    <t>General Roca</t>
  </si>
  <si>
    <t>906566266-9</t>
  </si>
  <si>
    <t>Huntsville</t>
  </si>
  <si>
    <t>409173335-2</t>
  </si>
  <si>
    <t>Seattle</t>
  </si>
  <si>
    <t>729357859-8</t>
  </si>
  <si>
    <t>Miguel Calmon</t>
  </si>
  <si>
    <t>973547081-0</t>
  </si>
  <si>
    <t>Rockford</t>
  </si>
  <si>
    <t>203865633-9</t>
  </si>
  <si>
    <t>042011478-5</t>
  </si>
  <si>
    <t>Rio Branco do Sul</t>
  </si>
  <si>
    <t>251916377-1</t>
  </si>
  <si>
    <t>Moscavide</t>
  </si>
  <si>
    <t>241759027-1</t>
  </si>
  <si>
    <t>Breia</t>
  </si>
  <si>
    <t>148226812-4</t>
  </si>
  <si>
    <t>Alegrete</t>
  </si>
  <si>
    <t>220400725-0</t>
  </si>
  <si>
    <t>Campo Maior</t>
  </si>
  <si>
    <t>470608600-0</t>
  </si>
  <si>
    <t>Balsas</t>
  </si>
  <si>
    <t>479969303-4</t>
  </si>
  <si>
    <t>904982422-6</t>
  </si>
  <si>
    <t>Denton</t>
  </si>
  <si>
    <t>428432863-8</t>
  </si>
  <si>
    <t>Pamplona</t>
  </si>
  <si>
    <t>560792457-2</t>
  </si>
  <si>
    <t>Baturité</t>
  </si>
  <si>
    <t>564273605-1</t>
  </si>
  <si>
    <t>General Alvear</t>
  </si>
  <si>
    <t>Brejieira</t>
  </si>
  <si>
    <t>696753883-7</t>
  </si>
  <si>
    <t>Philadelphia</t>
  </si>
  <si>
    <t>191423123-6</t>
  </si>
  <si>
    <t>Maceda</t>
  </si>
  <si>
    <t>406005006-7</t>
  </si>
  <si>
    <t>Granja</t>
  </si>
  <si>
    <t>165085359-9</t>
  </si>
  <si>
    <t>Goiatuba</t>
  </si>
  <si>
    <t>849290598-0</t>
  </si>
  <si>
    <t>Goiânia</t>
  </si>
  <si>
    <t>104564771-3</t>
  </si>
  <si>
    <t>Chiriguaná</t>
  </si>
  <si>
    <t>664250124-1</t>
  </si>
  <si>
    <t>Marabá</t>
  </si>
  <si>
    <t>371224020-1</t>
  </si>
  <si>
    <t>671105943-3</t>
  </si>
  <si>
    <t>Orós</t>
  </si>
  <si>
    <t>147997320-3</t>
  </si>
  <si>
    <t>Omaha</t>
  </si>
  <si>
    <t>715594728-8</t>
  </si>
  <si>
    <t>Estoril</t>
  </si>
  <si>
    <t>330446662-2</t>
  </si>
  <si>
    <t>Arauco</t>
  </si>
  <si>
    <t>196769496-6</t>
  </si>
  <si>
    <t>Pesqueira</t>
  </si>
  <si>
    <t>213890741-4</t>
  </si>
  <si>
    <t>Carvalhal da Aroeira</t>
  </si>
  <si>
    <t>690016623-7</t>
  </si>
  <si>
    <t>Calvário</t>
  </si>
  <si>
    <t>990471625-0</t>
  </si>
  <si>
    <t>Encruzilhada do Sul</t>
  </si>
  <si>
    <t>504605316-0</t>
  </si>
  <si>
    <t>Sampaio</t>
  </si>
  <si>
    <t>548884514-3</t>
  </si>
  <si>
    <t>Málaga</t>
  </si>
  <si>
    <t>872365086-9</t>
  </si>
  <si>
    <t>Combita</t>
  </si>
  <si>
    <t>099011949-1</t>
  </si>
  <si>
    <t>Santa Bárbara d'Oeste</t>
  </si>
  <si>
    <t>698034969-4</t>
  </si>
  <si>
    <t>Las Vegas</t>
  </si>
  <si>
    <t>651871969-9</t>
  </si>
  <si>
    <t>Grajaú</t>
  </si>
  <si>
    <t>014933119-3</t>
  </si>
  <si>
    <t>Pitangui</t>
  </si>
  <si>
    <t>740126574-5</t>
  </si>
  <si>
    <t>Luján de Cuyo</t>
  </si>
  <si>
    <t>Pinheiral</t>
  </si>
  <si>
    <t>924775097-0</t>
  </si>
  <si>
    <t>Muriaé</t>
  </si>
  <si>
    <t>437443375-9</t>
  </si>
  <si>
    <t>Viale</t>
  </si>
  <si>
    <t>469337902-6</t>
  </si>
  <si>
    <t>Salento</t>
  </si>
  <si>
    <t>038645610-0</t>
  </si>
  <si>
    <t>Cali</t>
  </si>
  <si>
    <t>Lérida</t>
  </si>
  <si>
    <t>336526365-9</t>
  </si>
  <si>
    <t>Cavadas</t>
  </si>
  <si>
    <t>727466721-1</t>
  </si>
  <si>
    <t>578706544-1</t>
  </si>
  <si>
    <t>Sobral da Adiça</t>
  </si>
  <si>
    <t>064973592-7</t>
  </si>
  <si>
    <t>Orange</t>
  </si>
  <si>
    <t>240961239-3</t>
  </si>
  <si>
    <t>Satuba</t>
  </si>
  <si>
    <t>621153010-2</t>
  </si>
  <si>
    <t>Carvalheira</t>
  </si>
  <si>
    <t>Conceição do Jacuípe</t>
  </si>
  <si>
    <t>517950767-7</t>
  </si>
  <si>
    <t>Maní</t>
  </si>
  <si>
    <t>858486852-6</t>
  </si>
  <si>
    <t>Sapiranga</t>
  </si>
  <si>
    <t>236557151-4</t>
  </si>
  <si>
    <t>Quatá</t>
  </si>
  <si>
    <t>152828686-3</t>
  </si>
  <si>
    <t>Alagoa Grande</t>
  </si>
  <si>
    <t>Maracanaú</t>
  </si>
  <si>
    <t>241917824-6</t>
  </si>
  <si>
    <t>Jaguariaíva</t>
  </si>
  <si>
    <t>727165260-4</t>
  </si>
  <si>
    <t>Cachoeira do Sul</t>
  </si>
  <si>
    <t>Cortes</t>
  </si>
  <si>
    <t>128458368-6</t>
  </si>
  <si>
    <t>Capela</t>
  </si>
  <si>
    <t>073935182-6</t>
  </si>
  <si>
    <t>Itaberaba</t>
  </si>
  <si>
    <t>537864821-1</t>
  </si>
  <si>
    <t>Lamego</t>
  </si>
  <si>
    <t>560176899-4</t>
  </si>
  <si>
    <t>Caçapava</t>
  </si>
  <si>
    <t>353514119-2</t>
  </si>
  <si>
    <t>Valença</t>
  </si>
  <si>
    <t>789524490-6</t>
  </si>
  <si>
    <t>Chivilcoy</t>
  </si>
  <si>
    <t>171796626-8</t>
  </si>
  <si>
    <t>Juripiranga</t>
  </si>
  <si>
    <t>048593653-4</t>
  </si>
  <si>
    <t>Tabatinga</t>
  </si>
  <si>
    <t>095337152-2</t>
  </si>
  <si>
    <t>Itajaí</t>
  </si>
  <si>
    <t>016694057-7</t>
  </si>
  <si>
    <t>Montgomery</t>
  </si>
  <si>
    <t>214886750-4</t>
  </si>
  <si>
    <t>San Felipe</t>
  </si>
  <si>
    <t>024920873-3</t>
  </si>
  <si>
    <t>Bagadó</t>
  </si>
  <si>
    <t>242328109-9</t>
  </si>
  <si>
    <t>250982400-7</t>
  </si>
  <si>
    <t>Itiruçu</t>
  </si>
  <si>
    <t>698720311-3</t>
  </si>
  <si>
    <t>152060611-7</t>
  </si>
  <si>
    <t>Novo Horizonte</t>
  </si>
  <si>
    <t>655578723-6</t>
  </si>
  <si>
    <t>Lajeosa</t>
  </si>
  <si>
    <t>362568476-4</t>
  </si>
  <si>
    <t>Oklahoma City</t>
  </si>
  <si>
    <t>705288727-4</t>
  </si>
  <si>
    <t>Tampa</t>
  </si>
  <si>
    <t>596631285-0</t>
  </si>
  <si>
    <t>General Belgrano</t>
  </si>
  <si>
    <t>742446773-5</t>
  </si>
  <si>
    <t>Santa Rosa</t>
  </si>
  <si>
    <t>152764189-9</t>
  </si>
  <si>
    <t>Margarita</t>
  </si>
  <si>
    <t>539830697-9</t>
  </si>
  <si>
    <t>Valparaíso</t>
  </si>
  <si>
    <t>819110851-8</t>
  </si>
  <si>
    <t>Las Varillas</t>
  </si>
  <si>
    <t>618347372-3</t>
  </si>
  <si>
    <t>Tercena</t>
  </si>
  <si>
    <t>239320032-0</t>
  </si>
  <si>
    <t>597051407-1</t>
  </si>
  <si>
    <t>Boca Raton</t>
  </si>
  <si>
    <t>320735394-0</t>
  </si>
  <si>
    <t>Vila Nova</t>
  </si>
  <si>
    <t>954843185-8</t>
  </si>
  <si>
    <t>N’dalatando</t>
  </si>
  <si>
    <t>Angola</t>
  </si>
  <si>
    <t>579745214-6</t>
  </si>
  <si>
    <t>Dibulla</t>
  </si>
  <si>
    <t>499159950-4</t>
  </si>
  <si>
    <t>Votorantim</t>
  </si>
  <si>
    <t>735160576-9</t>
  </si>
  <si>
    <t>Cachipay</t>
  </si>
  <si>
    <t>423999431-4</t>
  </si>
  <si>
    <t>Whittier</t>
  </si>
  <si>
    <t>179786826-8</t>
  </si>
  <si>
    <t>259497981-3</t>
  </si>
  <si>
    <t>Praia de Mira</t>
  </si>
  <si>
    <t>311624236-4</t>
  </si>
  <si>
    <t>Balboa</t>
  </si>
  <si>
    <t>Villaguay</t>
  </si>
  <si>
    <t>891657583-4</t>
  </si>
  <si>
    <t>538897834-6</t>
  </si>
  <si>
    <t>Espinillo</t>
  </si>
  <si>
    <t>524467982-1</t>
  </si>
  <si>
    <t>Mesquite</t>
  </si>
  <si>
    <t>Kansas City</t>
  </si>
  <si>
    <t>836631878-8</t>
  </si>
  <si>
    <t>Castanheira de Pêra</t>
  </si>
  <si>
    <t>190415617-7</t>
  </si>
  <si>
    <t>La Viña</t>
  </si>
  <si>
    <t>472339526-1</t>
  </si>
  <si>
    <t>Niquelândia</t>
  </si>
  <si>
    <t>546109490-2</t>
  </si>
  <si>
    <t>Jesús María</t>
  </si>
  <si>
    <t>805857753-7</t>
  </si>
  <si>
    <t>New Orleans</t>
  </si>
  <si>
    <t>304242164-3</t>
  </si>
  <si>
    <t>190833467-3</t>
  </si>
  <si>
    <t>Fontainhas</t>
  </si>
  <si>
    <t>768983876-6</t>
  </si>
  <si>
    <t>Timbiras</t>
  </si>
  <si>
    <t>215162856-6</t>
  </si>
  <si>
    <t>Mirões</t>
  </si>
  <si>
    <t>061595884-2</t>
  </si>
  <si>
    <t>Quarteira</t>
  </si>
  <si>
    <t>944541472-1</t>
  </si>
  <si>
    <t>Almaguer</t>
  </si>
  <si>
    <t>Coxim</t>
  </si>
  <si>
    <t>450137177-3</t>
  </si>
  <si>
    <t>Bom Despacho</t>
  </si>
  <si>
    <t>646088234-7</t>
  </si>
  <si>
    <t>Antes</t>
  </si>
  <si>
    <t>132805113-7</t>
  </si>
  <si>
    <t>214448926-2</t>
  </si>
  <si>
    <t>Ituiutaba</t>
  </si>
  <si>
    <t>492870629-3</t>
  </si>
  <si>
    <t>Nariño</t>
  </si>
  <si>
    <t>573464472-2</t>
  </si>
  <si>
    <t>Correntina</t>
  </si>
  <si>
    <t>884477259-0</t>
  </si>
  <si>
    <t>Hartford</t>
  </si>
  <si>
    <t>382333309-7</t>
  </si>
  <si>
    <t>Tianguá</t>
  </si>
  <si>
    <t>159342601-1</t>
  </si>
  <si>
    <t>Buri</t>
  </si>
  <si>
    <t>645231156-5</t>
  </si>
  <si>
    <t>El Retorno</t>
  </si>
  <si>
    <t>043953375-9</t>
  </si>
  <si>
    <t>Honolulu</t>
  </si>
  <si>
    <t>249197906-3</t>
  </si>
  <si>
    <t>457875897-4</t>
  </si>
  <si>
    <t>Albarraque</t>
  </si>
  <si>
    <t>754833041-3</t>
  </si>
  <si>
    <t>Vilar do Monte</t>
  </si>
  <si>
    <t>746279719-4</t>
  </si>
  <si>
    <t>São José dos Campos</t>
  </si>
  <si>
    <t>775771749-3</t>
  </si>
  <si>
    <t>Belo Horizonte</t>
  </si>
  <si>
    <t>712055083-7</t>
  </si>
  <si>
    <t>Buritama</t>
  </si>
  <si>
    <t>703532484-4</t>
  </si>
  <si>
    <t>Boucinhas</t>
  </si>
  <si>
    <t>943873790-1</t>
  </si>
  <si>
    <t>Pará de Minas</t>
  </si>
  <si>
    <t>247639627-3</t>
  </si>
  <si>
    <t>Passos</t>
  </si>
  <si>
    <t>036230151-4</t>
  </si>
  <si>
    <t>Novo Hamburgo</t>
  </si>
  <si>
    <t>533036575-9</t>
  </si>
  <si>
    <t>400915416-0</t>
  </si>
  <si>
    <t>Amieira do Tejo</t>
  </si>
  <si>
    <t>462887254-6</t>
  </si>
  <si>
    <t>Maragogi</t>
  </si>
  <si>
    <t>352771949-0</t>
  </si>
  <si>
    <t>Linhó</t>
  </si>
  <si>
    <t>Solânea</t>
  </si>
  <si>
    <t>Pires do Rio</t>
  </si>
  <si>
    <t>742145191-9</t>
  </si>
  <si>
    <t>572093784-6</t>
  </si>
  <si>
    <t>San José de Feliciano</t>
  </si>
  <si>
    <t>561448318-7</t>
  </si>
  <si>
    <t>Casa Nova</t>
  </si>
  <si>
    <t>000213853-0</t>
  </si>
  <si>
    <t>531299881-8</t>
  </si>
  <si>
    <t>Melbourne</t>
  </si>
  <si>
    <t>368557837-5</t>
  </si>
  <si>
    <t>Ferreira do Alentejo</t>
  </si>
  <si>
    <t>251925319-3</t>
  </si>
  <si>
    <t>643623661-9</t>
  </si>
  <si>
    <t>Igreja</t>
  </si>
  <si>
    <t>224345464-5</t>
  </si>
  <si>
    <t>Santo Adrião Vizela</t>
  </si>
  <si>
    <t>498071791-8</t>
  </si>
  <si>
    <t>Santa Cruz das Flores</t>
  </si>
  <si>
    <t>Concepción del Uruguay</t>
  </si>
  <si>
    <t>054400332-2</t>
  </si>
  <si>
    <t>791590464-7</t>
  </si>
  <si>
    <t>789647796-3</t>
  </si>
  <si>
    <t>Leleque</t>
  </si>
  <si>
    <t>480165058-9</t>
  </si>
  <si>
    <t>Esquina</t>
  </si>
  <si>
    <t>324759586-4</t>
  </si>
  <si>
    <t>Cochadas</t>
  </si>
  <si>
    <t>661468297-0</t>
  </si>
  <si>
    <t>Waterbury</t>
  </si>
  <si>
    <t>211152769-6</t>
  </si>
  <si>
    <t>573670559-1</t>
  </si>
  <si>
    <t>Phoenix</t>
  </si>
  <si>
    <t>São Paio Merelim</t>
  </si>
  <si>
    <t>157755467-1</t>
  </si>
  <si>
    <t>Guanambi</t>
  </si>
  <si>
    <t>296527742-0</t>
  </si>
  <si>
    <t>Sincelejo</t>
  </si>
  <si>
    <t>735013825-3</t>
  </si>
  <si>
    <t>Monte do Outeiro</t>
  </si>
  <si>
    <t>575084159-6</t>
  </si>
  <si>
    <t>Louveira</t>
  </si>
  <si>
    <t>394988082-8</t>
  </si>
  <si>
    <t>500076667-9</t>
  </si>
  <si>
    <t>Garça</t>
  </si>
  <si>
    <t>845795967-0</t>
  </si>
  <si>
    <t>Balazar</t>
  </si>
  <si>
    <t>082352252-0</t>
  </si>
  <si>
    <t>Vale Maceiras</t>
  </si>
  <si>
    <t>604633095-5</t>
  </si>
  <si>
    <t>Charleston</t>
  </si>
  <si>
    <t>324428525-2</t>
  </si>
  <si>
    <t>Bairros</t>
  </si>
  <si>
    <t>148616910-4</t>
  </si>
  <si>
    <t>Jardim do Seridó</t>
  </si>
  <si>
    <t>429679775-1</t>
  </si>
  <si>
    <t>San Justo</t>
  </si>
  <si>
    <t>181678920-8</t>
  </si>
  <si>
    <t>Pittsburgh</t>
  </si>
  <si>
    <t>784751618-7</t>
  </si>
  <si>
    <t>Carpina</t>
  </si>
  <si>
    <t>015520604-4</t>
  </si>
  <si>
    <t>Aurora</t>
  </si>
  <si>
    <t>255903416-6</t>
  </si>
  <si>
    <t>Rosais</t>
  </si>
  <si>
    <t>452005213-0</t>
  </si>
  <si>
    <t>Santa Cruz da Graciosa</t>
  </si>
  <si>
    <t>528638709-8</t>
  </si>
  <si>
    <t>470034786-4</t>
  </si>
  <si>
    <t>Wilkes Barre</t>
  </si>
  <si>
    <t>011692320-2</t>
  </si>
  <si>
    <t>Sunchales</t>
  </si>
  <si>
    <t>Tojeira</t>
  </si>
  <si>
    <t>408704519-6</t>
  </si>
  <si>
    <t>Miraflores</t>
  </si>
  <si>
    <t>192955834-1</t>
  </si>
  <si>
    <t>Villanueva</t>
  </si>
  <si>
    <t>399813727-0</t>
  </si>
  <si>
    <t>078322192-4</t>
  </si>
  <si>
    <t>Mosteiros</t>
  </si>
  <si>
    <t>525787602-7</t>
  </si>
  <si>
    <t>Astorga</t>
  </si>
  <si>
    <t>640045466-7</t>
  </si>
  <si>
    <t>Patrick</t>
  </si>
  <si>
    <t>Tacoma</t>
  </si>
  <si>
    <t>516168824-6</t>
  </si>
  <si>
    <t>Pombal</t>
  </si>
  <si>
    <t>240018594-8</t>
  </si>
  <si>
    <t>San Javier</t>
  </si>
  <si>
    <t>812614702-4</t>
  </si>
  <si>
    <t>Apiaí</t>
  </si>
  <si>
    <t>273584027-1</t>
  </si>
  <si>
    <t>Estribeiro</t>
  </si>
  <si>
    <t>350558423-1</t>
  </si>
  <si>
    <t>Quinta da Queimada</t>
  </si>
  <si>
    <t>Marinilla</t>
  </si>
  <si>
    <t>867923173-8</t>
  </si>
  <si>
    <t>341798741-5</t>
  </si>
  <si>
    <t>Estrada</t>
  </si>
  <si>
    <t>Umuarama</t>
  </si>
  <si>
    <t>448544667-0</t>
  </si>
  <si>
    <t>Ábidos</t>
  </si>
  <si>
    <t>035581959-7</t>
  </si>
  <si>
    <t>Villa Presidente Frei, Ñuñoa, Santiago, Chile</t>
  </si>
  <si>
    <t>350610976-6</t>
  </si>
  <si>
    <t>Calheta de Nesquim</t>
  </si>
  <si>
    <t>424005076-6</t>
  </si>
  <si>
    <t>Limoeiro do Norte</t>
  </si>
  <si>
    <t>203603454-3</t>
  </si>
  <si>
    <t>Corinto</t>
  </si>
  <si>
    <t>672798836-6</t>
  </si>
  <si>
    <t>209353653-6</t>
  </si>
  <si>
    <t>Arari</t>
  </si>
  <si>
    <t>107338923-5</t>
  </si>
  <si>
    <t>San Antonio</t>
  </si>
  <si>
    <t>724821835-9</t>
  </si>
  <si>
    <t>Prata</t>
  </si>
  <si>
    <t>907171905-7</t>
  </si>
  <si>
    <t>153298094-9</t>
  </si>
  <si>
    <t>Matão</t>
  </si>
  <si>
    <t>321784784-9</t>
  </si>
  <si>
    <t>São Paulo de Olivença</t>
  </si>
  <si>
    <t>477442187-1</t>
  </si>
  <si>
    <t>Jardín América</t>
  </si>
  <si>
    <t>212565948-4</t>
  </si>
  <si>
    <t>Queimados</t>
  </si>
  <si>
    <t>492319286-0</t>
  </si>
  <si>
    <t>Bernardo Larroudé</t>
  </si>
  <si>
    <t>524900222-6</t>
  </si>
  <si>
    <t>San Francisco</t>
  </si>
  <si>
    <t>403498606-9</t>
  </si>
  <si>
    <t>Allen</t>
  </si>
  <si>
    <t>322718613-6</t>
  </si>
  <si>
    <t>Várzea Grande</t>
  </si>
  <si>
    <t>185941628-4</t>
  </si>
  <si>
    <t>717084564-4</t>
  </si>
  <si>
    <t>Itaitinga</t>
  </si>
  <si>
    <t>467442183-7</t>
  </si>
  <si>
    <t>Gândara de Aquém</t>
  </si>
  <si>
    <t>438619431-2</t>
  </si>
  <si>
    <t>Lancaster</t>
  </si>
  <si>
    <t>806386111-6</t>
  </si>
  <si>
    <t>San José de Miranda</t>
  </si>
  <si>
    <t>437524639-1</t>
  </si>
  <si>
    <t>San Antonio Oeste</t>
  </si>
  <si>
    <t>403312956-1</t>
  </si>
  <si>
    <t>José Bonifácio</t>
  </si>
  <si>
    <t>443208589-4</t>
  </si>
  <si>
    <t>São Brás de Alportel</t>
  </si>
  <si>
    <t>464049031-3</t>
  </si>
  <si>
    <t>Água de Pau</t>
  </si>
  <si>
    <t>423930295-1</t>
  </si>
  <si>
    <t>915761922-0</t>
  </si>
  <si>
    <t>Castro Barros</t>
  </si>
  <si>
    <t>934889561-3</t>
  </si>
  <si>
    <t>Rovira</t>
  </si>
  <si>
    <t>287241512-2</t>
  </si>
  <si>
    <t>Boa Viagem</t>
  </si>
  <si>
    <t>524816385-4</t>
  </si>
  <si>
    <t>Inhambupe</t>
  </si>
  <si>
    <t>321770359-6</t>
  </si>
  <si>
    <t>Arroio do Meio</t>
  </si>
  <si>
    <t>116817262-4</t>
  </si>
  <si>
    <t>Cruz de Pau</t>
  </si>
  <si>
    <t>591146835-2</t>
  </si>
  <si>
    <t>962131895-5</t>
  </si>
  <si>
    <t>035127807-9</t>
  </si>
  <si>
    <t>368870064-3</t>
  </si>
  <si>
    <t>Reno</t>
  </si>
  <si>
    <t>755924074-7</t>
  </si>
  <si>
    <t>322045874-2</t>
  </si>
  <si>
    <t>Buesaco</t>
  </si>
  <si>
    <t>071349261-9</t>
  </si>
  <si>
    <t>111258685-7</t>
  </si>
  <si>
    <t>Embu Guaçu</t>
  </si>
  <si>
    <t>531623550-9</t>
  </si>
  <si>
    <t>245736368-3</t>
  </si>
  <si>
    <t>Cachoeira</t>
  </si>
  <si>
    <t>828236610-2</t>
  </si>
  <si>
    <t>Palmeira</t>
  </si>
  <si>
    <t>850514085-0</t>
  </si>
  <si>
    <t>753910761-8</t>
  </si>
  <si>
    <t>Proença-a-Nova</t>
  </si>
  <si>
    <t>658602590-7</t>
  </si>
  <si>
    <t>Long Beach</t>
  </si>
  <si>
    <t>076672236-8</t>
  </si>
  <si>
    <t>Santa Maria da Vitória</t>
  </si>
  <si>
    <t>975129468-1</t>
  </si>
  <si>
    <t>Azeitão</t>
  </si>
  <si>
    <t>938826383-9</t>
  </si>
  <si>
    <t>Vale da Pedra</t>
  </si>
  <si>
    <t>902430116-5</t>
  </si>
  <si>
    <t>783116937-7</t>
  </si>
  <si>
    <t>Sinop</t>
  </si>
  <si>
    <t>719152212-7</t>
  </si>
  <si>
    <t>Yumbo</t>
  </si>
  <si>
    <t>674782281-1</t>
  </si>
  <si>
    <t>Bairro</t>
  </si>
  <si>
    <t>767296510-7</t>
  </si>
  <si>
    <t>Talca</t>
  </si>
  <si>
    <t>964943808-4</t>
  </si>
  <si>
    <t>Midões</t>
  </si>
  <si>
    <t>358161113-9</t>
  </si>
  <si>
    <t>822974222-7</t>
  </si>
  <si>
    <t>836865228-6</t>
  </si>
  <si>
    <t>511859286-0</t>
  </si>
  <si>
    <t>Palatine</t>
  </si>
  <si>
    <t>716329792-0</t>
  </si>
  <si>
    <t>Riba de Ave</t>
  </si>
  <si>
    <t>264775847-6</t>
  </si>
  <si>
    <t>Carapelhos</t>
  </si>
  <si>
    <t>547704821-2</t>
  </si>
  <si>
    <t>Outeiro</t>
  </si>
  <si>
    <t>445653460-5</t>
  </si>
  <si>
    <t>Castanheira</t>
  </si>
  <si>
    <t>614992948-5</t>
  </si>
  <si>
    <t>654332055-9</t>
  </si>
  <si>
    <t>Lucapa</t>
  </si>
  <si>
    <t>543116429-5</t>
  </si>
  <si>
    <t>Jackson</t>
  </si>
  <si>
    <t>335639179-8</t>
  </si>
  <si>
    <t>Mainque</t>
  </si>
  <si>
    <t>758580624-8</t>
  </si>
  <si>
    <t>Parnaíba</t>
  </si>
  <si>
    <t>785542776-7</t>
  </si>
  <si>
    <t>Padre Nabeto</t>
  </si>
  <si>
    <t>481833153-8</t>
  </si>
  <si>
    <t>158539969-8</t>
  </si>
  <si>
    <t>Paranho</t>
  </si>
  <si>
    <t>513492303-5</t>
  </si>
  <si>
    <t>Itaperuna</t>
  </si>
  <si>
    <t>Santa Cristina Couto</t>
  </si>
  <si>
    <t>300916885-3</t>
  </si>
  <si>
    <t>695726319-3</t>
  </si>
  <si>
    <t>600128706-6</t>
  </si>
  <si>
    <t>Vila Nova de Milfontes</t>
  </si>
  <si>
    <t>860203603-5</t>
  </si>
  <si>
    <t>Boston</t>
  </si>
  <si>
    <t>496798675-7</t>
  </si>
  <si>
    <t>Crespo</t>
  </si>
  <si>
    <t>167576157-4</t>
  </si>
  <si>
    <t>Villa Cañás</t>
  </si>
  <si>
    <t>304838879-6</t>
  </si>
  <si>
    <t>Portland</t>
  </si>
  <si>
    <t>494930158-6</t>
  </si>
  <si>
    <t>Vilarinho das Cambas</t>
  </si>
  <si>
    <t>494613121-3</t>
  </si>
  <si>
    <t>332191884-6</t>
  </si>
  <si>
    <t>New Haven</t>
  </si>
  <si>
    <t>974712553-6</t>
  </si>
  <si>
    <t>São João dos Montes</t>
  </si>
  <si>
    <t>806467566-9</t>
  </si>
  <si>
    <t>Achada</t>
  </si>
  <si>
    <t>190832804-5</t>
  </si>
  <si>
    <t>512443138-5</t>
  </si>
  <si>
    <t>409196081-2</t>
  </si>
  <si>
    <t>Aracaju</t>
  </si>
  <si>
    <t>676480269-6</t>
  </si>
  <si>
    <t>852039192-3</t>
  </si>
  <si>
    <t>Aparecida de Goiânia</t>
  </si>
  <si>
    <t>863589825-7</t>
  </si>
  <si>
    <t>Maraial</t>
  </si>
  <si>
    <t>Simão Dias</t>
  </si>
  <si>
    <t>Alhambra</t>
  </si>
  <si>
    <t>464453811-6</t>
  </si>
  <si>
    <t>Villa Santa Rita</t>
  </si>
  <si>
    <t>822680262-8</t>
  </si>
  <si>
    <t>Rochester</t>
  </si>
  <si>
    <t>449359382-2</t>
  </si>
  <si>
    <t>Palhais</t>
  </si>
  <si>
    <t>422743076-3</t>
  </si>
  <si>
    <t>Iaçu</t>
  </si>
  <si>
    <t>783305912-9</t>
  </si>
  <si>
    <t>Candelária</t>
  </si>
  <si>
    <t>788806384-5</t>
  </si>
  <si>
    <t>Guanhães</t>
  </si>
  <si>
    <t>Florianópolis</t>
  </si>
  <si>
    <t>863232860-3</t>
  </si>
  <si>
    <t>São João da Barra</t>
  </si>
  <si>
    <t>319374546-4</t>
  </si>
  <si>
    <t>Itapemirim</t>
  </si>
  <si>
    <t>549336341-0</t>
  </si>
  <si>
    <t>929324353-9</t>
  </si>
  <si>
    <t>Itacorubi</t>
  </si>
  <si>
    <t>516160256-2</t>
  </si>
  <si>
    <t>Cataguases</t>
  </si>
  <si>
    <t>794397731-9</t>
  </si>
  <si>
    <t>703700294-1</t>
  </si>
  <si>
    <t>Nagosela</t>
  </si>
  <si>
    <t>853059662-5</t>
  </si>
  <si>
    <t>477274821-0</t>
  </si>
  <si>
    <t>Colorado Springs</t>
  </si>
  <si>
    <t>605500260-4</t>
  </si>
  <si>
    <t>597005781-9</t>
  </si>
  <si>
    <t>Conselheiro Lafaiete</t>
  </si>
  <si>
    <t>527591826-7</t>
  </si>
  <si>
    <t>295049453-6</t>
  </si>
  <si>
    <t>Paulínia</t>
  </si>
  <si>
    <t>Greensboro</t>
  </si>
  <si>
    <t>370095520-0</t>
  </si>
  <si>
    <t>La Estrella</t>
  </si>
  <si>
    <t>793167094-9</t>
  </si>
  <si>
    <t>Hagerstown</t>
  </si>
  <si>
    <t>060217840-1</t>
  </si>
  <si>
    <t>Carvoeira</t>
  </si>
  <si>
    <t>440322342-7</t>
  </si>
  <si>
    <t>Paraná</t>
  </si>
  <si>
    <t>418677152-9</t>
  </si>
  <si>
    <t>João Pessoa</t>
  </si>
  <si>
    <t>Mari</t>
  </si>
  <si>
    <t>286445323-1</t>
  </si>
  <si>
    <t>Odivelas</t>
  </si>
  <si>
    <t>224517655-3</t>
  </si>
  <si>
    <t>Saint Louis</t>
  </si>
  <si>
    <t>Brumadinho</t>
  </si>
  <si>
    <t>259898736-5</t>
  </si>
  <si>
    <t>Campo de la Cruz</t>
  </si>
  <si>
    <t>755275487-7</t>
  </si>
  <si>
    <t>Charlotte</t>
  </si>
  <si>
    <t>742272279-7</t>
  </si>
  <si>
    <t>699177263-1</t>
  </si>
  <si>
    <t>710725382-4</t>
  </si>
  <si>
    <t>Chafé</t>
  </si>
  <si>
    <t>110092080-3</t>
  </si>
  <si>
    <t>Ushuaia</t>
  </si>
  <si>
    <t>516868483-1</t>
  </si>
  <si>
    <t>Cartagena</t>
  </si>
  <si>
    <t>792691138-0</t>
  </si>
  <si>
    <t>Jatobá</t>
  </si>
  <si>
    <t>337162040-9</t>
  </si>
  <si>
    <t>Penteado</t>
  </si>
  <si>
    <t>407281657-4</t>
  </si>
  <si>
    <t>265471221-4</t>
  </si>
  <si>
    <t>Ubatã</t>
  </si>
  <si>
    <t>584098947-9</t>
  </si>
  <si>
    <t>Cianorte</t>
  </si>
  <si>
    <t>297633011-5</t>
  </si>
  <si>
    <t>Tambaú</t>
  </si>
  <si>
    <t>270122292-3</t>
  </si>
  <si>
    <t>Brooklyn</t>
  </si>
  <si>
    <t>149250511-0</t>
  </si>
  <si>
    <t>Puerto Nariño</t>
  </si>
  <si>
    <t>906861175-5</t>
  </si>
  <si>
    <t>Carcarañá</t>
  </si>
  <si>
    <t>183548175-2</t>
  </si>
  <si>
    <t>638267861-9</t>
  </si>
  <si>
    <t>Monte</t>
  </si>
  <si>
    <t>016605534-4</t>
  </si>
  <si>
    <t>Guamal</t>
  </si>
  <si>
    <t>Osvaldo Cruz</t>
  </si>
  <si>
    <t>332148912-0</t>
  </si>
  <si>
    <t>Maple Plain</t>
  </si>
  <si>
    <t>Staten Island</t>
  </si>
  <si>
    <t>227148736-6</t>
  </si>
  <si>
    <t>Fullerton</t>
  </si>
  <si>
    <t>980499136-5</t>
  </si>
  <si>
    <t>Boleiros</t>
  </si>
  <si>
    <t>058797760-4</t>
  </si>
  <si>
    <t>Ribeira</t>
  </si>
  <si>
    <t>072821891-7</t>
  </si>
  <si>
    <t>Lameiras</t>
  </si>
  <si>
    <t>Goianira</t>
  </si>
  <si>
    <t>959009153-9</t>
  </si>
  <si>
    <t>Chigorodó</t>
  </si>
  <si>
    <t>560653776-1</t>
  </si>
  <si>
    <t>Limoeiro do Ajuru</t>
  </si>
  <si>
    <t>209343383-4</t>
  </si>
  <si>
    <t>Piraí do Sul</t>
  </si>
  <si>
    <t>318636982-7</t>
  </si>
  <si>
    <t>Nova Russas</t>
  </si>
  <si>
    <t>838413119-8</t>
  </si>
  <si>
    <t>Antonina</t>
  </si>
  <si>
    <t>222192703-6</t>
  </si>
  <si>
    <t>335943576-1</t>
  </si>
  <si>
    <t>772381937-4</t>
  </si>
  <si>
    <t>Além do Rio</t>
  </si>
  <si>
    <t>512048908-7</t>
  </si>
  <si>
    <t>Palmas</t>
  </si>
  <si>
    <t>160406388-2</t>
  </si>
  <si>
    <t>Rionegro</t>
  </si>
  <si>
    <t>313116999-0</t>
  </si>
  <si>
    <t>Bragança</t>
  </si>
  <si>
    <t>629089874-4</t>
  </si>
  <si>
    <t>745488586-1</t>
  </si>
  <si>
    <t>Tecka</t>
  </si>
  <si>
    <t>965566370-1</t>
  </si>
  <si>
    <t>Marisol</t>
  </si>
  <si>
    <t>716040821-7</t>
  </si>
  <si>
    <t>Caeté</t>
  </si>
  <si>
    <t>642192548-0</t>
  </si>
  <si>
    <t>250578890-1</t>
  </si>
  <si>
    <t>Aquiraz</t>
  </si>
  <si>
    <t>638998209-7</t>
  </si>
  <si>
    <t>Mendes</t>
  </si>
  <si>
    <t>308611788-5</t>
  </si>
  <si>
    <t>Caluquembe</t>
  </si>
  <si>
    <t>887595418-6</t>
  </si>
  <si>
    <t>Galapa</t>
  </si>
  <si>
    <t>898526020-0</t>
  </si>
  <si>
    <t>Presa</t>
  </si>
  <si>
    <t>312672895-2</t>
  </si>
  <si>
    <t>Bradenton</t>
  </si>
  <si>
    <t>780965138-2</t>
  </si>
  <si>
    <t>169924561-4</t>
  </si>
  <si>
    <t>744380537-3</t>
  </si>
  <si>
    <t>Morteros</t>
  </si>
  <si>
    <t>024176779-2</t>
  </si>
  <si>
    <t>946158225-0</t>
  </si>
  <si>
    <t>Miracema</t>
  </si>
  <si>
    <t>730995032-1</t>
  </si>
  <si>
    <t>Pinhal General</t>
  </si>
  <si>
    <t>017671733-1</t>
  </si>
  <si>
    <t>Vale da Bajouca</t>
  </si>
  <si>
    <t>418047636-3</t>
  </si>
  <si>
    <t>Carrasqueira</t>
  </si>
  <si>
    <t>160762627-6</t>
  </si>
  <si>
    <t>Alhos Vedros</t>
  </si>
  <si>
    <t>886274667-9</t>
  </si>
  <si>
    <t>094956114-2</t>
  </si>
  <si>
    <t>Bello</t>
  </si>
  <si>
    <t>508435680-9</t>
  </si>
  <si>
    <t>Buíque</t>
  </si>
  <si>
    <t>Manhete</t>
  </si>
  <si>
    <t>870543736-9</t>
  </si>
  <si>
    <t>São Torcato</t>
  </si>
  <si>
    <t>117291145-2</t>
  </si>
  <si>
    <t>Villa Castelli</t>
  </si>
  <si>
    <t>292340163-8</t>
  </si>
  <si>
    <t>Barra do Bugres</t>
  </si>
  <si>
    <t>504798201-7</t>
  </si>
  <si>
    <t>Floresta</t>
  </si>
  <si>
    <t>148551745-1</t>
  </si>
  <si>
    <t>385584971-4</t>
  </si>
  <si>
    <t>Caculé</t>
  </si>
  <si>
    <t>147882721-1</t>
  </si>
  <si>
    <t>São Paio de Gramaços</t>
  </si>
  <si>
    <t>940045546-1</t>
  </si>
  <si>
    <t>Olavarría</t>
  </si>
  <si>
    <t>330772619-6</t>
  </si>
  <si>
    <t>Lincoln</t>
  </si>
  <si>
    <t>Paranaguá</t>
  </si>
  <si>
    <t>716510155-1</t>
  </si>
  <si>
    <t>556715308-2</t>
  </si>
  <si>
    <t>Fonte da Aldeia</t>
  </si>
  <si>
    <t>618006240-4</t>
  </si>
  <si>
    <t>Ilha Solteira</t>
  </si>
  <si>
    <t>775322293-7</t>
  </si>
  <si>
    <t>Medeiros Neto</t>
  </si>
  <si>
    <t>Onzaga</t>
  </si>
  <si>
    <t>863379284-2</t>
  </si>
  <si>
    <t>Prior Velho</t>
  </si>
  <si>
    <t>398651768-5</t>
  </si>
  <si>
    <t>Famões</t>
  </si>
  <si>
    <t>026047316-2</t>
  </si>
  <si>
    <t>287028588-4</t>
  </si>
  <si>
    <t>556585000-2</t>
  </si>
  <si>
    <t>Ermida</t>
  </si>
  <si>
    <t>815704557-6</t>
  </si>
  <si>
    <t>Fartura</t>
  </si>
  <si>
    <t>489314115-5</t>
  </si>
  <si>
    <t>Santo Antônio de Posse</t>
  </si>
  <si>
    <t>976998105-2</t>
  </si>
  <si>
    <t>Arcoverde</t>
  </si>
  <si>
    <t>898054854-0</t>
  </si>
  <si>
    <t>Couço</t>
  </si>
  <si>
    <t>972551664-8</t>
  </si>
  <si>
    <t>San Onofre</t>
  </si>
  <si>
    <t>909046300-3</t>
  </si>
  <si>
    <t>Nova Olímpia</t>
  </si>
  <si>
    <t>569101944-9</t>
  </si>
  <si>
    <t>094699365-3</t>
  </si>
  <si>
    <t>Salgueiro</t>
  </si>
  <si>
    <t>863447037-7</t>
  </si>
  <si>
    <t>Savannah</t>
  </si>
  <si>
    <t>554467737-9</t>
  </si>
  <si>
    <t>Evansville</t>
  </si>
  <si>
    <t>720972102-9</t>
  </si>
  <si>
    <t>725341776-3</t>
  </si>
  <si>
    <t>Conde</t>
  </si>
  <si>
    <t>515264882-2</t>
  </si>
  <si>
    <t>Pombos</t>
  </si>
  <si>
    <t>Teresina</t>
  </si>
  <si>
    <t>033235359-1</t>
  </si>
  <si>
    <t>Aveiras de Cima</t>
  </si>
  <si>
    <t>621898237-8</t>
  </si>
  <si>
    <t>Las Heras</t>
  </si>
  <si>
    <t>Castelo</t>
  </si>
  <si>
    <t>907114929-3</t>
  </si>
  <si>
    <t>317576092-9</t>
  </si>
  <si>
    <t>Ponte Nova</t>
  </si>
  <si>
    <t>552169936-8</t>
  </si>
  <si>
    <t>Lamoso</t>
  </si>
  <si>
    <t>884971965-5</t>
  </si>
  <si>
    <t>Rio de Moinhos</t>
  </si>
  <si>
    <t>Agrela</t>
  </si>
  <si>
    <t>281243900-9</t>
  </si>
  <si>
    <t>171665450-5</t>
  </si>
  <si>
    <t>Sabanalarga</t>
  </si>
  <si>
    <t>587375634-1</t>
  </si>
  <si>
    <t>Alto de São Sebastião</t>
  </si>
  <si>
    <t>418263426-8</t>
  </si>
  <si>
    <t>Corpus Christi</t>
  </si>
  <si>
    <t>534520082-3</t>
  </si>
  <si>
    <t>991771568-1</t>
  </si>
  <si>
    <t>Teófilo Otoni</t>
  </si>
  <si>
    <t>808132261-2</t>
  </si>
  <si>
    <t>Viseu</t>
  </si>
  <si>
    <t>977285008-7</t>
  </si>
  <si>
    <t>Lubbock</t>
  </si>
  <si>
    <t>706386854-3</t>
  </si>
  <si>
    <t>Cañasgordas</t>
  </si>
  <si>
    <t>075969323-4</t>
  </si>
  <si>
    <t>Aguachica</t>
  </si>
  <si>
    <t>192578594-7</t>
  </si>
  <si>
    <t>Fundão</t>
  </si>
  <si>
    <t>341068291-0</t>
  </si>
  <si>
    <t>Candelaria</t>
  </si>
  <si>
    <t>143725819-0</t>
  </si>
  <si>
    <t>Rio das Pedras</t>
  </si>
  <si>
    <t>283481347-7</t>
  </si>
  <si>
    <t>Macon</t>
  </si>
  <si>
    <t>445483563-2</t>
  </si>
  <si>
    <t>Monte Francisco</t>
  </si>
  <si>
    <t>186581531-4</t>
  </si>
  <si>
    <t>655237887-4</t>
  </si>
  <si>
    <t>439992275-3</t>
  </si>
  <si>
    <t>Río Ceballos</t>
  </si>
  <si>
    <t>803259557-0</t>
  </si>
  <si>
    <t>Boa Esperança</t>
  </si>
  <si>
    <t>679231552-4</t>
  </si>
  <si>
    <t>Cambebba</t>
  </si>
  <si>
    <t>894205705-5</t>
  </si>
  <si>
    <t>Port Washington</t>
  </si>
  <si>
    <t>794359898-9</t>
  </si>
  <si>
    <t>Bárrio</t>
  </si>
  <si>
    <t>563220227-5</t>
  </si>
  <si>
    <t>965548563-3</t>
  </si>
  <si>
    <t>Necochea</t>
  </si>
  <si>
    <t>405388656-2</t>
  </si>
  <si>
    <t>Arboleda</t>
  </si>
  <si>
    <t>677748667-4</t>
  </si>
  <si>
    <t>071851462-9</t>
  </si>
  <si>
    <t>El Aguilar</t>
  </si>
  <si>
    <t>247269747-3</t>
  </si>
  <si>
    <t>Jardia</t>
  </si>
  <si>
    <t>075902896-6</t>
  </si>
  <si>
    <t>Glória do Goitá</t>
  </si>
  <si>
    <t>566272645-0</t>
  </si>
  <si>
    <t>Vera Cruz</t>
  </si>
  <si>
    <t>677639079-7</t>
  </si>
  <si>
    <t>Ananindeua</t>
  </si>
  <si>
    <t>185059297-7</t>
  </si>
  <si>
    <t>Figueira</t>
  </si>
  <si>
    <t>948905401-1</t>
  </si>
  <si>
    <t>224799702-3</t>
  </si>
  <si>
    <t>Arraial do Cabo</t>
  </si>
  <si>
    <t>262559385-7</t>
  </si>
  <si>
    <t>550314823-1</t>
  </si>
  <si>
    <t>Córdoba</t>
  </si>
  <si>
    <t>899381437-6</t>
  </si>
  <si>
    <t>Castanheira do Campo</t>
  </si>
  <si>
    <t>984313597-0</t>
  </si>
  <si>
    <t>Várzea de Sintra</t>
  </si>
  <si>
    <t>251956191-2</t>
  </si>
  <si>
    <t>Lobos</t>
  </si>
  <si>
    <t>589008167-5</t>
  </si>
  <si>
    <t>Iranduba</t>
  </si>
  <si>
    <t>189842871-9</t>
  </si>
  <si>
    <t>Pinellas Park</t>
  </si>
  <si>
    <t>222320771-5</t>
  </si>
  <si>
    <t>Varjota</t>
  </si>
  <si>
    <t>665241429-5</t>
  </si>
  <si>
    <t>Río Viejo</t>
  </si>
  <si>
    <t>802684237-5</t>
  </si>
  <si>
    <t>Casal Novo</t>
  </si>
  <si>
    <t>329459050-4</t>
  </si>
  <si>
    <t>São José dos Pinhais</t>
  </si>
  <si>
    <t>236773323-6</t>
  </si>
  <si>
    <t>Sampacho</t>
  </si>
  <si>
    <t>417821661-9</t>
  </si>
  <si>
    <t>093831633-8</t>
  </si>
  <si>
    <t>Ponte da Pedra</t>
  </si>
  <si>
    <t>231924746-7</t>
  </si>
  <si>
    <t>Queluz de Baixo</t>
  </si>
  <si>
    <t>566769209-0</t>
  </si>
  <si>
    <t>Miami</t>
  </si>
  <si>
    <t>868011400-6</t>
  </si>
  <si>
    <t>María la Baja</t>
  </si>
  <si>
    <t>229107333-8</t>
  </si>
  <si>
    <t>Itacoatiara</t>
  </si>
  <si>
    <t>935779376-3</t>
  </si>
  <si>
    <t>Buenaventura</t>
  </si>
  <si>
    <t>763845921-0</t>
  </si>
  <si>
    <t>Cruz Alta</t>
  </si>
  <si>
    <t>130885190-1</t>
  </si>
  <si>
    <t>Meruge</t>
  </si>
  <si>
    <t>401649683-7</t>
  </si>
  <si>
    <t>Canalete</t>
  </si>
  <si>
    <t>999895222-0</t>
  </si>
  <si>
    <t>Mato Cheirinhos</t>
  </si>
  <si>
    <t>914358072-6</t>
  </si>
  <si>
    <t>Alejo Ledesma</t>
  </si>
  <si>
    <t>822878156-3</t>
  </si>
  <si>
    <t>Campos Belos</t>
  </si>
  <si>
    <t>004324210-3</t>
  </si>
  <si>
    <t>Madalena</t>
  </si>
  <si>
    <t>227536474-9</t>
  </si>
  <si>
    <t>Feira de Santana</t>
  </si>
  <si>
    <t>992628016-1</t>
  </si>
  <si>
    <t>San Alberto</t>
  </si>
  <si>
    <t>093536491-9</t>
  </si>
  <si>
    <t>Las Junturas</t>
  </si>
  <si>
    <t>193482492-5</t>
  </si>
  <si>
    <t>Libertador General San Martín</t>
  </si>
  <si>
    <t>620634890-3</t>
  </si>
  <si>
    <t>Venda Nova</t>
  </si>
  <si>
    <t>516538706-2</t>
  </si>
  <si>
    <t>Correia Pinto</t>
  </si>
  <si>
    <t>828827497-8</t>
  </si>
  <si>
    <t>Sabanagrande</t>
  </si>
  <si>
    <t>013685979-8</t>
  </si>
  <si>
    <t>Gavea</t>
  </si>
  <si>
    <t>530983246-7</t>
  </si>
  <si>
    <t>Delães</t>
  </si>
  <si>
    <t>637629980-6</t>
  </si>
  <si>
    <t>General Manuel J. Campos</t>
  </si>
  <si>
    <t>340705097-6</t>
  </si>
  <si>
    <t>Nossa Senhora da Glória</t>
  </si>
  <si>
    <t>057665792-1</t>
  </si>
  <si>
    <t>Mulchén</t>
  </si>
  <si>
    <t>794048872-4</t>
  </si>
  <si>
    <t>576786524-8</t>
  </si>
  <si>
    <t>701321057-9</t>
  </si>
  <si>
    <t>General Enrique Mosconi</t>
  </si>
  <si>
    <t>165800106-0</t>
  </si>
  <si>
    <t>322901394-8</t>
  </si>
  <si>
    <t>575675193-9</t>
  </si>
  <si>
    <t>São João do Campo</t>
  </si>
  <si>
    <t>611960266-6</t>
  </si>
  <si>
    <t>Guardizela</t>
  </si>
  <si>
    <t>526284162-7</t>
  </si>
  <si>
    <t>719459956-2</t>
  </si>
  <si>
    <t>Magangué</t>
  </si>
  <si>
    <t>202156893-8</t>
  </si>
  <si>
    <t>576088028-4</t>
  </si>
  <si>
    <t>Bell Ville</t>
  </si>
  <si>
    <t>343462635-2</t>
  </si>
  <si>
    <t>General Guido</t>
  </si>
  <si>
    <t>941195969-5</t>
  </si>
  <si>
    <t>Puerto Berrío</t>
  </si>
  <si>
    <t>685765546-4</t>
  </si>
  <si>
    <t>737120782-3</t>
  </si>
  <si>
    <t>Serzedo</t>
  </si>
  <si>
    <t>958119190-9</t>
  </si>
  <si>
    <t>533709748-2</t>
  </si>
  <si>
    <t>Londrina</t>
  </si>
  <si>
    <t>347152063-5</t>
  </si>
  <si>
    <t>757403144-4</t>
  </si>
  <si>
    <t>Pedro Leopoldo</t>
  </si>
  <si>
    <t>981097930-4</t>
  </si>
  <si>
    <t>828061130-4</t>
  </si>
  <si>
    <t>456537034-4</t>
  </si>
  <si>
    <t>Vale de Figueira</t>
  </si>
  <si>
    <t>459357146-4</t>
  </si>
  <si>
    <t>Zephyrhills</t>
  </si>
  <si>
    <t>445218224-0</t>
  </si>
  <si>
    <t>Machalí</t>
  </si>
  <si>
    <t>057484933-5</t>
  </si>
  <si>
    <t>753843059-8</t>
  </si>
  <si>
    <t>Vale de Rolas</t>
  </si>
  <si>
    <t>392239691-7</t>
  </si>
  <si>
    <t>473921093-2</t>
  </si>
  <si>
    <t>Chicago</t>
  </si>
  <si>
    <t>760789413-6</t>
  </si>
  <si>
    <t>Francisco Morato</t>
  </si>
  <si>
    <t>567813825-1</t>
  </si>
  <si>
    <t>Grand Forks</t>
  </si>
  <si>
    <t>273096776-1</t>
  </si>
  <si>
    <t>456362163-3</t>
  </si>
  <si>
    <t>Asheville</t>
  </si>
  <si>
    <t>150088402-2</t>
  </si>
  <si>
    <t>Matanza</t>
  </si>
  <si>
    <t>569225566-9</t>
  </si>
  <si>
    <t>960608060-9</t>
  </si>
  <si>
    <t>Telêmaco Borba</t>
  </si>
  <si>
    <t>253195296-9</t>
  </si>
  <si>
    <t>Criciúma</t>
  </si>
  <si>
    <t>516029923-8</t>
  </si>
  <si>
    <t>Covas</t>
  </si>
  <si>
    <t>778067012-0</t>
  </si>
  <si>
    <t>Chesapeake</t>
  </si>
  <si>
    <t>796559135-9</t>
  </si>
  <si>
    <t>373276294-7</t>
  </si>
  <si>
    <t>724924771-9</t>
  </si>
  <si>
    <t>Harrisburg</t>
  </si>
  <si>
    <t>113930714-2</t>
  </si>
  <si>
    <t>Reinaldes</t>
  </si>
  <si>
    <t>Ulme</t>
  </si>
  <si>
    <t>917691183-7</t>
  </si>
  <si>
    <t>São Bartolomeu</t>
  </si>
  <si>
    <t>756198189-9</t>
  </si>
  <si>
    <t>Longos</t>
  </si>
  <si>
    <t>256501650-6</t>
  </si>
  <si>
    <t>Atlanta</t>
  </si>
  <si>
    <t>572078879-4</t>
  </si>
  <si>
    <t>Igaraçu do Tietê</t>
  </si>
  <si>
    <t>388377161-9</t>
  </si>
  <si>
    <t>Angostura</t>
  </si>
  <si>
    <t>452879889-1</t>
  </si>
  <si>
    <t>Roriz</t>
  </si>
  <si>
    <t>780008279-2</t>
  </si>
  <si>
    <t>Leitões</t>
  </si>
  <si>
    <t>180435629-8</t>
  </si>
  <si>
    <t>295639270-0</t>
  </si>
  <si>
    <t>El Calafate</t>
  </si>
  <si>
    <t>078758132-1</t>
  </si>
  <si>
    <t>637072075-5</t>
  </si>
  <si>
    <t>Wilmington</t>
  </si>
  <si>
    <t>008572530-7</t>
  </si>
  <si>
    <t>Bella Vista</t>
  </si>
  <si>
    <t>734989091-5</t>
  </si>
  <si>
    <t>599017672-4</t>
  </si>
  <si>
    <t>Cential</t>
  </si>
  <si>
    <t>321667209-3</t>
  </si>
  <si>
    <t>440411454-0</t>
  </si>
  <si>
    <t>Cruzeiro</t>
  </si>
  <si>
    <t>165765362-5</t>
  </si>
  <si>
    <t>Vale de Mendiz</t>
  </si>
  <si>
    <t>533825121-3</t>
  </si>
  <si>
    <t>Sorocaba</t>
  </si>
  <si>
    <t>602149769-4</t>
  </si>
  <si>
    <t>291793752-1</t>
  </si>
  <si>
    <t>Algeciras</t>
  </si>
  <si>
    <t>307532846-4</t>
  </si>
  <si>
    <t>162506040-8</t>
  </si>
  <si>
    <t>Hampton</t>
  </si>
  <si>
    <t>821631556-2</t>
  </si>
  <si>
    <t>Inglewood</t>
  </si>
  <si>
    <t>903818181-7</t>
  </si>
  <si>
    <t>203156619-9</t>
  </si>
  <si>
    <t>Verdizela</t>
  </si>
  <si>
    <t>263154041-7</t>
  </si>
  <si>
    <t>Torres</t>
  </si>
  <si>
    <t>339375261-8</t>
  </si>
  <si>
    <t>677006511-8</t>
  </si>
  <si>
    <t>Carrazeda de Ansiães</t>
  </si>
  <si>
    <t>024309407-8</t>
  </si>
  <si>
    <t>Norfolk</t>
  </si>
  <si>
    <t>665920313-3</t>
  </si>
  <si>
    <t>Lombo Meão</t>
  </si>
  <si>
    <t>667086466-3</t>
  </si>
  <si>
    <t>295477571-8</t>
  </si>
  <si>
    <t>Cimo de Vila</t>
  </si>
  <si>
    <t>Calde</t>
  </si>
  <si>
    <t>274965852-7</t>
  </si>
  <si>
    <t>Ezeiza</t>
  </si>
  <si>
    <t>932352844-7</t>
  </si>
  <si>
    <t>Barra Bonita</t>
  </si>
  <si>
    <t>472325914-7</t>
  </si>
  <si>
    <t>232008528-9</t>
  </si>
  <si>
    <t>Soutocico</t>
  </si>
  <si>
    <t>793124168-1</t>
  </si>
  <si>
    <t>San Carlos de Bariloche</t>
  </si>
  <si>
    <t>997056036-0</t>
  </si>
  <si>
    <t>447770473-9</t>
  </si>
  <si>
    <t>Yacimiento Río Turbio</t>
  </si>
  <si>
    <t>727831921-8</t>
  </si>
  <si>
    <t>Pensacola</t>
  </si>
  <si>
    <t>571848307-8</t>
  </si>
  <si>
    <t>Chãos</t>
  </si>
  <si>
    <t>351951680-2</t>
  </si>
  <si>
    <t>Nazaré</t>
  </si>
  <si>
    <t>873281517-4</t>
  </si>
  <si>
    <t>Fornos de Algodres</t>
  </si>
  <si>
    <t>470989912-6</t>
  </si>
  <si>
    <t>Pilar</t>
  </si>
  <si>
    <t>843050192-4</t>
  </si>
  <si>
    <t>Fresno</t>
  </si>
  <si>
    <t>424288504-0</t>
  </si>
  <si>
    <t>Embarcación</t>
  </si>
  <si>
    <t>515919597-1</t>
  </si>
  <si>
    <t>São Manços</t>
  </si>
  <si>
    <t>975525738-1</t>
  </si>
  <si>
    <t>San Pedro</t>
  </si>
  <si>
    <t>237599153-2</t>
  </si>
  <si>
    <t>Recarei</t>
  </si>
  <si>
    <t>143040026-9</t>
  </si>
  <si>
    <t>Venda</t>
  </si>
  <si>
    <t>987031735-9</t>
  </si>
  <si>
    <t>Esperança</t>
  </si>
  <si>
    <t>254885998-3</t>
  </si>
  <si>
    <t>038498504-1</t>
  </si>
  <si>
    <t>Vicuña Mackenna</t>
  </si>
  <si>
    <t>364663642-4</t>
  </si>
  <si>
    <t>129980789-5</t>
  </si>
  <si>
    <t>Cáceres</t>
  </si>
  <si>
    <t>502776083-3</t>
  </si>
  <si>
    <t>Pentecoste</t>
  </si>
  <si>
    <t>776842706-8</t>
  </si>
  <si>
    <t>821643205-4</t>
  </si>
  <si>
    <t>Tafí del Valle</t>
  </si>
  <si>
    <t>804001974-5</t>
  </si>
  <si>
    <t>880006205-9</t>
  </si>
  <si>
    <t>914730226-7</t>
  </si>
  <si>
    <t>750321111-3</t>
  </si>
  <si>
    <t>Gurupi</t>
  </si>
  <si>
    <t>462330394-2</t>
  </si>
  <si>
    <t>Florence</t>
  </si>
  <si>
    <t>971187190-4</t>
  </si>
  <si>
    <t>Serra da Boa Viagem</t>
  </si>
  <si>
    <t>859299459-4</t>
  </si>
  <si>
    <t>Cucutilla</t>
  </si>
  <si>
    <t>981982809-0</t>
  </si>
  <si>
    <t>750741160-5</t>
  </si>
  <si>
    <t>Veinticinco de Mayo</t>
  </si>
  <si>
    <t>098085694-9</t>
  </si>
  <si>
    <t>735604890-6</t>
  </si>
  <si>
    <t>805964824-1</t>
  </si>
  <si>
    <t>854589365-5</t>
  </si>
  <si>
    <t>340631061-3</t>
  </si>
  <si>
    <t>550154445-8</t>
  </si>
  <si>
    <t>186372529-6</t>
  </si>
  <si>
    <t>Mosteirô</t>
  </si>
  <si>
    <t>078488155-3</t>
  </si>
  <si>
    <t>Casilda</t>
  </si>
  <si>
    <t>669365945-4</t>
  </si>
  <si>
    <t>Flores da Cunha</t>
  </si>
  <si>
    <t>065270268-6</t>
  </si>
  <si>
    <t>Ourinhos</t>
  </si>
  <si>
    <t>176918666-2</t>
  </si>
  <si>
    <t>Carlos Tejedor</t>
  </si>
  <si>
    <t>536750893-6</t>
  </si>
  <si>
    <t>Pupiales</t>
  </si>
  <si>
    <t>772270542-1</t>
  </si>
  <si>
    <t>387378366-5</t>
  </si>
  <si>
    <t>São Miguel</t>
  </si>
  <si>
    <t>630441912-0</t>
  </si>
  <si>
    <t>Costa de Rios Frios</t>
  </si>
  <si>
    <t>818813442-2</t>
  </si>
  <si>
    <t>Arbeláez</t>
  </si>
  <si>
    <t>São Marcos</t>
  </si>
  <si>
    <t>070264514-1</t>
  </si>
  <si>
    <t>Castro Daire</t>
  </si>
  <si>
    <t>035557918-9</t>
  </si>
  <si>
    <t>Santos Dumont</t>
  </si>
  <si>
    <t>330151607-6</t>
  </si>
  <si>
    <t>705561786-3</t>
  </si>
  <si>
    <t>Paço de Arcos</t>
  </si>
  <si>
    <t>012788012-7</t>
  </si>
  <si>
    <t>Newark</t>
  </si>
  <si>
    <t>245627708-2</t>
  </si>
  <si>
    <t>Sirinhaém</t>
  </si>
  <si>
    <t>283044298-9</t>
  </si>
  <si>
    <t>Fort Wayne</t>
  </si>
  <si>
    <t>065002840-6</t>
  </si>
  <si>
    <t>Freguesia do Ribeirao da Ilha</t>
  </si>
  <si>
    <t>839632747-5</t>
  </si>
  <si>
    <t>Puerta de Corral Quemado</t>
  </si>
  <si>
    <t>627043846-2</t>
  </si>
  <si>
    <t>Jaguaruana</t>
  </si>
  <si>
    <t>262119161-4</t>
  </si>
  <si>
    <t>Nashville</t>
  </si>
  <si>
    <t>501215457-6</t>
  </si>
  <si>
    <t>Monte da Boavista</t>
  </si>
  <si>
    <t>253962100-7</t>
  </si>
  <si>
    <t>Fafe</t>
  </si>
  <si>
    <t>511581251-7</t>
  </si>
  <si>
    <t>Rio Pardo</t>
  </si>
  <si>
    <t>637807936-6</t>
  </si>
  <si>
    <t>Pantanal</t>
  </si>
  <si>
    <t>507932938-6</t>
  </si>
  <si>
    <t>Barreiros</t>
  </si>
  <si>
    <t>666055120-4</t>
  </si>
  <si>
    <t>São Miguel dos Campos</t>
  </si>
  <si>
    <t>Timbaúba</t>
  </si>
  <si>
    <t>851798144-8</t>
  </si>
  <si>
    <t>Río Segundo</t>
  </si>
  <si>
    <t>682769003-2</t>
  </si>
  <si>
    <t>124340805-7</t>
  </si>
  <si>
    <t>Praia da Vagueira</t>
  </si>
  <si>
    <t>098003818-9</t>
  </si>
  <si>
    <t>Pimenta Bueno</t>
  </si>
  <si>
    <t>169731933-5</t>
  </si>
  <si>
    <t>Lautaro</t>
  </si>
  <si>
    <t>950280698-0</t>
  </si>
  <si>
    <t>671842757-8</t>
  </si>
  <si>
    <t>Garibaldi</t>
  </si>
  <si>
    <t>774043691-7</t>
  </si>
  <si>
    <t>Dayton</t>
  </si>
  <si>
    <t>483021062-1</t>
  </si>
  <si>
    <t>Chachagüí</t>
  </si>
  <si>
    <t>265679657-1</t>
  </si>
  <si>
    <t>526777559-2</t>
  </si>
  <si>
    <t>Kingsport</t>
  </si>
  <si>
    <t>160448377-6</t>
  </si>
  <si>
    <t>175038746-8</t>
  </si>
  <si>
    <t>Ribeiro</t>
  </si>
  <si>
    <t>624517995-5</t>
  </si>
  <si>
    <t>239954072-7</t>
  </si>
  <si>
    <t>Manique de Baixo</t>
  </si>
  <si>
    <t>434848630-1</t>
  </si>
  <si>
    <t>979000485-0</t>
  </si>
  <si>
    <t>São João del Rei</t>
  </si>
  <si>
    <t>650314235-8</t>
  </si>
  <si>
    <t>Corredoura</t>
  </si>
  <si>
    <t>358970251-6</t>
  </si>
  <si>
    <t>Guacarí</t>
  </si>
  <si>
    <t>088483586-3</t>
  </si>
  <si>
    <t>856515182-4</t>
  </si>
  <si>
    <t>930629971-0</t>
  </si>
  <si>
    <t>145697365-7</t>
  </si>
  <si>
    <t>Camaçari</t>
  </si>
  <si>
    <t>219665614-3</t>
  </si>
  <si>
    <t>Goiana</t>
  </si>
  <si>
    <t>915499788-7</t>
  </si>
  <si>
    <t>São Domingos do Maranhão</t>
  </si>
  <si>
    <t>509035579-7</t>
  </si>
  <si>
    <t>Vegachí</t>
  </si>
  <si>
    <t>426838651-3</t>
  </si>
  <si>
    <t>Buena Esperanza</t>
  </si>
  <si>
    <t>470779714-8</t>
  </si>
  <si>
    <t>Ciervo Petiso</t>
  </si>
  <si>
    <t>115776007-4</t>
  </si>
  <si>
    <t>212688786-3</t>
  </si>
  <si>
    <t>Popayán</t>
  </si>
  <si>
    <t>358324291-2</t>
  </si>
  <si>
    <t>Carvalhais</t>
  </si>
  <si>
    <t>994400070-1</t>
  </si>
  <si>
    <t>083701621-5</t>
  </si>
  <si>
    <t>Iguape</t>
  </si>
  <si>
    <t>111068456-8</t>
  </si>
  <si>
    <t>Indaial</t>
  </si>
  <si>
    <t>Coutada</t>
  </si>
  <si>
    <t>196264590-8</t>
  </si>
  <si>
    <t>Santa Inês</t>
  </si>
  <si>
    <t>109689624-9</t>
  </si>
  <si>
    <t>Espumoso</t>
  </si>
  <si>
    <t>612508639-9</t>
  </si>
  <si>
    <t>Murillo</t>
  </si>
  <si>
    <t>514473530-4</t>
  </si>
  <si>
    <t>Tucano</t>
  </si>
  <si>
    <t>879458086-3</t>
  </si>
  <si>
    <t>595490800-1</t>
  </si>
  <si>
    <t>397576789-8</t>
  </si>
  <si>
    <t>Fonseca</t>
  </si>
  <si>
    <t>261347446-7</t>
  </si>
  <si>
    <t>190793382-4</t>
  </si>
  <si>
    <t>351040559-5</t>
  </si>
  <si>
    <t>Tafí Viejo</t>
  </si>
  <si>
    <t>279788890-1</t>
  </si>
  <si>
    <t>Barreiro</t>
  </si>
  <si>
    <t>669046138-6</t>
  </si>
  <si>
    <t>El Bagre</t>
  </si>
  <si>
    <t>867218875-6</t>
  </si>
  <si>
    <t>Sande São Lourenço</t>
  </si>
  <si>
    <t>151935463-0</t>
  </si>
  <si>
    <t>Luena</t>
  </si>
  <si>
    <t>133963233-0</t>
  </si>
  <si>
    <t>889684432-0</t>
  </si>
  <si>
    <t>847510886-5</t>
  </si>
  <si>
    <t>Aminga</t>
  </si>
  <si>
    <t>291036408-9</t>
  </si>
  <si>
    <t>Paraguaçu</t>
  </si>
  <si>
    <t>839293507-1</t>
  </si>
  <si>
    <t>720239048-5</t>
  </si>
  <si>
    <t>Fortios</t>
  </si>
  <si>
    <t>689862775-9</t>
  </si>
  <si>
    <t>Gondifelos</t>
  </si>
  <si>
    <t>720546731-4</t>
  </si>
  <si>
    <t>608409960-2</t>
  </si>
  <si>
    <t>Cunday</t>
  </si>
  <si>
    <t>990206299-7</t>
  </si>
  <si>
    <t>Fort Worth</t>
  </si>
  <si>
    <t>329968624-0</t>
  </si>
  <si>
    <t>Descalvado</t>
  </si>
  <si>
    <t>378588384-6</t>
  </si>
  <si>
    <t>935104089-5</t>
  </si>
  <si>
    <t>Anicuns</t>
  </si>
  <si>
    <t>755860122-3</t>
  </si>
  <si>
    <t>Loureiro</t>
  </si>
  <si>
    <t>402524331-8</t>
  </si>
  <si>
    <t>Buriti Alegre</t>
  </si>
  <si>
    <t>770572724-2</t>
  </si>
  <si>
    <t>Chichinales</t>
  </si>
  <si>
    <t>202402027-5</t>
  </si>
  <si>
    <t>Pico da Pedra</t>
  </si>
  <si>
    <t>160548852-6</t>
  </si>
  <si>
    <t>391510361-6</t>
  </si>
  <si>
    <t>442903046-4</t>
  </si>
  <si>
    <t>Ribeirão Preto</t>
  </si>
  <si>
    <t>487671248-4</t>
  </si>
  <si>
    <t>326406470-7</t>
  </si>
  <si>
    <t>Sáchica</t>
  </si>
  <si>
    <t>406479342-0</t>
  </si>
  <si>
    <t>468275574-9</t>
  </si>
  <si>
    <t>411516405-0</t>
  </si>
  <si>
    <t>Beja</t>
  </si>
  <si>
    <t>282811093-1</t>
  </si>
  <si>
    <t>Quimbaya</t>
  </si>
  <si>
    <t>246726556-0</t>
  </si>
  <si>
    <t>Boavista</t>
  </si>
  <si>
    <t>819369787-1</t>
  </si>
  <si>
    <t>Campos Novos</t>
  </si>
  <si>
    <t>356930964-9</t>
  </si>
  <si>
    <t>Palmar de Varela</t>
  </si>
  <si>
    <t>109398865-7</t>
  </si>
  <si>
    <t>Guapi</t>
  </si>
  <si>
    <t>646364171-5</t>
  </si>
  <si>
    <t>Achadinha</t>
  </si>
  <si>
    <t>238585572-0</t>
  </si>
  <si>
    <t>Valeirinha</t>
  </si>
  <si>
    <t>313120541-5</t>
  </si>
  <si>
    <t>869616157-2</t>
  </si>
  <si>
    <t>Des Moines</t>
  </si>
  <si>
    <t>305504138-0</t>
  </si>
  <si>
    <t>683721997-9</t>
  </si>
  <si>
    <t>Coronel Vivida</t>
  </si>
  <si>
    <t>969396337-7</t>
  </si>
  <si>
    <t>Cañada de Gómez</t>
  </si>
  <si>
    <t>986051177-2</t>
  </si>
  <si>
    <t>Guararapes</t>
  </si>
  <si>
    <t>814307664-4</t>
  </si>
  <si>
    <t>602092538-2</t>
  </si>
  <si>
    <t>Midland</t>
  </si>
  <si>
    <t>768179953-2</t>
  </si>
  <si>
    <t>Laguna</t>
  </si>
  <si>
    <t>053997647-4</t>
  </si>
  <si>
    <t>Igarapé Açu</t>
  </si>
  <si>
    <t>048777118-4</t>
  </si>
  <si>
    <t>Limeiras</t>
  </si>
  <si>
    <t>894962062-6</t>
  </si>
  <si>
    <t>Huambo</t>
  </si>
  <si>
    <t>979622340-6</t>
  </si>
  <si>
    <t>Quintas</t>
  </si>
  <si>
    <t>888762034-2</t>
  </si>
  <si>
    <t>755190884-6</t>
  </si>
  <si>
    <t>São Miguel do Iguaçu</t>
  </si>
  <si>
    <t>248072547-2</t>
  </si>
  <si>
    <t>Paços</t>
  </si>
  <si>
    <t>129904035-7</t>
  </si>
  <si>
    <t>El Soberbio</t>
  </si>
  <si>
    <t>728336037-9</t>
  </si>
  <si>
    <t>La Falda</t>
  </si>
  <si>
    <t>590858704-4</t>
  </si>
  <si>
    <t>Santo Antônio da Platina</t>
  </si>
  <si>
    <t>Casais de Vera Cruz</t>
  </si>
  <si>
    <t>310089710-2</t>
  </si>
  <si>
    <t>Forninho</t>
  </si>
  <si>
    <t>593629800-0</t>
  </si>
  <si>
    <t>Beaumont</t>
  </si>
  <si>
    <t>458266820-8</t>
  </si>
  <si>
    <t>785394248-6</t>
  </si>
  <si>
    <t>Cicuco</t>
  </si>
  <si>
    <t>013501810-2</t>
  </si>
  <si>
    <t>Tietê</t>
  </si>
  <si>
    <t>067195553-5</t>
  </si>
  <si>
    <t>Pensilvania</t>
  </si>
  <si>
    <t>760608769-5</t>
  </si>
  <si>
    <t>Pasadena</t>
  </si>
  <si>
    <t>601356104-4</t>
  </si>
  <si>
    <t>Itatinga</t>
  </si>
  <si>
    <t>084868521-0</t>
  </si>
  <si>
    <t>Dos Quebradas</t>
  </si>
  <si>
    <t>080476739-4</t>
  </si>
  <si>
    <t>Campana</t>
  </si>
  <si>
    <t>630460013-5</t>
  </si>
  <si>
    <t>Corvite</t>
  </si>
  <si>
    <t>752331296-9</t>
  </si>
  <si>
    <t>989019638-7</t>
  </si>
  <si>
    <t>Louisville</t>
  </si>
  <si>
    <t>159621308-6</t>
  </si>
  <si>
    <t>385824653-0</t>
  </si>
  <si>
    <t>Viterbo</t>
  </si>
  <si>
    <t>757774033-0</t>
  </si>
  <si>
    <t>691237072-1</t>
  </si>
  <si>
    <t>102984313-9</t>
  </si>
  <si>
    <t>Fenais da Ajuda</t>
  </si>
  <si>
    <t>074573969-5</t>
  </si>
  <si>
    <t>Muzambinho</t>
  </si>
  <si>
    <t>Jales</t>
  </si>
  <si>
    <t>622313473-8</t>
  </si>
  <si>
    <t>Serra da Silveira</t>
  </si>
  <si>
    <t>570747175-8</t>
  </si>
  <si>
    <t>Fusagasuga</t>
  </si>
  <si>
    <t>526398971-7</t>
  </si>
  <si>
    <t>Campo Viera</t>
  </si>
  <si>
    <t>184815689-8</t>
  </si>
  <si>
    <t>Bahía Blanca</t>
  </si>
  <si>
    <t>820469688-4</t>
  </si>
  <si>
    <t>Embu</t>
  </si>
  <si>
    <t>171495019-0</t>
  </si>
  <si>
    <t>Barra de São Francisco</t>
  </si>
  <si>
    <t>692355959-6</t>
  </si>
  <si>
    <t>North Little Rock</t>
  </si>
  <si>
    <t>829417893-4</t>
  </si>
  <si>
    <t>Carvalhal Redondo</t>
  </si>
  <si>
    <t>639052975-9</t>
  </si>
  <si>
    <t>Lo Prado</t>
  </si>
  <si>
    <t>244547576-7</t>
  </si>
  <si>
    <t>Camacupa</t>
  </si>
  <si>
    <t>410219091-0</t>
  </si>
  <si>
    <t>Donim</t>
  </si>
  <si>
    <t>393799546-3</t>
  </si>
  <si>
    <t>Matriz de Camaragibe</t>
  </si>
  <si>
    <t>806046923-1</t>
  </si>
  <si>
    <t>Winter Haven</t>
  </si>
  <si>
    <t>263295937-3</t>
  </si>
  <si>
    <t>Codó</t>
  </si>
  <si>
    <t>389356542-6</t>
  </si>
  <si>
    <t>São Mateus</t>
  </si>
  <si>
    <t>861174510-8</t>
  </si>
  <si>
    <t>Roanoke</t>
  </si>
  <si>
    <t>323709637-7</t>
  </si>
  <si>
    <t>Porto Alegre</t>
  </si>
  <si>
    <t>019143957-6</t>
  </si>
  <si>
    <t>Macau</t>
  </si>
  <si>
    <t>086326577-4</t>
  </si>
  <si>
    <t>Boracéia</t>
  </si>
  <si>
    <t>951195113-0</t>
  </si>
  <si>
    <t>824460806-4</t>
  </si>
  <si>
    <t>Caxarias</t>
  </si>
  <si>
    <t>488690255-3</t>
  </si>
  <si>
    <t>840364870-7</t>
  </si>
  <si>
    <t>883168219-9</t>
  </si>
  <si>
    <t>Coromoro</t>
  </si>
  <si>
    <t>339938149-2</t>
  </si>
  <si>
    <t>064684423-7</t>
  </si>
  <si>
    <t>056969796-4</t>
  </si>
  <si>
    <t>Linhares</t>
  </si>
  <si>
    <t>968612970-7</t>
  </si>
  <si>
    <t>Horizonte</t>
  </si>
  <si>
    <t>966772782-3</t>
  </si>
  <si>
    <t>184463271-7</t>
  </si>
  <si>
    <t>Flandes</t>
  </si>
  <si>
    <t>686665071-2</t>
  </si>
  <si>
    <t>Pore</t>
  </si>
  <si>
    <t>833748520-5</t>
  </si>
  <si>
    <t>A-da-Gorda</t>
  </si>
  <si>
    <t>648060575-6</t>
  </si>
  <si>
    <t>Pirapozinho</t>
  </si>
  <si>
    <t>051652670-7</t>
  </si>
  <si>
    <t>354884124-4</t>
  </si>
  <si>
    <t>103555590-5</t>
  </si>
  <si>
    <t>Miguel Pereira</t>
  </si>
  <si>
    <t>202439658-5</t>
  </si>
  <si>
    <t>948011575-1</t>
  </si>
  <si>
    <t>Puerto Colombia</t>
  </si>
  <si>
    <t>071590114-1</t>
  </si>
  <si>
    <t>663137822-2</t>
  </si>
  <si>
    <t>379735230-1</t>
  </si>
  <si>
    <t>Jaguaribe</t>
  </si>
  <si>
    <t>Itabirito</t>
  </si>
  <si>
    <t>950050851-6</t>
  </si>
  <si>
    <t>353969097-2</t>
  </si>
  <si>
    <t>Minneapolis</t>
  </si>
  <si>
    <t>Ibitinga</t>
  </si>
  <si>
    <t>322533375-1</t>
  </si>
  <si>
    <t>Memphis</t>
  </si>
  <si>
    <t>181576526-7</t>
  </si>
  <si>
    <t>122408755-0</t>
  </si>
  <si>
    <t>Campos Sales</t>
  </si>
  <si>
    <t>326519960-6</t>
  </si>
  <si>
    <t>760273098-4</t>
  </si>
  <si>
    <t>567522385-1</t>
  </si>
  <si>
    <t>786805979-6</t>
  </si>
  <si>
    <t>279899504-3</t>
  </si>
  <si>
    <t>802283518-8</t>
  </si>
  <si>
    <t>Santa Cruz do Rio Pardo</t>
  </si>
  <si>
    <t>200745149-2</t>
  </si>
  <si>
    <t>100821248-2</t>
  </si>
  <si>
    <t>Atouguia</t>
  </si>
  <si>
    <t>587881416-1</t>
  </si>
  <si>
    <t>Cancela</t>
  </si>
  <si>
    <t>545040146-9</t>
  </si>
  <si>
    <t>Jaboatão dos Guararapes</t>
  </si>
  <si>
    <t>Bragança Paulista</t>
  </si>
  <si>
    <t>245215472-5</t>
  </si>
  <si>
    <t>Peoria</t>
  </si>
  <si>
    <t>Paiçandu</t>
  </si>
  <si>
    <t>708697139-1</t>
  </si>
  <si>
    <t>245125936-1</t>
  </si>
  <si>
    <t>Las Lajas</t>
  </si>
  <si>
    <t>577142809-4</t>
  </si>
  <si>
    <t>Marialva</t>
  </si>
  <si>
    <t>023824124-6</t>
  </si>
  <si>
    <t>Jacarezinho</t>
  </si>
  <si>
    <t>287242154-8</t>
  </si>
  <si>
    <t>Paradela</t>
  </si>
  <si>
    <t>034405853-0</t>
  </si>
  <si>
    <t>Poiares</t>
  </si>
  <si>
    <t>651942625-3</t>
  </si>
  <si>
    <t>Olival Basto</t>
  </si>
  <si>
    <t>555772150-9</t>
  </si>
  <si>
    <t>Riachão das Neves</t>
  </si>
  <si>
    <t>933289717-4</t>
  </si>
  <si>
    <t>Não Me Toque</t>
  </si>
  <si>
    <t>628602664-9</t>
  </si>
  <si>
    <t>509735192-4</t>
  </si>
  <si>
    <t>Funchalinho</t>
  </si>
  <si>
    <t>181682094-6</t>
  </si>
  <si>
    <t>Ribeirão Pires</t>
  </si>
  <si>
    <t>087484197-6</t>
  </si>
  <si>
    <t>123778973-7</t>
  </si>
  <si>
    <t>403046029-1</t>
  </si>
  <si>
    <t>Sibaté</t>
  </si>
  <si>
    <t>194253740-9</t>
  </si>
  <si>
    <t>190114082-2</t>
  </si>
  <si>
    <t>Nelas</t>
  </si>
  <si>
    <t>419261857-5</t>
  </si>
  <si>
    <t>Guernica</t>
  </si>
  <si>
    <t>023507216-8</t>
  </si>
  <si>
    <t>Corrego Grande</t>
  </si>
  <si>
    <t>465905749-6</t>
  </si>
  <si>
    <t>847388001-3</t>
  </si>
  <si>
    <t>Augusto Corrêa</t>
  </si>
  <si>
    <t>157202208-6</t>
  </si>
  <si>
    <t>Amargosa</t>
  </si>
  <si>
    <t>313177699-4</t>
  </si>
  <si>
    <t>Belo Oriente</t>
  </si>
  <si>
    <t>074889936-7</t>
  </si>
  <si>
    <t>Vilar do Pinheiro</t>
  </si>
  <si>
    <t>453903858-3</t>
  </si>
  <si>
    <t>771497029-4</t>
  </si>
  <si>
    <t>Humble</t>
  </si>
  <si>
    <t>478906328-3</t>
  </si>
  <si>
    <t>Tortosendo</t>
  </si>
  <si>
    <t>923489905-9</t>
  </si>
  <si>
    <t>830945880-0</t>
  </si>
  <si>
    <t>Gualeguay</t>
  </si>
  <si>
    <t>464831807-2</t>
  </si>
  <si>
    <t>684439636-8</t>
  </si>
  <si>
    <t>704144758-8</t>
  </si>
  <si>
    <t>253325993-4</t>
  </si>
  <si>
    <t>Rios Frios</t>
  </si>
  <si>
    <t>167398547-5</t>
  </si>
  <si>
    <t>099477688-8</t>
  </si>
  <si>
    <t>219788902-8</t>
  </si>
  <si>
    <t>Los Andes</t>
  </si>
  <si>
    <t>702344547-1</t>
  </si>
  <si>
    <t>Gémeos</t>
  </si>
  <si>
    <t>543556115-9</t>
  </si>
  <si>
    <t>Irvine</t>
  </si>
  <si>
    <t>121966323-9</t>
  </si>
  <si>
    <t>Palhoça</t>
  </si>
  <si>
    <t>715367783-6</t>
  </si>
  <si>
    <t>Arrufó</t>
  </si>
  <si>
    <t>906414206-8</t>
  </si>
  <si>
    <t>Real</t>
  </si>
  <si>
    <t>013108036-9</t>
  </si>
  <si>
    <t>Chamical</t>
  </si>
  <si>
    <t>524152339-1</t>
  </si>
  <si>
    <t>189131898-5</t>
  </si>
  <si>
    <t>Capitão Poço</t>
  </si>
  <si>
    <t>181549729-7</t>
  </si>
  <si>
    <t>709300114-9</t>
  </si>
  <si>
    <t>917557060-2</t>
  </si>
  <si>
    <t>Trafaria</t>
  </si>
  <si>
    <t>221420402-4</t>
  </si>
  <si>
    <t>461175874-5</t>
  </si>
  <si>
    <t>Itu</t>
  </si>
  <si>
    <t>237289115-4</t>
  </si>
  <si>
    <t>Guaiúba</t>
  </si>
  <si>
    <t>515203425-5</t>
  </si>
  <si>
    <t>Rivera</t>
  </si>
  <si>
    <t>660737908-7</t>
  </si>
  <si>
    <t>Tres Arroyos</t>
  </si>
  <si>
    <t>515456794-3</t>
  </si>
  <si>
    <t>San Bernardo</t>
  </si>
  <si>
    <t>015934369-0</t>
  </si>
  <si>
    <t>Sogamoso</t>
  </si>
  <si>
    <t>907540112-4</t>
  </si>
  <si>
    <t>Ijuí</t>
  </si>
  <si>
    <t>057902660-4</t>
  </si>
  <si>
    <t>191835395-6</t>
  </si>
  <si>
    <t>122454950-3</t>
  </si>
  <si>
    <t>Sapucaia</t>
  </si>
  <si>
    <t>612366100-0</t>
  </si>
  <si>
    <t>Pailitas</t>
  </si>
  <si>
    <t>291163174-9</t>
  </si>
  <si>
    <t>Coruripe</t>
  </si>
  <si>
    <t>047057290-6</t>
  </si>
  <si>
    <t>Little Rock</t>
  </si>
  <si>
    <t>913487088-1</t>
  </si>
  <si>
    <t>436995263-8</t>
  </si>
  <si>
    <t>838036276-4</t>
  </si>
  <si>
    <t>Maceió</t>
  </si>
  <si>
    <t>994894324-4</t>
  </si>
  <si>
    <t>908341397-7</t>
  </si>
  <si>
    <t>Caridade</t>
  </si>
  <si>
    <t>157307130-7</t>
  </si>
  <si>
    <t>Góis</t>
  </si>
  <si>
    <t>159661166-9</t>
  </si>
  <si>
    <t>585811823-2</t>
  </si>
  <si>
    <t>Terre Haute</t>
  </si>
  <si>
    <t>150575837-8</t>
  </si>
  <si>
    <t>Aldeia</t>
  </si>
  <si>
    <t>220897706-8</t>
  </si>
  <si>
    <t>Quintã</t>
  </si>
  <si>
    <t>648906404-9</t>
  </si>
  <si>
    <t>Amaraji</t>
  </si>
  <si>
    <t>795472918-4</t>
  </si>
  <si>
    <t>545855754-9</t>
  </si>
  <si>
    <t>879628652-0</t>
  </si>
  <si>
    <t>636443912-8</t>
  </si>
  <si>
    <t>Bela Vista do Paraíso</t>
  </si>
  <si>
    <t>892032886-2</t>
  </si>
  <si>
    <t>João Monlevade</t>
  </si>
  <si>
    <t>405215010-4</t>
  </si>
  <si>
    <t>Paulista</t>
  </si>
  <si>
    <t>749972773-4</t>
  </si>
  <si>
    <t>453917854-7</t>
  </si>
  <si>
    <t>516854796-6</t>
  </si>
  <si>
    <t>Mirador</t>
  </si>
  <si>
    <t>424048652-1</t>
  </si>
  <si>
    <t>Castelões</t>
  </si>
  <si>
    <t>987657968-1</t>
  </si>
  <si>
    <t>Cristalina</t>
  </si>
  <si>
    <t>Santiago dos Velhos</t>
  </si>
  <si>
    <t>845453909-3</t>
  </si>
  <si>
    <t>083630224-9</t>
  </si>
  <si>
    <t>Valle Grande</t>
  </si>
  <si>
    <t>812703637-4</t>
  </si>
  <si>
    <t>Pigeiros</t>
  </si>
  <si>
    <t>461021740-6</t>
  </si>
  <si>
    <t>735470075-4</t>
  </si>
  <si>
    <t>597711538-5</t>
  </si>
  <si>
    <t>272046985-8</t>
  </si>
  <si>
    <t>939239034-3</t>
  </si>
  <si>
    <t>450650011-3</t>
  </si>
  <si>
    <t>221609321-1</t>
  </si>
  <si>
    <t>Caxias do Sul</t>
  </si>
  <si>
    <t>401206037-6</t>
  </si>
  <si>
    <t>Barueri</t>
  </si>
  <si>
    <t>Curitiba</t>
  </si>
  <si>
    <t>São Paulo</t>
  </si>
  <si>
    <t>Rio de Janeiro</t>
  </si>
  <si>
    <t>RJ</t>
  </si>
  <si>
    <t>Rio</t>
  </si>
  <si>
    <t>SP</t>
  </si>
  <si>
    <t>Carteira</t>
  </si>
  <si>
    <t>Ingresso</t>
  </si>
  <si>
    <t>Torey Backsal</t>
  </si>
  <si>
    <t>Arlen Fearby</t>
  </si>
  <si>
    <t>Torrie Ahrendsen</t>
  </si>
  <si>
    <t>Shanan Stancliffe</t>
  </si>
  <si>
    <t>Una Antonich</t>
  </si>
  <si>
    <t>Raf Bernardino</t>
  </si>
  <si>
    <t>Vachel Van</t>
  </si>
  <si>
    <t>Fabio Edridge</t>
  </si>
  <si>
    <t>Sammy McAne</t>
  </si>
  <si>
    <t>Jayne Fergyson</t>
  </si>
  <si>
    <t>Teirtza Dixey</t>
  </si>
  <si>
    <t>Alexandrina Luparto</t>
  </si>
  <si>
    <t>Modestine Geraudy</t>
  </si>
  <si>
    <t>Honoria Coldicott</t>
  </si>
  <si>
    <t>Patricia Cregan</t>
  </si>
  <si>
    <t>Justin Blazewski</t>
  </si>
  <si>
    <t>Fredi Kruse</t>
  </si>
  <si>
    <t>Caroline Damiata</t>
  </si>
  <si>
    <t>Dane Puddifer</t>
  </si>
  <si>
    <t>Roobbie Azam</t>
  </si>
  <si>
    <t>Tessi Geaveny</t>
  </si>
  <si>
    <t>Kelsi Dade</t>
  </si>
  <si>
    <t>Thomasina Heditch</t>
  </si>
  <si>
    <t>Cherri Fochs</t>
  </si>
  <si>
    <t>Chance Haker</t>
  </si>
  <si>
    <t>Rennie Curteis</t>
  </si>
  <si>
    <t>Rhiamon Guillon</t>
  </si>
  <si>
    <t>Daryl Kedwell</t>
  </si>
  <si>
    <t>Mace MacDearmaid</t>
  </si>
  <si>
    <t>Aldous Boswell</t>
  </si>
  <si>
    <t>Skippy Leads</t>
  </si>
  <si>
    <t>Jan Jefferys</t>
  </si>
  <si>
    <t>Julietta Catterell</t>
  </si>
  <si>
    <t>Gustave Dhennin</t>
  </si>
  <si>
    <t>Janella Winspire</t>
  </si>
  <si>
    <t>Rickey Colaco</t>
  </si>
  <si>
    <t>Cami Mapplebeck</t>
  </si>
  <si>
    <t>Farrell Ainscough</t>
  </si>
  <si>
    <t>Naoma Landor</t>
  </si>
  <si>
    <t>Amargo Stroban</t>
  </si>
  <si>
    <t>Rosemaria Flag</t>
  </si>
  <si>
    <t>Rog Stoade</t>
  </si>
  <si>
    <t>Brittani Hantusch</t>
  </si>
  <si>
    <t>Currey Jorgensen</t>
  </si>
  <si>
    <t>Klara Parkyn</t>
  </si>
  <si>
    <t>Odille Baglan</t>
  </si>
  <si>
    <t>Therine Marquess</t>
  </si>
  <si>
    <t>Jeanne Allery</t>
  </si>
  <si>
    <t>Tobit Powland</t>
  </si>
  <si>
    <t>Nanon Donnell</t>
  </si>
  <si>
    <t>Ansel O'Mullaney</t>
  </si>
  <si>
    <t>Jerry Cromarty</t>
  </si>
  <si>
    <t>Callie Lidgate</t>
  </si>
  <si>
    <t>Katalin Barfield</t>
  </si>
  <si>
    <t>Emlen Fell</t>
  </si>
  <si>
    <t>Killian Macknish</t>
  </si>
  <si>
    <t>Josephine Dewitt</t>
  </si>
  <si>
    <t>Brigham Cradey</t>
  </si>
  <si>
    <t>Nefen Ducrow</t>
  </si>
  <si>
    <t>Herbie Dood</t>
  </si>
  <si>
    <t>Bud Gutcher</t>
  </si>
  <si>
    <t>Reinhold Josefson</t>
  </si>
  <si>
    <t>Fred Carabine</t>
  </si>
  <si>
    <t>Quinn Caseri</t>
  </si>
  <si>
    <t>Armstrong O'Deegan</t>
  </si>
  <si>
    <t>Tomasina Sandbatch</t>
  </si>
  <si>
    <t>Herbie Segeswoeth</t>
  </si>
  <si>
    <t>Allina Burnhill</t>
  </si>
  <si>
    <t>Audy Bartolomeoni</t>
  </si>
  <si>
    <t>Lyndsie Laurentino</t>
  </si>
  <si>
    <t>Natalee Lortzing</t>
  </si>
  <si>
    <t>Cello Chadbourne</t>
  </si>
  <si>
    <t>Mavis Hek</t>
  </si>
  <si>
    <t>Sarine Haville</t>
  </si>
  <si>
    <t>Marcy Goatman</t>
  </si>
  <si>
    <t>Clemente Gilders</t>
  </si>
  <si>
    <t>Jere Rignold</t>
  </si>
  <si>
    <t>Ninette Kubek</t>
  </si>
  <si>
    <t>Marigold Letterese</t>
  </si>
  <si>
    <t>Orran Hentzeler</t>
  </si>
  <si>
    <t>Melosa Evers</t>
  </si>
  <si>
    <t>Brigit Royste</t>
  </si>
  <si>
    <t>Hadrian Pinches</t>
  </si>
  <si>
    <t>Gan Furze</t>
  </si>
  <si>
    <t>Ammamaria Webley</t>
  </si>
  <si>
    <t>Jeth Sambell</t>
  </si>
  <si>
    <t>Sibylle Ventris</t>
  </si>
  <si>
    <t>Kaylyn Sobey</t>
  </si>
  <si>
    <t>Gustie Mation</t>
  </si>
  <si>
    <t>Deeyn Kampshell</t>
  </si>
  <si>
    <t>Ted Chmarny</t>
  </si>
  <si>
    <t>Carley Summerskill</t>
  </si>
  <si>
    <t>Bobette Grimditch</t>
  </si>
  <si>
    <t>Davita Winfred</t>
  </si>
  <si>
    <t>Idaline Nottle</t>
  </si>
  <si>
    <t>Burnaby McNern</t>
  </si>
  <si>
    <t>Wayne Giacovazzo</t>
  </si>
  <si>
    <t>Aguste Wicklin</t>
  </si>
  <si>
    <t>Devonne Pennycock</t>
  </si>
  <si>
    <t>Rowen Lamburn</t>
  </si>
  <si>
    <t>Benedikta Autin</t>
  </si>
  <si>
    <t>Shepherd Reddlesden</t>
  </si>
  <si>
    <t>Barnard Dumberrill</t>
  </si>
  <si>
    <t>Dorri Marzelo</t>
  </si>
  <si>
    <t>Spenser Tredger</t>
  </si>
  <si>
    <t>Finn Doel</t>
  </si>
  <si>
    <t>Jeffie Killimister</t>
  </si>
  <si>
    <t>Frieda Widdup</t>
  </si>
  <si>
    <t>Vasili Martland</t>
  </si>
  <si>
    <t>Jazmin Poncet</t>
  </si>
  <si>
    <t>Bronson Barrasse</t>
  </si>
  <si>
    <t>Hayden Feeham</t>
  </si>
  <si>
    <t>Adolpho Gorick</t>
  </si>
  <si>
    <t>Brenna Cristofano</t>
  </si>
  <si>
    <t>Jennie Bromby</t>
  </si>
  <si>
    <t>Rutter Reubbens</t>
  </si>
  <si>
    <t>Robin Loyd</t>
  </si>
  <si>
    <t>Leanor Chark</t>
  </si>
  <si>
    <t>Patrice Klageman</t>
  </si>
  <si>
    <t>Vanya Thomann</t>
  </si>
  <si>
    <t>Isacco Byforth</t>
  </si>
  <si>
    <t>Benedikta Orbon</t>
  </si>
  <si>
    <t>Teri Danielian</t>
  </si>
  <si>
    <t>Kendrick Munnion</t>
  </si>
  <si>
    <t>Katlin Klein</t>
  </si>
  <si>
    <t>Pat Coppen</t>
  </si>
  <si>
    <t>Pascale Dudbridge</t>
  </si>
  <si>
    <t>Steve Royans</t>
  </si>
  <si>
    <t>Patsy Goggin</t>
  </si>
  <si>
    <t>Nancee People</t>
  </si>
  <si>
    <t>Arney Burgise</t>
  </si>
  <si>
    <t>Diannne Volleth</t>
  </si>
  <si>
    <t>Evita Beck</t>
  </si>
  <si>
    <t>Cleon Billo</t>
  </si>
  <si>
    <t>Brenna Kilcullen</t>
  </si>
  <si>
    <t>Muffin Cuppleditch</t>
  </si>
  <si>
    <t>Gabriele Pittford</t>
  </si>
  <si>
    <t>Perry Vittle</t>
  </si>
  <si>
    <t>Burt Cowper</t>
  </si>
  <si>
    <t>Bartlett Comelini</t>
  </si>
  <si>
    <t>Jania Petriello</t>
  </si>
  <si>
    <t>Brody Lemmon</t>
  </si>
  <si>
    <t>Aurilia Bakewell</t>
  </si>
  <si>
    <t>Vidovik Johansen</t>
  </si>
  <si>
    <t>Ody Eddy</t>
  </si>
  <si>
    <t>Kenn Leatt</t>
  </si>
  <si>
    <t>Zedekiah Japp</t>
  </si>
  <si>
    <t>Grethel Waud</t>
  </si>
  <si>
    <t>Geordie Goodlad</t>
  </si>
  <si>
    <t>Zuzana Elmer</t>
  </si>
  <si>
    <t>Wilton Le Lievre</t>
  </si>
  <si>
    <t>Derick Rodson</t>
  </si>
  <si>
    <t>Lula Tossell</t>
  </si>
  <si>
    <t>Cheston Laffin</t>
  </si>
  <si>
    <t>Danica Maidens</t>
  </si>
  <si>
    <t>Ferris Racher</t>
  </si>
  <si>
    <t>Elmore Graeber</t>
  </si>
  <si>
    <t>Minda Yarnold</t>
  </si>
  <si>
    <t>Ave Haycroft</t>
  </si>
  <si>
    <t>Muriel Gladden</t>
  </si>
  <si>
    <t>Margeaux Baverstock</t>
  </si>
  <si>
    <t>Dionisio Bartocci</t>
  </si>
  <si>
    <t>Lynnett McKague</t>
  </si>
  <si>
    <t>Berta Eede</t>
  </si>
  <si>
    <t>Corena Speechly</t>
  </si>
  <si>
    <t>Kevyn Monks</t>
  </si>
  <si>
    <t>Marsha Culleford</t>
  </si>
  <si>
    <t>Alain Cracie</t>
  </si>
  <si>
    <t>Zola Jarley</t>
  </si>
  <si>
    <t>Gayleen Dunlea</t>
  </si>
  <si>
    <t>Dolores O'Nowlan</t>
  </si>
  <si>
    <t>Lemmie Chevin</t>
  </si>
  <si>
    <t>Ezequiel Brilon</t>
  </si>
  <si>
    <t>Verna McGreal</t>
  </si>
  <si>
    <t>Julina Scates</t>
  </si>
  <si>
    <t>Hali Eye</t>
  </si>
  <si>
    <t>Tracy Mardlin</t>
  </si>
  <si>
    <t>Jodie Jantel</t>
  </si>
  <si>
    <t>Gary Petracco</t>
  </si>
  <si>
    <t>Tore Mouget</t>
  </si>
  <si>
    <t>Culver Shilleto</t>
  </si>
  <si>
    <t>Brigg Kornel</t>
  </si>
  <si>
    <t>Reta McSweeney</t>
  </si>
  <si>
    <t>Artemas Macy</t>
  </si>
  <si>
    <t>Gar Kachel</t>
  </si>
  <si>
    <t>Neilla Athow</t>
  </si>
  <si>
    <t>Darren Guidera</t>
  </si>
  <si>
    <t>Auguste Fordham</t>
  </si>
  <si>
    <t>Randell Ilsley</t>
  </si>
  <si>
    <t>Fifine Boater</t>
  </si>
  <si>
    <t>Loretta Spinnace</t>
  </si>
  <si>
    <t>Suzanna Domek</t>
  </si>
  <si>
    <t>Tabbie Angrick</t>
  </si>
  <si>
    <t>Nessy Jekyll</t>
  </si>
  <si>
    <t>Levi Cullington</t>
  </si>
  <si>
    <t>Rubie Boston</t>
  </si>
  <si>
    <t>Amabelle Master</t>
  </si>
  <si>
    <t>Mia Hulburt</t>
  </si>
  <si>
    <t>Wendie Nafzger</t>
  </si>
  <si>
    <t>Mose Sawyers</t>
  </si>
  <si>
    <t>Cordey Andrews</t>
  </si>
  <si>
    <t>Farleigh MacMarcuis</t>
  </si>
  <si>
    <t>Raine Bellringer</t>
  </si>
  <si>
    <t>Ardyce Conniam</t>
  </si>
  <si>
    <t>Tadeo Renol</t>
  </si>
  <si>
    <t>Patience Ogles</t>
  </si>
  <si>
    <t>Robby Gronous</t>
  </si>
  <si>
    <t>Kelsi MacAlpin</t>
  </si>
  <si>
    <t>Jackie Thompson</t>
  </si>
  <si>
    <t>Clea Rodda</t>
  </si>
  <si>
    <t>Evvy Gouly</t>
  </si>
  <si>
    <t>Aurie McElrath</t>
  </si>
  <si>
    <t>Morie Manuel</t>
  </si>
  <si>
    <t>Dot Ferney</t>
  </si>
  <si>
    <t>Silvana Georgeson</t>
  </si>
  <si>
    <t>Fransisco Bett</t>
  </si>
  <si>
    <t>Luelle Vallentin</t>
  </si>
  <si>
    <t>Jamil Fried</t>
  </si>
  <si>
    <t>Bernard Aspinell</t>
  </si>
  <si>
    <t>Benson Verchambre</t>
  </si>
  <si>
    <t>Baryram Fatharly</t>
  </si>
  <si>
    <t>Nanci Ketton</t>
  </si>
  <si>
    <t>Cairistiona Fallanche</t>
  </si>
  <si>
    <t>Jeremie Pavlovsky</t>
  </si>
  <si>
    <t>Berny Alexis</t>
  </si>
  <si>
    <t>Emlynne Grievson</t>
  </si>
  <si>
    <t>Norri Rulf</t>
  </si>
  <si>
    <t>Benedetto Blanket</t>
  </si>
  <si>
    <t>Devina Bromley</t>
  </si>
  <si>
    <t>Shepherd Pounder</t>
  </si>
  <si>
    <t>Nesta Croker</t>
  </si>
  <si>
    <t>Zebedee Mattioni</t>
  </si>
  <si>
    <t>Henryetta Caldecot</t>
  </si>
  <si>
    <t>Eugenie Drever</t>
  </si>
  <si>
    <t>Harlie Nanuccioi</t>
  </si>
  <si>
    <t>Kitti Richardon</t>
  </si>
  <si>
    <t>Denny Hawgood</t>
  </si>
  <si>
    <t>Arielle Guarnier</t>
  </si>
  <si>
    <t>Tate Treneman</t>
  </si>
  <si>
    <t>Pandora Woloschin</t>
  </si>
  <si>
    <t>Jordan Bodill</t>
  </si>
  <si>
    <t>Saundra Sprake</t>
  </si>
  <si>
    <t>Candace Cammell</t>
  </si>
  <si>
    <t>Jeramey Shambroke</t>
  </si>
  <si>
    <t>Witty Zealander</t>
  </si>
  <si>
    <t>Pam Setford</t>
  </si>
  <si>
    <t>Nicolette Spaice</t>
  </si>
  <si>
    <t>Aileen Lovejoy</t>
  </si>
  <si>
    <t>Lynnea Carmel</t>
  </si>
  <si>
    <t>Lucias Barkly</t>
  </si>
  <si>
    <t>Frasquito Brashier</t>
  </si>
  <si>
    <t>Renate Tollit</t>
  </si>
  <si>
    <t>Martelle Simcock</t>
  </si>
  <si>
    <t>Glenine Empringham</t>
  </si>
  <si>
    <t>Kathlin Saladine</t>
  </si>
  <si>
    <t>Ilario Rubenchik</t>
  </si>
  <si>
    <t>Tildie McGilben</t>
  </si>
  <si>
    <t>Nelia Firby</t>
  </si>
  <si>
    <t>Patrizio Eburah</t>
  </si>
  <si>
    <t>Olva Melville</t>
  </si>
  <si>
    <t>Florina Ruppel</t>
  </si>
  <si>
    <t>Willi Wratten</t>
  </si>
  <si>
    <t>Ferguson Volet</t>
  </si>
  <si>
    <t>Christophe Morey</t>
  </si>
  <si>
    <t>Fraze Hyman</t>
  </si>
  <si>
    <t>Adriena Greschke</t>
  </si>
  <si>
    <t>Sam Kmieciak</t>
  </si>
  <si>
    <t>Dionisio Rafter</t>
  </si>
  <si>
    <t>Eleanor Vanns</t>
  </si>
  <si>
    <t>Nariko Trubshawe</t>
  </si>
  <si>
    <t>Brande Atkyns</t>
  </si>
  <si>
    <t>Irvin McClean</t>
  </si>
  <si>
    <t>Elisha Fidock</t>
  </si>
  <si>
    <t>Kendrick MacAindreis</t>
  </si>
  <si>
    <t>Witty Antuoni</t>
  </si>
  <si>
    <t>Dasie Kitching</t>
  </si>
  <si>
    <t>Berny Berry</t>
  </si>
  <si>
    <t>Chryste Longwood</t>
  </si>
  <si>
    <t>Lennie Baumer</t>
  </si>
  <si>
    <t>Diane Makepeace</t>
  </si>
  <si>
    <t>Issy Rama</t>
  </si>
  <si>
    <t>Pennie Evans</t>
  </si>
  <si>
    <t>Irma Damiata</t>
  </si>
  <si>
    <t>Tarrah Bulfit</t>
  </si>
  <si>
    <t>Donnie Hubach</t>
  </si>
  <si>
    <t>Katlin Macvain</t>
  </si>
  <si>
    <t>Lelia Hudspith</t>
  </si>
  <si>
    <t>Paul Bitterton</t>
  </si>
  <si>
    <t>Meredith Doust</t>
  </si>
  <si>
    <t>Whit Urian</t>
  </si>
  <si>
    <t>Samantha Toth</t>
  </si>
  <si>
    <t>Moina Barday</t>
  </si>
  <si>
    <t>Missy Sarginson</t>
  </si>
  <si>
    <t>Haily Rysdale</t>
  </si>
  <si>
    <t>Patrizio Ferriby</t>
  </si>
  <si>
    <t>Jaimie Coils</t>
  </si>
  <si>
    <t>Rhea MacPherson</t>
  </si>
  <si>
    <t>Dunn Conkie</t>
  </si>
  <si>
    <t>Isak Braid</t>
  </si>
  <si>
    <t>Chilton Mudge</t>
  </si>
  <si>
    <t>Emeline Boome</t>
  </si>
  <si>
    <t>Correy Welfare</t>
  </si>
  <si>
    <t>Oriana Dalton</t>
  </si>
  <si>
    <t>Laurette Bon</t>
  </si>
  <si>
    <t>Tiena O'Halleghane</t>
  </si>
  <si>
    <t>Henrietta Pettis</t>
  </si>
  <si>
    <t>Tiffie Breckon</t>
  </si>
  <si>
    <t>Jana Rosellini</t>
  </si>
  <si>
    <t>Nara Geeves</t>
  </si>
  <si>
    <t>Fanechka Bartelot</t>
  </si>
  <si>
    <t>Paulie Eastmond</t>
  </si>
  <si>
    <t>Romeo Neate</t>
  </si>
  <si>
    <t>Reinhard Popple</t>
  </si>
  <si>
    <t>Nolly Darwood</t>
  </si>
  <si>
    <t>Alex Hurle</t>
  </si>
  <si>
    <t>Thornie Morphew</t>
  </si>
  <si>
    <t>Rafferty Mosdall</t>
  </si>
  <si>
    <t>Torrie Gile</t>
  </si>
  <si>
    <t>Kylie Duval</t>
  </si>
  <si>
    <t>Shannon Mitten</t>
  </si>
  <si>
    <t>Bethina Posnette</t>
  </si>
  <si>
    <t>Frances Sillis</t>
  </si>
  <si>
    <t>Olly Richardt</t>
  </si>
  <si>
    <t>Waylon Bruckshaw</t>
  </si>
  <si>
    <t>Diego Orbon</t>
  </si>
  <si>
    <t>Alikee Hallowes</t>
  </si>
  <si>
    <t>Mario Kerans</t>
  </si>
  <si>
    <t>Ettie Crittal</t>
  </si>
  <si>
    <t>Gnni Collough</t>
  </si>
  <si>
    <t>Meade Kemell</t>
  </si>
  <si>
    <t>Nev Kornousek</t>
  </si>
  <si>
    <t>Kimberley McGuiness</t>
  </si>
  <si>
    <t>Janith Beneze</t>
  </si>
  <si>
    <t>Malva Kinkaid</t>
  </si>
  <si>
    <t>Morey Gonzalo</t>
  </si>
  <si>
    <t>Emmey Betteney</t>
  </si>
  <si>
    <t>Hurleigh Cooksley</t>
  </si>
  <si>
    <t>Ruby Beck</t>
  </si>
  <si>
    <t>Morna Rozzier</t>
  </si>
  <si>
    <t>Nichol Yerrall</t>
  </si>
  <si>
    <t>Paton Have</t>
  </si>
  <si>
    <t>Page Faircloth</t>
  </si>
  <si>
    <t>Bastian Staggs</t>
  </si>
  <si>
    <t>Debbie Brilleman</t>
  </si>
  <si>
    <t>Zacharias Weavill</t>
  </si>
  <si>
    <t>Dieter Chazerand</t>
  </si>
  <si>
    <t>Riki Upstell</t>
  </si>
  <si>
    <t>Lilli Longbottom</t>
  </si>
  <si>
    <t>Whitaker Olenchenko</t>
  </si>
  <si>
    <t>Angelo Glowinski</t>
  </si>
  <si>
    <t>Daphna Finnigan</t>
  </si>
  <si>
    <t>Agustin Jeanneau</t>
  </si>
  <si>
    <t>Lotte Skoyles</t>
  </si>
  <si>
    <t>Netti Halahan</t>
  </si>
  <si>
    <t>Jolyn Southgate</t>
  </si>
  <si>
    <t>Pyotr Lambarth</t>
  </si>
  <si>
    <t>Jervis Stirman</t>
  </si>
  <si>
    <t>Merrill Newall</t>
  </si>
  <si>
    <t>Alene Denton</t>
  </si>
  <si>
    <t>Sean Fraczek</t>
  </si>
  <si>
    <t>Shaylyn Scullion</t>
  </si>
  <si>
    <t>Launce Arp</t>
  </si>
  <si>
    <t>Cornie Pinson</t>
  </si>
  <si>
    <t>Ward Beincken</t>
  </si>
  <si>
    <t>Orelle Duckinfield</t>
  </si>
  <si>
    <t>Daisi Ogelsby</t>
  </si>
  <si>
    <t>Cybill Eccleshall</t>
  </si>
  <si>
    <t>Bennie Yesichev</t>
  </si>
  <si>
    <t>Dillon Edwinson</t>
  </si>
  <si>
    <t>Trixie Petruk</t>
  </si>
  <si>
    <t>Luce Brooker</t>
  </si>
  <si>
    <t>Armin Scatchard</t>
  </si>
  <si>
    <t>Phylis Drought</t>
  </si>
  <si>
    <t>Robbert Handover</t>
  </si>
  <si>
    <t>Kaia Fiander</t>
  </si>
  <si>
    <t>Sher Allden</t>
  </si>
  <si>
    <t>Salaidh Cully</t>
  </si>
  <si>
    <t>Obed Pastor</t>
  </si>
  <si>
    <t>Jolie Kenryd</t>
  </si>
  <si>
    <t>Shalne Beteriss</t>
  </si>
  <si>
    <t>Rosa Vickress</t>
  </si>
  <si>
    <t>Jacques Mumbeson</t>
  </si>
  <si>
    <t>Augustina Siward</t>
  </si>
  <si>
    <t>Fran Grigg</t>
  </si>
  <si>
    <t>Mickey Faithfull</t>
  </si>
  <si>
    <t>Elaine Trenholme</t>
  </si>
  <si>
    <t>Aylmar Keling</t>
  </si>
  <si>
    <t>Coleman Powelee</t>
  </si>
  <si>
    <t>Elnore Pandya</t>
  </si>
  <si>
    <t>Fransisco Davidy</t>
  </si>
  <si>
    <t>Ichabod Pollastrino</t>
  </si>
  <si>
    <t>Sutton Trembey</t>
  </si>
  <si>
    <t>Trina Fairholme</t>
  </si>
  <si>
    <t>Cart Boundey</t>
  </si>
  <si>
    <t>Cale Plumstead</t>
  </si>
  <si>
    <t>Gail McMurthy</t>
  </si>
  <si>
    <t>Brandtr Witherdon</t>
  </si>
  <si>
    <t>Filippa Angeli</t>
  </si>
  <si>
    <t>Jessie Klulicek</t>
  </si>
  <si>
    <t>Susan Howe</t>
  </si>
  <si>
    <t>Marybelle Utridge</t>
  </si>
  <si>
    <t>Alvis Alderwick</t>
  </si>
  <si>
    <t>Rena Buret</t>
  </si>
  <si>
    <t>Vladimir Madison</t>
  </si>
  <si>
    <t>Myra de Clerq</t>
  </si>
  <si>
    <t>Moishe Espada</t>
  </si>
  <si>
    <t>Malissia Giacobini</t>
  </si>
  <si>
    <t>Lucas Perrington</t>
  </si>
  <si>
    <t>Mag Glencorse</t>
  </si>
  <si>
    <t>Adriana Alden</t>
  </si>
  <si>
    <t>Ninnetta Tyres</t>
  </si>
  <si>
    <t>Pincus Silby</t>
  </si>
  <si>
    <t>Zabrina Cuttles</t>
  </si>
  <si>
    <t>Cristi Head</t>
  </si>
  <si>
    <t>Clarine Flann</t>
  </si>
  <si>
    <t>Malena Kail</t>
  </si>
  <si>
    <t>Rudyard Blaschke</t>
  </si>
  <si>
    <t>Jessika Rippin</t>
  </si>
  <si>
    <t>Cassondra Eminson</t>
  </si>
  <si>
    <t>Lolita Sambath</t>
  </si>
  <si>
    <t>Kimball Guiu</t>
  </si>
  <si>
    <t>Ebenezer Caughey</t>
  </si>
  <si>
    <t>Park Janeczek</t>
  </si>
  <si>
    <t>Rosana Puckrin</t>
  </si>
  <si>
    <t>Briana Hallgate</t>
  </si>
  <si>
    <t>Nike Snel</t>
  </si>
  <si>
    <t>Jessika Welch</t>
  </si>
  <si>
    <t>Albie Frier</t>
  </si>
  <si>
    <t>Magdalene Hanigan</t>
  </si>
  <si>
    <t>Shannah Demke</t>
  </si>
  <si>
    <t>Claudio Jaze</t>
  </si>
  <si>
    <t>Oliver Massingberd</t>
  </si>
  <si>
    <t>Emelia Enion</t>
  </si>
  <si>
    <t>Nolie Duff</t>
  </si>
  <si>
    <t>Vin Lowrance</t>
  </si>
  <si>
    <t>Rurik Rathmell</t>
  </si>
  <si>
    <t>Alta De Atta</t>
  </si>
  <si>
    <t>Cally MacSorley</t>
  </si>
  <si>
    <t>Ivett Sidworth</t>
  </si>
  <si>
    <t>Bernarr Blockey</t>
  </si>
  <si>
    <t>Benyamin Stockney</t>
  </si>
  <si>
    <t>Pammy Sones</t>
  </si>
  <si>
    <t>Jesselyn Gerrill</t>
  </si>
  <si>
    <t>Winna Sprigging</t>
  </si>
  <si>
    <t>Terza Ogdahl</t>
  </si>
  <si>
    <t>Flossy Durrell</t>
  </si>
  <si>
    <t>Deidre Granleese</t>
  </si>
  <si>
    <t>Lynda Glasard</t>
  </si>
  <si>
    <t>Dasya Roskelly</t>
  </si>
  <si>
    <t>Dulcinea Jovovic</t>
  </si>
  <si>
    <t>Papagena Aikman</t>
  </si>
  <si>
    <t>Arnuad Sheivels</t>
  </si>
  <si>
    <t>Blaine Eddins</t>
  </si>
  <si>
    <t>Theo Orht</t>
  </si>
  <si>
    <t>Fulvia Drysdale</t>
  </si>
  <si>
    <t>Taylor Kelson</t>
  </si>
  <si>
    <t>Constanta Ensley</t>
  </si>
  <si>
    <t>Neils Wasmer</t>
  </si>
  <si>
    <t>Dora Fright</t>
  </si>
  <si>
    <t>Norry Kalf</t>
  </si>
  <si>
    <t>Leanor Sahnow</t>
  </si>
  <si>
    <t>Gal Lauderdale</t>
  </si>
  <si>
    <t>Maurits Glavin</t>
  </si>
  <si>
    <t>Jeanne Mellish</t>
  </si>
  <si>
    <t>Baird Grundon</t>
  </si>
  <si>
    <t>Hartley Debnam</t>
  </si>
  <si>
    <t>Sher Braferton</t>
  </si>
  <si>
    <t>Clotilda Dounbare</t>
  </si>
  <si>
    <t>Kaia Gerault</t>
  </si>
  <si>
    <t>Anastassia Cohalan</t>
  </si>
  <si>
    <t>Bronny Gambles</t>
  </si>
  <si>
    <t>Alister Duffin</t>
  </si>
  <si>
    <t>Petronia Beynon</t>
  </si>
  <si>
    <t>Tildi Beldum</t>
  </si>
  <si>
    <t>Hadrian Dudderidge</t>
  </si>
  <si>
    <t>Willy Cordero</t>
  </si>
  <si>
    <t>Artemis Groocock</t>
  </si>
  <si>
    <t>Jacinthe Sinnat</t>
  </si>
  <si>
    <t>Missie Robe</t>
  </si>
  <si>
    <t>Salim Rowen</t>
  </si>
  <si>
    <t>Blair Gussin</t>
  </si>
  <si>
    <t>Hatti Keiling</t>
  </si>
  <si>
    <t>Sayer Doumic</t>
  </si>
  <si>
    <t>Kelila Hatrick</t>
  </si>
  <si>
    <t>Maurizia Ellaway</t>
  </si>
  <si>
    <t>Gipsy Adamovicz</t>
  </si>
  <si>
    <t>Katusha Chevis</t>
  </si>
  <si>
    <t>Washington Buttfield</t>
  </si>
  <si>
    <t>Andrew Swenson</t>
  </si>
  <si>
    <t>Caleb Cruft</t>
  </si>
  <si>
    <t>Rudolph Dearsley</t>
  </si>
  <si>
    <t>Jeni Plowright</t>
  </si>
  <si>
    <t>Selig Murrthum</t>
  </si>
  <si>
    <t>Christian Revens</t>
  </si>
  <si>
    <t>Annamaria Beames</t>
  </si>
  <si>
    <t>Vanessa Duffin</t>
  </si>
  <si>
    <t>Abdel Fairham</t>
  </si>
  <si>
    <t>Alysa Yerill</t>
  </si>
  <si>
    <t>Rebeka Stenson</t>
  </si>
  <si>
    <t>Wit Ianilli</t>
  </si>
  <si>
    <t>Jacky Narramore</t>
  </si>
  <si>
    <t>Humberto Flips</t>
  </si>
  <si>
    <t>Clemence Eitter</t>
  </si>
  <si>
    <t>Alie McAmish</t>
  </si>
  <si>
    <t>Ysabel Fairnington</t>
  </si>
  <si>
    <t>Michel Daws</t>
  </si>
  <si>
    <t>Blithe Saylor</t>
  </si>
  <si>
    <t>Joly Usher</t>
  </si>
  <si>
    <t>Robbyn Gorringe</t>
  </si>
  <si>
    <t>Max Dennison</t>
  </si>
  <si>
    <t>Doloritas Harrald</t>
  </si>
  <si>
    <t>Megan O'Sharry</t>
  </si>
  <si>
    <t>Jaquelyn Gorsse</t>
  </si>
  <si>
    <t>Darci Schanke</t>
  </si>
  <si>
    <t>Bobinette Heyns</t>
  </si>
  <si>
    <t>Joice Blackman</t>
  </si>
  <si>
    <t>Adolphe Bellenger</t>
  </si>
  <si>
    <t>Terra Maytom</t>
  </si>
  <si>
    <t>Kylie Karlicek</t>
  </si>
  <si>
    <t>Blair Haxbie</t>
  </si>
  <si>
    <t>Tamas Attril</t>
  </si>
  <si>
    <t>Hewe Drains</t>
  </si>
  <si>
    <t>Devin Decayette</t>
  </si>
  <si>
    <t>Daren Flannery</t>
  </si>
  <si>
    <t>Nessie Farnworth</t>
  </si>
  <si>
    <t>Gael Gurley</t>
  </si>
  <si>
    <t>Helene Othen</t>
  </si>
  <si>
    <t>Viole Sleeny</t>
  </si>
  <si>
    <t>Hollyanne St. Quintin</t>
  </si>
  <si>
    <t>Orren Philcock</t>
  </si>
  <si>
    <t>Garold Ivimy</t>
  </si>
  <si>
    <t>Lenee Becerro</t>
  </si>
  <si>
    <t>Erin Botten</t>
  </si>
  <si>
    <t>Glynnis Hudspeth</t>
  </si>
  <si>
    <t>Alvina Dashkovich</t>
  </si>
  <si>
    <t>Aldrich Bodemeaid</t>
  </si>
  <si>
    <t>Nicki Keen</t>
  </si>
  <si>
    <t>Effie Odd</t>
  </si>
  <si>
    <t>Mallory Delamaine</t>
  </si>
  <si>
    <t>Markus Summerlee</t>
  </si>
  <si>
    <t>Bengt Balnaves</t>
  </si>
  <si>
    <t>Cayla Tessyman</t>
  </si>
  <si>
    <t>Harrison Kubalek</t>
  </si>
  <si>
    <t>Julianne Readmire</t>
  </si>
  <si>
    <t>Dory Bielby</t>
  </si>
  <si>
    <t>Annie Masi</t>
  </si>
  <si>
    <t>Sheeree Pinchback</t>
  </si>
  <si>
    <t>Verna Durran</t>
  </si>
  <si>
    <t>Zolly Scarfe</t>
  </si>
  <si>
    <t>Riannon Schild</t>
  </si>
  <si>
    <t>Rene O'Reagan</t>
  </si>
  <si>
    <t>Dix Pagett</t>
  </si>
  <si>
    <t>Wilhelm Estrella</t>
  </si>
  <si>
    <t>Lynnett Late</t>
  </si>
  <si>
    <t>Nona Heathcott</t>
  </si>
  <si>
    <t>Matty Caney</t>
  </si>
  <si>
    <t>Golda Dinkin</t>
  </si>
  <si>
    <t>Rasia Maiklem</t>
  </si>
  <si>
    <t>Nowell Kershow</t>
  </si>
  <si>
    <t>Hewe Bizzey</t>
  </si>
  <si>
    <t>Linell Babb</t>
  </si>
  <si>
    <t>Angelo Creser</t>
  </si>
  <si>
    <t>Celestia Ossulton</t>
  </si>
  <si>
    <t>Orbadiah Mordecai</t>
  </si>
  <si>
    <t>Aloin Biddell</t>
  </si>
  <si>
    <t>Langston Thormann</t>
  </si>
  <si>
    <t>Iggie Ledger</t>
  </si>
  <si>
    <t>Tab Fleeming</t>
  </si>
  <si>
    <t>Emera Lumsdale</t>
  </si>
  <si>
    <t>Krispin Geertz</t>
  </si>
  <si>
    <t>Chanda Oscroft</t>
  </si>
  <si>
    <t>Pegeen Freathy</t>
  </si>
  <si>
    <t>Cathrine Dawks</t>
  </si>
  <si>
    <t>Mercie Durnall</t>
  </si>
  <si>
    <t>Chryste Membry</t>
  </si>
  <si>
    <t>Marian Quilleash</t>
  </si>
  <si>
    <t>Archibald Brockman</t>
  </si>
  <si>
    <t>Dorian Harte</t>
  </si>
  <si>
    <t>Juliann Penfold</t>
  </si>
  <si>
    <t>Matty Jouhan</t>
  </si>
  <si>
    <t>Kerry Mowsdill</t>
  </si>
  <si>
    <t>Ignatius Cason</t>
  </si>
  <si>
    <t>Keri Lindstrom</t>
  </si>
  <si>
    <t>Chrystel Simoneton</t>
  </si>
  <si>
    <t>Barrie Ezele</t>
  </si>
  <si>
    <t>Gaylor O'Neill</t>
  </si>
  <si>
    <t>Pepillo Aleixo</t>
  </si>
  <si>
    <t>Gayle McCurlye</t>
  </si>
  <si>
    <t>Talya Eckery</t>
  </si>
  <si>
    <t>Frannie Penman</t>
  </si>
  <si>
    <t>Banky Joplin</t>
  </si>
  <si>
    <t>Frederico Ridout</t>
  </si>
  <si>
    <t>Debera Pidwell</t>
  </si>
  <si>
    <t>Maris MacGillespie</t>
  </si>
  <si>
    <t>Marnia Cossington</t>
  </si>
  <si>
    <t>Jacquenetta Laugharne</t>
  </si>
  <si>
    <t>Mirelle Turnock</t>
  </si>
  <si>
    <t>Isidoro Garaghan</t>
  </si>
  <si>
    <t>Buck Blondin</t>
  </si>
  <si>
    <t>Adelina Trouel</t>
  </si>
  <si>
    <t>Cathy Taffe</t>
  </si>
  <si>
    <t>Annadiane Beddis</t>
  </si>
  <si>
    <t>Carri Liquorish</t>
  </si>
  <si>
    <t>Viki Cosans</t>
  </si>
  <si>
    <t>Nita Beslier</t>
  </si>
  <si>
    <t>Minny Towll</t>
  </si>
  <si>
    <t>Kin Rennocks</t>
  </si>
  <si>
    <t>Rosella Yaknov</t>
  </si>
  <si>
    <t>Fairleigh Gunson</t>
  </si>
  <si>
    <t>Bob Sterricker</t>
  </si>
  <si>
    <t>Jillana Sealand</t>
  </si>
  <si>
    <t>Helaina Van Geffen</t>
  </si>
  <si>
    <t>Beverie Chittock</t>
  </si>
  <si>
    <t>Joseito Sanham</t>
  </si>
  <si>
    <t>Sophronia Gozard</t>
  </si>
  <si>
    <t>Deborah Worsham</t>
  </si>
  <si>
    <t>Ade Laise</t>
  </si>
  <si>
    <t>Templeton Doerffer</t>
  </si>
  <si>
    <t>Cosimo Widdall</t>
  </si>
  <si>
    <t>Sarette Wemes</t>
  </si>
  <si>
    <t>Anni Steckings</t>
  </si>
  <si>
    <t>Dusty Probbing</t>
  </si>
  <si>
    <t>Elmo Rainsdon</t>
  </si>
  <si>
    <t>Leon Goodwin</t>
  </si>
  <si>
    <t>Jorry Mattek</t>
  </si>
  <si>
    <t>Genny Thompstone</t>
  </si>
  <si>
    <t>Peyter Ridhole</t>
  </si>
  <si>
    <t>Adele Rowdell</t>
  </si>
  <si>
    <t>Jolee Halson</t>
  </si>
  <si>
    <t>Marcelline Douglass</t>
  </si>
  <si>
    <t>Perren Warrick</t>
  </si>
  <si>
    <t>Nolie Dayce</t>
  </si>
  <si>
    <t>Rice Divill</t>
  </si>
  <si>
    <t>Lizabeth Martinon</t>
  </si>
  <si>
    <t>Randa Le Conte</t>
  </si>
  <si>
    <t>Ricky Lockie</t>
  </si>
  <si>
    <t>Euell Dressell</t>
  </si>
  <si>
    <t>Kevon Deem</t>
  </si>
  <si>
    <t>Sonni Sprakes</t>
  </si>
  <si>
    <t>Timmie Moatt</t>
  </si>
  <si>
    <t>Cindi Wetherald</t>
  </si>
  <si>
    <t>Robenia Fratczak</t>
  </si>
  <si>
    <t>Arney Lade</t>
  </si>
  <si>
    <t>Perceval Leger</t>
  </si>
  <si>
    <t>Tonnie Duffield</t>
  </si>
  <si>
    <t>Nevin Jewis</t>
  </si>
  <si>
    <t>Elizabeth Kowalik</t>
  </si>
  <si>
    <t>Maye Giddens</t>
  </si>
  <si>
    <t>Katharyn O'Dyvoie</t>
  </si>
  <si>
    <t>Markus Sunnex</t>
  </si>
  <si>
    <t>Olenolin Ledford</t>
  </si>
  <si>
    <t>Morey Funnell</t>
  </si>
  <si>
    <t>Link Tschursch</t>
  </si>
  <si>
    <t>Muire Gurdon</t>
  </si>
  <si>
    <t>Fleming Ogan</t>
  </si>
  <si>
    <t>Evyn Giorgini</t>
  </si>
  <si>
    <t>Nero Edgworth</t>
  </si>
  <si>
    <t>Danice Findlay</t>
  </si>
  <si>
    <t>Westley Yannikov</t>
  </si>
  <si>
    <t>Mariellen Daouse</t>
  </si>
  <si>
    <t>Marshal Corkitt</t>
  </si>
  <si>
    <t>Arlinda Scutter</t>
  </si>
  <si>
    <t>Jamal Eary</t>
  </si>
  <si>
    <t>Valentino Schach</t>
  </si>
  <si>
    <t>Pyotr Bligh</t>
  </si>
  <si>
    <t>Rufe Dance</t>
  </si>
  <si>
    <t>Kesley McCooke</t>
  </si>
  <si>
    <t>Barbey Misson</t>
  </si>
  <si>
    <t>Frederick Brasse</t>
  </si>
  <si>
    <t>Lurlene Pirnie</t>
  </si>
  <si>
    <t>Ian Tandy</t>
  </si>
  <si>
    <t>Allina Vose</t>
  </si>
  <si>
    <t>Leontine Carneck</t>
  </si>
  <si>
    <t>Kristo Venning</t>
  </si>
  <si>
    <t>Brook Devigne</t>
  </si>
  <si>
    <t>Cherey Ruprich</t>
  </si>
  <si>
    <t>Kane McGrann</t>
  </si>
  <si>
    <t>Gisella Elrick</t>
  </si>
  <si>
    <t>Irving Keyser</t>
  </si>
  <si>
    <t>Obidiah Carabine</t>
  </si>
  <si>
    <t>Addi Sigfrid</t>
  </si>
  <si>
    <t>Kaylyn Fancet</t>
  </si>
  <si>
    <t>Shayla Toplis</t>
  </si>
  <si>
    <t>Oralle Eacle</t>
  </si>
  <si>
    <t>Kimberley Lowe</t>
  </si>
  <si>
    <t>Reginald Lippini</t>
  </si>
  <si>
    <t>Pia Jurgensen</t>
  </si>
  <si>
    <t>Kimberlyn Bonhome</t>
  </si>
  <si>
    <t>Aristotle Vignaux</t>
  </si>
  <si>
    <t>Marlane Fairman</t>
  </si>
  <si>
    <t>Lucretia Stringer</t>
  </si>
  <si>
    <t>Grange Ibert</t>
  </si>
  <si>
    <t>Alena Scotchmer</t>
  </si>
  <si>
    <t>Ruthy Spellworth</t>
  </si>
  <si>
    <t>Bo Artinstall</t>
  </si>
  <si>
    <t>Kesley Form</t>
  </si>
  <si>
    <t>Norry Gumery</t>
  </si>
  <si>
    <t>Pietra Paskins</t>
  </si>
  <si>
    <t>Gauthier Nellies</t>
  </si>
  <si>
    <t>Lucienne Dow</t>
  </si>
  <si>
    <t>Reinaldos Hollingsby</t>
  </si>
  <si>
    <t>Lauraine Pionter</t>
  </si>
  <si>
    <t>Barnabas Reidshaw</t>
  </si>
  <si>
    <t>Codi Neighbour</t>
  </si>
  <si>
    <t>Angelo Medland</t>
  </si>
  <si>
    <t>Titos Okie</t>
  </si>
  <si>
    <t>Ezechiel McQuaide</t>
  </si>
  <si>
    <t>Aluino Atlee</t>
  </si>
  <si>
    <t>Bron Morrott</t>
  </si>
  <si>
    <t>Sandi Learoyd</t>
  </si>
  <si>
    <t>Viviene Orys</t>
  </si>
  <si>
    <t>Lammond Rauprich</t>
  </si>
  <si>
    <t>Laureen Ferriman</t>
  </si>
  <si>
    <t>Atalanta Matten</t>
  </si>
  <si>
    <t>Jorge Goodoune</t>
  </si>
  <si>
    <t>Cesare Dunbobbin</t>
  </si>
  <si>
    <t>Marget Plewman</t>
  </si>
  <si>
    <t>Karly Roches</t>
  </si>
  <si>
    <t>Olva Chewter</t>
  </si>
  <si>
    <t>Kamila Houseman</t>
  </si>
  <si>
    <t>Marylynne Sturr</t>
  </si>
  <si>
    <t>Ham Pude</t>
  </si>
  <si>
    <t>Rogers Coraini</t>
  </si>
  <si>
    <t>Irita Newham</t>
  </si>
  <si>
    <t>Henderson Hearnshaw</t>
  </si>
  <si>
    <t>Valida Gierke</t>
  </si>
  <si>
    <t>Wain Arnaudi</t>
  </si>
  <si>
    <t>Carie Woolacott</t>
  </si>
  <si>
    <t>Lisbeth Dreinan</t>
  </si>
  <si>
    <t>Bear Skirving</t>
  </si>
  <si>
    <t>Dido Postance</t>
  </si>
  <si>
    <t>Beatrisa Louch</t>
  </si>
  <si>
    <t>Bourke Baiss</t>
  </si>
  <si>
    <t>Goldina Fley</t>
  </si>
  <si>
    <t>Kaia Spat</t>
  </si>
  <si>
    <t>Leonhard Jamieson</t>
  </si>
  <si>
    <t>Pavla Stenhouse</t>
  </si>
  <si>
    <t>Rosalie Kaliszewski</t>
  </si>
  <si>
    <t>Madelin Slowgrove</t>
  </si>
  <si>
    <t>Rora Dowson</t>
  </si>
  <si>
    <t>Yoshiko Erricker</t>
  </si>
  <si>
    <t>Margaret McLelland</t>
  </si>
  <si>
    <t>Frannie Crump</t>
  </si>
  <si>
    <t>Lusa Hallawell</t>
  </si>
  <si>
    <t>Tamas Tregust</t>
  </si>
  <si>
    <t>Johanna Skerme</t>
  </si>
  <si>
    <t>Frances Turfrey</t>
  </si>
  <si>
    <t>Natal Dikes</t>
  </si>
  <si>
    <t>Jena Jiricka</t>
  </si>
  <si>
    <t>Thaddus Kelf</t>
  </si>
  <si>
    <t>Guillema Hearnes</t>
  </si>
  <si>
    <t>Aigneis Bruckstein</t>
  </si>
  <si>
    <t>Lorna Kohlert</t>
  </si>
  <si>
    <t>Zorina Szymonowicz</t>
  </si>
  <si>
    <t>April Jeffries</t>
  </si>
  <si>
    <t>Aloise Gammett</t>
  </si>
  <si>
    <t>Denna Matschek</t>
  </si>
  <si>
    <t>Wiley Pepperill</t>
  </si>
  <si>
    <t>Jerrome Palmer</t>
  </si>
  <si>
    <t>Ina Shingles</t>
  </si>
  <si>
    <t>Cornelia Oxx</t>
  </si>
  <si>
    <t>Terence Agott</t>
  </si>
  <si>
    <t>Catlaina Grafhom</t>
  </si>
  <si>
    <t>Elliott Bamling</t>
  </si>
  <si>
    <t>Nannette Doggerell</t>
  </si>
  <si>
    <t>Mavra Tout</t>
  </si>
  <si>
    <t>Dun Frary</t>
  </si>
  <si>
    <t>Florian Chesney</t>
  </si>
  <si>
    <t>Heywood Burchell</t>
  </si>
  <si>
    <t>Earlie Crooks</t>
  </si>
  <si>
    <t>Nap Gabey</t>
  </si>
  <si>
    <t>Nathan Varah</t>
  </si>
  <si>
    <t>Pammy Bockin</t>
  </si>
  <si>
    <t>Chryste Swynfen</t>
  </si>
  <si>
    <t>Malia Edser</t>
  </si>
  <si>
    <t>Bertie Brun</t>
  </si>
  <si>
    <t>Vaughan Ecclestone</t>
  </si>
  <si>
    <t>Winslow Spackman</t>
  </si>
  <si>
    <t>Aron Hadland</t>
  </si>
  <si>
    <t>Boniface Moughtin</t>
  </si>
  <si>
    <t>Sonny Floch</t>
  </si>
  <si>
    <t>Dayna Ealles</t>
  </si>
  <si>
    <t>Nicole Speeding</t>
  </si>
  <si>
    <t>Milty Dilkes</t>
  </si>
  <si>
    <t>Adelle Dobrovolny</t>
  </si>
  <si>
    <t>Lindsy Treweela</t>
  </si>
  <si>
    <t>Elston Kinsey</t>
  </si>
  <si>
    <t>Brenden Tremellier</t>
  </si>
  <si>
    <t>Levi Gouldthorp</t>
  </si>
  <si>
    <t>Barbabas McNea</t>
  </si>
  <si>
    <t>Dov Quig</t>
  </si>
  <si>
    <t>Mallorie Winney</t>
  </si>
  <si>
    <t>Flo Wakelam</t>
  </si>
  <si>
    <t>Vinny Coultass</t>
  </si>
  <si>
    <t>Thornton Potapczuk</t>
  </si>
  <si>
    <t>Berta Kase</t>
  </si>
  <si>
    <t>Becky Mahody</t>
  </si>
  <si>
    <t>Betsey Fortye</t>
  </si>
  <si>
    <t>Whitney Stickells</t>
  </si>
  <si>
    <t>Thibaud Conen</t>
  </si>
  <si>
    <t>Marjy Huitson</t>
  </si>
  <si>
    <t>Lucilia Atthow</t>
  </si>
  <si>
    <t>Bailey Halhead</t>
  </si>
  <si>
    <t>Fairleigh Denyukhin</t>
  </si>
  <si>
    <t>Carlynne Lenden</t>
  </si>
  <si>
    <t>Maynard Petegree</t>
  </si>
  <si>
    <t>Blake Longhirst</t>
  </si>
  <si>
    <t>Barnabas Perllman</t>
  </si>
  <si>
    <t>Ricki Perulli</t>
  </si>
  <si>
    <t>Ofilia Keetch</t>
  </si>
  <si>
    <t>Lola Hurren</t>
  </si>
  <si>
    <t>Cass Santer</t>
  </si>
  <si>
    <t>Alberik Burchatt</t>
  </si>
  <si>
    <t>Win Davidge</t>
  </si>
  <si>
    <t>Ulrika Orringe</t>
  </si>
  <si>
    <t>Derek Mytton</t>
  </si>
  <si>
    <t>Miller Weinham</t>
  </si>
  <si>
    <t>Jania Shanahan</t>
  </si>
  <si>
    <t>Corny Berka</t>
  </si>
  <si>
    <t>Emylee Benzie</t>
  </si>
  <si>
    <t>Sharla Stapforth</t>
  </si>
  <si>
    <t>Isabella Lockner</t>
  </si>
  <si>
    <t>Brocky Darrel</t>
  </si>
  <si>
    <t>Joey Klimkiewich</t>
  </si>
  <si>
    <t>Wilow Rawsthorne</t>
  </si>
  <si>
    <t>Vilhelmina Simakov</t>
  </si>
  <si>
    <t>Ailene Gosland</t>
  </si>
  <si>
    <t>Evangeline Kobieriecki</t>
  </si>
  <si>
    <t>Joey Chesswas</t>
  </si>
  <si>
    <t>Bel Keems</t>
  </si>
  <si>
    <t>Blaire Sunley</t>
  </si>
  <si>
    <t>Valentino Jeayes</t>
  </si>
  <si>
    <t>Hube Weeks</t>
  </si>
  <si>
    <t>Saleem Shufflebotham</t>
  </si>
  <si>
    <t>Abbe Vasiljevic</t>
  </si>
  <si>
    <t>Borden Treasure</t>
  </si>
  <si>
    <t>Nikolaus Dyball</t>
  </si>
  <si>
    <t>Marie-ann Craig</t>
  </si>
  <si>
    <t>Karel Turbefield</t>
  </si>
  <si>
    <t>Salvador Tayspell</t>
  </si>
  <si>
    <t>Shandie Tynemouth</t>
  </si>
  <si>
    <t>Malia Antonowicz</t>
  </si>
  <si>
    <t>Sarena Newcomen</t>
  </si>
  <si>
    <t>Ortensia Teresse</t>
  </si>
  <si>
    <t>Adolf Barrs</t>
  </si>
  <si>
    <t>Kelly Dumberrill</t>
  </si>
  <si>
    <t>Read Snoding</t>
  </si>
  <si>
    <t>Rudyard Tichner</t>
  </si>
  <si>
    <t>Othello Wiburn</t>
  </si>
  <si>
    <t>Bondy Elcoate</t>
  </si>
  <si>
    <t>Kip Deyenhardt</t>
  </si>
  <si>
    <t>Zacherie Mergue</t>
  </si>
  <si>
    <t>Mahala Carrel</t>
  </si>
  <si>
    <t>Bettine Gilhouley</t>
  </si>
  <si>
    <t>Bary Hayen</t>
  </si>
  <si>
    <t>Parke Twycross</t>
  </si>
  <si>
    <t>Thomasina Fanthom</t>
  </si>
  <si>
    <t>Marsha Martugin</t>
  </si>
  <si>
    <t>Penny Bullivent</t>
  </si>
  <si>
    <t>Rutherford Wimp</t>
  </si>
  <si>
    <t>Frederich Hardwin</t>
  </si>
  <si>
    <t>Ilaire Tapin</t>
  </si>
  <si>
    <t>Donalt Bladen</t>
  </si>
  <si>
    <t>Frances Godbald</t>
  </si>
  <si>
    <t>Lavena McDoual</t>
  </si>
  <si>
    <t>Payton Kerrod</t>
  </si>
  <si>
    <t>Doy Rodolfi</t>
  </si>
  <si>
    <t>Alicea Illem</t>
  </si>
  <si>
    <t>Reggie Neissen</t>
  </si>
  <si>
    <t>Vance Craw</t>
  </si>
  <si>
    <t>Lila Jakov</t>
  </si>
  <si>
    <t>Keary Kneel</t>
  </si>
  <si>
    <t>Welby Remer</t>
  </si>
  <si>
    <t>Cassandry Nicklinson</t>
  </si>
  <si>
    <t>Noach Bartoszewski</t>
  </si>
  <si>
    <t>Nial Abbets</t>
  </si>
  <si>
    <t>Haskel Vicar</t>
  </si>
  <si>
    <t>Cindie Addlestone</t>
  </si>
  <si>
    <t>Alyda Hayler</t>
  </si>
  <si>
    <t>Margery Cohan</t>
  </si>
  <si>
    <t>Laurens Stanhope</t>
  </si>
  <si>
    <t>Lockwood Gerrey</t>
  </si>
  <si>
    <t>Quinn Culshaw</t>
  </si>
  <si>
    <t>Anallese Batterbee</t>
  </si>
  <si>
    <t>Kaleb Dregan</t>
  </si>
  <si>
    <t>Faulkner Cripps</t>
  </si>
  <si>
    <t>Eddy Attrill</t>
  </si>
  <si>
    <t>Rowena Tripet</t>
  </si>
  <si>
    <t>Griselda Virgo</t>
  </si>
  <si>
    <t>Sheryl Hadye</t>
  </si>
  <si>
    <t>Caddric Stilling</t>
  </si>
  <si>
    <t>Carlo Georghiou</t>
  </si>
  <si>
    <t>Elisha Hambric</t>
  </si>
  <si>
    <t>Charis Bottjer</t>
  </si>
  <si>
    <t>Isador Trodden</t>
  </si>
  <si>
    <t>Sallyann Peacham</t>
  </si>
  <si>
    <t>Imogen Rohan</t>
  </si>
  <si>
    <t>Ellary Craister</t>
  </si>
  <si>
    <t>Vanya Januszkiewicz</t>
  </si>
  <si>
    <t>Darrel Risborough</t>
  </si>
  <si>
    <t>Isadore Vagg</t>
  </si>
  <si>
    <t>Gretna Husselbee</t>
  </si>
  <si>
    <t>Haleigh Gert</t>
  </si>
  <si>
    <t>Georgie Michell</t>
  </si>
  <si>
    <t>Dennis Norridge</t>
  </si>
  <si>
    <t>Elinor Studdert</t>
  </si>
  <si>
    <t>Ninetta Patemore</t>
  </si>
  <si>
    <t>Bettye Tweedie</t>
  </si>
  <si>
    <t>Florette Ten Broek</t>
  </si>
  <si>
    <t>Dulce Streatley</t>
  </si>
  <si>
    <t>Vincents Casseldine</t>
  </si>
  <si>
    <t>Essy Shewsmith</t>
  </si>
  <si>
    <t>Lisetta Duferie</t>
  </si>
  <si>
    <t>Chloette Aggiss</t>
  </si>
  <si>
    <t>Margaretta Collington</t>
  </si>
  <si>
    <t>Reeta Bold</t>
  </si>
  <si>
    <t>Timothea Mc Menamin</t>
  </si>
  <si>
    <t>Lane O'Shields</t>
  </si>
  <si>
    <t>Tad Keenlayside</t>
  </si>
  <si>
    <t>Bret Rugiero</t>
  </si>
  <si>
    <t>Wilmar O' Neligan</t>
  </si>
  <si>
    <t>Aarika Dowglass</t>
  </si>
  <si>
    <t>Barthel Bronger</t>
  </si>
  <si>
    <t>Carmencita Arnow</t>
  </si>
  <si>
    <t>Immanuel Meagh</t>
  </si>
  <si>
    <t>Nick Melluish</t>
  </si>
  <si>
    <t>Natalina Rioch</t>
  </si>
  <si>
    <t>Anselma Inston</t>
  </si>
  <si>
    <t>Catlee O'Cosgra</t>
  </si>
  <si>
    <t>Wood Stoffler</t>
  </si>
  <si>
    <t>Modesta Learoid</t>
  </si>
  <si>
    <t>Jillie Pott</t>
  </si>
  <si>
    <t>Susannah Keir</t>
  </si>
  <si>
    <t>Evanne Falkinder</t>
  </si>
  <si>
    <t>Ardelia Gerred</t>
  </si>
  <si>
    <t>Abdul O'Connor</t>
  </si>
  <si>
    <t>Didi Brimelow</t>
  </si>
  <si>
    <t>Davida Brager</t>
  </si>
  <si>
    <t>Harmonie Goad</t>
  </si>
  <si>
    <t>Cindee Stockport</t>
  </si>
  <si>
    <t>Karmen Gwinnell</t>
  </si>
  <si>
    <t>Tobe Faull</t>
  </si>
  <si>
    <t>Derward Quye</t>
  </si>
  <si>
    <t>Alastair Seeborne</t>
  </si>
  <si>
    <t>Erv Attac</t>
  </si>
  <si>
    <t>Glenda Frays</t>
  </si>
  <si>
    <t>Mirilla Wrightem</t>
  </si>
  <si>
    <t>Roxanna Bampforth</t>
  </si>
  <si>
    <t>Roz Joye</t>
  </si>
  <si>
    <t>Marlie Sked</t>
  </si>
  <si>
    <t>Daisy Semarke</t>
  </si>
  <si>
    <t>Yves Douris</t>
  </si>
  <si>
    <t>Frederigo Cozby</t>
  </si>
  <si>
    <t>Lee Kubin</t>
  </si>
  <si>
    <t>Kassi Riddall</t>
  </si>
  <si>
    <t>Corry Ranyelld</t>
  </si>
  <si>
    <t>Thaddus Niesel</t>
  </si>
  <si>
    <t>Elinor McFaell</t>
  </si>
  <si>
    <t>Ada Grafom</t>
  </si>
  <si>
    <t>Margi Deverille</t>
  </si>
  <si>
    <t>Justis Infante</t>
  </si>
  <si>
    <t>Fiorenze Shoard</t>
  </si>
  <si>
    <t>Daryl Krinks</t>
  </si>
  <si>
    <t>Tadd Wilkins</t>
  </si>
  <si>
    <t>Roxanna Pughe</t>
  </si>
  <si>
    <t>Samuel Cabel</t>
  </si>
  <si>
    <t>Gerick Docksey</t>
  </si>
  <si>
    <t>Rosalinda Giovannazzi</t>
  </si>
  <si>
    <t>Lissie Vear</t>
  </si>
  <si>
    <t>Leone Orchart</t>
  </si>
  <si>
    <t>Barney Stanaway</t>
  </si>
  <si>
    <t>Erin Dils</t>
  </si>
  <si>
    <t>Jewell Sheron</t>
  </si>
  <si>
    <t>Austen Vaadeland</t>
  </si>
  <si>
    <t>Charlton Mathiot</t>
  </si>
  <si>
    <t>Dell Dulwich</t>
  </si>
  <si>
    <t>Alika Kmicicki</t>
  </si>
  <si>
    <t>Chelsae Stodart</t>
  </si>
  <si>
    <t>Lari Kingswood</t>
  </si>
  <si>
    <t>Erskine Rayburn</t>
  </si>
  <si>
    <t>April Lacasa</t>
  </si>
  <si>
    <t>Aura Gibbings</t>
  </si>
  <si>
    <t>Frankie Dimitriou</t>
  </si>
  <si>
    <t>Amelia Kliement</t>
  </si>
  <si>
    <t>Carlyn Geraud</t>
  </si>
  <si>
    <t>Elwira Franciottoi</t>
  </si>
  <si>
    <t>Elbertina Bamborough</t>
  </si>
  <si>
    <t>Mendel Garfitt</t>
  </si>
  <si>
    <t>Sela MacAlees</t>
  </si>
  <si>
    <t>Meredeth Bringloe</t>
  </si>
  <si>
    <t>Courtenay Rubega</t>
  </si>
  <si>
    <t>Valencia Teresa</t>
  </si>
  <si>
    <t>Loleta Domleo</t>
  </si>
  <si>
    <t>Claudius Rycraft</t>
  </si>
  <si>
    <t>Karlens Bartol</t>
  </si>
  <si>
    <t>Jarrett Duckhouse</t>
  </si>
  <si>
    <t>Codi Gorey</t>
  </si>
  <si>
    <t>Nata Cinnamond</t>
  </si>
  <si>
    <t>Minta Gosforth</t>
  </si>
  <si>
    <t>Cosimo Tregonna</t>
  </si>
  <si>
    <t>Martina Sancroft</t>
  </si>
  <si>
    <t>Saunders Yalden</t>
  </si>
  <si>
    <t>Jesse Kidd</t>
  </si>
  <si>
    <t>Moishe Backshaw</t>
  </si>
  <si>
    <t>Mozelle Twomey</t>
  </si>
  <si>
    <t>Cecilla Tschersich</t>
  </si>
  <si>
    <t>Nolly Dymidowicz</t>
  </si>
  <si>
    <t>Patten Moss</t>
  </si>
  <si>
    <t>Teirtza Marris</t>
  </si>
  <si>
    <t>Emma Roseblade</t>
  </si>
  <si>
    <t>Aili Theunissen</t>
  </si>
  <si>
    <t>Gonzalo Greasty</t>
  </si>
  <si>
    <t>Elianora Tinkler</t>
  </si>
  <si>
    <t>Dagny Glowacha</t>
  </si>
  <si>
    <t>Jasmine Matusson</t>
  </si>
  <si>
    <t>Lu Ratchford</t>
  </si>
  <si>
    <t>Merrilee Purkins</t>
  </si>
  <si>
    <t>Nonna Hutson</t>
  </si>
  <si>
    <t>Biron Semiras</t>
  </si>
  <si>
    <t>Lewie Winpenny</t>
  </si>
  <si>
    <t>Daffie Rickards</t>
  </si>
  <si>
    <t>Katerine Petters</t>
  </si>
  <si>
    <t>Obed Younger</t>
  </si>
  <si>
    <t>Devland Awty</t>
  </si>
  <si>
    <t>Merlina Jimmes</t>
  </si>
  <si>
    <t>Saidee Wooder</t>
  </si>
  <si>
    <t>Beatrix Runnalls</t>
  </si>
  <si>
    <t>Anni Gosz</t>
  </si>
  <si>
    <t>Anita Yurocjhin</t>
  </si>
  <si>
    <t>Niki Stidever</t>
  </si>
  <si>
    <t>Demetria Minty</t>
  </si>
  <si>
    <t>Reuben Keasy</t>
  </si>
  <si>
    <t>Reggie Feldmesser</t>
  </si>
  <si>
    <t>Renee Edie</t>
  </si>
  <si>
    <t>Florella Soldner</t>
  </si>
  <si>
    <t>Kelley Strickett</t>
  </si>
  <si>
    <t>Micki Larner</t>
  </si>
  <si>
    <t>Frannie Ekell</t>
  </si>
  <si>
    <t>Shandie Burkitt</t>
  </si>
  <si>
    <t>Jorgan Huertas</t>
  </si>
  <si>
    <t>Diego Gecks</t>
  </si>
  <si>
    <t>Tobye Melliard</t>
  </si>
  <si>
    <t>Kory Dafter</t>
  </si>
  <si>
    <t>Conney Hilhouse</t>
  </si>
  <si>
    <t>Atlante Rainy</t>
  </si>
  <si>
    <t>Hyacinthie Benthall</t>
  </si>
  <si>
    <t>Kaylyn Westrey</t>
  </si>
  <si>
    <t>Margarethe Sichardt</t>
  </si>
  <si>
    <t>Nona Iverson</t>
  </si>
  <si>
    <t>Bjorn Gilphillan</t>
  </si>
  <si>
    <t>Paddy Bedberry</t>
  </si>
  <si>
    <t>Ezequiel Kibby</t>
  </si>
  <si>
    <t>Olympia Stranks</t>
  </si>
  <si>
    <t>Kendell Clapp</t>
  </si>
  <si>
    <t>Kim Ambrogio</t>
  </si>
  <si>
    <t>Raoul Busain</t>
  </si>
  <si>
    <t>Blanca Woodhams</t>
  </si>
  <si>
    <t>Sileas Ollett</t>
  </si>
  <si>
    <t>Barry Davidi</t>
  </si>
  <si>
    <t>Stephannie Partington</t>
  </si>
  <si>
    <t>Walther Housbey</t>
  </si>
  <si>
    <t>Matelda Peacham</t>
  </si>
  <si>
    <t>Toby Janse</t>
  </si>
  <si>
    <t>Emmott Kirimaa</t>
  </si>
  <si>
    <t>Thatcher Sholem</t>
  </si>
  <si>
    <t>Myra Tassell</t>
  </si>
  <si>
    <t>Blondie Esterbrook</t>
  </si>
  <si>
    <t>Ashlan Jakubovics</t>
  </si>
  <si>
    <t>Angela Harrild</t>
  </si>
  <si>
    <t>Gerti Rennocks</t>
  </si>
  <si>
    <t>Mick Brandi</t>
  </si>
  <si>
    <t>Carlye Rees</t>
  </si>
  <si>
    <t>Malanie Danhel</t>
  </si>
  <si>
    <t>Freedman Pesek</t>
  </si>
  <si>
    <t>Casi Campagne</t>
  </si>
  <si>
    <t>Dona Hadwin</t>
  </si>
  <si>
    <t>Jamison Dentith</t>
  </si>
  <si>
    <t>Carri Flanne</t>
  </si>
  <si>
    <t>Hodge Walklott</t>
  </si>
  <si>
    <t>Neron Gittins</t>
  </si>
  <si>
    <t>Andie Lilleman</t>
  </si>
  <si>
    <t>Salomi Eslinger</t>
  </si>
  <si>
    <t>Janet Cunniffe</t>
  </si>
  <si>
    <t>Clara Tyrone</t>
  </si>
  <si>
    <t>Katherina le Keux</t>
  </si>
  <si>
    <t>Debera Flaubert</t>
  </si>
  <si>
    <t>Armando Spriggs</t>
  </si>
  <si>
    <t>Tallou Dable</t>
  </si>
  <si>
    <t>Germaine Donan</t>
  </si>
  <si>
    <t>Gan Beche</t>
  </si>
  <si>
    <t>Reggis Popham</t>
  </si>
  <si>
    <t>Elsey Hall</t>
  </si>
  <si>
    <t>Emmery Dutch</t>
  </si>
  <si>
    <t>Joanna Cyples</t>
  </si>
  <si>
    <t>Nadya Jinkinson</t>
  </si>
  <si>
    <t>Dennie Hilary</t>
  </si>
  <si>
    <t>Alanna Mound</t>
  </si>
  <si>
    <t>Farris Bolf</t>
  </si>
  <si>
    <t>Godiva Dissman</t>
  </si>
  <si>
    <t>Melisande Luetchford</t>
  </si>
  <si>
    <t>Chicky McGuire</t>
  </si>
  <si>
    <t>Gladys Isaq</t>
  </si>
  <si>
    <t>Gabbey Parkeson</t>
  </si>
  <si>
    <t>Kristina Giaomozzo</t>
  </si>
  <si>
    <t>Lil Solomon</t>
  </si>
  <si>
    <t>Emerson Salsbury</t>
  </si>
  <si>
    <t>Claus Bagehot</t>
  </si>
  <si>
    <t>Clementius Pringour</t>
  </si>
  <si>
    <t>Yasmeen Germaine</t>
  </si>
  <si>
    <t>Ranique Riggott</t>
  </si>
  <si>
    <t>Leola Belton</t>
  </si>
  <si>
    <t>Arlette Redwing</t>
  </si>
  <si>
    <t>Mart Earley</t>
  </si>
  <si>
    <t>Kandy Rea</t>
  </si>
  <si>
    <t>Hynda McDonell</t>
  </si>
  <si>
    <t>Richardo Jaspar</t>
  </si>
  <si>
    <t>Lemmie Knyvett</t>
  </si>
  <si>
    <t>Monroe Lindenfeld</t>
  </si>
  <si>
    <t>Gabriellia Loos</t>
  </si>
  <si>
    <t>Evan Seater</t>
  </si>
  <si>
    <t>Milt Tolmie</t>
  </si>
  <si>
    <t>Antonietta Tiffin</t>
  </si>
  <si>
    <t>Fannie Danes</t>
  </si>
  <si>
    <t>Lorita Borgnol</t>
  </si>
  <si>
    <t>Reba Bifield</t>
  </si>
  <si>
    <t>Sarena Wathen</t>
  </si>
  <si>
    <t>Vi Palliser</t>
  </si>
  <si>
    <t>Rodolphe Reeks</t>
  </si>
  <si>
    <t>Allayne Stannis</t>
  </si>
  <si>
    <t>Terrie Ingarfield</t>
  </si>
  <si>
    <t>Jeannette Hazelton</t>
  </si>
  <si>
    <t>Allys Connop</t>
  </si>
  <si>
    <t>Devlin Cordrey</t>
  </si>
  <si>
    <t>Charlie Paolinelli</t>
  </si>
  <si>
    <t>Barret Rubinsaft</t>
  </si>
  <si>
    <t>Sherman Kepp</t>
  </si>
  <si>
    <t>Merci Tulley</t>
  </si>
  <si>
    <t>Lutero MacMearty</t>
  </si>
  <si>
    <t>Leif Twells</t>
  </si>
  <si>
    <t>Frayda Brugman</t>
  </si>
  <si>
    <t>Olympe Elphinstone</t>
  </si>
  <si>
    <t>Lise Camden</t>
  </si>
  <si>
    <t>Collen Volks</t>
  </si>
  <si>
    <t>Juliette Learmouth</t>
  </si>
  <si>
    <t>Wileen Berthel</t>
  </si>
  <si>
    <t>Lawry Manhare</t>
  </si>
  <si>
    <t>Cordy Piolli</t>
  </si>
  <si>
    <t>Marisa Hardiman</t>
  </si>
  <si>
    <t>Stevana Vokins</t>
  </si>
  <si>
    <t>Hymie Trudgian</t>
  </si>
  <si>
    <t>Warden Markus</t>
  </si>
  <si>
    <t>Ferguson Cocci</t>
  </si>
  <si>
    <t>Claudine Southan</t>
  </si>
  <si>
    <t>Puff Clohissy</t>
  </si>
  <si>
    <t>Ingaborg Attac</t>
  </si>
  <si>
    <t>Godfree Acres</t>
  </si>
  <si>
    <t>Brockie Melson</t>
  </si>
  <si>
    <t>Lavina Bedbrough</t>
  </si>
  <si>
    <t>Esther Pisculli</t>
  </si>
  <si>
    <t>Cosetta Beane</t>
  </si>
  <si>
    <t>Tanya Lowde</t>
  </si>
  <si>
    <t>Maribelle Soppeth</t>
  </si>
  <si>
    <t>Melany Karolyi</t>
  </si>
  <si>
    <t>Dane Kobu</t>
  </si>
  <si>
    <t>Dorene Hawkins</t>
  </si>
  <si>
    <t>Jeanna Darkott</t>
  </si>
  <si>
    <t>Roxine Collisson</t>
  </si>
  <si>
    <t>Elden Pendrigh</t>
  </si>
  <si>
    <t>Juana Durban</t>
  </si>
  <si>
    <t>Maurits Baroc</t>
  </si>
  <si>
    <t>Cissy Dory</t>
  </si>
  <si>
    <t>Barron Monery</t>
  </si>
  <si>
    <t>Linnie Zipsell</t>
  </si>
  <si>
    <t>Kristal Simnor</t>
  </si>
  <si>
    <t>Stephan Eggle</t>
  </si>
  <si>
    <t>Steffie Simkovich</t>
  </si>
  <si>
    <t>Dorry Franses</t>
  </si>
  <si>
    <t>Efren Edlyne</t>
  </si>
  <si>
    <t>Alli Michin</t>
  </si>
  <si>
    <t>Lindsy Gemson</t>
  </si>
  <si>
    <t>Kial Farrar</t>
  </si>
  <si>
    <t>Norene Freckingham</t>
  </si>
  <si>
    <t>Dominique Tainton</t>
  </si>
  <si>
    <t>Kimmi Megainey</t>
  </si>
  <si>
    <t>Roderigo Elfe</t>
  </si>
  <si>
    <t>Natalina Kitchingman</t>
  </si>
  <si>
    <t>Isabella Buckmaster</t>
  </si>
  <si>
    <t>Audra Solon</t>
  </si>
  <si>
    <t>Levin Chancellor</t>
  </si>
  <si>
    <t>Davy Fernehough</t>
  </si>
  <si>
    <t>Minor Levings</t>
  </si>
  <si>
    <t>Miof mela Alecock</t>
  </si>
  <si>
    <t>Jarib Spong</t>
  </si>
  <si>
    <t>Ibrahim Douglass</t>
  </si>
  <si>
    <t>Andra Ruggen</t>
  </si>
  <si>
    <t>Nikki Pieterick</t>
  </si>
  <si>
    <t>Roxi Lowrance</t>
  </si>
  <si>
    <t>Jacqui Premble</t>
  </si>
  <si>
    <t>Sheelah Tompsett</t>
  </si>
  <si>
    <t>Romona Whal</t>
  </si>
  <si>
    <t>Charles Killiam</t>
  </si>
  <si>
    <t>Madelena Nassie</t>
  </si>
  <si>
    <t>Kristofor McCathie</t>
  </si>
  <si>
    <t>Ellsworth Livick</t>
  </si>
  <si>
    <t>Corbin Haslin</t>
  </si>
  <si>
    <t>Quentin Bridson</t>
  </si>
  <si>
    <t>Harmonie Turpin</t>
  </si>
  <si>
    <t>Matty Tocher</t>
  </si>
  <si>
    <t>Arman Bendixen</t>
  </si>
  <si>
    <t>Kiele Jeskins</t>
  </si>
  <si>
    <t>Guendolen Belvin</t>
  </si>
  <si>
    <t>Kaela Harrill</t>
  </si>
  <si>
    <t>Susan Attenbarrow</t>
  </si>
  <si>
    <t>Jonell Caghan</t>
  </si>
  <si>
    <t>Annalee Weth</t>
  </si>
  <si>
    <t>Tudor Melendez</t>
  </si>
  <si>
    <t>Maxwell Alberti</t>
  </si>
  <si>
    <t>Maximilian Faldoe</t>
  </si>
  <si>
    <t>Elyn Vesco</t>
  </si>
  <si>
    <t>Salvatore Cheel</t>
  </si>
  <si>
    <t>Carla Heintsch</t>
  </si>
  <si>
    <t>Malcolm Walby</t>
  </si>
  <si>
    <t>Hardy Balmadier</t>
  </si>
  <si>
    <t>Sarina Kyd</t>
  </si>
  <si>
    <t>Clarabelle Schimek</t>
  </si>
  <si>
    <t>Darryl Silverthorne</t>
  </si>
  <si>
    <t>Pail Reames</t>
  </si>
  <si>
    <t>Arturo Itscowicz</t>
  </si>
  <si>
    <t>Dyan Harbach</t>
  </si>
  <si>
    <t>Bambi Imlin</t>
  </si>
  <si>
    <t>Danna Skillman</t>
  </si>
  <si>
    <t>Gwenore Force</t>
  </si>
  <si>
    <t>Tabby Curle</t>
  </si>
  <si>
    <t>Caspar Longhorne</t>
  </si>
  <si>
    <t>Sherill De Clairmont</t>
  </si>
  <si>
    <t>Alfie Cradoc</t>
  </si>
  <si>
    <t>Reine Guerreau</t>
  </si>
  <si>
    <t>Poul Finessy</t>
  </si>
  <si>
    <t>Win Wythe</t>
  </si>
  <si>
    <t>Wandis Kardos-Stowe</t>
  </si>
  <si>
    <t>Ede Faughny</t>
  </si>
  <si>
    <t>Nobe Hill</t>
  </si>
  <si>
    <t>Robbi Calder</t>
  </si>
  <si>
    <t>Tris Libbey</t>
  </si>
  <si>
    <t>Ingrid Ackers</t>
  </si>
  <si>
    <t>Lorna Suller</t>
  </si>
  <si>
    <t>Travus Norway</t>
  </si>
  <si>
    <t>Tatiana Borrett</t>
  </si>
  <si>
    <t>Abbie Cashen</t>
  </si>
  <si>
    <t>Thorvald Kinane</t>
  </si>
  <si>
    <t>Hugo Want</t>
  </si>
  <si>
    <t>Spense Ryce</t>
  </si>
  <si>
    <t>Heda Dirr</t>
  </si>
  <si>
    <t>Micky Thorrold</t>
  </si>
  <si>
    <t>Mackenzie Dongles</t>
  </si>
  <si>
    <t>Blythe Scanlan</t>
  </si>
  <si>
    <t>Goldie Hing</t>
  </si>
  <si>
    <t>Jodie D'Alesco</t>
  </si>
  <si>
    <t>Carlye Mcettrick</t>
  </si>
  <si>
    <t>Gibb Clarkin</t>
  </si>
  <si>
    <t>Rolfe Airton</t>
  </si>
  <si>
    <t>Sigvard Chape</t>
  </si>
  <si>
    <t>Karlee McTavy</t>
  </si>
  <si>
    <t>Nolan Wimmers</t>
  </si>
  <si>
    <t>Jard Venart</t>
  </si>
  <si>
    <t>Kata Cobb</t>
  </si>
  <si>
    <t>Curry Eisenberg</t>
  </si>
  <si>
    <t>Val Domelow</t>
  </si>
  <si>
    <t>Myrah Buchan</t>
  </si>
  <si>
    <t>Simonne Galland</t>
  </si>
  <si>
    <t>Sallyann Larmett</t>
  </si>
  <si>
    <t>Aldrich Collett</t>
  </si>
  <si>
    <t>Pauly Tappington</t>
  </si>
  <si>
    <t>Clerc De Hooch</t>
  </si>
  <si>
    <t>Dallas Ackerman</t>
  </si>
  <si>
    <t>Abdel Bottby</t>
  </si>
  <si>
    <t>Lauralee Huet</t>
  </si>
  <si>
    <t>Abraham Hallwood</t>
  </si>
  <si>
    <t>Lanny Ruddy</t>
  </si>
  <si>
    <t>Whitney Heijne</t>
  </si>
  <si>
    <t>Aurore Catchpole</t>
  </si>
  <si>
    <t>Kacie Hurles</t>
  </si>
  <si>
    <t>Margareta Liven</t>
  </si>
  <si>
    <t>Prudence Adamoli</t>
  </si>
  <si>
    <t>Morse Sandbatch</t>
  </si>
  <si>
    <t>Mayor Summerhayes</t>
  </si>
  <si>
    <t>Ame Pharaoh</t>
  </si>
  <si>
    <t>Merla Gilderoy</t>
  </si>
  <si>
    <t>Bria Bullion</t>
  </si>
  <si>
    <t>Berte Campion</t>
  </si>
  <si>
    <t>Sutherlan Karczinski</t>
  </si>
  <si>
    <t>Marguerite Croix</t>
  </si>
  <si>
    <t>Phillipe Prys</t>
  </si>
  <si>
    <t>Stefania Dovey</t>
  </si>
  <si>
    <t>Bridget Culbert</t>
  </si>
  <si>
    <t>Derry Sewart</t>
  </si>
  <si>
    <t>Ive Seaton</t>
  </si>
  <si>
    <t>Nero Withur</t>
  </si>
  <si>
    <t>Pearla Bennetto</t>
  </si>
  <si>
    <t>Elisha Brandom</t>
  </si>
  <si>
    <t>Halsy Dallyn</t>
  </si>
  <si>
    <t>Kelley Vedmore</t>
  </si>
  <si>
    <t>Clio Skunes</t>
  </si>
  <si>
    <t>Randy Gilliatt</t>
  </si>
  <si>
    <t>Shamus McCorkell</t>
  </si>
  <si>
    <t>Lissi Caldecutt</t>
  </si>
  <si>
    <t>Dorian Menat</t>
  </si>
  <si>
    <t>Jethro Goodger</t>
  </si>
  <si>
    <t>Rosabelle Yakebovitch</t>
  </si>
  <si>
    <t>Cassaundra Attwoul</t>
  </si>
  <si>
    <t>Sarette Yule</t>
  </si>
  <si>
    <t>Ronda Beet</t>
  </si>
  <si>
    <t>Starla Crowson</t>
  </si>
  <si>
    <t>Fanechka Bernhardi</t>
  </si>
  <si>
    <t>Lazaro Ballard</t>
  </si>
  <si>
    <t>Bobinette Narrie</t>
  </si>
  <si>
    <t>Adorne Scanlin</t>
  </si>
  <si>
    <t>Patrick Kristof</t>
  </si>
  <si>
    <t>Shari Poat</t>
  </si>
  <si>
    <t>Marius Wehden</t>
  </si>
  <si>
    <t>Sydel Willavize</t>
  </si>
  <si>
    <t>Mareah Cripwell</t>
  </si>
  <si>
    <t>Remington Grandison</t>
  </si>
  <si>
    <t>Edita Tixier</t>
  </si>
  <si>
    <t>Tyler Benkin</t>
  </si>
  <si>
    <t>Julietta Beardsley</t>
  </si>
  <si>
    <t>Andrus Belvard</t>
  </si>
  <si>
    <t>Towny Crebbin</t>
  </si>
  <si>
    <t>Lyndsie Smallcombe</t>
  </si>
  <si>
    <t>Asia Lesley</t>
  </si>
  <si>
    <t>Pat Harford</t>
  </si>
  <si>
    <t>Annmarie Carvell</t>
  </si>
  <si>
    <t>Charlena Keaveney</t>
  </si>
  <si>
    <t>Ailyn Jonczyk</t>
  </si>
  <si>
    <t>Thoma Yarnold</t>
  </si>
  <si>
    <t>Noble Bowdidge</t>
  </si>
  <si>
    <t>Angelina Neale</t>
  </si>
  <si>
    <t>Augustine Witty</t>
  </si>
  <si>
    <t>Bernard Rizzardini</t>
  </si>
  <si>
    <t>Johna Orring</t>
  </si>
  <si>
    <t>Kincaid Kemmons</t>
  </si>
  <si>
    <t>Maighdiln Alaway</t>
  </si>
  <si>
    <t>Mischa Grissett</t>
  </si>
  <si>
    <t>Adaline Chantree</t>
  </si>
  <si>
    <t>Ryann Kettles</t>
  </si>
  <si>
    <t>Dacy Goard</t>
  </si>
  <si>
    <t>Wilfred Galliard</t>
  </si>
  <si>
    <t>Maxwell Coogan</t>
  </si>
  <si>
    <t>Joelynn Ashford</t>
  </si>
  <si>
    <t>Farrah Boerder</t>
  </si>
  <si>
    <t>Horace Grewe</t>
  </si>
  <si>
    <t>Esra Gilliver</t>
  </si>
  <si>
    <t>Norean Korb</t>
  </si>
  <si>
    <t>Dalli Platts</t>
  </si>
  <si>
    <t>Lock Pauletti</t>
  </si>
  <si>
    <t>Mort Overington</t>
  </si>
  <si>
    <t>Sophia Calvard</t>
  </si>
  <si>
    <t>Augusto Bundey</t>
  </si>
  <si>
    <t>Emlynne Coakley</t>
  </si>
  <si>
    <t>Paule Wellbeloved</t>
  </si>
  <si>
    <t>Gabe Paske</t>
  </si>
  <si>
    <t>Jourdain Hargreves</t>
  </si>
  <si>
    <t>Letti Spires</t>
  </si>
  <si>
    <t>Harv Dartan</t>
  </si>
  <si>
    <t>Davina Doe</t>
  </si>
  <si>
    <t>Silvanus Lowell</t>
  </si>
  <si>
    <t>Gare Gajewski</t>
  </si>
  <si>
    <t>Marchall Howat</t>
  </si>
  <si>
    <t>Toby Stonuary</t>
  </si>
  <si>
    <t>Heall Lebrun</t>
  </si>
  <si>
    <t>Agustin Whittick</t>
  </si>
  <si>
    <t>Yoshiko Martine</t>
  </si>
  <si>
    <t>Barty Eatherton</t>
  </si>
  <si>
    <t>Anjela Beardsworth</t>
  </si>
  <si>
    <t>Shayne Hendin</t>
  </si>
  <si>
    <t>Renee Portch</t>
  </si>
  <si>
    <t>Delainey Guesford</t>
  </si>
  <si>
    <t>Celestyn Geldard</t>
  </si>
  <si>
    <t>Kira Scullard</t>
  </si>
  <si>
    <t>Baxie Proppers</t>
  </si>
  <si>
    <t>Alphonso MacDonagh</t>
  </si>
  <si>
    <t>Erhart Kydde</t>
  </si>
  <si>
    <t>Bentlee Mineghelli</t>
  </si>
  <si>
    <t>Denver Flaherty</t>
  </si>
  <si>
    <t>Consuelo Suller</t>
  </si>
  <si>
    <t>Lusa Olliver</t>
  </si>
  <si>
    <t>Sigismund Spratt</t>
  </si>
  <si>
    <t>Lucienne Joder</t>
  </si>
  <si>
    <t>Susie Thormwell</t>
  </si>
  <si>
    <t>Reidar Townley</t>
  </si>
  <si>
    <t>Edee Coleridge</t>
  </si>
  <si>
    <t>Caz Vannacci</t>
  </si>
  <si>
    <t>Obie Lante</t>
  </si>
  <si>
    <t>Clemmie McCole</t>
  </si>
  <si>
    <t>Halie Paulack</t>
  </si>
  <si>
    <t>Homere Rosenfeld</t>
  </si>
  <si>
    <t>Tod Steiner</t>
  </si>
  <si>
    <t>Ibby Gergus</t>
  </si>
  <si>
    <t>Selby Burridge</t>
  </si>
  <si>
    <t>Aubert Persicke</t>
  </si>
  <si>
    <t>Shamus McCoole</t>
  </si>
  <si>
    <t>Nial Gallymore</t>
  </si>
  <si>
    <t>Modesty Colnet</t>
  </si>
  <si>
    <t>Wenonah McGow</t>
  </si>
  <si>
    <t>Edmon Kingsland</t>
  </si>
  <si>
    <t>Suzie Scamel</t>
  </si>
  <si>
    <t>Bonita MacManus</t>
  </si>
  <si>
    <t>Ashton Abriani</t>
  </si>
  <si>
    <t>Raychel McEntagart</t>
  </si>
  <si>
    <t>Sonny Gadeaux</t>
  </si>
  <si>
    <t>Curt Minigo</t>
  </si>
  <si>
    <t>Rosamond Ponton</t>
  </si>
  <si>
    <t>Anabal Arenson</t>
  </si>
  <si>
    <t>Jdavie McQuillan</t>
  </si>
  <si>
    <t>Hyman Labat</t>
  </si>
  <si>
    <t>Diarmid Cuttin</t>
  </si>
  <si>
    <t>Jillian Kirkam</t>
  </si>
  <si>
    <t>Cecelia Myner</t>
  </si>
  <si>
    <t>Leonhard Seago</t>
  </si>
  <si>
    <t>Cristian MacFarlan</t>
  </si>
  <si>
    <t>Bobbe Hickford</t>
  </si>
  <si>
    <t>Allyn Debnam</t>
  </si>
  <si>
    <t>Walther Swinnerton</t>
  </si>
  <si>
    <t>Celle Connock</t>
  </si>
  <si>
    <t>Fayth Gourdon</t>
  </si>
  <si>
    <t>Renault Golightly</t>
  </si>
  <si>
    <t>Payton Walsom</t>
  </si>
  <si>
    <t>Brady Clinnick</t>
  </si>
  <si>
    <t>Siusan MacCumiskey</t>
  </si>
  <si>
    <t>Wallache Prinn</t>
  </si>
  <si>
    <t>Matelda Rosbrough</t>
  </si>
  <si>
    <t>Marchelle Di Biasi</t>
  </si>
  <si>
    <t>Timofei Piolli</t>
  </si>
  <si>
    <t>Etti Kirke</t>
  </si>
  <si>
    <t>Caresse Creamer</t>
  </si>
  <si>
    <t>Frederigo Cosh</t>
  </si>
  <si>
    <t>Danit Dabbes</t>
  </si>
  <si>
    <t>Roarke Oulett</t>
  </si>
  <si>
    <t>Sollie Semour</t>
  </si>
  <si>
    <t>Aron Vecard</t>
  </si>
  <si>
    <t>Reilly MacAvaddy</t>
  </si>
  <si>
    <t>Etta Bohills</t>
  </si>
  <si>
    <t>Adorne Wiggin</t>
  </si>
  <si>
    <t>Sarine Imrie</t>
  </si>
  <si>
    <t>Margalo Penddreth</t>
  </si>
  <si>
    <t>Lorene Bonafacino</t>
  </si>
  <si>
    <t>Orel Sommerlie</t>
  </si>
  <si>
    <t>Odell Wedgbrow</t>
  </si>
  <si>
    <t>Barbaraanne Snoday</t>
  </si>
  <si>
    <t>Shurwood Figin</t>
  </si>
  <si>
    <t>Oswald Lyenyng</t>
  </si>
  <si>
    <t>Zachery Palfreyman</t>
  </si>
  <si>
    <t>Garrett Hambrick</t>
  </si>
  <si>
    <t>Rafael Treacher</t>
  </si>
  <si>
    <t>Faustine Duckerin</t>
  </si>
  <si>
    <t>Donia Raise</t>
  </si>
  <si>
    <t>Rheba Radbourne</t>
  </si>
  <si>
    <t>Ann-marie Klosges</t>
  </si>
  <si>
    <t>Frasco Tooth</t>
  </si>
  <si>
    <t>Yves Sidwick</t>
  </si>
  <si>
    <t>Joel Agney</t>
  </si>
  <si>
    <t>Margret McOwan</t>
  </si>
  <si>
    <t>Fan Knellen</t>
  </si>
  <si>
    <t>Esther Valde</t>
  </si>
  <si>
    <t>Julienne Kingswood</t>
  </si>
  <si>
    <t>Gerta Carreck</t>
  </si>
  <si>
    <t>Perkin Wharf</t>
  </si>
  <si>
    <t>Anna-diana Gerrie</t>
  </si>
  <si>
    <t>Anna Cordey</t>
  </si>
  <si>
    <t>Ward Jermin</t>
  </si>
  <si>
    <t>Yance Velten</t>
  </si>
  <si>
    <t>Fidel Affron</t>
  </si>
  <si>
    <t>Markos Taysbil</t>
  </si>
  <si>
    <t>Bert Tubb</t>
  </si>
  <si>
    <t>Emile Stading</t>
  </si>
  <si>
    <t>Dacia Hutsby</t>
  </si>
  <si>
    <t>Melesa Konig</t>
  </si>
  <si>
    <t>Cherlyn Lenden</t>
  </si>
  <si>
    <t>Cele Mordan</t>
  </si>
  <si>
    <t>Aloysia Weepers</t>
  </si>
  <si>
    <t>Brenden Delicate</t>
  </si>
  <si>
    <t>Elvyn Letham</t>
  </si>
  <si>
    <t>Egon Colbert</t>
  </si>
  <si>
    <t>Ryann McCaskill</t>
  </si>
  <si>
    <t>Fletch Gawke</t>
  </si>
  <si>
    <t>Aeriela Pitkethly</t>
  </si>
  <si>
    <t>Asia Vallintine</t>
  </si>
  <si>
    <t>Kevan Varvara</t>
  </si>
  <si>
    <t>Carlynne Keitley</t>
  </si>
  <si>
    <t>Kristos Lampbrecht</t>
  </si>
  <si>
    <t>Cari Hellin</t>
  </si>
  <si>
    <t>Andros Hutsby</t>
  </si>
  <si>
    <t>Rozanna Frew</t>
  </si>
  <si>
    <t>Shelbi Saph</t>
  </si>
  <si>
    <t>Jennica Drew</t>
  </si>
  <si>
    <t>Emera Buick</t>
  </si>
  <si>
    <t>Dill Peeke-Vout</t>
  </si>
  <si>
    <t>Lorraine Kench</t>
  </si>
  <si>
    <t>Zuzana Natte</t>
  </si>
  <si>
    <t>Ambur Curtayne</t>
  </si>
  <si>
    <t>Arielle Baselio</t>
  </si>
  <si>
    <t>Nikolaus Ortiga</t>
  </si>
  <si>
    <t>Ludwig Threadgold</t>
  </si>
  <si>
    <t>Elsy McGroarty</t>
  </si>
  <si>
    <t>Burke Feria</t>
  </si>
  <si>
    <t>Britt Sinden</t>
  </si>
  <si>
    <t>Ermentrude Chivrall</t>
  </si>
  <si>
    <t>Philipa Crowcher</t>
  </si>
  <si>
    <t>Janot Kelsell</t>
  </si>
  <si>
    <t>Bank Shayes</t>
  </si>
  <si>
    <t>Jeniffer Lindup</t>
  </si>
  <si>
    <t>Aleksandr Yong</t>
  </si>
  <si>
    <t>Koral Skyppe</t>
  </si>
  <si>
    <t>Fae Duetschens</t>
  </si>
  <si>
    <t>Cori Sapsed</t>
  </si>
  <si>
    <t>Lucie Pray</t>
  </si>
  <si>
    <t>Dee dee Ruddock</t>
  </si>
  <si>
    <t>Stewart Sember</t>
  </si>
  <si>
    <t>Verne Gontier</t>
  </si>
  <si>
    <t>Tully Braundt</t>
  </si>
  <si>
    <t>Kirstin Biskupiak</t>
  </si>
  <si>
    <t>Barnard Janak</t>
  </si>
  <si>
    <t>Sande Flageul</t>
  </si>
  <si>
    <t>Emmalynne Ruppeli</t>
  </si>
  <si>
    <t>Teresa Stiebler</t>
  </si>
  <si>
    <t>Helen Semorad</t>
  </si>
  <si>
    <t>Melli Aspall</t>
  </si>
  <si>
    <t>Catharina Pyner</t>
  </si>
  <si>
    <t>Nikolia Kleinstub</t>
  </si>
  <si>
    <t>Melodee Blinerman</t>
  </si>
  <si>
    <t>Penelope Ply</t>
  </si>
  <si>
    <t>Cherianne Brandino</t>
  </si>
  <si>
    <t>Sheffy Ca</t>
  </si>
  <si>
    <t>Seline Gioani</t>
  </si>
  <si>
    <t>Myrle Lie</t>
  </si>
  <si>
    <t>Jobi Dowtry</t>
  </si>
  <si>
    <t>Corrianne Bovis</t>
  </si>
  <si>
    <t>Harlen Goodenough</t>
  </si>
  <si>
    <t>Wilfrid Parkman</t>
  </si>
  <si>
    <t>Revkah Philp</t>
  </si>
  <si>
    <t>Laurette Fanton</t>
  </si>
  <si>
    <t>Bing Garshore</t>
  </si>
  <si>
    <t>Aleksandr Tiplady</t>
  </si>
  <si>
    <t>Uri Sorbie</t>
  </si>
  <si>
    <t>Min Ebbings</t>
  </si>
  <si>
    <t>Gerry Culley</t>
  </si>
  <si>
    <t>Lesley Isac</t>
  </si>
  <si>
    <t>Leena Linzey</t>
  </si>
  <si>
    <t>Cleve Cordle</t>
  </si>
  <si>
    <t>Deina Leathe</t>
  </si>
  <si>
    <t>Kara-lynn Borthe</t>
  </si>
  <si>
    <t>Dex Arndtsen</t>
  </si>
  <si>
    <t>Arvy Crop</t>
  </si>
  <si>
    <t>Helenelizabeth O'Donnell</t>
  </si>
  <si>
    <t>Dora Lanceter</t>
  </si>
  <si>
    <t>Sande Billson</t>
  </si>
  <si>
    <t>Adda Baugh</t>
  </si>
  <si>
    <t>Maurene Kerby</t>
  </si>
  <si>
    <t>Amaleta Baskeyfield</t>
  </si>
  <si>
    <t>Nancee Hamson</t>
  </si>
  <si>
    <t>Morie Izaac</t>
  </si>
  <si>
    <t>Dede McAreavey</t>
  </si>
  <si>
    <t>Nan Light</t>
  </si>
  <si>
    <t>Ketti Saltmarshe</t>
  </si>
  <si>
    <t>Anita Meaton</t>
  </si>
  <si>
    <t>Isis Cowherd</t>
  </si>
  <si>
    <t>Darius Babbs</t>
  </si>
  <si>
    <t>Pammie Coltman</t>
  </si>
  <si>
    <t>Jamie Reveland</t>
  </si>
  <si>
    <t>Fidelity Brewitt</t>
  </si>
  <si>
    <t>Sanson Casiroli</t>
  </si>
  <si>
    <t>Bradly Garza</t>
  </si>
  <si>
    <t>Elane Stawell</t>
  </si>
  <si>
    <t>Natka Lukock</t>
  </si>
  <si>
    <t>Gus Bosward</t>
  </si>
  <si>
    <t>Shayna Ambrosch</t>
  </si>
  <si>
    <t>Ame Teml</t>
  </si>
  <si>
    <t>Annelise Hing</t>
  </si>
  <si>
    <t>Grace Worrell</t>
  </si>
  <si>
    <t>Filide Ferreli</t>
  </si>
  <si>
    <t>Terrance Skedgell</t>
  </si>
  <si>
    <t>Gavrielle Champe</t>
  </si>
  <si>
    <t>Iona Jillions</t>
  </si>
  <si>
    <t>Robinett Grange</t>
  </si>
  <si>
    <t>Fredrika Glover</t>
  </si>
  <si>
    <t>Rica Jeffers</t>
  </si>
  <si>
    <t>Meredith Filyushkin</t>
  </si>
  <si>
    <t>Dermot Whylie</t>
  </si>
  <si>
    <t>Ricca Fendley</t>
  </si>
  <si>
    <t>Benetta Saw</t>
  </si>
  <si>
    <t>Merridie Rathbone</t>
  </si>
  <si>
    <t>Nicholas Enrico</t>
  </si>
  <si>
    <t>Christy Noto</t>
  </si>
  <si>
    <t>Marcia Breawood</t>
  </si>
  <si>
    <t>Lenette Pizzie</t>
  </si>
  <si>
    <t>Neal Kordes</t>
  </si>
  <si>
    <t>Jerry Coldwell</t>
  </si>
  <si>
    <t>Ronald Lockitt</t>
  </si>
  <si>
    <t>Germana Astie</t>
  </si>
  <si>
    <t>Lenora Tenny</t>
  </si>
  <si>
    <t>Hatty Groucutt</t>
  </si>
  <si>
    <t>Stanleigh Littlecote</t>
  </si>
  <si>
    <t>Fidelia Seary</t>
  </si>
  <si>
    <t>Homer Domoney</t>
  </si>
  <si>
    <t>Kristopher Tissington</t>
  </si>
  <si>
    <t>Temp Broggio</t>
  </si>
  <si>
    <t>Morten Wreford</t>
  </si>
  <si>
    <t>Fredi Davidavidovics</t>
  </si>
  <si>
    <t>Dominique Hambrook</t>
  </si>
  <si>
    <t>Massimo Medway</t>
  </si>
  <si>
    <t>Cindy Panas</t>
  </si>
  <si>
    <t>Eunice Blankenship</t>
  </si>
  <si>
    <t>Petronella Allanby</t>
  </si>
  <si>
    <t>Lorie McPaik</t>
  </si>
  <si>
    <t>Noah Brach</t>
  </si>
  <si>
    <t>Sidnee Jacquemet</t>
  </si>
  <si>
    <t>Ofilia Rechert</t>
  </si>
  <si>
    <t>William Eddisforth</t>
  </si>
  <si>
    <t>Rosa Alecock</t>
  </si>
  <si>
    <t>Megen Gibben</t>
  </si>
  <si>
    <t>Alix Manis</t>
  </si>
  <si>
    <t>Bartholemy Size</t>
  </si>
  <si>
    <t>Babara Finlater</t>
  </si>
  <si>
    <t>Malina Brundrett</t>
  </si>
  <si>
    <t>Jorry Lipgens</t>
  </si>
  <si>
    <t>Cara Chiswell</t>
  </si>
  <si>
    <t>Alister Labrenz</t>
  </si>
  <si>
    <t>Maible Rosone</t>
  </si>
  <si>
    <t>Katherine McCarrison</t>
  </si>
  <si>
    <t>Levi Marks</t>
  </si>
  <si>
    <t>Loralyn Corston</t>
  </si>
  <si>
    <t>Viole Phelan</t>
  </si>
  <si>
    <t>Minta Minogue</t>
  </si>
  <si>
    <t>Jemmy Yitzovitz</t>
  </si>
  <si>
    <t>Benoite Butrimovich</t>
  </si>
  <si>
    <t>Kerri Tarbett</t>
  </si>
  <si>
    <t>Olivia Wadwell</t>
  </si>
  <si>
    <t>Korella Yorath</t>
  </si>
  <si>
    <t>Melosa Tinline</t>
  </si>
  <si>
    <t>Culver Core</t>
  </si>
  <si>
    <t>Daven Crosdill</t>
  </si>
  <si>
    <t>Emmit Pina</t>
  </si>
  <si>
    <t>Tibold Skeates</t>
  </si>
  <si>
    <t>Abner Benn</t>
  </si>
  <si>
    <t>Miriam Giuron</t>
  </si>
  <si>
    <t>Drud Dougharty</t>
  </si>
  <si>
    <t>Ettore Sykes</t>
  </si>
  <si>
    <t>Frederik Meier</t>
  </si>
  <si>
    <t>Xavier Custance</t>
  </si>
  <si>
    <t>Vicky Wontner</t>
  </si>
  <si>
    <t>Merle Filippazzo</t>
  </si>
  <si>
    <t>Chrissy Whifen</t>
  </si>
  <si>
    <t>Tamiko Erat</t>
  </si>
  <si>
    <t>Rene Woolfoot</t>
  </si>
  <si>
    <t>Barnaby Kinder</t>
  </si>
  <si>
    <t>Matthias Evert</t>
  </si>
  <si>
    <t>Gracie Coates</t>
  </si>
  <si>
    <t>Saxe Perrygo</t>
  </si>
  <si>
    <t>Murial Matterson</t>
  </si>
  <si>
    <t>Gerianne Kleinplatz</t>
  </si>
  <si>
    <t>Coop Brosh</t>
  </si>
  <si>
    <t>Analiese Dollimore</t>
  </si>
  <si>
    <t>June Dufty</t>
  </si>
  <si>
    <t>Kippy Cuffley</t>
  </si>
  <si>
    <t>Tybie Duxbury</t>
  </si>
  <si>
    <t>Trix Swash</t>
  </si>
  <si>
    <t>Edik Minard</t>
  </si>
  <si>
    <t>Letisha Fydo</t>
  </si>
  <si>
    <t>Ferd Tweddle</t>
  </si>
  <si>
    <t>Chrisy Moncreif</t>
  </si>
  <si>
    <t>Chauncey Janczyk</t>
  </si>
  <si>
    <t>Ange Ravillas</t>
  </si>
  <si>
    <t>Dominique Casiroli</t>
  </si>
  <si>
    <t>Claudie Akess</t>
  </si>
  <si>
    <t>Jeff Ivetts</t>
  </si>
  <si>
    <t>Alix Halfpenny</t>
  </si>
  <si>
    <t>Josiah Brothwood</t>
  </si>
  <si>
    <t>Alvera Sidebotton</t>
  </si>
  <si>
    <t>Rey Dedden</t>
  </si>
  <si>
    <t>Tiebold Spiaggia</t>
  </si>
  <si>
    <t>Robby Groundwator</t>
  </si>
  <si>
    <t>Randy Marquand</t>
  </si>
  <si>
    <t>Sydney Rowlin</t>
  </si>
  <si>
    <t>Georgi Piers</t>
  </si>
  <si>
    <t>Vail Wagnerin</t>
  </si>
  <si>
    <t>Karie Redmille</t>
  </si>
  <si>
    <t>Dallas Postians</t>
  </si>
  <si>
    <t>Justino Coot</t>
  </si>
  <si>
    <t>Xymenes Fursey</t>
  </si>
  <si>
    <t>Merrielle Shemmans</t>
  </si>
  <si>
    <t>Kit Nellen</t>
  </si>
  <si>
    <t>Shelton Chisnall</t>
  </si>
  <si>
    <t>Abram Petrushka</t>
  </si>
  <si>
    <t>Jean Loft</t>
  </si>
  <si>
    <t>Clio Rozycki</t>
  </si>
  <si>
    <t>Giorgio Chainey</t>
  </si>
  <si>
    <t>Rosaleen Saxton</t>
  </si>
  <si>
    <t>Adamo MacClenan</t>
  </si>
  <si>
    <t>Darla Maine</t>
  </si>
  <si>
    <t>Jarrid O'Heneghan</t>
  </si>
  <si>
    <t>Minnnie Alessandone</t>
  </si>
  <si>
    <t>Joelly Odo</t>
  </si>
  <si>
    <t>Bary Raff</t>
  </si>
  <si>
    <t>Ammamaria Micklewright</t>
  </si>
  <si>
    <t>Marylinda Gaspard</t>
  </si>
  <si>
    <t>Salaidh Berney</t>
  </si>
  <si>
    <t>Rois MacRanald</t>
  </si>
  <si>
    <t>Frederique Tuppeny</t>
  </si>
  <si>
    <t>Bailie Moulder</t>
  </si>
  <si>
    <t>Pebrook Record</t>
  </si>
  <si>
    <t>Dacie Cumbes</t>
  </si>
  <si>
    <t>Corrie Losel</t>
  </si>
  <si>
    <t>Briggs Camplin</t>
  </si>
  <si>
    <t>Sissy Cotterel</t>
  </si>
  <si>
    <t>Ede Benech</t>
  </si>
  <si>
    <t>Darill Tysack</t>
  </si>
  <si>
    <t>Ginni Shea</t>
  </si>
  <si>
    <t>Lark Discombe</t>
  </si>
  <si>
    <t>Bella Knyvett</t>
  </si>
  <si>
    <t>Helene Castane</t>
  </si>
  <si>
    <t>Nelie Robertucci</t>
  </si>
  <si>
    <t>Wood Uccello</t>
  </si>
  <si>
    <t>Dean Engeham</t>
  </si>
  <si>
    <t>Ferdinande Maliphant</t>
  </si>
  <si>
    <t>Suzette Spellworth</t>
  </si>
  <si>
    <t>Hermione Hallstone</t>
  </si>
  <si>
    <t>Ambrose Aleksandrov</t>
  </si>
  <si>
    <t>Staffard Collings</t>
  </si>
  <si>
    <t>Amie Grent</t>
  </si>
  <si>
    <t>Berke Fairweather</t>
  </si>
  <si>
    <t>Ardeen Farney</t>
  </si>
  <si>
    <t>Porter McQuirk</t>
  </si>
  <si>
    <t>Christoper Borthwick</t>
  </si>
  <si>
    <t>Alyse Dick</t>
  </si>
  <si>
    <t>Raymond Poulsum</t>
  </si>
  <si>
    <t>Morrie Jeanneau</t>
  </si>
  <si>
    <t>Bryanty Willmett</t>
  </si>
  <si>
    <t>Cicely Tarply</t>
  </si>
  <si>
    <t>Johnna Hast</t>
  </si>
  <si>
    <t>Corinna Abbes</t>
  </si>
  <si>
    <t>Tony Dutteridge</t>
  </si>
  <si>
    <t>Arlen Brameld</t>
  </si>
  <si>
    <t>Arleen Girodias</t>
  </si>
  <si>
    <t>Vivienne Burdin</t>
  </si>
  <si>
    <t>Vale Petrovic</t>
  </si>
  <si>
    <t>Braden Toolan</t>
  </si>
  <si>
    <t>Keelby Bemlott</t>
  </si>
  <si>
    <t>Domeniga Fitzroy</t>
  </si>
  <si>
    <t>Karina Bonfield</t>
  </si>
  <si>
    <t>Bianca Attewell</t>
  </si>
  <si>
    <t>Cordelia Tomsa</t>
  </si>
  <si>
    <t>Dynah Hulburt</t>
  </si>
  <si>
    <t>Hammad MacTimpany</t>
  </si>
  <si>
    <t>Jaymee Lanfare</t>
  </si>
  <si>
    <t>Kara-lynn Frankling</t>
  </si>
  <si>
    <t>Kitty Surtees</t>
  </si>
  <si>
    <t>Cathi Loveguard</t>
  </si>
  <si>
    <t>Clementine Verriour</t>
  </si>
  <si>
    <t>Mariska Braunle</t>
  </si>
  <si>
    <t>Faulkner Burrus</t>
  </si>
  <si>
    <t>Patience Grigoriscu</t>
  </si>
  <si>
    <t>Diane Krzysztofiak</t>
  </si>
  <si>
    <t>Arlene Stockey</t>
  </si>
  <si>
    <t>Gwendolen Corder</t>
  </si>
  <si>
    <t>Samantha Genner</t>
  </si>
  <si>
    <t>Thoma Geddis</t>
  </si>
  <si>
    <t>Shanta Sergant</t>
  </si>
  <si>
    <t>Annalee Traves</t>
  </si>
  <si>
    <t>Lennard Galbreath</t>
  </si>
  <si>
    <t>Gael Augie</t>
  </si>
  <si>
    <t>Nikita Morter</t>
  </si>
  <si>
    <t>Alford Hamilton</t>
  </si>
  <si>
    <t>Lemar Vuitte</t>
  </si>
  <si>
    <t>Lindsy Tolson</t>
  </si>
  <si>
    <t>Bellanca Duffet</t>
  </si>
  <si>
    <t>Mikael Gullefant</t>
  </si>
  <si>
    <t>Minny Mundle</t>
  </si>
  <si>
    <t>Bing Roots</t>
  </si>
  <si>
    <t>Sela Cavolini</t>
  </si>
  <si>
    <t>Athene MacTerrelly</t>
  </si>
  <si>
    <t>Harv Reddlesden</t>
  </si>
  <si>
    <t>Merla Bilbie</t>
  </si>
  <si>
    <t>Adelina Penrith</t>
  </si>
  <si>
    <t>Caralie Rotlauf</t>
  </si>
  <si>
    <t>Arnie Scouler</t>
  </si>
  <si>
    <t>Gwyn Canellas</t>
  </si>
  <si>
    <t>York Meekings</t>
  </si>
  <si>
    <t>Trude Trenfield</t>
  </si>
  <si>
    <t>Michaela Elfleet</t>
  </si>
  <si>
    <t>Clare Colaco</t>
  </si>
  <si>
    <t>Brnaby Giorgielli</t>
  </si>
  <si>
    <t>Giralda Alldis</t>
  </si>
  <si>
    <t>Klement Smithson</t>
  </si>
  <si>
    <t>Quinton Lumm</t>
  </si>
  <si>
    <t>Nananne Arunowicz</t>
  </si>
  <si>
    <t>Calhoun Hebblewhite</t>
  </si>
  <si>
    <t>Adah Gillitt</t>
  </si>
  <si>
    <t>Vivyanne Adnett</t>
  </si>
  <si>
    <t>Chrisse Haps</t>
  </si>
  <si>
    <t>Nina Corns</t>
  </si>
  <si>
    <t>Crosby MacAskie</t>
  </si>
  <si>
    <t>Corine Howis</t>
  </si>
  <si>
    <t>Vaughan Etherington</t>
  </si>
  <si>
    <t>Barbey Bezzant</t>
  </si>
  <si>
    <t>Madalyn McCaskill</t>
  </si>
  <si>
    <t>Ronni Stonman</t>
  </si>
  <si>
    <t>Noreen Dronsfield</t>
  </si>
  <si>
    <t>Gabriello Navarre</t>
  </si>
  <si>
    <t>Babb Bish</t>
  </si>
  <si>
    <t>Hesther Kershow</t>
  </si>
  <si>
    <t>Onofredo Ranscome</t>
  </si>
  <si>
    <t>Leda Cordero</t>
  </si>
  <si>
    <t>Niels Blaydon</t>
  </si>
  <si>
    <t>Gun Ellerker</t>
  </si>
  <si>
    <t>Etienne Ryburn</t>
  </si>
  <si>
    <t>Francis Basezzi</t>
  </si>
  <si>
    <t>Nathanil Derell</t>
  </si>
  <si>
    <t>Molly Common</t>
  </si>
  <si>
    <t>Harriot McCarrison</t>
  </si>
  <si>
    <t>Janeczka Cressor</t>
  </si>
  <si>
    <t>Dorri Wardrop</t>
  </si>
  <si>
    <t>Cristian Livett</t>
  </si>
  <si>
    <t>Rem Worrall</t>
  </si>
  <si>
    <t>Tarrah Artrick</t>
  </si>
  <si>
    <t>Byram Jizhaki</t>
  </si>
  <si>
    <t>Aland Anstead</t>
  </si>
  <si>
    <t>Sharia McGraith</t>
  </si>
  <si>
    <t>Say Padell</t>
  </si>
  <si>
    <t>Sabra Nafziger</t>
  </si>
  <si>
    <t>Tye Childrens</t>
  </si>
  <si>
    <t>Harmon Duchan</t>
  </si>
  <si>
    <t>Bear Emanuel</t>
  </si>
  <si>
    <t>Kaylyn Stiegers</t>
  </si>
  <si>
    <t>Kenon Tingey</t>
  </si>
  <si>
    <t>Barrett Foan</t>
  </si>
  <si>
    <t>Oliy Lyddon</t>
  </si>
  <si>
    <t>Ky Eastcourt</t>
  </si>
  <si>
    <t>Reta Lennox</t>
  </si>
  <si>
    <t>Alyse Coo</t>
  </si>
  <si>
    <t>Rudiger Gable</t>
  </si>
  <si>
    <t>Izabel Prandin</t>
  </si>
  <si>
    <t>Skippie Mattiato</t>
  </si>
  <si>
    <t>Bram Tatters</t>
  </si>
  <si>
    <t>Carine Lundie</t>
  </si>
  <si>
    <t>Cora Isley</t>
  </si>
  <si>
    <t>Aidan Cristoforetti</t>
  </si>
  <si>
    <t>Alleen Buncom</t>
  </si>
  <si>
    <t>Bogart Polk</t>
  </si>
  <si>
    <t>Consolata Glaves</t>
  </si>
  <si>
    <t>Diannne Bourthouloume</t>
  </si>
  <si>
    <t>Ben Cullagh</t>
  </si>
  <si>
    <t>Isaak Filde</t>
  </si>
  <si>
    <t>Vite Chart</t>
  </si>
  <si>
    <t>Steffen Pontain</t>
  </si>
  <si>
    <t>Fiona Gonin</t>
  </si>
  <si>
    <t>Corrina Maasze</t>
  </si>
  <si>
    <t>Tanner Walcot</t>
  </si>
  <si>
    <t>Decca Pawelke</t>
  </si>
  <si>
    <t>Ardisj Imms</t>
  </si>
  <si>
    <t>Malory Ozanne</t>
  </si>
  <si>
    <t>Broddie Knappe</t>
  </si>
  <si>
    <t>Suki Mathevon</t>
  </si>
  <si>
    <t>Elroy Lutsch</t>
  </si>
  <si>
    <t>Marietta Carwithan</t>
  </si>
  <si>
    <t>Charlotta Laying</t>
  </si>
  <si>
    <t>Zahara Thurman</t>
  </si>
  <si>
    <t>Vladimir Wapol</t>
  </si>
  <si>
    <t>Ignacius Stailey</t>
  </si>
  <si>
    <t>Berkley Phoebe</t>
  </si>
  <si>
    <t>Taylor Attree</t>
  </si>
  <si>
    <t>Kienan Arangy</t>
  </si>
  <si>
    <t>Loydie Shankland</t>
  </si>
  <si>
    <t>Joe Lening</t>
  </si>
  <si>
    <t>Lanette Dahmel</t>
  </si>
  <si>
    <t>Talyah Rosbrough</t>
  </si>
  <si>
    <t>Jerry Lamacraft</t>
  </si>
  <si>
    <t>Carmine Hatcliffe</t>
  </si>
  <si>
    <t>Skipton Barstow</t>
  </si>
  <si>
    <t>Agnese Saylor</t>
  </si>
  <si>
    <t>Lona Fawltey</t>
  </si>
  <si>
    <t>Adolf Bremeyer</t>
  </si>
  <si>
    <t>Odelinda Ruddle</t>
  </si>
  <si>
    <t>Allegra Boulde</t>
  </si>
  <si>
    <t>Bessy Bowater</t>
  </si>
  <si>
    <t>Alica Bum</t>
  </si>
  <si>
    <t>Simon Lethem</t>
  </si>
  <si>
    <t>Yulma Nickerson</t>
  </si>
  <si>
    <t>Flss Volker</t>
  </si>
  <si>
    <t>Kilian Eglington</t>
  </si>
  <si>
    <t>Tiffy Billings</t>
  </si>
  <si>
    <t>Porter Brakespear</t>
  </si>
  <si>
    <t>Bern Oneill</t>
  </si>
  <si>
    <t>Alfonso Mewitt</t>
  </si>
  <si>
    <t>Hedi Fennessy</t>
  </si>
  <si>
    <t>Zitella Jantzen</t>
  </si>
  <si>
    <t>Darrick Wolton</t>
  </si>
  <si>
    <t>Addy Smullin</t>
  </si>
  <si>
    <t>Cammy Giamelli</t>
  </si>
  <si>
    <t>Cybill Zaniolo</t>
  </si>
  <si>
    <t>Yvette Island</t>
  </si>
  <si>
    <t>Annabella McIlvaney</t>
  </si>
  <si>
    <t>Hilliary Duplan</t>
  </si>
  <si>
    <t>Che McIlvaney</t>
  </si>
  <si>
    <t>Emlynne Winslet</t>
  </si>
  <si>
    <t>Bernadina Ownsworth</t>
  </si>
  <si>
    <t>Jaimie Sellan</t>
  </si>
  <si>
    <t>Brigid De Michetti</t>
  </si>
  <si>
    <t>Florina Hawker</t>
  </si>
  <si>
    <t>Timi Fendt</t>
  </si>
  <si>
    <t>Gardy Wapplington</t>
  </si>
  <si>
    <t>Starlin Brigdale</t>
  </si>
  <si>
    <t>Arty Beese</t>
  </si>
  <si>
    <t>Heddie Shaudfurth</t>
  </si>
  <si>
    <t>Harriette Norker</t>
  </si>
  <si>
    <t>Pancho Imesson</t>
  </si>
  <si>
    <t>Deeyn Willox</t>
  </si>
  <si>
    <t>Kirsti MacAndie</t>
  </si>
  <si>
    <t>Orton Pohlke</t>
  </si>
  <si>
    <t>Nert Van Dijk</t>
  </si>
  <si>
    <t>Sammie Blackmuir</t>
  </si>
  <si>
    <t>Ambrosi Pavlovic</t>
  </si>
  <si>
    <t>Milka Santore</t>
  </si>
  <si>
    <t>Jonie Rentcome</t>
  </si>
  <si>
    <t>Kimberlyn Corbyn</t>
  </si>
  <si>
    <t>Lynnea Timbrell</t>
  </si>
  <si>
    <t>Wilona Kirkpatrick</t>
  </si>
  <si>
    <t>Carmela Cleen</t>
  </si>
  <si>
    <t>Joanie Widger</t>
  </si>
  <si>
    <t>Bondy How</t>
  </si>
  <si>
    <t>Reagan Konzel</t>
  </si>
  <si>
    <t>Miltie Bernhart</t>
  </si>
  <si>
    <t>Livvie Collison</t>
  </si>
  <si>
    <t>Wenda Bratty</t>
  </si>
  <si>
    <t>Ulla Redolfi</t>
  </si>
  <si>
    <t>Jaye Balsellie</t>
  </si>
  <si>
    <t>Micah O'Dowd</t>
  </si>
  <si>
    <t>Wanids Heams</t>
  </si>
  <si>
    <t>Nadine Petrenko</t>
  </si>
  <si>
    <t>Wake Colliss</t>
  </si>
  <si>
    <t>Nils Minot</t>
  </si>
  <si>
    <t>Anselma Pellington</t>
  </si>
  <si>
    <t>Renata Wenban</t>
  </si>
  <si>
    <t>Mano Vasyukhnov</t>
  </si>
  <si>
    <t>Evaleen Treweke</t>
  </si>
  <si>
    <t>Andy Wynne</t>
  </si>
  <si>
    <t>Staford Moyne</t>
  </si>
  <si>
    <t>Zaccaria Fairlaw</t>
  </si>
  <si>
    <t>Fredrika Drohane</t>
  </si>
  <si>
    <t>Gayel Ainslie</t>
  </si>
  <si>
    <t>Dunstan Oris</t>
  </si>
  <si>
    <t>Aggie Ceresa</t>
  </si>
  <si>
    <t>Lynnelle Esson</t>
  </si>
  <si>
    <t>Adrianne Wenger</t>
  </si>
  <si>
    <t>Lory Dinjes</t>
  </si>
  <si>
    <t>Eldridge Loudon</t>
  </si>
  <si>
    <t>Shelbi McHale</t>
  </si>
  <si>
    <t>Christian Iapico</t>
  </si>
  <si>
    <t>Matteo Veldens</t>
  </si>
  <si>
    <t>Jonell Harkess</t>
  </si>
  <si>
    <t>Darsey Eadie</t>
  </si>
  <si>
    <t>Kerrie Gerok</t>
  </si>
  <si>
    <t>Ibbie Wassung</t>
  </si>
  <si>
    <t>Boy Helm</t>
  </si>
  <si>
    <t>Anallese Berends</t>
  </si>
  <si>
    <t>Noby Probets</t>
  </si>
  <si>
    <t>Holli Kenningham</t>
  </si>
  <si>
    <t>Samson Feeney</t>
  </si>
  <si>
    <t>Corabelle Cicero</t>
  </si>
  <si>
    <t>Nan Dobing</t>
  </si>
  <si>
    <t>Sandro Bartolomeu</t>
  </si>
  <si>
    <t>Dwain Matteotti</t>
  </si>
  <si>
    <t>Robenia Candie</t>
  </si>
  <si>
    <t>Eadith Greatex</t>
  </si>
  <si>
    <t>Peri Sinton</t>
  </si>
  <si>
    <t>Diarmid Lightowler</t>
  </si>
  <si>
    <t>Jonell Clementson</t>
  </si>
  <si>
    <t>Brewster Clutheram</t>
  </si>
  <si>
    <t>Deane Lage</t>
  </si>
  <si>
    <t>Glynis Acory</t>
  </si>
  <si>
    <t>Nona Guilayn</t>
  </si>
  <si>
    <t>Nadeen Deakan</t>
  </si>
  <si>
    <t>Skip MacGall</t>
  </si>
  <si>
    <t>Rubia Reinger</t>
  </si>
  <si>
    <t>Querida Hollerin</t>
  </si>
  <si>
    <t>Giles Caston</t>
  </si>
  <si>
    <t>Sonny Gilhoolie</t>
  </si>
  <si>
    <t>Kira Gland</t>
  </si>
  <si>
    <t>Freddi McTrustam</t>
  </si>
  <si>
    <t>Sophey Crosi</t>
  </si>
  <si>
    <t>Quill Thoma</t>
  </si>
  <si>
    <t>Dee Steljes</t>
  </si>
  <si>
    <t>Jackie Bris</t>
  </si>
  <si>
    <t>Carolynn Hare</t>
  </si>
  <si>
    <t>Anne Sumption</t>
  </si>
  <si>
    <t>Jolee Hasling</t>
  </si>
  <si>
    <t>Frederica Brafferton</t>
  </si>
  <si>
    <t>Roscoe Samson</t>
  </si>
  <si>
    <t>Adele Molineaux</t>
  </si>
  <si>
    <t>Reba Lindenman</t>
  </si>
  <si>
    <t>Bartholemy Vautier</t>
  </si>
  <si>
    <t>000340398-1</t>
  </si>
  <si>
    <t>003783262-1</t>
  </si>
  <si>
    <t>003950686-1</t>
  </si>
  <si>
    <t>005472452-1</t>
  </si>
  <si>
    <t>007176688-1</t>
  </si>
  <si>
    <t>009134977-1</t>
  </si>
  <si>
    <t>016221412-1</t>
  </si>
  <si>
    <t>022183480-1</t>
  </si>
  <si>
    <t>022798739-1</t>
  </si>
  <si>
    <t>029395710-1</t>
  </si>
  <si>
    <t>037849788-1</t>
  </si>
  <si>
    <t>040037398-1</t>
  </si>
  <si>
    <t>047942957-1</t>
  </si>
  <si>
    <t>048177257-1</t>
  </si>
  <si>
    <t>053318732-1</t>
  </si>
  <si>
    <t>054320538-1</t>
  </si>
  <si>
    <t>056790265-1</t>
  </si>
  <si>
    <t>059352649-1</t>
  </si>
  <si>
    <t>061345720-1</t>
  </si>
  <si>
    <t>072682691-1</t>
  </si>
  <si>
    <t>080329266-1</t>
  </si>
  <si>
    <t>081859733-1</t>
  </si>
  <si>
    <t>083400495-1</t>
  </si>
  <si>
    <t>086967207-1</t>
  </si>
  <si>
    <t>105436236-1</t>
  </si>
  <si>
    <t>106678437-1</t>
  </si>
  <si>
    <t>110492661-1</t>
  </si>
  <si>
    <t>112835652-1</t>
  </si>
  <si>
    <t>113208833-1</t>
  </si>
  <si>
    <t>126863820-1</t>
  </si>
  <si>
    <t>127753344-1</t>
  </si>
  <si>
    <t>129669934-1</t>
  </si>
  <si>
    <t>130419907-1</t>
  </si>
  <si>
    <t>131942919-1</t>
  </si>
  <si>
    <t>134797864-1</t>
  </si>
  <si>
    <t>137209847-1</t>
  </si>
  <si>
    <t>154788262-1</t>
  </si>
  <si>
    <t>166916652-1</t>
  </si>
  <si>
    <t>168839124-1</t>
  </si>
  <si>
    <t>173651377-1</t>
  </si>
  <si>
    <t>174223352-1</t>
  </si>
  <si>
    <t>180920190-1</t>
  </si>
  <si>
    <t>185866473-1</t>
  </si>
  <si>
    <t>192389109-1</t>
  </si>
  <si>
    <t>193555736-1</t>
  </si>
  <si>
    <t>196400456-1</t>
  </si>
  <si>
    <t>203964444-1</t>
  </si>
  <si>
    <t>205685404-1</t>
  </si>
  <si>
    <t>207701900-1</t>
  </si>
  <si>
    <t>216439125-1</t>
  </si>
  <si>
    <t>221026216-1</t>
  </si>
  <si>
    <t>221342277-1</t>
  </si>
  <si>
    <t>227049024-1</t>
  </si>
  <si>
    <t>227905423-1</t>
  </si>
  <si>
    <t>229671854-1</t>
  </si>
  <si>
    <t>234195457-1</t>
  </si>
  <si>
    <t>235041745-1</t>
  </si>
  <si>
    <t>244293082-1</t>
  </si>
  <si>
    <t>244923165-1</t>
  </si>
  <si>
    <t>250400575-1</t>
  </si>
  <si>
    <t>258090848-1</t>
  </si>
  <si>
    <t>258285168-1</t>
  </si>
  <si>
    <t>260571442-1</t>
  </si>
  <si>
    <t>261987355-1</t>
  </si>
  <si>
    <t>266931886-1</t>
  </si>
  <si>
    <t>267007250-1</t>
  </si>
  <si>
    <t>268395591-1</t>
  </si>
  <si>
    <t>268503935-1</t>
  </si>
  <si>
    <t>270910377-1</t>
  </si>
  <si>
    <t>277956136-1</t>
  </si>
  <si>
    <t>285359713-1</t>
  </si>
  <si>
    <t>300639593-1</t>
  </si>
  <si>
    <t>310510237-1</t>
  </si>
  <si>
    <t>312961463-1</t>
  </si>
  <si>
    <t>314161539-1</t>
  </si>
  <si>
    <t>315769779-1</t>
  </si>
  <si>
    <t>322346350-1</t>
  </si>
  <si>
    <t>323811493-1</t>
  </si>
  <si>
    <t>330001591-1</t>
  </si>
  <si>
    <t>333295105-1</t>
  </si>
  <si>
    <t>339160641-1</t>
  </si>
  <si>
    <t>341517669-1</t>
  </si>
  <si>
    <t>358505644-1</t>
  </si>
  <si>
    <t>365619985-1</t>
  </si>
  <si>
    <t>367530017-1</t>
  </si>
  <si>
    <t>374161386-1</t>
  </si>
  <si>
    <t>377993843-1</t>
  </si>
  <si>
    <t>384064903-1</t>
  </si>
  <si>
    <t>391940663-1</t>
  </si>
  <si>
    <t>392627378-1</t>
  </si>
  <si>
    <t>395778414-1</t>
  </si>
  <si>
    <t>400543276-1</t>
  </si>
  <si>
    <t>402549907-1</t>
  </si>
  <si>
    <t>407639724-1</t>
  </si>
  <si>
    <t>412479391-1</t>
  </si>
  <si>
    <t>413284076-1</t>
  </si>
  <si>
    <t>414464068-1</t>
  </si>
  <si>
    <t>419081184-1</t>
  </si>
  <si>
    <t>420178973-1</t>
  </si>
  <si>
    <t>429224474-1</t>
  </si>
  <si>
    <t>436369176-1</t>
  </si>
  <si>
    <t>444953882-1</t>
  </si>
  <si>
    <t>445787003-1</t>
  </si>
  <si>
    <t>447509576-1</t>
  </si>
  <si>
    <t>456084528-1</t>
  </si>
  <si>
    <t>471251275-1</t>
  </si>
  <si>
    <t>473305159-1</t>
  </si>
  <si>
    <t>491355431-1</t>
  </si>
  <si>
    <t>498614846-1</t>
  </si>
  <si>
    <t>498636748-1</t>
  </si>
  <si>
    <t>509516082-1</t>
  </si>
  <si>
    <t>513126412-1</t>
  </si>
  <si>
    <t>521890015-1</t>
  </si>
  <si>
    <t>531362881-1</t>
  </si>
  <si>
    <t>534533997-1</t>
  </si>
  <si>
    <t>535267357-1</t>
  </si>
  <si>
    <t>546808158-1</t>
  </si>
  <si>
    <t>551734349-1</t>
  </si>
  <si>
    <t>557309601-1</t>
  </si>
  <si>
    <t>563008254-1</t>
  </si>
  <si>
    <t>573995827-1</t>
  </si>
  <si>
    <t>578930561-1</t>
  </si>
  <si>
    <t>578942001-1</t>
  </si>
  <si>
    <t>582072206-1</t>
  </si>
  <si>
    <t>582894133-1</t>
  </si>
  <si>
    <t>586468645-1</t>
  </si>
  <si>
    <t>595620138-1</t>
  </si>
  <si>
    <t>597163724-1</t>
  </si>
  <si>
    <t>600252679-1</t>
  </si>
  <si>
    <t>601128390-1</t>
  </si>
  <si>
    <t>601941759-1</t>
  </si>
  <si>
    <t>615734203-1</t>
  </si>
  <si>
    <t>618811506-1</t>
  </si>
  <si>
    <t>619041320-1</t>
  </si>
  <si>
    <t>621318886-1</t>
  </si>
  <si>
    <t>627188136-1</t>
  </si>
  <si>
    <t>637934893-1</t>
  </si>
  <si>
    <t>651604239-1</t>
  </si>
  <si>
    <t>653535587-1</t>
  </si>
  <si>
    <t>656282575-1</t>
  </si>
  <si>
    <t>656525818-1</t>
  </si>
  <si>
    <t>664535455-1</t>
  </si>
  <si>
    <t>666181232-1</t>
  </si>
  <si>
    <t>678157194-1</t>
  </si>
  <si>
    <t>682187381-1</t>
  </si>
  <si>
    <t>686632016-1</t>
  </si>
  <si>
    <t>706907106-1</t>
  </si>
  <si>
    <t>709499401-1</t>
  </si>
  <si>
    <t>709766634-1</t>
  </si>
  <si>
    <t>709971452-1</t>
  </si>
  <si>
    <t>710084276-1</t>
  </si>
  <si>
    <t>712581218-1</t>
  </si>
  <si>
    <t>712581283-1</t>
  </si>
  <si>
    <t>720599425-1</t>
  </si>
  <si>
    <t>729431473-1</t>
  </si>
  <si>
    <t>733113714-1</t>
  </si>
  <si>
    <t>734098982-1</t>
  </si>
  <si>
    <t>736717231-1</t>
  </si>
  <si>
    <t>744196749-1</t>
  </si>
  <si>
    <t>747824405-1</t>
  </si>
  <si>
    <t>752248894-1</t>
  </si>
  <si>
    <t>753101002-1</t>
  </si>
  <si>
    <t>758542812-1</t>
  </si>
  <si>
    <t>759937096-1</t>
  </si>
  <si>
    <t>777796285-1</t>
  </si>
  <si>
    <t>789029526-1</t>
  </si>
  <si>
    <t>793460128-1</t>
  </si>
  <si>
    <t>795091078-1</t>
  </si>
  <si>
    <t>802105686-1</t>
  </si>
  <si>
    <t>804320053-1</t>
  </si>
  <si>
    <t>831371137-1</t>
  </si>
  <si>
    <t>837303918-1</t>
  </si>
  <si>
    <t>837477441-1</t>
  </si>
  <si>
    <t>838252012-1</t>
  </si>
  <si>
    <t>846876275-1</t>
  </si>
  <si>
    <t>853119136-1</t>
  </si>
  <si>
    <t>856536979-1</t>
  </si>
  <si>
    <t>856664476-1</t>
  </si>
  <si>
    <t>879695714-1</t>
  </si>
  <si>
    <t>880379459-1</t>
  </si>
  <si>
    <t>881086767-1</t>
  </si>
  <si>
    <t>883949149-1</t>
  </si>
  <si>
    <t>893719466-1</t>
  </si>
  <si>
    <t>894645492-1</t>
  </si>
  <si>
    <t>897588726-1</t>
  </si>
  <si>
    <t>924235239-1</t>
  </si>
  <si>
    <t>926930003-1</t>
  </si>
  <si>
    <t>936576128-1</t>
  </si>
  <si>
    <t>937603404-1</t>
  </si>
  <si>
    <t>942502619-1</t>
  </si>
  <si>
    <t>942945109-1</t>
  </si>
  <si>
    <t>952125839-1</t>
  </si>
  <si>
    <t>955294788-1</t>
  </si>
  <si>
    <t>957214068-1</t>
  </si>
  <si>
    <t>975506799-1</t>
  </si>
  <si>
    <t>978031279-1</t>
  </si>
  <si>
    <t>987488536-1</t>
  </si>
  <si>
    <t>988113644-1</t>
  </si>
  <si>
    <t>996951802-1</t>
  </si>
  <si>
    <t>998156821-1</t>
  </si>
  <si>
    <t>Assessor</t>
  </si>
  <si>
    <t>Maria</t>
  </si>
  <si>
    <t>José</t>
  </si>
  <si>
    <t>Pedro</t>
  </si>
  <si>
    <t>Antônio</t>
  </si>
  <si>
    <t>Denise</t>
  </si>
  <si>
    <t>Roberta</t>
  </si>
  <si>
    <t>Marcos</t>
  </si>
  <si>
    <t>Jaqueline</t>
  </si>
  <si>
    <t>Manoel</t>
  </si>
  <si>
    <t>Rosalina</t>
  </si>
  <si>
    <t>Rebeca</t>
  </si>
  <si>
    <t>Mateus</t>
  </si>
  <si>
    <t>Cristiano</t>
  </si>
  <si>
    <t>Geise</t>
  </si>
  <si>
    <t>Altamira</t>
  </si>
  <si>
    <t>Cardoso</t>
  </si>
  <si>
    <t>Moraes</t>
  </si>
  <si>
    <t>App</t>
  </si>
  <si>
    <t>Lisboa</t>
  </si>
  <si>
    <t>*Dados Fictícios!</t>
  </si>
  <si>
    <t>Edição e Gerenciamento de Dados*</t>
  </si>
  <si>
    <t>Formatação de Células e Estilos</t>
  </si>
  <si>
    <t>Total</t>
  </si>
  <si>
    <t>Última Data</t>
  </si>
  <si>
    <t>Fórmulas</t>
  </si>
  <si>
    <t>Adição</t>
  </si>
  <si>
    <t>Subtração</t>
  </si>
  <si>
    <t>Multiplicação</t>
  </si>
  <si>
    <t>Divisão</t>
  </si>
  <si>
    <t>Exponenciação</t>
  </si>
  <si>
    <t>Operações Matemáticas</t>
  </si>
  <si>
    <t>Operações de Comparação</t>
  </si>
  <si>
    <t>Igual</t>
  </si>
  <si>
    <t>Maior</t>
  </si>
  <si>
    <t>Menor</t>
  </si>
  <si>
    <t>Diferente</t>
  </si>
  <si>
    <t>Operação de Texto</t>
  </si>
  <si>
    <t>Concatenação</t>
  </si>
  <si>
    <t>Investimento</t>
  </si>
  <si>
    <t>Rendimento</t>
  </si>
  <si>
    <t>Taxa de 2% quando Acima de 110%</t>
  </si>
  <si>
    <t>Taxa</t>
  </si>
  <si>
    <t>Exemplos Rápidos</t>
  </si>
  <si>
    <t>Média</t>
  </si>
  <si>
    <t>Desvio Padrão</t>
  </si>
  <si>
    <t>Correlação</t>
  </si>
  <si>
    <t>Estatísticas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</si>
  <si>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</si>
  <si>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</si>
  <si>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</si>
  <si>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</si>
  <si>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</si>
  <si>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</si>
  <si>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</si>
  <si>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</si>
  <si>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</si>
  <si>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</si>
  <si>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Funções Básicas</t>
  </si>
  <si>
    <t>Valor USD</t>
  </si>
  <si>
    <t>Valor BRL</t>
  </si>
  <si>
    <t>Funções de Texto</t>
  </si>
  <si>
    <t>MÍNIMO</t>
  </si>
  <si>
    <t>MÁXIMO</t>
  </si>
  <si>
    <t>SOMA</t>
  </si>
  <si>
    <t>MÉDIA</t>
  </si>
  <si>
    <t>Cotação:</t>
  </si>
  <si>
    <t>Estatísticas USD</t>
  </si>
  <si>
    <t>Estatísticas BRL</t>
  </si>
  <si>
    <t>Funções Lógicas</t>
  </si>
  <si>
    <t>Categoria</t>
  </si>
  <si>
    <t>Ouro</t>
  </si>
  <si>
    <t>Bronze</t>
  </si>
  <si>
    <t>K</t>
  </si>
  <si>
    <t>L</t>
  </si>
  <si>
    <t>Total BRL</t>
  </si>
  <si>
    <t>Investimentos</t>
  </si>
  <si>
    <t>SOMARPRODUTO</t>
  </si>
  <si>
    <t>Como obter os caracteres da esquerda?</t>
  </si>
  <si>
    <t>Como obter os caracteres da direita?</t>
  </si>
  <si>
    <t>Como obter os caracteres do meio?</t>
  </si>
  <si>
    <t>Perguntas</t>
  </si>
  <si>
    <t>Como unir textos?</t>
  </si>
  <si>
    <t>Como separar textos?</t>
  </si>
  <si>
    <t>000.213/853-0</t>
  </si>
  <si>
    <t>002.526/208-4</t>
  </si>
  <si>
    <t>001.550/580-4</t>
  </si>
  <si>
    <t>001.428/724-2</t>
  </si>
  <si>
    <t>000.581/617-3</t>
  </si>
  <si>
    <t>000.340/398-1</t>
  </si>
  <si>
    <t>Como formatar fazendo parecer texto?</t>
  </si>
  <si>
    <t>CNPJ</t>
  </si>
  <si>
    <t>10997869000106</t>
  </si>
  <si>
    <t>50123456000107</t>
  </si>
  <si>
    <t>00791123000105</t>
  </si>
  <si>
    <t>Funções Financeiras</t>
  </si>
  <si>
    <t>Valor Presente</t>
  </si>
  <si>
    <t>Períodos</t>
  </si>
  <si>
    <t>Valor Futuro</t>
  </si>
  <si>
    <t>Resposta</t>
  </si>
  <si>
    <t>Pagamento</t>
  </si>
  <si>
    <t>Valor Futuro conforme Plano</t>
  </si>
  <si>
    <t>Capital</t>
  </si>
  <si>
    <t>jan</t>
  </si>
  <si>
    <t>jun</t>
  </si>
  <si>
    <t>jul</t>
  </si>
  <si>
    <t>ago</t>
  </si>
  <si>
    <t>set</t>
  </si>
  <si>
    <t>out</t>
  </si>
  <si>
    <t>nov</t>
  </si>
  <si>
    <t>dez</t>
  </si>
  <si>
    <t>Base de Ativos</t>
  </si>
  <si>
    <t>Estudo de Projeção</t>
  </si>
  <si>
    <t>Data</t>
  </si>
  <si>
    <t>Projeção</t>
  </si>
  <si>
    <t>Funções de Procura e Referência</t>
  </si>
  <si>
    <t>Classe</t>
  </si>
  <si>
    <t>Comissão</t>
  </si>
  <si>
    <t>Comissão %</t>
  </si>
  <si>
    <t>Comissão R$</t>
  </si>
  <si>
    <t>Matrizes Dinâmicas</t>
  </si>
  <si>
    <t>Relatório sobre a planilha "Procura e Referência"</t>
  </si>
  <si>
    <t>1. Todos os clientes do assessor Cristiano</t>
  </si>
  <si>
    <t>2. Todos os clientes do Brazil</t>
  </si>
  <si>
    <t>4. Todos os assessores</t>
  </si>
  <si>
    <t>5. Todos os países</t>
  </si>
  <si>
    <t>3. Todos os clientes do Brazil com carteira a partir de R$ 10.000,00</t>
  </si>
  <si>
    <t>Total de Impostos</t>
  </si>
  <si>
    <t>Valor Líquido</t>
  </si>
  <si>
    <t>Tabela de Comissões</t>
  </si>
  <si>
    <t>Tabelas Dinâmicas</t>
  </si>
  <si>
    <t>Gestor</t>
  </si>
  <si>
    <t>Cesar</t>
  </si>
  <si>
    <t>Aline</t>
  </si>
  <si>
    <t>Matheus</t>
  </si>
  <si>
    <t>Thiago</t>
  </si>
  <si>
    <t>Gráficos</t>
  </si>
  <si>
    <t>Colunas</t>
  </si>
  <si>
    <t>Funil</t>
  </si>
  <si>
    <t>Etapa</t>
  </si>
  <si>
    <t>Pessoas</t>
  </si>
  <si>
    <t>Prospects</t>
  </si>
  <si>
    <t>Leads</t>
  </si>
  <si>
    <t>Cliques</t>
  </si>
  <si>
    <t>Pagamentos</t>
  </si>
  <si>
    <t>Aberturas</t>
  </si>
  <si>
    <t>Pedidos</t>
  </si>
  <si>
    <t>Ações</t>
  </si>
  <si>
    <t>Minigráficos</t>
  </si>
  <si>
    <t>fev</t>
  </si>
  <si>
    <t>mar</t>
  </si>
  <si>
    <t>abr</t>
  </si>
  <si>
    <t>mai</t>
  </si>
  <si>
    <t>Risco total máximo</t>
  </si>
  <si>
    <t>Percentual máximo</t>
  </si>
  <si>
    <t>Investir</t>
  </si>
  <si>
    <t>Percentual</t>
  </si>
  <si>
    <t>Resultado</t>
  </si>
  <si>
    <t>Média do Retorno</t>
  </si>
  <si>
    <t>Carteira de Investimentos</t>
  </si>
  <si>
    <t>Relatório sobre a planilha "Procura e Referência" e "Diretores"</t>
  </si>
  <si>
    <t>Diretor</t>
  </si>
  <si>
    <t>Prima</t>
  </si>
  <si>
    <t>Primo</t>
  </si>
  <si>
    <t>Tipos de Dados</t>
  </si>
  <si>
    <t>Serviço Web</t>
  </si>
  <si>
    <t>XML</t>
  </si>
  <si>
    <t>JSON</t>
  </si>
  <si>
    <t>FILTROXML</t>
  </si>
  <si>
    <t>Importação de Dados com Power Query</t>
  </si>
  <si>
    <t>Texto:</t>
  </si>
  <si>
    <t>Primo-Texto-CSV.csv</t>
  </si>
  <si>
    <t>Web:</t>
  </si>
  <si>
    <t>https://debit.com.br/tabelas/indicadores-economicos.php</t>
  </si>
  <si>
    <t>Cálculo de Indicadores Financeiros</t>
  </si>
  <si>
    <t>Investimento Inicial:</t>
  </si>
  <si>
    <t>Ganho obtido:</t>
  </si>
  <si>
    <t>Retorno do Investimento (ROI):</t>
  </si>
  <si>
    <t>Taxa Interna de Retorno (TIR):</t>
  </si>
  <si>
    <t>Período 1:</t>
  </si>
  <si>
    <t>Período 2:</t>
  </si>
  <si>
    <t>Período 3:</t>
  </si>
  <si>
    <t>Período 4:</t>
  </si>
  <si>
    <t>Período 5:</t>
  </si>
  <si>
    <t>Valor Presente Líquido (VPL):</t>
  </si>
  <si>
    <t>+</t>
  </si>
  <si>
    <t>-</t>
  </si>
  <si>
    <t>*</t>
  </si>
  <si>
    <t xml:space="preserve"> /</t>
  </si>
  <si>
    <t>^</t>
  </si>
  <si>
    <t xml:space="preserve"> =</t>
  </si>
  <si>
    <t>&gt;</t>
  </si>
  <si>
    <t>&lt;</t>
  </si>
  <si>
    <t>&lt;&gt;</t>
  </si>
  <si>
    <t>Esquerda</t>
  </si>
  <si>
    <t>Direita</t>
  </si>
  <si>
    <t>Meio</t>
  </si>
  <si>
    <t>Texto CNPJ</t>
  </si>
  <si>
    <t>Coluna 1</t>
  </si>
  <si>
    <t>Coluna 2</t>
  </si>
  <si>
    <t>Previsão</t>
  </si>
  <si>
    <t>Limite de Confiança Inferior</t>
  </si>
  <si>
    <t>Limite de Confiança Superior</t>
  </si>
  <si>
    <t>014933119-9</t>
  </si>
  <si>
    <t>Classificação e Filtragem de Dados</t>
  </si>
  <si>
    <t>Zuleica</t>
  </si>
  <si>
    <t>Rótulos de Linha</t>
  </si>
  <si>
    <t>Total Geral</t>
  </si>
  <si>
    <t>Soma de Carteira</t>
  </si>
  <si>
    <t>(vazio)</t>
  </si>
  <si>
    <t>Risco máximo</t>
  </si>
  <si>
    <t>Risco</t>
  </si>
  <si>
    <t>04550004</t>
  </si>
  <si>
    <t>https://viacep.com.br/ws/04550004/xml/</t>
  </si>
  <si>
    <t>Planilha "Análise de Dados"</t>
  </si>
  <si>
    <t>Ativo</t>
  </si>
  <si>
    <t>Planilha "Tabela Dinâmica Pronta"</t>
  </si>
  <si>
    <t>PRIMO1</t>
  </si>
  <si>
    <t>PRIMO2</t>
  </si>
  <si>
    <t>PRIMO3</t>
  </si>
  <si>
    <t>Planilha "Carteira"</t>
  </si>
  <si>
    <t>Bônus: 5 Dicas de Excel para Finanças</t>
  </si>
  <si>
    <t>1. Proteção de Planilhas</t>
  </si>
  <si>
    <t>2. Validação de Dados</t>
  </si>
  <si>
    <t>5. Regressão Linear</t>
  </si>
  <si>
    <t>3. Segmentação de Dados</t>
  </si>
  <si>
    <t>4. Gerenciador de Cenários</t>
  </si>
  <si>
    <t>Ativo:</t>
  </si>
  <si>
    <t>Exemplo acima</t>
  </si>
  <si>
    <t>Estimativa de Unidades Vendidas (Regressão)</t>
  </si>
  <si>
    <t>Dica: A cada vez que você rodar o Solver, você pode salvar o cenário</t>
  </si>
  <si>
    <t>para abrir posteriormente no Gerenciador de Cenários (na guia Dados),</t>
  </si>
  <si>
    <t>que é uma ferramenta capaz de te mostrar "fotografias" de realidades</t>
  </si>
  <si>
    <t>diferentes em uma mesma planilha. Estes serão os cenários financeiros</t>
  </si>
  <si>
    <t>da sua simulação. O gerenciador vai te permitir criar um resumo</t>
  </si>
  <si>
    <t>facilmente, para você observar seus ganhos e as variáveis que levaram</t>
  </si>
  <si>
    <t>a cada um dos ganhos.</t>
  </si>
  <si>
    <t>Aqui você gera o seu resumo:</t>
  </si>
  <si>
    <t>A regressão pode ser linear, exponencial, logarítmica, polinomial, por potência ou média móvel.</t>
  </si>
  <si>
    <t>Criamos rapidamente um modelo adicionando uma linha de tendência apropriada em nosso gráfico</t>
  </si>
  <si>
    <t>de dispersão, formatando a mesma linha de tendência logo em seguida.</t>
  </si>
  <si>
    <t>Na figura do painel, você observa os diferentes tipos. O truque final consiste em ativar a caixa de</t>
  </si>
  <si>
    <t>exibir a equação no gráfico. Na coluna azul e roxa abaixo, temos uma estimativa de unidades vendidas</t>
  </si>
  <si>
    <t>com base no preço (sem considerar a inflação). A fórmula segue o modelo de regressão polinomial</t>
  </si>
  <si>
    <t>cuja equação é dada pelo gráfico. Você pode mover e formatar a caixa da equação no seu gráfico</t>
  </si>
  <si>
    <t>para enxergar melhor, antes de copiar a fórmula.</t>
  </si>
  <si>
    <t>Regressão no Excel</t>
  </si>
  <si>
    <t>Segmentação na Tabela Dinâmica</t>
  </si>
  <si>
    <t>A Segmentação de Dados nada mais é do que</t>
  </si>
  <si>
    <t>um filtro mais moderno e mais fácil de usar. Siga</t>
  </si>
  <si>
    <t>os comandos indicados e ative aqui, por exemplo,</t>
  </si>
  <si>
    <t>a segmentação por país.</t>
  </si>
  <si>
    <t>Geralmente, usamos a segmentação quando temos</t>
  </si>
  <si>
    <t>poucas categorias. Talvez você queira fazer o teste</t>
  </si>
  <si>
    <t>acionando a segmentação por assessor e incluindo</t>
  </si>
  <si>
    <t>o país diretamente no relatório.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</si>
</sst>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IR &quot;\(0.00%\)"/>
    <numFmt numFmtId="165" formatCode="&quot;PIS &quot;\(0.00%\)"/>
    <numFmt numFmtId="166" formatCode="&quot;COFINS &quot;\(0.00%\)"/>
    <numFmt numFmtId="167" formatCode="&quot;CSLL &quot;\(0.00%\)"/>
    <numFmt numFmtId="168" formatCode="&quot;ISS &quot;\(0.00%\)"/>
    <numFmt numFmtId="169" formatCode="_-* #,##0_-;\-* #,##0_-;_-* &quot;-&quot;??_-;_-@_-"/>
    <numFmt numFmtId="170" formatCode="&quot;Mínimo &gt;=&quot;\ 0"/>
    <numFmt numFmtId="171" formatCode="_([$$-409]* #,##0_);_([$$-409]* \(#,##0\);_([$$-409]* &quot;-&quot;_);_(@_)"/>
    <numFmt numFmtId="172" formatCode="_([$$-409]* #,##0.00_);_([$$-409]* \(#,##0.00\);_([$$-409]* &quot;-&quot;??_);_(@_)"/>
  </numFmts>
  <fonts count="14">
    <font>
      <sz val="11"/>
      <color theme="1"/>
      <name val="Body Font"/>
      <family val="2"/>
    </font>
    <font>
      <sz val="11"/>
      <color theme="1"/>
      <name val="Body Font"/>
      <family val="2"/>
    </font>
    <font>
      <b/>
      <sz val="15"/>
      <color theme="3"/>
      <name val="Body Font"/>
      <family val="2"/>
    </font>
    <font>
      <b/>
      <sz val="13"/>
      <color theme="3"/>
      <name val="Body Font"/>
      <family val="2"/>
    </font>
    <font>
      <b/>
      <sz val="11"/>
      <color theme="3"/>
      <name val="Body Font"/>
      <family val="2"/>
    </font>
    <font>
      <sz val="11"/>
      <color rgb="FFFF0000"/>
      <name val="Body Font"/>
      <family val="2"/>
    </font>
    <font>
      <sz val="8"/>
      <name val="Body Font"/>
      <family val="2"/>
    </font>
    <font>
      <b/>
      <sz val="11"/>
      <color theme="1"/>
      <name val="Body Font"/>
      <family val="2"/>
    </font>
    <font>
      <b/>
      <sz val="11"/>
      <color rgb="FFFFFF00"/>
      <name val="Body Font"/>
      <family val="2"/>
    </font>
    <font>
      <i/>
      <sz val="11"/>
      <color theme="1"/>
      <name val="Body Fon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7030A0"/>
      <name val="Body Font"/>
    </font>
    <font>
      <b/>
      <sz val="12"/>
      <color rgb="FF7030A0"/>
      <name val="Body Font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7" fillId="0" borderId="6" applyNumberFormat="0" applyFill="0" applyAlignment="0" applyProtection="0"/>
  </cellStyleXfs>
  <cellXfs count="89">
    <xf numFmtId="0" fontId="0" fillId="0" borderId="0" xfId="0"/>
    <xf numFmtId="44" fontId="0" fillId="0" borderId="0" xfId="1" applyFont="1"/>
    <xf numFmtId="3" fontId="0" fillId="0" borderId="0" xfId="0" applyNumberFormat="1"/>
    <xf numFmtId="44" fontId="2" fillId="0" borderId="1" xfId="2" applyNumberFormat="1"/>
    <xf numFmtId="0" fontId="2" fillId="0" borderId="1" xfId="2"/>
    <xf numFmtId="3" fontId="2" fillId="0" borderId="1" xfId="2" applyNumberFormat="1"/>
    <xf numFmtId="44" fontId="0" fillId="0" borderId="0" xfId="1" applyFont="1" applyBorder="1"/>
    <xf numFmtId="44" fontId="0" fillId="0" borderId="0" xfId="1" applyFont="1" applyFill="1" applyBorder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4" xfId="0" applyBorder="1"/>
    <xf numFmtId="44" fontId="0" fillId="0" borderId="0" xfId="0" applyNumberFormat="1"/>
    <xf numFmtId="44" fontId="0" fillId="2" borderId="0" xfId="0" applyNumberFormat="1" applyFill="1"/>
    <xf numFmtId="164" fontId="0" fillId="3" borderId="4" xfId="1" applyNumberFormat="1" applyFont="1" applyFill="1" applyBorder="1" applyAlignment="1">
      <alignment horizontal="center"/>
    </xf>
    <xf numFmtId="165" fontId="0" fillId="3" borderId="4" xfId="1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horizontal="center"/>
    </xf>
    <xf numFmtId="167" fontId="0" fillId="3" borderId="4" xfId="1" applyNumberFormat="1" applyFont="1" applyFill="1" applyBorder="1" applyAlignment="1">
      <alignment horizontal="center"/>
    </xf>
    <xf numFmtId="168" fontId="0" fillId="3" borderId="4" xfId="1" applyNumberFormat="1" applyFont="1" applyFill="1" applyBorder="1" applyAlignment="1">
      <alignment horizontal="center"/>
    </xf>
    <xf numFmtId="44" fontId="0" fillId="4" borderId="4" xfId="1" applyFont="1" applyFill="1" applyBorder="1"/>
    <xf numFmtId="0" fontId="4" fillId="0" borderId="3" xfId="5"/>
    <xf numFmtId="0" fontId="4" fillId="0" borderId="0" xfId="6"/>
    <xf numFmtId="14" fontId="0" fillId="0" borderId="0" xfId="0" applyNumberFormat="1"/>
    <xf numFmtId="14" fontId="4" fillId="0" borderId="3" xfId="5" applyNumberFormat="1"/>
    <xf numFmtId="0" fontId="5" fillId="0" borderId="0" xfId="0" applyFont="1" applyAlignment="1">
      <alignment horizontal="center"/>
    </xf>
    <xf numFmtId="0" fontId="3" fillId="0" borderId="2" xfId="4"/>
    <xf numFmtId="9" fontId="0" fillId="0" borderId="0" xfId="0" applyNumberFormat="1" applyAlignment="1">
      <alignment horizontal="center"/>
    </xf>
    <xf numFmtId="9" fontId="0" fillId="0" borderId="0" xfId="0" applyNumberFormat="1"/>
    <xf numFmtId="0" fontId="4" fillId="0" borderId="3" xfId="5" applyAlignment="1">
      <alignment horizontal="center"/>
    </xf>
    <xf numFmtId="0" fontId="0" fillId="0" borderId="0" xfId="0" applyAlignment="1">
      <alignment horizontal="right"/>
    </xf>
    <xf numFmtId="0" fontId="0" fillId="0" borderId="0" xfId="1" applyNumberFormat="1" applyFont="1"/>
    <xf numFmtId="0" fontId="0" fillId="0" borderId="0" xfId="0" applyAlignment="1">
      <alignment horizontal="center" vertical="center"/>
    </xf>
    <xf numFmtId="0" fontId="2" fillId="0" borderId="1" xfId="2" applyAlignment="1">
      <alignment horizontal="center" vertical="center"/>
    </xf>
    <xf numFmtId="0" fontId="2" fillId="0" borderId="1" xfId="2" applyAlignment="1">
      <alignment horizontal="left" vertical="center"/>
    </xf>
    <xf numFmtId="9" fontId="0" fillId="0" borderId="5" xfId="0" applyNumberFormat="1" applyBorder="1" applyAlignment="1">
      <alignment horizontal="center"/>
    </xf>
    <xf numFmtId="0" fontId="3" fillId="0" borderId="2" xfId="4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0" borderId="2" xfId="4" applyAlignment="1">
      <alignment horizontal="left" vertical="center"/>
    </xf>
    <xf numFmtId="43" fontId="2" fillId="0" borderId="1" xfId="3" applyFont="1" applyBorder="1" applyAlignment="1">
      <alignment horizontal="center" vertical="center"/>
    </xf>
    <xf numFmtId="43" fontId="0" fillId="0" borderId="0" xfId="3" applyFont="1" applyAlignment="1">
      <alignment horizontal="center" vertical="center"/>
    </xf>
    <xf numFmtId="43" fontId="3" fillId="0" borderId="2" xfId="3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4" fontId="0" fillId="0" borderId="5" xfId="1" applyFont="1" applyBorder="1"/>
    <xf numFmtId="49" fontId="0" fillId="0" borderId="0" xfId="0" applyNumberFormat="1"/>
    <xf numFmtId="10" fontId="0" fillId="0" borderId="0" xfId="0" applyNumberFormat="1"/>
    <xf numFmtId="8" fontId="0" fillId="0" borderId="0" xfId="0" applyNumberFormat="1"/>
    <xf numFmtId="43" fontId="0" fillId="0" borderId="0" xfId="3" applyFont="1"/>
    <xf numFmtId="0" fontId="4" fillId="0" borderId="3" xfId="6" applyBorder="1"/>
    <xf numFmtId="169" fontId="0" fillId="0" borderId="0" xfId="3" applyNumberFormat="1" applyFont="1"/>
    <xf numFmtId="10" fontId="0" fillId="0" borderId="0" xfId="0" applyNumberFormat="1" applyAlignment="1">
      <alignment horizontal="center"/>
    </xf>
    <xf numFmtId="43" fontId="0" fillId="0" borderId="0" xfId="3" applyFont="1" applyAlignment="1">
      <alignment horizontal="center"/>
    </xf>
    <xf numFmtId="10" fontId="0" fillId="0" borderId="0" xfId="3" applyNumberFormat="1" applyFont="1" applyAlignment="1">
      <alignment horizontal="center"/>
    </xf>
    <xf numFmtId="0" fontId="7" fillId="0" borderId="6" xfId="8" applyAlignment="1">
      <alignment horizontal="center"/>
    </xf>
    <xf numFmtId="43" fontId="7" fillId="0" borderId="6" xfId="8" applyNumberFormat="1" applyAlignment="1">
      <alignment horizontal="center"/>
    </xf>
    <xf numFmtId="10" fontId="7" fillId="0" borderId="6" xfId="8" applyNumberFormat="1" applyAlignment="1">
      <alignment horizontal="center"/>
    </xf>
    <xf numFmtId="0" fontId="0" fillId="0" borderId="0" xfId="0" applyAlignment="1">
      <alignment vertical="top" wrapText="1"/>
    </xf>
    <xf numFmtId="49" fontId="0" fillId="5" borderId="0" xfId="0" applyNumberFormat="1" applyFill="1"/>
    <xf numFmtId="0" fontId="2" fillId="0" borderId="1" xfId="2" applyAlignment="1">
      <alignment horizontal="right"/>
    </xf>
    <xf numFmtId="44" fontId="2" fillId="0" borderId="1" xfId="1" applyFont="1" applyBorder="1"/>
    <xf numFmtId="10" fontId="0" fillId="0" borderId="0" xfId="1" applyNumberFormat="1" applyFont="1"/>
    <xf numFmtId="8" fontId="0" fillId="0" borderId="0" xfId="1" applyNumberFormat="1" applyFont="1"/>
    <xf numFmtId="0" fontId="4" fillId="0" borderId="4" xfId="5" applyBorder="1"/>
    <xf numFmtId="14" fontId="0" fillId="0" borderId="4" xfId="0" applyNumberFormat="1" applyBorder="1"/>
    <xf numFmtId="0" fontId="8" fillId="6" borderId="4" xfId="7" applyBorder="1"/>
    <xf numFmtId="14" fontId="8" fillId="6" borderId="4" xfId="7" applyNumberFormat="1" applyBorder="1"/>
    <xf numFmtId="170" fontId="0" fillId="0" borderId="0" xfId="0" applyNumberFormat="1" applyAlignment="1">
      <alignment horizontal="center" vertical="center"/>
    </xf>
    <xf numFmtId="43" fontId="0" fillId="0" borderId="0" xfId="3" applyFont="1" applyBorder="1"/>
    <xf numFmtId="0" fontId="0" fillId="0" borderId="7" xfId="0" applyBorder="1"/>
    <xf numFmtId="0" fontId="9" fillId="0" borderId="8" xfId="0" applyFont="1" applyBorder="1" applyAlignment="1">
      <alignment horizontal="center"/>
    </xf>
    <xf numFmtId="2" fontId="0" fillId="0" borderId="0" xfId="0" applyNumberFormat="1"/>
    <xf numFmtId="44" fontId="4" fillId="0" borderId="3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1" fontId="0" fillId="0" borderId="0" xfId="0" applyNumberFormat="1"/>
    <xf numFmtId="172" fontId="0" fillId="0" borderId="0" xfId="0" applyNumberFormat="1"/>
    <xf numFmtId="4" fontId="0" fillId="0" borderId="0" xfId="0" applyNumberFormat="1"/>
    <xf numFmtId="0" fontId="4" fillId="0" borderId="3" xfId="5" applyFill="1"/>
    <xf numFmtId="0" fontId="0" fillId="7" borderId="0" xfId="0" applyFill="1"/>
    <xf numFmtId="0" fontId="0" fillId="8" borderId="5" xfId="0" applyFill="1" applyBorder="1" applyProtection="1">
      <protection locked="0"/>
    </xf>
    <xf numFmtId="0" fontId="0" fillId="8" borderId="9" xfId="0" applyFill="1" applyBorder="1" applyProtection="1">
      <protection locked="0"/>
    </xf>
    <xf numFmtId="0" fontId="0" fillId="8" borderId="10" xfId="0" applyFill="1" applyBorder="1" applyProtection="1">
      <protection locked="0"/>
    </xf>
    <xf numFmtId="0" fontId="0" fillId="8" borderId="11" xfId="0" applyFill="1" applyBorder="1" applyProtection="1">
      <protection locked="0"/>
    </xf>
    <xf numFmtId="0" fontId="0" fillId="7" borderId="0" xfId="0" applyFill="1" applyAlignment="1">
      <alignment horizontal="right"/>
    </xf>
    <xf numFmtId="0" fontId="12" fillId="0" borderId="0" xfId="0" applyFont="1"/>
    <xf numFmtId="0" fontId="12" fillId="9" borderId="0" xfId="0" applyFont="1" applyFill="1"/>
    <xf numFmtId="169" fontId="12" fillId="9" borderId="0" xfId="0" applyNumberFormat="1" applyFont="1" applyFill="1"/>
    <xf numFmtId="0" fontId="13" fillId="0" borderId="0" xfId="0" applyFont="1"/>
  </cellXfs>
  <cellStyles count="9">
    <cellStyle name="Ênfase1" xfId="7" builtinId="29" customBuiltin="1"/>
    <cellStyle name="Moeda" xfId="1" builtinId="4"/>
    <cellStyle name="Normal" xfId="0" builtinId="0"/>
    <cellStyle name="Título 1" xfId="2" builtinId="16" customBuiltin="1"/>
    <cellStyle name="Título 2" xfId="4" builtinId="17"/>
    <cellStyle name="Título 3" xfId="5" builtinId="18" customBuiltin="1"/>
    <cellStyle name="Título 4" xfId="6" builtinId="19"/>
    <cellStyle name="Total" xfId="8" builtinId="25"/>
    <cellStyle name="Vírgula" xfId="3" builtinId="3"/>
  </cellStyles>
  <dxfs count="9">
    <dxf>
      <border outline="0">
        <bottom style="medium">
          <color theme="4" tint="0.39997558519241921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medium">
          <color theme="4" tint="0.39997558519241921"/>
        </bottom>
      </border>
    </dxf>
    <dxf>
      <numFmt numFmtId="19" formatCode="dd/mm/yyyy"/>
    </dxf>
    <dxf>
      <border outline="0">
        <bottom style="medium">
          <color theme="4" tint="0.39997558519241921"/>
        </bottom>
      </border>
    </dxf>
    <dxf>
      <numFmt numFmtId="0" formatCode="General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Types" Target="richData/rdRichValueTypes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06/relationships/rdSupportingPropertyBagStructure" Target="richData/rdsupportingpropertybagstructure.xml"/><Relationship Id="rId40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ichStyles" Target="richData/rich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Relationship Id="rId35" Type="http://schemas.microsoft.com/office/2017/06/relationships/rdArray" Target="richData/rdarray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38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63-4171-BE7E-749D80093E4C}"/>
              </c:ext>
            </c:extLst>
          </c:dPt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Formatação!$A$4:$A$22</c:f>
              <c:strCache>
                <c:ptCount val="19"/>
                <c:pt idx="0">
                  <c:v>Maria</c:v>
                </c:pt>
                <c:pt idx="1">
                  <c:v>José</c:v>
                </c:pt>
                <c:pt idx="2">
                  <c:v>Pedro</c:v>
                </c:pt>
                <c:pt idx="3">
                  <c:v>Carla</c:v>
                </c:pt>
                <c:pt idx="4">
                  <c:v>Antônio</c:v>
                </c:pt>
                <c:pt idx="5">
                  <c:v>Denise</c:v>
                </c:pt>
                <c:pt idx="6">
                  <c:v>Roberta</c:v>
                </c:pt>
                <c:pt idx="7">
                  <c:v>Marcos</c:v>
                </c:pt>
                <c:pt idx="8">
                  <c:v>Jaqueline</c:v>
                </c:pt>
                <c:pt idx="9">
                  <c:v>Manoel</c:v>
                </c:pt>
                <c:pt idx="10">
                  <c:v>Patrick</c:v>
                </c:pt>
                <c:pt idx="11">
                  <c:v>Rosalina</c:v>
                </c:pt>
                <c:pt idx="12">
                  <c:v>Rebeca</c:v>
                </c:pt>
                <c:pt idx="13">
                  <c:v>Mateus</c:v>
                </c:pt>
                <c:pt idx="14">
                  <c:v>Cristiano</c:v>
                </c:pt>
                <c:pt idx="15">
                  <c:v>Geise</c:v>
                </c:pt>
                <c:pt idx="16">
                  <c:v>Altamira</c:v>
                </c:pt>
                <c:pt idx="17">
                  <c:v>Cardoso</c:v>
                </c:pt>
                <c:pt idx="18">
                  <c:v>Moraes</c:v>
                </c:pt>
              </c:strCache>
            </c:strRef>
          </c:cat>
          <c:val>
            <c:numRef>
              <c:f>Formatação!$B$4:$B$22</c:f>
              <c:numCache>
                <c:formatCode>General</c:formatCode>
                <c:ptCount val="19"/>
                <c:pt idx="0">
                  <c:v>98134</c:v>
                </c:pt>
                <c:pt idx="1">
                  <c:v>93538</c:v>
                </c:pt>
                <c:pt idx="2">
                  <c:v>70523</c:v>
                </c:pt>
                <c:pt idx="3">
                  <c:v>82660</c:v>
                </c:pt>
                <c:pt idx="4">
                  <c:v>130069</c:v>
                </c:pt>
                <c:pt idx="5">
                  <c:v>116083</c:v>
                </c:pt>
                <c:pt idx="6">
                  <c:v>127974</c:v>
                </c:pt>
                <c:pt idx="7">
                  <c:v>143434</c:v>
                </c:pt>
                <c:pt idx="8">
                  <c:v>212082</c:v>
                </c:pt>
                <c:pt idx="9">
                  <c:v>110385</c:v>
                </c:pt>
                <c:pt idx="10">
                  <c:v>200950</c:v>
                </c:pt>
                <c:pt idx="11">
                  <c:v>141338</c:v>
                </c:pt>
                <c:pt idx="12">
                  <c:v>174226</c:v>
                </c:pt>
                <c:pt idx="13">
                  <c:v>355635</c:v>
                </c:pt>
                <c:pt idx="14">
                  <c:v>359572</c:v>
                </c:pt>
                <c:pt idx="15">
                  <c:v>665410</c:v>
                </c:pt>
                <c:pt idx="16">
                  <c:v>381269</c:v>
                </c:pt>
                <c:pt idx="17">
                  <c:v>255065</c:v>
                </c:pt>
                <c:pt idx="18">
                  <c:v>485278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D-4634-94FE-892405695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398560703"/>
        <c:axId val="398558303"/>
      </c:barChart>
      <c:catAx>
        <c:axId val="39856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8558303"/>
        <c:crosses val="autoZero"/>
        <c:auto val="1"/>
        <c:lblAlgn val="ctr"/>
        <c:lblOffset val="100"/>
        <c:noMultiLvlLbl val="0"/>
      </c:catAx>
      <c:valAx>
        <c:axId val="39855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856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'Planilha de Previsão'!$B$1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'Planilha de Previsão'!$B$2:$B$238</c:f>
              <c:numCache>
                <c:formatCode>General</c:formatCode>
                <c:ptCount val="237"/>
                <c:pt idx="0">
                  <c:v>1.06</c:v>
                </c:pt>
                <c:pt idx="1">
                  <c:v>1.1299999999999999</c:v>
                </c:pt>
                <c:pt idx="2">
                  <c:v>1.0900000000000001</c:v>
                </c:pt>
                <c:pt idx="3">
                  <c:v>1.1000000000000001</c:v>
                </c:pt>
                <c:pt idx="4">
                  <c:v>1.04</c:v>
                </c:pt>
                <c:pt idx="5">
                  <c:v>0.98</c:v>
                </c:pt>
                <c:pt idx="6">
                  <c:v>0.97</c:v>
                </c:pt>
                <c:pt idx="7">
                  <c:v>1.04</c:v>
                </c:pt>
                <c:pt idx="8">
                  <c:v>1.04</c:v>
                </c:pt>
                <c:pt idx="9">
                  <c:v>0.99</c:v>
                </c:pt>
                <c:pt idx="10">
                  <c:v>0.97</c:v>
                </c:pt>
                <c:pt idx="11">
                  <c:v>0.98</c:v>
                </c:pt>
                <c:pt idx="12">
                  <c:v>0.91</c:v>
                </c:pt>
                <c:pt idx="13">
                  <c:v>0.88</c:v>
                </c:pt>
                <c:pt idx="14">
                  <c:v>0.92</c:v>
                </c:pt>
                <c:pt idx="15">
                  <c:v>0.89</c:v>
                </c:pt>
                <c:pt idx="16">
                  <c:v>0.94</c:v>
                </c:pt>
                <c:pt idx="17">
                  <c:v>0.96</c:v>
                </c:pt>
                <c:pt idx="18">
                  <c:v>1.04</c:v>
                </c:pt>
                <c:pt idx="19">
                  <c:v>0.97</c:v>
                </c:pt>
                <c:pt idx="20">
                  <c:v>1.02</c:v>
                </c:pt>
                <c:pt idx="21">
                  <c:v>1.05</c:v>
                </c:pt>
                <c:pt idx="22">
                  <c:v>1.03</c:v>
                </c:pt>
                <c:pt idx="23">
                  <c:v>1.07</c:v>
                </c:pt>
                <c:pt idx="24">
                  <c:v>1.1200000000000001</c:v>
                </c:pt>
                <c:pt idx="25">
                  <c:v>1.1399999999999999</c:v>
                </c:pt>
                <c:pt idx="26">
                  <c:v>1.17</c:v>
                </c:pt>
                <c:pt idx="27">
                  <c:v>1.17</c:v>
                </c:pt>
                <c:pt idx="28">
                  <c:v>1.1399999999999999</c:v>
                </c:pt>
                <c:pt idx="29">
                  <c:v>1.1200000000000001</c:v>
                </c:pt>
                <c:pt idx="30">
                  <c:v>1.1000000000000001</c:v>
                </c:pt>
                <c:pt idx="31">
                  <c:v>1.1299999999999999</c:v>
                </c:pt>
                <c:pt idx="32">
                  <c:v>1.1200000000000001</c:v>
                </c:pt>
                <c:pt idx="33">
                  <c:v>1.06</c:v>
                </c:pt>
                <c:pt idx="34">
                  <c:v>1.1200000000000001</c:v>
                </c:pt>
                <c:pt idx="35">
                  <c:v>1.0900000000000001</c:v>
                </c:pt>
                <c:pt idx="36">
                  <c:v>1.01</c:v>
                </c:pt>
                <c:pt idx="37">
                  <c:v>0.96</c:v>
                </c:pt>
                <c:pt idx="38">
                  <c:v>0.99</c:v>
                </c:pt>
                <c:pt idx="39">
                  <c:v>0.95</c:v>
                </c:pt>
                <c:pt idx="40">
                  <c:v>0.93</c:v>
                </c:pt>
                <c:pt idx="41">
                  <c:v>0.92</c:v>
                </c:pt>
                <c:pt idx="42">
                  <c:v>0.97</c:v>
                </c:pt>
                <c:pt idx="43">
                  <c:v>0.89</c:v>
                </c:pt>
                <c:pt idx="44">
                  <c:v>0.81</c:v>
                </c:pt>
                <c:pt idx="45">
                  <c:v>0.85</c:v>
                </c:pt>
                <c:pt idx="46">
                  <c:v>0.79</c:v>
                </c:pt>
                <c:pt idx="47">
                  <c:v>0.78</c:v>
                </c:pt>
                <c:pt idx="48">
                  <c:v>0.86</c:v>
                </c:pt>
                <c:pt idx="49">
                  <c:v>0.85</c:v>
                </c:pt>
                <c:pt idx="50">
                  <c:v>0.85</c:v>
                </c:pt>
                <c:pt idx="51">
                  <c:v>0.88</c:v>
                </c:pt>
                <c:pt idx="52">
                  <c:v>0.89</c:v>
                </c:pt>
                <c:pt idx="53">
                  <c:v>0.86</c:v>
                </c:pt>
                <c:pt idx="54">
                  <c:v>0.81</c:v>
                </c:pt>
                <c:pt idx="55">
                  <c:v>0.83</c:v>
                </c:pt>
                <c:pt idx="56">
                  <c:v>0.85</c:v>
                </c:pt>
                <c:pt idx="57">
                  <c:v>0.8</c:v>
                </c:pt>
                <c:pt idx="58">
                  <c:v>0.78</c:v>
                </c:pt>
                <c:pt idx="59">
                  <c:v>0.78</c:v>
                </c:pt>
                <c:pt idx="60">
                  <c:v>0.84</c:v>
                </c:pt>
                <c:pt idx="61">
                  <c:v>0.91</c:v>
                </c:pt>
                <c:pt idx="62">
                  <c:v>0.91</c:v>
                </c:pt>
                <c:pt idx="63">
                  <c:v>0.91</c:v>
                </c:pt>
                <c:pt idx="64">
                  <c:v>0.88</c:v>
                </c:pt>
                <c:pt idx="65">
                  <c:v>0.91</c:v>
                </c:pt>
                <c:pt idx="66">
                  <c:v>0.88</c:v>
                </c:pt>
                <c:pt idx="67">
                  <c:v>0.89</c:v>
                </c:pt>
                <c:pt idx="68">
                  <c:v>0.9</c:v>
                </c:pt>
                <c:pt idx="69">
                  <c:v>0.91</c:v>
                </c:pt>
                <c:pt idx="70">
                  <c:v>0.88</c:v>
                </c:pt>
                <c:pt idx="71">
                  <c:v>0.89</c:v>
                </c:pt>
                <c:pt idx="72">
                  <c:v>0.93</c:v>
                </c:pt>
                <c:pt idx="73">
                  <c:v>0.92</c:v>
                </c:pt>
                <c:pt idx="74">
                  <c:v>0.85</c:v>
                </c:pt>
                <c:pt idx="75">
                  <c:v>0.87</c:v>
                </c:pt>
                <c:pt idx="76">
                  <c:v>0.84</c:v>
                </c:pt>
                <c:pt idx="77">
                  <c:v>0.83</c:v>
                </c:pt>
                <c:pt idx="78">
                  <c:v>0.88</c:v>
                </c:pt>
                <c:pt idx="79">
                  <c:v>0.81</c:v>
                </c:pt>
                <c:pt idx="80">
                  <c:v>0.85</c:v>
                </c:pt>
                <c:pt idx="81">
                  <c:v>0.94</c:v>
                </c:pt>
                <c:pt idx="82">
                  <c:v>0.95</c:v>
                </c:pt>
                <c:pt idx="83">
                  <c:v>0.95</c:v>
                </c:pt>
                <c:pt idx="84">
                  <c:v>0.98</c:v>
                </c:pt>
                <c:pt idx="85">
                  <c:v>0.89</c:v>
                </c:pt>
                <c:pt idx="86">
                  <c:v>0.94</c:v>
                </c:pt>
                <c:pt idx="87">
                  <c:v>0.95</c:v>
                </c:pt>
                <c:pt idx="88">
                  <c:v>0.94</c:v>
                </c:pt>
                <c:pt idx="89">
                  <c:v>0.93</c:v>
                </c:pt>
                <c:pt idx="90">
                  <c:v>0.92</c:v>
                </c:pt>
                <c:pt idx="91">
                  <c:v>0.99</c:v>
                </c:pt>
                <c:pt idx="92">
                  <c:v>1</c:v>
                </c:pt>
                <c:pt idx="93">
                  <c:v>1</c:v>
                </c:pt>
                <c:pt idx="94">
                  <c:v>1.01</c:v>
                </c:pt>
                <c:pt idx="95">
                  <c:v>0.93</c:v>
                </c:pt>
                <c:pt idx="96">
                  <c:v>0.97</c:v>
                </c:pt>
                <c:pt idx="97">
                  <c:v>0.95</c:v>
                </c:pt>
                <c:pt idx="98">
                  <c:v>0.93</c:v>
                </c:pt>
                <c:pt idx="99">
                  <c:v>0.85</c:v>
                </c:pt>
                <c:pt idx="100">
                  <c:v>0.87</c:v>
                </c:pt>
                <c:pt idx="101">
                  <c:v>0.91</c:v>
                </c:pt>
                <c:pt idx="102">
                  <c:v>0.95</c:v>
                </c:pt>
                <c:pt idx="103">
                  <c:v>0.98</c:v>
                </c:pt>
                <c:pt idx="104">
                  <c:v>0.96</c:v>
                </c:pt>
                <c:pt idx="105">
                  <c:v>0.95</c:v>
                </c:pt>
                <c:pt idx="106">
                  <c:v>0.94</c:v>
                </c:pt>
                <c:pt idx="107">
                  <c:v>0.97</c:v>
                </c:pt>
                <c:pt idx="108">
                  <c:v>1.01</c:v>
                </c:pt>
                <c:pt idx="109">
                  <c:v>1.02</c:v>
                </c:pt>
                <c:pt idx="110">
                  <c:v>1.04</c:v>
                </c:pt>
                <c:pt idx="111">
                  <c:v>1.1200000000000001</c:v>
                </c:pt>
                <c:pt idx="112">
                  <c:v>1.08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1.1200000000000001</c:v>
                </c:pt>
                <c:pt idx="116">
                  <c:v>1.1000000000000001</c:v>
                </c:pt>
                <c:pt idx="117">
                  <c:v>1.1299999999999999</c:v>
                </c:pt>
                <c:pt idx="118">
                  <c:v>1.0900000000000001</c:v>
                </c:pt>
                <c:pt idx="119">
                  <c:v>1.1200000000000001</c:v>
                </c:pt>
                <c:pt idx="120">
                  <c:v>1.18</c:v>
                </c:pt>
                <c:pt idx="121">
                  <c:v>1.19</c:v>
                </c:pt>
                <c:pt idx="122">
                  <c:v>1.1399999999999999</c:v>
                </c:pt>
                <c:pt idx="123">
                  <c:v>1.1299999999999999</c:v>
                </c:pt>
                <c:pt idx="124">
                  <c:v>1.1299999999999999</c:v>
                </c:pt>
                <c:pt idx="125">
                  <c:v>1.21</c:v>
                </c:pt>
                <c:pt idx="126">
                  <c:v>1.22</c:v>
                </c:pt>
                <c:pt idx="127">
                  <c:v>1.21</c:v>
                </c:pt>
                <c:pt idx="128">
                  <c:v>1.25</c:v>
                </c:pt>
                <c:pt idx="129">
                  <c:v>1.25</c:v>
                </c:pt>
                <c:pt idx="130">
                  <c:v>1.19</c:v>
                </c:pt>
                <c:pt idx="131">
                  <c:v>1.18</c:v>
                </c:pt>
                <c:pt idx="132">
                  <c:v>1.1299999999999999</c:v>
                </c:pt>
                <c:pt idx="133">
                  <c:v>1.1100000000000001</c:v>
                </c:pt>
                <c:pt idx="134">
                  <c:v>1.07</c:v>
                </c:pt>
                <c:pt idx="135">
                  <c:v>1.0900000000000001</c:v>
                </c:pt>
                <c:pt idx="136">
                  <c:v>1.06</c:v>
                </c:pt>
                <c:pt idx="137">
                  <c:v>1.06</c:v>
                </c:pt>
                <c:pt idx="138">
                  <c:v>1.0900000000000001</c:v>
                </c:pt>
                <c:pt idx="139">
                  <c:v>1.1000000000000001</c:v>
                </c:pt>
                <c:pt idx="140">
                  <c:v>1.1100000000000001</c:v>
                </c:pt>
                <c:pt idx="141">
                  <c:v>1.06</c:v>
                </c:pt>
                <c:pt idx="142">
                  <c:v>1.03</c:v>
                </c:pt>
                <c:pt idx="143">
                  <c:v>1.02</c:v>
                </c:pt>
                <c:pt idx="144">
                  <c:v>1.04</c:v>
                </c:pt>
                <c:pt idx="145">
                  <c:v>0.99</c:v>
                </c:pt>
                <c:pt idx="146">
                  <c:v>0.95</c:v>
                </c:pt>
                <c:pt idx="147">
                  <c:v>0.98</c:v>
                </c:pt>
                <c:pt idx="148">
                  <c:v>0.97</c:v>
                </c:pt>
                <c:pt idx="149">
                  <c:v>0.96</c:v>
                </c:pt>
                <c:pt idx="150">
                  <c:v>1.02</c:v>
                </c:pt>
                <c:pt idx="151">
                  <c:v>1.0900000000000001</c:v>
                </c:pt>
                <c:pt idx="152">
                  <c:v>1.1000000000000001</c:v>
                </c:pt>
                <c:pt idx="153">
                  <c:v>1.03</c:v>
                </c:pt>
                <c:pt idx="154">
                  <c:v>1.02</c:v>
                </c:pt>
                <c:pt idx="155">
                  <c:v>1.07</c:v>
                </c:pt>
                <c:pt idx="156">
                  <c:v>1.1100000000000001</c:v>
                </c:pt>
                <c:pt idx="157">
                  <c:v>1.1399999999999999</c:v>
                </c:pt>
                <c:pt idx="158">
                  <c:v>1.18</c:v>
                </c:pt>
                <c:pt idx="159">
                  <c:v>1.22</c:v>
                </c:pt>
                <c:pt idx="160">
                  <c:v>1.18</c:v>
                </c:pt>
                <c:pt idx="161">
                  <c:v>1.19</c:v>
                </c:pt>
                <c:pt idx="162">
                  <c:v>1.26</c:v>
                </c:pt>
                <c:pt idx="163">
                  <c:v>1.28</c:v>
                </c:pt>
                <c:pt idx="164">
                  <c:v>1.22</c:v>
                </c:pt>
                <c:pt idx="165">
                  <c:v>1.23</c:v>
                </c:pt>
                <c:pt idx="166">
                  <c:v>1.17</c:v>
                </c:pt>
                <c:pt idx="167">
                  <c:v>1.1200000000000001</c:v>
                </c:pt>
                <c:pt idx="168">
                  <c:v>1.1499999999999999</c:v>
                </c:pt>
                <c:pt idx="169">
                  <c:v>1.17</c:v>
                </c:pt>
                <c:pt idx="170">
                  <c:v>1.21</c:v>
                </c:pt>
                <c:pt idx="171">
                  <c:v>1.25</c:v>
                </c:pt>
                <c:pt idx="172">
                  <c:v>1.23</c:v>
                </c:pt>
                <c:pt idx="173">
                  <c:v>1.24</c:v>
                </c:pt>
                <c:pt idx="174">
                  <c:v>1.28</c:v>
                </c:pt>
                <c:pt idx="175">
                  <c:v>1.3</c:v>
                </c:pt>
                <c:pt idx="176">
                  <c:v>1.33</c:v>
                </c:pt>
                <c:pt idx="177">
                  <c:v>1.39</c:v>
                </c:pt>
                <c:pt idx="178">
                  <c:v>1.42</c:v>
                </c:pt>
                <c:pt idx="179">
                  <c:v>1.35</c:v>
                </c:pt>
                <c:pt idx="180">
                  <c:v>1.33</c:v>
                </c:pt>
                <c:pt idx="181">
                  <c:v>1.32</c:v>
                </c:pt>
                <c:pt idx="182">
                  <c:v>1.29</c:v>
                </c:pt>
                <c:pt idx="183">
                  <c:v>1.37</c:v>
                </c:pt>
                <c:pt idx="184">
                  <c:v>1.33</c:v>
                </c:pt>
                <c:pt idx="185">
                  <c:v>1.27</c:v>
                </c:pt>
                <c:pt idx="186">
                  <c:v>1.28</c:v>
                </c:pt>
                <c:pt idx="187">
                  <c:v>1.23</c:v>
                </c:pt>
                <c:pt idx="188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1-46B9-A602-7F94664B99F7}"/>
            </c:ext>
          </c:extLst>
        </c:ser>
        <c:ser>
          <c:idx val="1"/>
          <c:order val="1"/>
          <c:tx>
            <c:strRef>
              <c:f>'Planilha de Previsão'!$C$1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'Planilha de Previsão'!$A$2:$A$238</c:f>
              <c:numCache>
                <c:formatCode>m/d/yyyy</c:formatCode>
                <c:ptCount val="237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  <c:pt idx="30">
                  <c:v>45108</c:v>
                </c:pt>
                <c:pt idx="31">
                  <c:v>45109</c:v>
                </c:pt>
                <c:pt idx="32">
                  <c:v>45110</c:v>
                </c:pt>
                <c:pt idx="33">
                  <c:v>45111</c:v>
                </c:pt>
                <c:pt idx="34">
                  <c:v>45112</c:v>
                </c:pt>
                <c:pt idx="35">
                  <c:v>45113</c:v>
                </c:pt>
                <c:pt idx="36">
                  <c:v>45114</c:v>
                </c:pt>
                <c:pt idx="37">
                  <c:v>45115</c:v>
                </c:pt>
                <c:pt idx="38">
                  <c:v>45116</c:v>
                </c:pt>
                <c:pt idx="39">
                  <c:v>45117</c:v>
                </c:pt>
                <c:pt idx="40">
                  <c:v>45118</c:v>
                </c:pt>
                <c:pt idx="41">
                  <c:v>45119</c:v>
                </c:pt>
                <c:pt idx="42">
                  <c:v>45120</c:v>
                </c:pt>
                <c:pt idx="43">
                  <c:v>45121</c:v>
                </c:pt>
                <c:pt idx="44">
                  <c:v>45122</c:v>
                </c:pt>
                <c:pt idx="45">
                  <c:v>45123</c:v>
                </c:pt>
                <c:pt idx="46">
                  <c:v>45124</c:v>
                </c:pt>
                <c:pt idx="47">
                  <c:v>45125</c:v>
                </c:pt>
                <c:pt idx="48">
                  <c:v>45126</c:v>
                </c:pt>
                <c:pt idx="49">
                  <c:v>45127</c:v>
                </c:pt>
                <c:pt idx="50">
                  <c:v>45128</c:v>
                </c:pt>
                <c:pt idx="51">
                  <c:v>45129</c:v>
                </c:pt>
                <c:pt idx="52">
                  <c:v>45130</c:v>
                </c:pt>
                <c:pt idx="53">
                  <c:v>45131</c:v>
                </c:pt>
                <c:pt idx="54">
                  <c:v>45132</c:v>
                </c:pt>
                <c:pt idx="55">
                  <c:v>45133</c:v>
                </c:pt>
                <c:pt idx="56">
                  <c:v>45134</c:v>
                </c:pt>
                <c:pt idx="57">
                  <c:v>45135</c:v>
                </c:pt>
                <c:pt idx="58">
                  <c:v>45136</c:v>
                </c:pt>
                <c:pt idx="59">
                  <c:v>45137</c:v>
                </c:pt>
                <c:pt idx="60">
                  <c:v>45138</c:v>
                </c:pt>
                <c:pt idx="61">
                  <c:v>45139</c:v>
                </c:pt>
                <c:pt idx="62">
                  <c:v>45140</c:v>
                </c:pt>
                <c:pt idx="63">
                  <c:v>45141</c:v>
                </c:pt>
                <c:pt idx="64">
                  <c:v>45142</c:v>
                </c:pt>
                <c:pt idx="65">
                  <c:v>45143</c:v>
                </c:pt>
                <c:pt idx="66">
                  <c:v>45144</c:v>
                </c:pt>
                <c:pt idx="67">
                  <c:v>45145</c:v>
                </c:pt>
                <c:pt idx="68">
                  <c:v>45146</c:v>
                </c:pt>
                <c:pt idx="69">
                  <c:v>45147</c:v>
                </c:pt>
                <c:pt idx="70">
                  <c:v>45148</c:v>
                </c:pt>
                <c:pt idx="71">
                  <c:v>45149</c:v>
                </c:pt>
                <c:pt idx="72">
                  <c:v>45150</c:v>
                </c:pt>
                <c:pt idx="73">
                  <c:v>45151</c:v>
                </c:pt>
                <c:pt idx="74">
                  <c:v>45152</c:v>
                </c:pt>
                <c:pt idx="75">
                  <c:v>45153</c:v>
                </c:pt>
                <c:pt idx="76">
                  <c:v>45154</c:v>
                </c:pt>
                <c:pt idx="77">
                  <c:v>45155</c:v>
                </c:pt>
                <c:pt idx="78">
                  <c:v>45156</c:v>
                </c:pt>
                <c:pt idx="79">
                  <c:v>45157</c:v>
                </c:pt>
                <c:pt idx="80">
                  <c:v>45158</c:v>
                </c:pt>
                <c:pt idx="81">
                  <c:v>45159</c:v>
                </c:pt>
                <c:pt idx="82">
                  <c:v>45160</c:v>
                </c:pt>
                <c:pt idx="83">
                  <c:v>45161</c:v>
                </c:pt>
                <c:pt idx="84">
                  <c:v>45162</c:v>
                </c:pt>
                <c:pt idx="85">
                  <c:v>45163</c:v>
                </c:pt>
                <c:pt idx="86">
                  <c:v>45164</c:v>
                </c:pt>
                <c:pt idx="87">
                  <c:v>45165</c:v>
                </c:pt>
                <c:pt idx="88">
                  <c:v>45166</c:v>
                </c:pt>
                <c:pt idx="89">
                  <c:v>45167</c:v>
                </c:pt>
                <c:pt idx="90">
                  <c:v>45168</c:v>
                </c:pt>
                <c:pt idx="91">
                  <c:v>45169</c:v>
                </c:pt>
                <c:pt idx="92">
                  <c:v>45170</c:v>
                </c:pt>
                <c:pt idx="93">
                  <c:v>45171</c:v>
                </c:pt>
                <c:pt idx="94">
                  <c:v>45172</c:v>
                </c:pt>
                <c:pt idx="95">
                  <c:v>45173</c:v>
                </c:pt>
                <c:pt idx="96">
                  <c:v>45174</c:v>
                </c:pt>
                <c:pt idx="97">
                  <c:v>45175</c:v>
                </c:pt>
                <c:pt idx="98">
                  <c:v>45176</c:v>
                </c:pt>
                <c:pt idx="99">
                  <c:v>45177</c:v>
                </c:pt>
                <c:pt idx="100">
                  <c:v>45178</c:v>
                </c:pt>
                <c:pt idx="101">
                  <c:v>45179</c:v>
                </c:pt>
                <c:pt idx="102">
                  <c:v>45180</c:v>
                </c:pt>
                <c:pt idx="103">
                  <c:v>45181</c:v>
                </c:pt>
                <c:pt idx="104">
                  <c:v>45182</c:v>
                </c:pt>
                <c:pt idx="105">
                  <c:v>45183</c:v>
                </c:pt>
                <c:pt idx="106">
                  <c:v>45184</c:v>
                </c:pt>
                <c:pt idx="107">
                  <c:v>45185</c:v>
                </c:pt>
                <c:pt idx="108">
                  <c:v>45186</c:v>
                </c:pt>
                <c:pt idx="109">
                  <c:v>45187</c:v>
                </c:pt>
                <c:pt idx="110">
                  <c:v>45188</c:v>
                </c:pt>
                <c:pt idx="111">
                  <c:v>45189</c:v>
                </c:pt>
                <c:pt idx="112">
                  <c:v>45190</c:v>
                </c:pt>
                <c:pt idx="113">
                  <c:v>45191</c:v>
                </c:pt>
                <c:pt idx="114">
                  <c:v>45192</c:v>
                </c:pt>
                <c:pt idx="115">
                  <c:v>45193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45199</c:v>
                </c:pt>
                <c:pt idx="122">
                  <c:v>45200</c:v>
                </c:pt>
                <c:pt idx="123">
                  <c:v>45201</c:v>
                </c:pt>
                <c:pt idx="124">
                  <c:v>45202</c:v>
                </c:pt>
                <c:pt idx="125">
                  <c:v>45203</c:v>
                </c:pt>
                <c:pt idx="126">
                  <c:v>45204</c:v>
                </c:pt>
                <c:pt idx="127">
                  <c:v>45205</c:v>
                </c:pt>
                <c:pt idx="128">
                  <c:v>45206</c:v>
                </c:pt>
                <c:pt idx="129">
                  <c:v>45207</c:v>
                </c:pt>
                <c:pt idx="130">
                  <c:v>45208</c:v>
                </c:pt>
                <c:pt idx="131">
                  <c:v>45209</c:v>
                </c:pt>
                <c:pt idx="132">
                  <c:v>45210</c:v>
                </c:pt>
                <c:pt idx="133">
                  <c:v>45211</c:v>
                </c:pt>
                <c:pt idx="134">
                  <c:v>45212</c:v>
                </c:pt>
                <c:pt idx="135">
                  <c:v>45213</c:v>
                </c:pt>
                <c:pt idx="136">
                  <c:v>45214</c:v>
                </c:pt>
                <c:pt idx="137">
                  <c:v>45215</c:v>
                </c:pt>
                <c:pt idx="138">
                  <c:v>45216</c:v>
                </c:pt>
                <c:pt idx="139">
                  <c:v>45217</c:v>
                </c:pt>
                <c:pt idx="140">
                  <c:v>45218</c:v>
                </c:pt>
                <c:pt idx="141">
                  <c:v>45219</c:v>
                </c:pt>
                <c:pt idx="142">
                  <c:v>45220</c:v>
                </c:pt>
                <c:pt idx="143">
                  <c:v>45221</c:v>
                </c:pt>
                <c:pt idx="144">
                  <c:v>45222</c:v>
                </c:pt>
                <c:pt idx="145">
                  <c:v>45223</c:v>
                </c:pt>
                <c:pt idx="146">
                  <c:v>45224</c:v>
                </c:pt>
                <c:pt idx="147">
                  <c:v>45225</c:v>
                </c:pt>
                <c:pt idx="148">
                  <c:v>45226</c:v>
                </c:pt>
                <c:pt idx="149">
                  <c:v>45227</c:v>
                </c:pt>
                <c:pt idx="150">
                  <c:v>45228</c:v>
                </c:pt>
                <c:pt idx="151">
                  <c:v>45229</c:v>
                </c:pt>
                <c:pt idx="152">
                  <c:v>45230</c:v>
                </c:pt>
                <c:pt idx="153">
                  <c:v>45231</c:v>
                </c:pt>
                <c:pt idx="154">
                  <c:v>45232</c:v>
                </c:pt>
                <c:pt idx="155">
                  <c:v>45233</c:v>
                </c:pt>
                <c:pt idx="156">
                  <c:v>45234</c:v>
                </c:pt>
                <c:pt idx="157">
                  <c:v>45235</c:v>
                </c:pt>
                <c:pt idx="158">
                  <c:v>45236</c:v>
                </c:pt>
                <c:pt idx="159">
                  <c:v>45237</c:v>
                </c:pt>
                <c:pt idx="160">
                  <c:v>45238</c:v>
                </c:pt>
                <c:pt idx="161">
                  <c:v>45239</c:v>
                </c:pt>
                <c:pt idx="162">
                  <c:v>45240</c:v>
                </c:pt>
                <c:pt idx="163">
                  <c:v>45241</c:v>
                </c:pt>
                <c:pt idx="164">
                  <c:v>45242</c:v>
                </c:pt>
                <c:pt idx="165">
                  <c:v>45243</c:v>
                </c:pt>
                <c:pt idx="166">
                  <c:v>45244</c:v>
                </c:pt>
                <c:pt idx="167">
                  <c:v>45245</c:v>
                </c:pt>
                <c:pt idx="168">
                  <c:v>45246</c:v>
                </c:pt>
                <c:pt idx="169">
                  <c:v>45247</c:v>
                </c:pt>
                <c:pt idx="170">
                  <c:v>45248</c:v>
                </c:pt>
                <c:pt idx="171">
                  <c:v>45249</c:v>
                </c:pt>
                <c:pt idx="172">
                  <c:v>45250</c:v>
                </c:pt>
                <c:pt idx="173">
                  <c:v>45251</c:v>
                </c:pt>
                <c:pt idx="174">
                  <c:v>45252</c:v>
                </c:pt>
                <c:pt idx="175">
                  <c:v>45253</c:v>
                </c:pt>
                <c:pt idx="176">
                  <c:v>45254</c:v>
                </c:pt>
                <c:pt idx="177">
                  <c:v>45255</c:v>
                </c:pt>
                <c:pt idx="178">
                  <c:v>45256</c:v>
                </c:pt>
                <c:pt idx="179">
                  <c:v>45257</c:v>
                </c:pt>
                <c:pt idx="180">
                  <c:v>45258</c:v>
                </c:pt>
                <c:pt idx="181">
                  <c:v>45259</c:v>
                </c:pt>
                <c:pt idx="182">
                  <c:v>45260</c:v>
                </c:pt>
                <c:pt idx="183">
                  <c:v>45261</c:v>
                </c:pt>
                <c:pt idx="184">
                  <c:v>45262</c:v>
                </c:pt>
                <c:pt idx="185">
                  <c:v>45263</c:v>
                </c:pt>
                <c:pt idx="186">
                  <c:v>45264</c:v>
                </c:pt>
                <c:pt idx="187">
                  <c:v>45265</c:v>
                </c:pt>
                <c:pt idx="188">
                  <c:v>45266</c:v>
                </c:pt>
                <c:pt idx="189">
                  <c:v>45267</c:v>
                </c:pt>
                <c:pt idx="190">
                  <c:v>45268</c:v>
                </c:pt>
                <c:pt idx="191">
                  <c:v>45269</c:v>
                </c:pt>
                <c:pt idx="192">
                  <c:v>45270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45276</c:v>
                </c:pt>
                <c:pt idx="199">
                  <c:v>45277</c:v>
                </c:pt>
                <c:pt idx="200">
                  <c:v>45278</c:v>
                </c:pt>
                <c:pt idx="201">
                  <c:v>45279</c:v>
                </c:pt>
                <c:pt idx="202">
                  <c:v>45280</c:v>
                </c:pt>
                <c:pt idx="203">
                  <c:v>45281</c:v>
                </c:pt>
                <c:pt idx="204">
                  <c:v>45282</c:v>
                </c:pt>
                <c:pt idx="205">
                  <c:v>45283</c:v>
                </c:pt>
                <c:pt idx="206">
                  <c:v>45284</c:v>
                </c:pt>
                <c:pt idx="207">
                  <c:v>45285</c:v>
                </c:pt>
                <c:pt idx="208">
                  <c:v>45286</c:v>
                </c:pt>
                <c:pt idx="209">
                  <c:v>45287</c:v>
                </c:pt>
                <c:pt idx="210">
                  <c:v>45288</c:v>
                </c:pt>
                <c:pt idx="211">
                  <c:v>45289</c:v>
                </c:pt>
                <c:pt idx="212">
                  <c:v>45290</c:v>
                </c:pt>
                <c:pt idx="213">
                  <c:v>45291</c:v>
                </c:pt>
                <c:pt idx="214">
                  <c:v>45292</c:v>
                </c:pt>
                <c:pt idx="215">
                  <c:v>45293</c:v>
                </c:pt>
                <c:pt idx="216">
                  <c:v>45294</c:v>
                </c:pt>
                <c:pt idx="217">
                  <c:v>45295</c:v>
                </c:pt>
                <c:pt idx="218">
                  <c:v>45296</c:v>
                </c:pt>
                <c:pt idx="219">
                  <c:v>45297</c:v>
                </c:pt>
                <c:pt idx="220">
                  <c:v>45298</c:v>
                </c:pt>
                <c:pt idx="221">
                  <c:v>45299</c:v>
                </c:pt>
                <c:pt idx="222">
                  <c:v>45300</c:v>
                </c:pt>
                <c:pt idx="223">
                  <c:v>45301</c:v>
                </c:pt>
                <c:pt idx="224">
                  <c:v>45302</c:v>
                </c:pt>
                <c:pt idx="225">
                  <c:v>45303</c:v>
                </c:pt>
                <c:pt idx="226">
                  <c:v>45304</c:v>
                </c:pt>
                <c:pt idx="227">
                  <c:v>45305</c:v>
                </c:pt>
                <c:pt idx="228">
                  <c:v>45306</c:v>
                </c:pt>
                <c:pt idx="229">
                  <c:v>45307</c:v>
                </c:pt>
                <c:pt idx="230">
                  <c:v>45308</c:v>
                </c:pt>
                <c:pt idx="231">
                  <c:v>45309</c:v>
                </c:pt>
                <c:pt idx="232">
                  <c:v>45310</c:v>
                </c:pt>
                <c:pt idx="233">
                  <c:v>45311</c:v>
                </c:pt>
                <c:pt idx="234">
                  <c:v>45312</c:v>
                </c:pt>
                <c:pt idx="235">
                  <c:v>45313</c:v>
                </c:pt>
                <c:pt idx="236">
                  <c:v>45314</c:v>
                </c:pt>
              </c:numCache>
            </c:numRef>
          </c:cat>
          <c:val>
            <c:numRef>
              <c:f>'Planilha de Previsão'!$C$2:$C$238</c:f>
              <c:numCache>
                <c:formatCode>General</c:formatCode>
                <c:ptCount val="237"/>
                <c:pt idx="188">
                  <c:v>1.2</c:v>
                </c:pt>
                <c:pt idx="189">
                  <c:v>1.2015867861142218</c:v>
                </c:pt>
                <c:pt idx="190">
                  <c:v>1.2031735722284433</c:v>
                </c:pt>
                <c:pt idx="191">
                  <c:v>1.2047603583426651</c:v>
                </c:pt>
                <c:pt idx="192">
                  <c:v>1.206347144456887</c:v>
                </c:pt>
                <c:pt idx="193">
                  <c:v>1.2079339305711085</c:v>
                </c:pt>
                <c:pt idx="194">
                  <c:v>1.2095207166853303</c:v>
                </c:pt>
                <c:pt idx="195">
                  <c:v>1.2111075027995521</c:v>
                </c:pt>
                <c:pt idx="196">
                  <c:v>1.2126942889137737</c:v>
                </c:pt>
                <c:pt idx="197">
                  <c:v>1.2142810750279955</c:v>
                </c:pt>
                <c:pt idx="198">
                  <c:v>1.2158678611422173</c:v>
                </c:pt>
                <c:pt idx="199">
                  <c:v>1.2174546472564389</c:v>
                </c:pt>
                <c:pt idx="200">
                  <c:v>1.2190414333706607</c:v>
                </c:pt>
                <c:pt idx="201">
                  <c:v>1.2206282194848823</c:v>
                </c:pt>
                <c:pt idx="202">
                  <c:v>1.2222150055991041</c:v>
                </c:pt>
                <c:pt idx="203">
                  <c:v>1.2238017917133259</c:v>
                </c:pt>
                <c:pt idx="204">
                  <c:v>1.2253885778275475</c:v>
                </c:pt>
                <c:pt idx="205">
                  <c:v>1.2269753639417693</c:v>
                </c:pt>
                <c:pt idx="206">
                  <c:v>1.2285621500559911</c:v>
                </c:pt>
                <c:pt idx="207">
                  <c:v>1.2301489361702127</c:v>
                </c:pt>
                <c:pt idx="208">
                  <c:v>1.2317357222844345</c:v>
                </c:pt>
                <c:pt idx="209">
                  <c:v>1.2333225083986563</c:v>
                </c:pt>
                <c:pt idx="210">
                  <c:v>1.2349092945128779</c:v>
                </c:pt>
                <c:pt idx="211">
                  <c:v>1.2364960806270997</c:v>
                </c:pt>
                <c:pt idx="212">
                  <c:v>1.2380828667413215</c:v>
                </c:pt>
                <c:pt idx="213">
                  <c:v>1.2396696528555431</c:v>
                </c:pt>
                <c:pt idx="214">
                  <c:v>1.2412564389697649</c:v>
                </c:pt>
                <c:pt idx="215">
                  <c:v>1.2428432250839867</c:v>
                </c:pt>
                <c:pt idx="216">
                  <c:v>1.2444300111982083</c:v>
                </c:pt>
                <c:pt idx="217">
                  <c:v>1.2460167973124301</c:v>
                </c:pt>
                <c:pt idx="218">
                  <c:v>1.2476035834266519</c:v>
                </c:pt>
                <c:pt idx="219">
                  <c:v>1.2491903695408735</c:v>
                </c:pt>
                <c:pt idx="220">
                  <c:v>1.2507771556550953</c:v>
                </c:pt>
                <c:pt idx="221">
                  <c:v>1.2523639417693171</c:v>
                </c:pt>
                <c:pt idx="222">
                  <c:v>1.2539507278835387</c:v>
                </c:pt>
                <c:pt idx="223">
                  <c:v>1.2555375139977605</c:v>
                </c:pt>
                <c:pt idx="224">
                  <c:v>1.2571243001119823</c:v>
                </c:pt>
                <c:pt idx="225">
                  <c:v>1.2587110862262039</c:v>
                </c:pt>
                <c:pt idx="226">
                  <c:v>1.2602978723404257</c:v>
                </c:pt>
                <c:pt idx="227">
                  <c:v>1.2618846584546473</c:v>
                </c:pt>
                <c:pt idx="228">
                  <c:v>1.2634714445688691</c:v>
                </c:pt>
                <c:pt idx="229">
                  <c:v>1.2650582306830909</c:v>
                </c:pt>
                <c:pt idx="230">
                  <c:v>1.2666450167973125</c:v>
                </c:pt>
                <c:pt idx="231">
                  <c:v>1.2682318029115343</c:v>
                </c:pt>
                <c:pt idx="232">
                  <c:v>1.2698185890257561</c:v>
                </c:pt>
                <c:pt idx="233">
                  <c:v>1.2714053751399776</c:v>
                </c:pt>
                <c:pt idx="234">
                  <c:v>1.2729921612541995</c:v>
                </c:pt>
                <c:pt idx="235">
                  <c:v>1.2745789473684213</c:v>
                </c:pt>
                <c:pt idx="236">
                  <c:v>1.2761657334826428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1-46B9-A602-7F94664B99F7}"/>
            </c:ext>
          </c:extLst>
        </c:ser>
        <c:ser>
          <c:idx val="2"/>
          <c:order val="2"/>
          <c:tx>
            <c:strRef>
              <c:f>'Planilha de Previsão'!$D$1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'Planilha de Previsão'!$A$2:$A$238</c:f>
              <c:numCache>
                <c:formatCode>m/d/yyyy</c:formatCode>
                <c:ptCount val="237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  <c:pt idx="30">
                  <c:v>45108</c:v>
                </c:pt>
                <c:pt idx="31">
                  <c:v>45109</c:v>
                </c:pt>
                <c:pt idx="32">
                  <c:v>45110</c:v>
                </c:pt>
                <c:pt idx="33">
                  <c:v>45111</c:v>
                </c:pt>
                <c:pt idx="34">
                  <c:v>45112</c:v>
                </c:pt>
                <c:pt idx="35">
                  <c:v>45113</c:v>
                </c:pt>
                <c:pt idx="36">
                  <c:v>45114</c:v>
                </c:pt>
                <c:pt idx="37">
                  <c:v>45115</c:v>
                </c:pt>
                <c:pt idx="38">
                  <c:v>45116</c:v>
                </c:pt>
                <c:pt idx="39">
                  <c:v>45117</c:v>
                </c:pt>
                <c:pt idx="40">
                  <c:v>45118</c:v>
                </c:pt>
                <c:pt idx="41">
                  <c:v>45119</c:v>
                </c:pt>
                <c:pt idx="42">
                  <c:v>45120</c:v>
                </c:pt>
                <c:pt idx="43">
                  <c:v>45121</c:v>
                </c:pt>
                <c:pt idx="44">
                  <c:v>45122</c:v>
                </c:pt>
                <c:pt idx="45">
                  <c:v>45123</c:v>
                </c:pt>
                <c:pt idx="46">
                  <c:v>45124</c:v>
                </c:pt>
                <c:pt idx="47">
                  <c:v>45125</c:v>
                </c:pt>
                <c:pt idx="48">
                  <c:v>45126</c:v>
                </c:pt>
                <c:pt idx="49">
                  <c:v>45127</c:v>
                </c:pt>
                <c:pt idx="50">
                  <c:v>45128</c:v>
                </c:pt>
                <c:pt idx="51">
                  <c:v>45129</c:v>
                </c:pt>
                <c:pt idx="52">
                  <c:v>45130</c:v>
                </c:pt>
                <c:pt idx="53">
                  <c:v>45131</c:v>
                </c:pt>
                <c:pt idx="54">
                  <c:v>45132</c:v>
                </c:pt>
                <c:pt idx="55">
                  <c:v>45133</c:v>
                </c:pt>
                <c:pt idx="56">
                  <c:v>45134</c:v>
                </c:pt>
                <c:pt idx="57">
                  <c:v>45135</c:v>
                </c:pt>
                <c:pt idx="58">
                  <c:v>45136</c:v>
                </c:pt>
                <c:pt idx="59">
                  <c:v>45137</c:v>
                </c:pt>
                <c:pt idx="60">
                  <c:v>45138</c:v>
                </c:pt>
                <c:pt idx="61">
                  <c:v>45139</c:v>
                </c:pt>
                <c:pt idx="62">
                  <c:v>45140</c:v>
                </c:pt>
                <c:pt idx="63">
                  <c:v>45141</c:v>
                </c:pt>
                <c:pt idx="64">
                  <c:v>45142</c:v>
                </c:pt>
                <c:pt idx="65">
                  <c:v>45143</c:v>
                </c:pt>
                <c:pt idx="66">
                  <c:v>45144</c:v>
                </c:pt>
                <c:pt idx="67">
                  <c:v>45145</c:v>
                </c:pt>
                <c:pt idx="68">
                  <c:v>45146</c:v>
                </c:pt>
                <c:pt idx="69">
                  <c:v>45147</c:v>
                </c:pt>
                <c:pt idx="70">
                  <c:v>45148</c:v>
                </c:pt>
                <c:pt idx="71">
                  <c:v>45149</c:v>
                </c:pt>
                <c:pt idx="72">
                  <c:v>45150</c:v>
                </c:pt>
                <c:pt idx="73">
                  <c:v>45151</c:v>
                </c:pt>
                <c:pt idx="74">
                  <c:v>45152</c:v>
                </c:pt>
                <c:pt idx="75">
                  <c:v>45153</c:v>
                </c:pt>
                <c:pt idx="76">
                  <c:v>45154</c:v>
                </c:pt>
                <c:pt idx="77">
                  <c:v>45155</c:v>
                </c:pt>
                <c:pt idx="78">
                  <c:v>45156</c:v>
                </c:pt>
                <c:pt idx="79">
                  <c:v>45157</c:v>
                </c:pt>
                <c:pt idx="80">
                  <c:v>45158</c:v>
                </c:pt>
                <c:pt idx="81">
                  <c:v>45159</c:v>
                </c:pt>
                <c:pt idx="82">
                  <c:v>45160</c:v>
                </c:pt>
                <c:pt idx="83">
                  <c:v>45161</c:v>
                </c:pt>
                <c:pt idx="84">
                  <c:v>45162</c:v>
                </c:pt>
                <c:pt idx="85">
                  <c:v>45163</c:v>
                </c:pt>
                <c:pt idx="86">
                  <c:v>45164</c:v>
                </c:pt>
                <c:pt idx="87">
                  <c:v>45165</c:v>
                </c:pt>
                <c:pt idx="88">
                  <c:v>45166</c:v>
                </c:pt>
                <c:pt idx="89">
                  <c:v>45167</c:v>
                </c:pt>
                <c:pt idx="90">
                  <c:v>45168</c:v>
                </c:pt>
                <c:pt idx="91">
                  <c:v>45169</c:v>
                </c:pt>
                <c:pt idx="92">
                  <c:v>45170</c:v>
                </c:pt>
                <c:pt idx="93">
                  <c:v>45171</c:v>
                </c:pt>
                <c:pt idx="94">
                  <c:v>45172</c:v>
                </c:pt>
                <c:pt idx="95">
                  <c:v>45173</c:v>
                </c:pt>
                <c:pt idx="96">
                  <c:v>45174</c:v>
                </c:pt>
                <c:pt idx="97">
                  <c:v>45175</c:v>
                </c:pt>
                <c:pt idx="98">
                  <c:v>45176</c:v>
                </c:pt>
                <c:pt idx="99">
                  <c:v>45177</c:v>
                </c:pt>
                <c:pt idx="100">
                  <c:v>45178</c:v>
                </c:pt>
                <c:pt idx="101">
                  <c:v>45179</c:v>
                </c:pt>
                <c:pt idx="102">
                  <c:v>45180</c:v>
                </c:pt>
                <c:pt idx="103">
                  <c:v>45181</c:v>
                </c:pt>
                <c:pt idx="104">
                  <c:v>45182</c:v>
                </c:pt>
                <c:pt idx="105">
                  <c:v>45183</c:v>
                </c:pt>
                <c:pt idx="106">
                  <c:v>45184</c:v>
                </c:pt>
                <c:pt idx="107">
                  <c:v>45185</c:v>
                </c:pt>
                <c:pt idx="108">
                  <c:v>45186</c:v>
                </c:pt>
                <c:pt idx="109">
                  <c:v>45187</c:v>
                </c:pt>
                <c:pt idx="110">
                  <c:v>45188</c:v>
                </c:pt>
                <c:pt idx="111">
                  <c:v>45189</c:v>
                </c:pt>
                <c:pt idx="112">
                  <c:v>45190</c:v>
                </c:pt>
                <c:pt idx="113">
                  <c:v>45191</c:v>
                </c:pt>
                <c:pt idx="114">
                  <c:v>45192</c:v>
                </c:pt>
                <c:pt idx="115">
                  <c:v>45193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45199</c:v>
                </c:pt>
                <c:pt idx="122">
                  <c:v>45200</c:v>
                </c:pt>
                <c:pt idx="123">
                  <c:v>45201</c:v>
                </c:pt>
                <c:pt idx="124">
                  <c:v>45202</c:v>
                </c:pt>
                <c:pt idx="125">
                  <c:v>45203</c:v>
                </c:pt>
                <c:pt idx="126">
                  <c:v>45204</c:v>
                </c:pt>
                <c:pt idx="127">
                  <c:v>45205</c:v>
                </c:pt>
                <c:pt idx="128">
                  <c:v>45206</c:v>
                </c:pt>
                <c:pt idx="129">
                  <c:v>45207</c:v>
                </c:pt>
                <c:pt idx="130">
                  <c:v>45208</c:v>
                </c:pt>
                <c:pt idx="131">
                  <c:v>45209</c:v>
                </c:pt>
                <c:pt idx="132">
                  <c:v>45210</c:v>
                </c:pt>
                <c:pt idx="133">
                  <c:v>45211</c:v>
                </c:pt>
                <c:pt idx="134">
                  <c:v>45212</c:v>
                </c:pt>
                <c:pt idx="135">
                  <c:v>45213</c:v>
                </c:pt>
                <c:pt idx="136">
                  <c:v>45214</c:v>
                </c:pt>
                <c:pt idx="137">
                  <c:v>45215</c:v>
                </c:pt>
                <c:pt idx="138">
                  <c:v>45216</c:v>
                </c:pt>
                <c:pt idx="139">
                  <c:v>45217</c:v>
                </c:pt>
                <c:pt idx="140">
                  <c:v>45218</c:v>
                </c:pt>
                <c:pt idx="141">
                  <c:v>45219</c:v>
                </c:pt>
                <c:pt idx="142">
                  <c:v>45220</c:v>
                </c:pt>
                <c:pt idx="143">
                  <c:v>45221</c:v>
                </c:pt>
                <c:pt idx="144">
                  <c:v>45222</c:v>
                </c:pt>
                <c:pt idx="145">
                  <c:v>45223</c:v>
                </c:pt>
                <c:pt idx="146">
                  <c:v>45224</c:v>
                </c:pt>
                <c:pt idx="147">
                  <c:v>45225</c:v>
                </c:pt>
                <c:pt idx="148">
                  <c:v>45226</c:v>
                </c:pt>
                <c:pt idx="149">
                  <c:v>45227</c:v>
                </c:pt>
                <c:pt idx="150">
                  <c:v>45228</c:v>
                </c:pt>
                <c:pt idx="151">
                  <c:v>45229</c:v>
                </c:pt>
                <c:pt idx="152">
                  <c:v>45230</c:v>
                </c:pt>
                <c:pt idx="153">
                  <c:v>45231</c:v>
                </c:pt>
                <c:pt idx="154">
                  <c:v>45232</c:v>
                </c:pt>
                <c:pt idx="155">
                  <c:v>45233</c:v>
                </c:pt>
                <c:pt idx="156">
                  <c:v>45234</c:v>
                </c:pt>
                <c:pt idx="157">
                  <c:v>45235</c:v>
                </c:pt>
                <c:pt idx="158">
                  <c:v>45236</c:v>
                </c:pt>
                <c:pt idx="159">
                  <c:v>45237</c:v>
                </c:pt>
                <c:pt idx="160">
                  <c:v>45238</c:v>
                </c:pt>
                <c:pt idx="161">
                  <c:v>45239</c:v>
                </c:pt>
                <c:pt idx="162">
                  <c:v>45240</c:v>
                </c:pt>
                <c:pt idx="163">
                  <c:v>45241</c:v>
                </c:pt>
                <c:pt idx="164">
                  <c:v>45242</c:v>
                </c:pt>
                <c:pt idx="165">
                  <c:v>45243</c:v>
                </c:pt>
                <c:pt idx="166">
                  <c:v>45244</c:v>
                </c:pt>
                <c:pt idx="167">
                  <c:v>45245</c:v>
                </c:pt>
                <c:pt idx="168">
                  <c:v>45246</c:v>
                </c:pt>
                <c:pt idx="169">
                  <c:v>45247</c:v>
                </c:pt>
                <c:pt idx="170">
                  <c:v>45248</c:v>
                </c:pt>
                <c:pt idx="171">
                  <c:v>45249</c:v>
                </c:pt>
                <c:pt idx="172">
                  <c:v>45250</c:v>
                </c:pt>
                <c:pt idx="173">
                  <c:v>45251</c:v>
                </c:pt>
                <c:pt idx="174">
                  <c:v>45252</c:v>
                </c:pt>
                <c:pt idx="175">
                  <c:v>45253</c:v>
                </c:pt>
                <c:pt idx="176">
                  <c:v>45254</c:v>
                </c:pt>
                <c:pt idx="177">
                  <c:v>45255</c:v>
                </c:pt>
                <c:pt idx="178">
                  <c:v>45256</c:v>
                </c:pt>
                <c:pt idx="179">
                  <c:v>45257</c:v>
                </c:pt>
                <c:pt idx="180">
                  <c:v>45258</c:v>
                </c:pt>
                <c:pt idx="181">
                  <c:v>45259</c:v>
                </c:pt>
                <c:pt idx="182">
                  <c:v>45260</c:v>
                </c:pt>
                <c:pt idx="183">
                  <c:v>45261</c:v>
                </c:pt>
                <c:pt idx="184">
                  <c:v>45262</c:v>
                </c:pt>
                <c:pt idx="185">
                  <c:v>45263</c:v>
                </c:pt>
                <c:pt idx="186">
                  <c:v>45264</c:v>
                </c:pt>
                <c:pt idx="187">
                  <c:v>45265</c:v>
                </c:pt>
                <c:pt idx="188">
                  <c:v>45266</c:v>
                </c:pt>
                <c:pt idx="189">
                  <c:v>45267</c:v>
                </c:pt>
                <c:pt idx="190">
                  <c:v>45268</c:v>
                </c:pt>
                <c:pt idx="191">
                  <c:v>45269</c:v>
                </c:pt>
                <c:pt idx="192">
                  <c:v>45270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45276</c:v>
                </c:pt>
                <c:pt idx="199">
                  <c:v>45277</c:v>
                </c:pt>
                <c:pt idx="200">
                  <c:v>45278</c:v>
                </c:pt>
                <c:pt idx="201">
                  <c:v>45279</c:v>
                </c:pt>
                <c:pt idx="202">
                  <c:v>45280</c:v>
                </c:pt>
                <c:pt idx="203">
                  <c:v>45281</c:v>
                </c:pt>
                <c:pt idx="204">
                  <c:v>45282</c:v>
                </c:pt>
                <c:pt idx="205">
                  <c:v>45283</c:v>
                </c:pt>
                <c:pt idx="206">
                  <c:v>45284</c:v>
                </c:pt>
                <c:pt idx="207">
                  <c:v>45285</c:v>
                </c:pt>
                <c:pt idx="208">
                  <c:v>45286</c:v>
                </c:pt>
                <c:pt idx="209">
                  <c:v>45287</c:v>
                </c:pt>
                <c:pt idx="210">
                  <c:v>45288</c:v>
                </c:pt>
                <c:pt idx="211">
                  <c:v>45289</c:v>
                </c:pt>
                <c:pt idx="212">
                  <c:v>45290</c:v>
                </c:pt>
                <c:pt idx="213">
                  <c:v>45291</c:v>
                </c:pt>
                <c:pt idx="214">
                  <c:v>45292</c:v>
                </c:pt>
                <c:pt idx="215">
                  <c:v>45293</c:v>
                </c:pt>
                <c:pt idx="216">
                  <c:v>45294</c:v>
                </c:pt>
                <c:pt idx="217">
                  <c:v>45295</c:v>
                </c:pt>
                <c:pt idx="218">
                  <c:v>45296</c:v>
                </c:pt>
                <c:pt idx="219">
                  <c:v>45297</c:v>
                </c:pt>
                <c:pt idx="220">
                  <c:v>45298</c:v>
                </c:pt>
                <c:pt idx="221">
                  <c:v>45299</c:v>
                </c:pt>
                <c:pt idx="222">
                  <c:v>45300</c:v>
                </c:pt>
                <c:pt idx="223">
                  <c:v>45301</c:v>
                </c:pt>
                <c:pt idx="224">
                  <c:v>45302</c:v>
                </c:pt>
                <c:pt idx="225">
                  <c:v>45303</c:v>
                </c:pt>
                <c:pt idx="226">
                  <c:v>45304</c:v>
                </c:pt>
                <c:pt idx="227">
                  <c:v>45305</c:v>
                </c:pt>
                <c:pt idx="228">
                  <c:v>45306</c:v>
                </c:pt>
                <c:pt idx="229">
                  <c:v>45307</c:v>
                </c:pt>
                <c:pt idx="230">
                  <c:v>45308</c:v>
                </c:pt>
                <c:pt idx="231">
                  <c:v>45309</c:v>
                </c:pt>
                <c:pt idx="232">
                  <c:v>45310</c:v>
                </c:pt>
                <c:pt idx="233">
                  <c:v>45311</c:v>
                </c:pt>
                <c:pt idx="234">
                  <c:v>45312</c:v>
                </c:pt>
                <c:pt idx="235">
                  <c:v>45313</c:v>
                </c:pt>
                <c:pt idx="236">
                  <c:v>45314</c:v>
                </c:pt>
              </c:numCache>
            </c:numRef>
          </c:cat>
          <c:val>
            <c:numRef>
              <c:f>'Planilha de Previsão'!$D$2:$D$238</c:f>
              <c:numCache>
                <c:formatCode>General</c:formatCode>
                <c:ptCount val="237"/>
                <c:pt idx="188" formatCode="0.00">
                  <c:v>1.2</c:v>
                </c:pt>
                <c:pt idx="189" formatCode="0.00">
                  <c:v>1.1162222008371452</c:v>
                </c:pt>
                <c:pt idx="190" formatCode="0.00">
                  <c:v>1.0825101647623523</c:v>
                </c:pt>
                <c:pt idx="191" formatCode="0.00">
                  <c:v>1.0569538283081124</c:v>
                </c:pt>
                <c:pt idx="192" formatCode="0.00">
                  <c:v>1.0356179312204468</c:v>
                </c:pt>
                <c:pt idx="193" formatCode="0.00">
                  <c:v>1.0169764633958525</c:v>
                </c:pt>
                <c:pt idx="194" formatCode="0.00">
                  <c:v>1.0002466023088858</c:v>
                </c:pt>
                <c:pt idx="195" formatCode="0.00">
                  <c:v>0.98496334333323432</c:v>
                </c:pt>
                <c:pt idx="196" formatCode="0.00">
                  <c:v>0.97082377276461518</c:v>
                </c:pt>
                <c:pt idx="197" formatCode="0.00">
                  <c:v>0.95761754686930078</c:v>
                </c:pt>
                <c:pt idx="198" formatCode="0.00">
                  <c:v>0.94519156785302227</c:v>
                </c:pt>
                <c:pt idx="199" formatCode="0.00">
                  <c:v>0.93343030262694615</c:v>
                </c:pt>
                <c:pt idx="200" formatCode="0.00">
                  <c:v>0.92224402933653238</c:v>
                </c:pt>
                <c:pt idx="201" formatCode="0.00">
                  <c:v>0.91156142667051765</c:v>
                </c:pt>
                <c:pt idx="202" formatCode="0.00">
                  <c:v>0.90132469247962554</c:v>
                </c:pt>
                <c:pt idx="203" formatCode="0.00">
                  <c:v>0.89148621050218058</c:v>
                </c:pt>
                <c:pt idx="204" formatCode="0.00">
                  <c:v>0.88200620440087429</c:v>
                </c:pt>
                <c:pt idx="205" formatCode="0.00">
                  <c:v>0.8728510436509378</c:v>
                </c:pt>
                <c:pt idx="206" formatCode="0.00">
                  <c:v>0.86399199272841865</c:v>
                </c:pt>
                <c:pt idx="207" formatCode="0.00">
                  <c:v>0.85540426958830862</c:v>
                </c:pt>
                <c:pt idx="208" formatCode="0.00">
                  <c:v>0.84706632481582522</c:v>
                </c:pt>
                <c:pt idx="209" formatCode="0.00">
                  <c:v>0.83895928136053977</c:v>
                </c:pt>
                <c:pt idx="210" formatCode="0.00">
                  <c:v>0.83106649319165848</c:v>
                </c:pt>
                <c:pt idx="211" formatCode="0.00">
                  <c:v>0.82337319341283988</c:v>
                </c:pt>
                <c:pt idx="212" formatCode="0.00">
                  <c:v>0.81586621062982889</c:v>
                </c:pt>
                <c:pt idx="213" formatCode="0.00">
                  <c:v>0.80853373806025719</c:v>
                </c:pt>
                <c:pt idx="214" formatCode="0.00">
                  <c:v>0.80136514387555258</c:v>
                </c:pt>
                <c:pt idx="215" formatCode="0.00">
                  <c:v>0.79435081412023179</c:v>
                </c:pt>
                <c:pt idx="216" formatCode="0.00">
                  <c:v>0.78748202162188075</c:v>
                </c:pt>
                <c:pt idx="217" formatCode="0.00">
                  <c:v>0.78075081582314709</c:v>
                </c:pt>
                <c:pt idx="218" formatCode="0.00">
                  <c:v>0.77414992959523266</c:v>
                </c:pt>
                <c:pt idx="219" formatCode="0.00">
                  <c:v>0.76767269994039133</c:v>
                </c:pt>
                <c:pt idx="220" formatCode="0.00">
                  <c:v>0.76131300013511871</c:v>
                </c:pt>
                <c:pt idx="221" formatCode="0.00">
                  <c:v>0.75506518135988254</c:v>
                </c:pt>
                <c:pt idx="222" formatCode="0.00">
                  <c:v>0.74892402224379395</c:v>
                </c:pt>
                <c:pt idx="223" formatCode="0.00">
                  <c:v>0.74288468505128136</c:v>
                </c:pt>
                <c:pt idx="224" formatCode="0.00">
                  <c:v>0.73694267747286135</c:v>
                </c:pt>
                <c:pt idx="225" formatCode="0.00">
                  <c:v>0.7310938191684615</c:v>
                </c:pt>
                <c:pt idx="226" formatCode="0.00">
                  <c:v>0.72533421236052664</c:v>
                </c:pt>
                <c:pt idx="227" formatCode="0.00">
                  <c:v>0.7196602158937111</c:v>
                </c:pt>
                <c:pt idx="228" formatCode="0.00">
                  <c:v>0.71406842227467693</c:v>
                </c:pt>
                <c:pt idx="229" formatCode="0.00">
                  <c:v>0.70855563728415816</c:v>
                </c:pt>
                <c:pt idx="230" formatCode="0.00">
                  <c:v>0.70311886181781358</c:v>
                </c:pt>
                <c:pt idx="231" formatCode="0.00">
                  <c:v>0.69775527566528639</c:v>
                </c:pt>
                <c:pt idx="232" formatCode="0.00">
                  <c:v>0.69246222298062043</c:v>
                </c:pt>
                <c:pt idx="233" formatCode="0.00">
                  <c:v>0.68723719923348392</c:v>
                </c:pt>
                <c:pt idx="234" formatCode="0.00">
                  <c:v>0.68207783946093758</c:v>
                </c:pt>
                <c:pt idx="235" formatCode="0.00">
                  <c:v>0.67698190766484267</c:v>
                </c:pt>
                <c:pt idx="236" formatCode="0.00">
                  <c:v>0.67194728722134678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1-46B9-A602-7F94664B99F7}"/>
            </c:ext>
          </c:extLst>
        </c:ser>
        <c:ser>
          <c:idx val="3"/>
          <c:order val="3"/>
          <c:tx>
            <c:strRef>
              <c:f>'Planilha de Previsão'!$E$1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'Planilha de Previsão'!$A$2:$A$238</c:f>
              <c:numCache>
                <c:formatCode>m/d/yyyy</c:formatCode>
                <c:ptCount val="237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  <c:pt idx="30">
                  <c:v>45108</c:v>
                </c:pt>
                <c:pt idx="31">
                  <c:v>45109</c:v>
                </c:pt>
                <c:pt idx="32">
                  <c:v>45110</c:v>
                </c:pt>
                <c:pt idx="33">
                  <c:v>45111</c:v>
                </c:pt>
                <c:pt idx="34">
                  <c:v>45112</c:v>
                </c:pt>
                <c:pt idx="35">
                  <c:v>45113</c:v>
                </c:pt>
                <c:pt idx="36">
                  <c:v>45114</c:v>
                </c:pt>
                <c:pt idx="37">
                  <c:v>45115</c:v>
                </c:pt>
                <c:pt idx="38">
                  <c:v>45116</c:v>
                </c:pt>
                <c:pt idx="39">
                  <c:v>45117</c:v>
                </c:pt>
                <c:pt idx="40">
                  <c:v>45118</c:v>
                </c:pt>
                <c:pt idx="41">
                  <c:v>45119</c:v>
                </c:pt>
                <c:pt idx="42">
                  <c:v>45120</c:v>
                </c:pt>
                <c:pt idx="43">
                  <c:v>45121</c:v>
                </c:pt>
                <c:pt idx="44">
                  <c:v>45122</c:v>
                </c:pt>
                <c:pt idx="45">
                  <c:v>45123</c:v>
                </c:pt>
                <c:pt idx="46">
                  <c:v>45124</c:v>
                </c:pt>
                <c:pt idx="47">
                  <c:v>45125</c:v>
                </c:pt>
                <c:pt idx="48">
                  <c:v>45126</c:v>
                </c:pt>
                <c:pt idx="49">
                  <c:v>45127</c:v>
                </c:pt>
                <c:pt idx="50">
                  <c:v>45128</c:v>
                </c:pt>
                <c:pt idx="51">
                  <c:v>45129</c:v>
                </c:pt>
                <c:pt idx="52">
                  <c:v>45130</c:v>
                </c:pt>
                <c:pt idx="53">
                  <c:v>45131</c:v>
                </c:pt>
                <c:pt idx="54">
                  <c:v>45132</c:v>
                </c:pt>
                <c:pt idx="55">
                  <c:v>45133</c:v>
                </c:pt>
                <c:pt idx="56">
                  <c:v>45134</c:v>
                </c:pt>
                <c:pt idx="57">
                  <c:v>45135</c:v>
                </c:pt>
                <c:pt idx="58">
                  <c:v>45136</c:v>
                </c:pt>
                <c:pt idx="59">
                  <c:v>45137</c:v>
                </c:pt>
                <c:pt idx="60">
                  <c:v>45138</c:v>
                </c:pt>
                <c:pt idx="61">
                  <c:v>45139</c:v>
                </c:pt>
                <c:pt idx="62">
                  <c:v>45140</c:v>
                </c:pt>
                <c:pt idx="63">
                  <c:v>45141</c:v>
                </c:pt>
                <c:pt idx="64">
                  <c:v>45142</c:v>
                </c:pt>
                <c:pt idx="65">
                  <c:v>45143</c:v>
                </c:pt>
                <c:pt idx="66">
                  <c:v>45144</c:v>
                </c:pt>
                <c:pt idx="67">
                  <c:v>45145</c:v>
                </c:pt>
                <c:pt idx="68">
                  <c:v>45146</c:v>
                </c:pt>
                <c:pt idx="69">
                  <c:v>45147</c:v>
                </c:pt>
                <c:pt idx="70">
                  <c:v>45148</c:v>
                </c:pt>
                <c:pt idx="71">
                  <c:v>45149</c:v>
                </c:pt>
                <c:pt idx="72">
                  <c:v>45150</c:v>
                </c:pt>
                <c:pt idx="73">
                  <c:v>45151</c:v>
                </c:pt>
                <c:pt idx="74">
                  <c:v>45152</c:v>
                </c:pt>
                <c:pt idx="75">
                  <c:v>45153</c:v>
                </c:pt>
                <c:pt idx="76">
                  <c:v>45154</c:v>
                </c:pt>
                <c:pt idx="77">
                  <c:v>45155</c:v>
                </c:pt>
                <c:pt idx="78">
                  <c:v>45156</c:v>
                </c:pt>
                <c:pt idx="79">
                  <c:v>45157</c:v>
                </c:pt>
                <c:pt idx="80">
                  <c:v>45158</c:v>
                </c:pt>
                <c:pt idx="81">
                  <c:v>45159</c:v>
                </c:pt>
                <c:pt idx="82">
                  <c:v>45160</c:v>
                </c:pt>
                <c:pt idx="83">
                  <c:v>45161</c:v>
                </c:pt>
                <c:pt idx="84">
                  <c:v>45162</c:v>
                </c:pt>
                <c:pt idx="85">
                  <c:v>45163</c:v>
                </c:pt>
                <c:pt idx="86">
                  <c:v>45164</c:v>
                </c:pt>
                <c:pt idx="87">
                  <c:v>45165</c:v>
                </c:pt>
                <c:pt idx="88">
                  <c:v>45166</c:v>
                </c:pt>
                <c:pt idx="89">
                  <c:v>45167</c:v>
                </c:pt>
                <c:pt idx="90">
                  <c:v>45168</c:v>
                </c:pt>
                <c:pt idx="91">
                  <c:v>45169</c:v>
                </c:pt>
                <c:pt idx="92">
                  <c:v>45170</c:v>
                </c:pt>
                <c:pt idx="93">
                  <c:v>45171</c:v>
                </c:pt>
                <c:pt idx="94">
                  <c:v>45172</c:v>
                </c:pt>
                <c:pt idx="95">
                  <c:v>45173</c:v>
                </c:pt>
                <c:pt idx="96">
                  <c:v>45174</c:v>
                </c:pt>
                <c:pt idx="97">
                  <c:v>45175</c:v>
                </c:pt>
                <c:pt idx="98">
                  <c:v>45176</c:v>
                </c:pt>
                <c:pt idx="99">
                  <c:v>45177</c:v>
                </c:pt>
                <c:pt idx="100">
                  <c:v>45178</c:v>
                </c:pt>
                <c:pt idx="101">
                  <c:v>45179</c:v>
                </c:pt>
                <c:pt idx="102">
                  <c:v>45180</c:v>
                </c:pt>
                <c:pt idx="103">
                  <c:v>45181</c:v>
                </c:pt>
                <c:pt idx="104">
                  <c:v>45182</c:v>
                </c:pt>
                <c:pt idx="105">
                  <c:v>45183</c:v>
                </c:pt>
                <c:pt idx="106">
                  <c:v>45184</c:v>
                </c:pt>
                <c:pt idx="107">
                  <c:v>45185</c:v>
                </c:pt>
                <c:pt idx="108">
                  <c:v>45186</c:v>
                </c:pt>
                <c:pt idx="109">
                  <c:v>45187</c:v>
                </c:pt>
                <c:pt idx="110">
                  <c:v>45188</c:v>
                </c:pt>
                <c:pt idx="111">
                  <c:v>45189</c:v>
                </c:pt>
                <c:pt idx="112">
                  <c:v>45190</c:v>
                </c:pt>
                <c:pt idx="113">
                  <c:v>45191</c:v>
                </c:pt>
                <c:pt idx="114">
                  <c:v>45192</c:v>
                </c:pt>
                <c:pt idx="115">
                  <c:v>45193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45199</c:v>
                </c:pt>
                <c:pt idx="122">
                  <c:v>45200</c:v>
                </c:pt>
                <c:pt idx="123">
                  <c:v>45201</c:v>
                </c:pt>
                <c:pt idx="124">
                  <c:v>45202</c:v>
                </c:pt>
                <c:pt idx="125">
                  <c:v>45203</c:v>
                </c:pt>
                <c:pt idx="126">
                  <c:v>45204</c:v>
                </c:pt>
                <c:pt idx="127">
                  <c:v>45205</c:v>
                </c:pt>
                <c:pt idx="128">
                  <c:v>45206</c:v>
                </c:pt>
                <c:pt idx="129">
                  <c:v>45207</c:v>
                </c:pt>
                <c:pt idx="130">
                  <c:v>45208</c:v>
                </c:pt>
                <c:pt idx="131">
                  <c:v>45209</c:v>
                </c:pt>
                <c:pt idx="132">
                  <c:v>45210</c:v>
                </c:pt>
                <c:pt idx="133">
                  <c:v>45211</c:v>
                </c:pt>
                <c:pt idx="134">
                  <c:v>45212</c:v>
                </c:pt>
                <c:pt idx="135">
                  <c:v>45213</c:v>
                </c:pt>
                <c:pt idx="136">
                  <c:v>45214</c:v>
                </c:pt>
                <c:pt idx="137">
                  <c:v>45215</c:v>
                </c:pt>
                <c:pt idx="138">
                  <c:v>45216</c:v>
                </c:pt>
                <c:pt idx="139">
                  <c:v>45217</c:v>
                </c:pt>
                <c:pt idx="140">
                  <c:v>45218</c:v>
                </c:pt>
                <c:pt idx="141">
                  <c:v>45219</c:v>
                </c:pt>
                <c:pt idx="142">
                  <c:v>45220</c:v>
                </c:pt>
                <c:pt idx="143">
                  <c:v>45221</c:v>
                </c:pt>
                <c:pt idx="144">
                  <c:v>45222</c:v>
                </c:pt>
                <c:pt idx="145">
                  <c:v>45223</c:v>
                </c:pt>
                <c:pt idx="146">
                  <c:v>45224</c:v>
                </c:pt>
                <c:pt idx="147">
                  <c:v>45225</c:v>
                </c:pt>
                <c:pt idx="148">
                  <c:v>45226</c:v>
                </c:pt>
                <c:pt idx="149">
                  <c:v>45227</c:v>
                </c:pt>
                <c:pt idx="150">
                  <c:v>45228</c:v>
                </c:pt>
                <c:pt idx="151">
                  <c:v>45229</c:v>
                </c:pt>
                <c:pt idx="152">
                  <c:v>45230</c:v>
                </c:pt>
                <c:pt idx="153">
                  <c:v>45231</c:v>
                </c:pt>
                <c:pt idx="154">
                  <c:v>45232</c:v>
                </c:pt>
                <c:pt idx="155">
                  <c:v>45233</c:v>
                </c:pt>
                <c:pt idx="156">
                  <c:v>45234</c:v>
                </c:pt>
                <c:pt idx="157">
                  <c:v>45235</c:v>
                </c:pt>
                <c:pt idx="158">
                  <c:v>45236</c:v>
                </c:pt>
                <c:pt idx="159">
                  <c:v>45237</c:v>
                </c:pt>
                <c:pt idx="160">
                  <c:v>45238</c:v>
                </c:pt>
                <c:pt idx="161">
                  <c:v>45239</c:v>
                </c:pt>
                <c:pt idx="162">
                  <c:v>45240</c:v>
                </c:pt>
                <c:pt idx="163">
                  <c:v>45241</c:v>
                </c:pt>
                <c:pt idx="164">
                  <c:v>45242</c:v>
                </c:pt>
                <c:pt idx="165">
                  <c:v>45243</c:v>
                </c:pt>
                <c:pt idx="166">
                  <c:v>45244</c:v>
                </c:pt>
                <c:pt idx="167">
                  <c:v>45245</c:v>
                </c:pt>
                <c:pt idx="168">
                  <c:v>45246</c:v>
                </c:pt>
                <c:pt idx="169">
                  <c:v>45247</c:v>
                </c:pt>
                <c:pt idx="170">
                  <c:v>45248</c:v>
                </c:pt>
                <c:pt idx="171">
                  <c:v>45249</c:v>
                </c:pt>
                <c:pt idx="172">
                  <c:v>45250</c:v>
                </c:pt>
                <c:pt idx="173">
                  <c:v>45251</c:v>
                </c:pt>
                <c:pt idx="174">
                  <c:v>45252</c:v>
                </c:pt>
                <c:pt idx="175">
                  <c:v>45253</c:v>
                </c:pt>
                <c:pt idx="176">
                  <c:v>45254</c:v>
                </c:pt>
                <c:pt idx="177">
                  <c:v>45255</c:v>
                </c:pt>
                <c:pt idx="178">
                  <c:v>45256</c:v>
                </c:pt>
                <c:pt idx="179">
                  <c:v>45257</c:v>
                </c:pt>
                <c:pt idx="180">
                  <c:v>45258</c:v>
                </c:pt>
                <c:pt idx="181">
                  <c:v>45259</c:v>
                </c:pt>
                <c:pt idx="182">
                  <c:v>45260</c:v>
                </c:pt>
                <c:pt idx="183">
                  <c:v>45261</c:v>
                </c:pt>
                <c:pt idx="184">
                  <c:v>45262</c:v>
                </c:pt>
                <c:pt idx="185">
                  <c:v>45263</c:v>
                </c:pt>
                <c:pt idx="186">
                  <c:v>45264</c:v>
                </c:pt>
                <c:pt idx="187">
                  <c:v>45265</c:v>
                </c:pt>
                <c:pt idx="188">
                  <c:v>45266</c:v>
                </c:pt>
                <c:pt idx="189">
                  <c:v>45267</c:v>
                </c:pt>
                <c:pt idx="190">
                  <c:v>45268</c:v>
                </c:pt>
                <c:pt idx="191">
                  <c:v>45269</c:v>
                </c:pt>
                <c:pt idx="192">
                  <c:v>45270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45276</c:v>
                </c:pt>
                <c:pt idx="199">
                  <c:v>45277</c:v>
                </c:pt>
                <c:pt idx="200">
                  <c:v>45278</c:v>
                </c:pt>
                <c:pt idx="201">
                  <c:v>45279</c:v>
                </c:pt>
                <c:pt idx="202">
                  <c:v>45280</c:v>
                </c:pt>
                <c:pt idx="203">
                  <c:v>45281</c:v>
                </c:pt>
                <c:pt idx="204">
                  <c:v>45282</c:v>
                </c:pt>
                <c:pt idx="205">
                  <c:v>45283</c:v>
                </c:pt>
                <c:pt idx="206">
                  <c:v>45284</c:v>
                </c:pt>
                <c:pt idx="207">
                  <c:v>45285</c:v>
                </c:pt>
                <c:pt idx="208">
                  <c:v>45286</c:v>
                </c:pt>
                <c:pt idx="209">
                  <c:v>45287</c:v>
                </c:pt>
                <c:pt idx="210">
                  <c:v>45288</c:v>
                </c:pt>
                <c:pt idx="211">
                  <c:v>45289</c:v>
                </c:pt>
                <c:pt idx="212">
                  <c:v>45290</c:v>
                </c:pt>
                <c:pt idx="213">
                  <c:v>45291</c:v>
                </c:pt>
                <c:pt idx="214">
                  <c:v>45292</c:v>
                </c:pt>
                <c:pt idx="215">
                  <c:v>45293</c:v>
                </c:pt>
                <c:pt idx="216">
                  <c:v>45294</c:v>
                </c:pt>
                <c:pt idx="217">
                  <c:v>45295</c:v>
                </c:pt>
                <c:pt idx="218">
                  <c:v>45296</c:v>
                </c:pt>
                <c:pt idx="219">
                  <c:v>45297</c:v>
                </c:pt>
                <c:pt idx="220">
                  <c:v>45298</c:v>
                </c:pt>
                <c:pt idx="221">
                  <c:v>45299</c:v>
                </c:pt>
                <c:pt idx="222">
                  <c:v>45300</c:v>
                </c:pt>
                <c:pt idx="223">
                  <c:v>45301</c:v>
                </c:pt>
                <c:pt idx="224">
                  <c:v>45302</c:v>
                </c:pt>
                <c:pt idx="225">
                  <c:v>45303</c:v>
                </c:pt>
                <c:pt idx="226">
                  <c:v>45304</c:v>
                </c:pt>
                <c:pt idx="227">
                  <c:v>45305</c:v>
                </c:pt>
                <c:pt idx="228">
                  <c:v>45306</c:v>
                </c:pt>
                <c:pt idx="229">
                  <c:v>45307</c:v>
                </c:pt>
                <c:pt idx="230">
                  <c:v>45308</c:v>
                </c:pt>
                <c:pt idx="231">
                  <c:v>45309</c:v>
                </c:pt>
                <c:pt idx="232">
                  <c:v>45310</c:v>
                </c:pt>
                <c:pt idx="233">
                  <c:v>45311</c:v>
                </c:pt>
                <c:pt idx="234">
                  <c:v>45312</c:v>
                </c:pt>
                <c:pt idx="235">
                  <c:v>45313</c:v>
                </c:pt>
                <c:pt idx="236">
                  <c:v>45314</c:v>
                </c:pt>
              </c:numCache>
            </c:numRef>
          </c:cat>
          <c:val>
            <c:numRef>
              <c:f>'Planilha de Previsão'!$E$2:$E$238</c:f>
              <c:numCache>
                <c:formatCode>General</c:formatCode>
                <c:ptCount val="237"/>
                <c:pt idx="188" formatCode="0.00">
                  <c:v>1.2</c:v>
                </c:pt>
                <c:pt idx="189" formatCode="0.00">
                  <c:v>1.2869513713912983</c:v>
                </c:pt>
                <c:pt idx="190" formatCode="0.00">
                  <c:v>1.3238369796945344</c:v>
                </c:pt>
                <c:pt idx="191" formatCode="0.00">
                  <c:v>1.3525668883772179</c:v>
                </c:pt>
                <c:pt idx="192" formatCode="0.00">
                  <c:v>1.3770763576933271</c:v>
                </c:pt>
                <c:pt idx="193" formatCode="0.00">
                  <c:v>1.3988913977463646</c:v>
                </c:pt>
                <c:pt idx="194" formatCode="0.00">
                  <c:v>1.4187948310617748</c:v>
                </c:pt>
                <c:pt idx="195" formatCode="0.00">
                  <c:v>1.43725166226587</c:v>
                </c:pt>
                <c:pt idx="196" formatCode="0.00">
                  <c:v>1.4545648050629323</c:v>
                </c:pt>
                <c:pt idx="197" formatCode="0.00">
                  <c:v>1.4709446031866902</c:v>
                </c:pt>
                <c:pt idx="198" formatCode="0.00">
                  <c:v>1.4865441544314124</c:v>
                </c:pt>
                <c:pt idx="199" formatCode="0.00">
                  <c:v>1.5014789918859317</c:v>
                </c:pt>
                <c:pt idx="200" formatCode="0.00">
                  <c:v>1.5158388374047891</c:v>
                </c:pt>
                <c:pt idx="201" formatCode="0.00">
                  <c:v>1.529695012299247</c:v>
                </c:pt>
                <c:pt idx="202" formatCode="0.00">
                  <c:v>1.5431053187185828</c:v>
                </c:pt>
                <c:pt idx="203" formatCode="0.00">
                  <c:v>1.5561173729244713</c:v>
                </c:pt>
                <c:pt idx="204" formatCode="0.00">
                  <c:v>1.5687709512542207</c:v>
                </c:pt>
                <c:pt idx="205" formatCode="0.00">
                  <c:v>1.5810996842326008</c:v>
                </c:pt>
                <c:pt idx="206" formatCode="0.00">
                  <c:v>1.5931323073835637</c:v>
                </c:pt>
                <c:pt idx="207" formatCode="0.00">
                  <c:v>1.6048936027521168</c:v>
                </c:pt>
                <c:pt idx="208" formatCode="0.00">
                  <c:v>1.6164051197530438</c:v>
                </c:pt>
                <c:pt idx="209" formatCode="0.00">
                  <c:v>1.6276857354367729</c:v>
                </c:pt>
                <c:pt idx="210" formatCode="0.00">
                  <c:v>1.6387520958340973</c:v>
                </c:pt>
                <c:pt idx="211" formatCode="0.00">
                  <c:v>1.6496189678413595</c:v>
                </c:pt>
                <c:pt idx="212" formatCode="0.00">
                  <c:v>1.6602995228528141</c:v>
                </c:pt>
                <c:pt idx="213" formatCode="0.00">
                  <c:v>1.6708055676508291</c:v>
                </c:pt>
                <c:pt idx="214" formatCode="0.00">
                  <c:v>1.6811477340639773</c:v>
                </c:pt>
                <c:pt idx="215" formatCode="0.00">
                  <c:v>1.6913356360477416</c:v>
                </c:pt>
                <c:pt idx="216" formatCode="0.00">
                  <c:v>1.7013780007745358</c:v>
                </c:pt>
                <c:pt idx="217" formatCode="0.00">
                  <c:v>1.7112827788017131</c:v>
                </c:pt>
                <c:pt idx="218" formatCode="0.00">
                  <c:v>1.721057237258071</c:v>
                </c:pt>
                <c:pt idx="219" formatCode="0.00">
                  <c:v>1.7307080391413556</c:v>
                </c:pt>
                <c:pt idx="220" formatCode="0.00">
                  <c:v>1.7402413111750719</c:v>
                </c:pt>
                <c:pt idx="221" formatCode="0.00">
                  <c:v>1.7496627021787516</c:v>
                </c:pt>
                <c:pt idx="222" formatCode="0.00">
                  <c:v>1.7589774335232833</c:v>
                </c:pt>
                <c:pt idx="223" formatCode="0.00">
                  <c:v>1.7681903429442396</c:v>
                </c:pt>
                <c:pt idx="224" formatCode="0.00">
                  <c:v>1.7773059227511032</c:v>
                </c:pt>
                <c:pt idx="225" formatCode="0.00">
                  <c:v>1.7863283532839462</c:v>
                </c:pt>
                <c:pt idx="226" formatCode="0.00">
                  <c:v>1.7952615323203247</c:v>
                </c:pt>
                <c:pt idx="227" formatCode="0.00">
                  <c:v>1.8041091010155834</c:v>
                </c:pt>
                <c:pt idx="228" formatCode="0.00">
                  <c:v>1.8128744668630612</c:v>
                </c:pt>
                <c:pt idx="229" formatCode="0.00">
                  <c:v>1.8215608240820236</c:v>
                </c:pt>
                <c:pt idx="230" formatCode="0.00">
                  <c:v>1.8301711717768114</c:v>
                </c:pt>
                <c:pt idx="231" formatCode="0.00">
                  <c:v>1.838708330157782</c:v>
                </c:pt>
                <c:pt idx="232" formatCode="0.00">
                  <c:v>1.8471749550708916</c:v>
                </c:pt>
                <c:pt idx="233" formatCode="0.00">
                  <c:v>1.8555735510464713</c:v>
                </c:pt>
                <c:pt idx="234" formatCode="0.00">
                  <c:v>1.8639064830474612</c:v>
                </c:pt>
                <c:pt idx="235" formatCode="0.00">
                  <c:v>1.8721759870719998</c:v>
                </c:pt>
                <c:pt idx="236" formatCode="0.00">
                  <c:v>1.8803841797439389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21-46B9-A602-7F94664B9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601343"/>
        <c:axId val="1467596063"/>
      </c:lineChart>
      <c:catAx>
        <c:axId val="14676013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596063"/>
        <c:crosses val="autoZero"/>
        <c:auto val="1"/>
        <c:lblAlgn val="ctr"/>
        <c:lblOffset val="100"/>
        <c:noMultiLvlLbl val="0"/>
      </c:catAx>
      <c:valAx>
        <c:axId val="146759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60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'Análise de Dados'!$A$3</c:f>
              <c:strCache>
                <c:ptCount val="1"/>
                <c:pt idx="0">
                  <c:v> Preço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7030A0"/>
                </a:solidFill>
                <a:prstDash val="sysDash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3.6387941331401545E-2"/>
                  <c:y val="-0.125701794637648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'Análise de Dados'!$A$4:$A$245</c:f>
              <c:numCache>
                <c:formatCode>_("R$"* #,##0.00_);_("R$"* \(#,##0.00\);_("R$"* "-"??_);_(@_)</c:formatCode>
                <c:ptCount val="242"/>
                <c:pt idx="0">
                  <c:v>2.59</c:v>
                </c:pt>
                <c:pt idx="1">
                  <c:v>3.1900000000000004</c:v>
                </c:pt>
                <c:pt idx="2">
                  <c:v>3.84</c:v>
                </c:pt>
                <c:pt idx="3">
                  <c:v>1.98</c:v>
                </c:pt>
                <c:pt idx="4">
                  <c:v>2.08</c:v>
                </c:pt>
                <c:pt idx="5">
                  <c:v>1.2200000000000002</c:v>
                </c:pt>
                <c:pt idx="6">
                  <c:v>3.47</c:v>
                </c:pt>
                <c:pt idx="7">
                  <c:v>2.98</c:v>
                </c:pt>
                <c:pt idx="8">
                  <c:v>4.03</c:v>
                </c:pt>
                <c:pt idx="9">
                  <c:v>1.8900000000000001</c:v>
                </c:pt>
                <c:pt idx="10">
                  <c:v>2.08</c:v>
                </c:pt>
                <c:pt idx="11">
                  <c:v>2.81</c:v>
                </c:pt>
                <c:pt idx="12">
                  <c:v>2.4899999999999998</c:v>
                </c:pt>
                <c:pt idx="13">
                  <c:v>3.4499999999999997</c:v>
                </c:pt>
                <c:pt idx="14">
                  <c:v>3.12</c:v>
                </c:pt>
                <c:pt idx="15">
                  <c:v>0.93</c:v>
                </c:pt>
                <c:pt idx="16">
                  <c:v>2.52</c:v>
                </c:pt>
                <c:pt idx="17">
                  <c:v>2.9099999999999997</c:v>
                </c:pt>
                <c:pt idx="18">
                  <c:v>1.9300000000000002</c:v>
                </c:pt>
                <c:pt idx="19">
                  <c:v>1.91</c:v>
                </c:pt>
                <c:pt idx="20">
                  <c:v>3.18</c:v>
                </c:pt>
                <c:pt idx="21">
                  <c:v>1.74</c:v>
                </c:pt>
                <c:pt idx="22">
                  <c:v>3.3</c:v>
                </c:pt>
                <c:pt idx="23">
                  <c:v>3.61</c:v>
                </c:pt>
                <c:pt idx="24">
                  <c:v>1.56</c:v>
                </c:pt>
                <c:pt idx="25">
                  <c:v>3.2199999999999998</c:v>
                </c:pt>
                <c:pt idx="26">
                  <c:v>1.59</c:v>
                </c:pt>
                <c:pt idx="27">
                  <c:v>3.65</c:v>
                </c:pt>
                <c:pt idx="28">
                  <c:v>3.6199999999999997</c:v>
                </c:pt>
                <c:pt idx="29">
                  <c:v>1.8</c:v>
                </c:pt>
                <c:pt idx="30">
                  <c:v>1.19</c:v>
                </c:pt>
                <c:pt idx="31">
                  <c:v>2.8</c:v>
                </c:pt>
                <c:pt idx="32">
                  <c:v>2.35</c:v>
                </c:pt>
                <c:pt idx="33">
                  <c:v>1.9300000000000002</c:v>
                </c:pt>
                <c:pt idx="34">
                  <c:v>1.06</c:v>
                </c:pt>
                <c:pt idx="35">
                  <c:v>3.7199999999999998</c:v>
                </c:pt>
                <c:pt idx="36">
                  <c:v>1.5</c:v>
                </c:pt>
                <c:pt idx="37">
                  <c:v>2.7800000000000002</c:v>
                </c:pt>
                <c:pt idx="38">
                  <c:v>2.3099999999999996</c:v>
                </c:pt>
                <c:pt idx="39">
                  <c:v>2.84</c:v>
                </c:pt>
                <c:pt idx="40">
                  <c:v>2.91</c:v>
                </c:pt>
                <c:pt idx="41">
                  <c:v>2.7300000000000004</c:v>
                </c:pt>
                <c:pt idx="42">
                  <c:v>3.5</c:v>
                </c:pt>
                <c:pt idx="43">
                  <c:v>1.73</c:v>
                </c:pt>
                <c:pt idx="44">
                  <c:v>1.34</c:v>
                </c:pt>
                <c:pt idx="45">
                  <c:v>2</c:v>
                </c:pt>
                <c:pt idx="46">
                  <c:v>3.3800000000000003</c:v>
                </c:pt>
                <c:pt idx="47">
                  <c:v>1.2</c:v>
                </c:pt>
                <c:pt idx="48">
                  <c:v>2.57</c:v>
                </c:pt>
                <c:pt idx="49">
                  <c:v>1.08</c:v>
                </c:pt>
                <c:pt idx="50">
                  <c:v>3.06</c:v>
                </c:pt>
                <c:pt idx="51">
                  <c:v>1.46</c:v>
                </c:pt>
                <c:pt idx="52">
                  <c:v>1.0799999999999998</c:v>
                </c:pt>
                <c:pt idx="53">
                  <c:v>2.88</c:v>
                </c:pt>
                <c:pt idx="54">
                  <c:v>1.32</c:v>
                </c:pt>
                <c:pt idx="55">
                  <c:v>2.36</c:v>
                </c:pt>
                <c:pt idx="56">
                  <c:v>2.59</c:v>
                </c:pt>
                <c:pt idx="57">
                  <c:v>2.16</c:v>
                </c:pt>
                <c:pt idx="58">
                  <c:v>1.84</c:v>
                </c:pt>
                <c:pt idx="59">
                  <c:v>1.3599999999999999</c:v>
                </c:pt>
                <c:pt idx="60">
                  <c:v>1.2100000000000002</c:v>
                </c:pt>
                <c:pt idx="61">
                  <c:v>2.2400000000000002</c:v>
                </c:pt>
                <c:pt idx="62">
                  <c:v>2.2000000000000002</c:v>
                </c:pt>
                <c:pt idx="63">
                  <c:v>2.4899999999999998</c:v>
                </c:pt>
                <c:pt idx="64">
                  <c:v>2.71</c:v>
                </c:pt>
                <c:pt idx="65">
                  <c:v>3.25</c:v>
                </c:pt>
                <c:pt idx="66">
                  <c:v>3.53</c:v>
                </c:pt>
                <c:pt idx="67">
                  <c:v>1.91</c:v>
                </c:pt>
                <c:pt idx="68">
                  <c:v>3.03</c:v>
                </c:pt>
                <c:pt idx="69">
                  <c:v>3.4099999999999997</c:v>
                </c:pt>
                <c:pt idx="70">
                  <c:v>2.5299999999999998</c:v>
                </c:pt>
                <c:pt idx="71">
                  <c:v>3.31</c:v>
                </c:pt>
                <c:pt idx="72">
                  <c:v>2.83</c:v>
                </c:pt>
                <c:pt idx="73">
                  <c:v>3.39</c:v>
                </c:pt>
                <c:pt idx="74">
                  <c:v>3.66</c:v>
                </c:pt>
                <c:pt idx="75">
                  <c:v>3.76</c:v>
                </c:pt>
                <c:pt idx="76">
                  <c:v>2.62</c:v>
                </c:pt>
                <c:pt idx="77">
                  <c:v>1.1400000000000001</c:v>
                </c:pt>
                <c:pt idx="78">
                  <c:v>3.04</c:v>
                </c:pt>
                <c:pt idx="79">
                  <c:v>1.35</c:v>
                </c:pt>
                <c:pt idx="80">
                  <c:v>2.2999999999999998</c:v>
                </c:pt>
                <c:pt idx="81">
                  <c:v>1.6300000000000001</c:v>
                </c:pt>
                <c:pt idx="82">
                  <c:v>1.66</c:v>
                </c:pt>
                <c:pt idx="83">
                  <c:v>2.42</c:v>
                </c:pt>
                <c:pt idx="84">
                  <c:v>2.13</c:v>
                </c:pt>
                <c:pt idx="85">
                  <c:v>3.58</c:v>
                </c:pt>
                <c:pt idx="86">
                  <c:v>4.1399999999999997</c:v>
                </c:pt>
                <c:pt idx="87">
                  <c:v>1.19</c:v>
                </c:pt>
                <c:pt idx="88">
                  <c:v>3.37</c:v>
                </c:pt>
                <c:pt idx="89">
                  <c:v>3.02</c:v>
                </c:pt>
                <c:pt idx="90">
                  <c:v>2.57</c:v>
                </c:pt>
                <c:pt idx="91">
                  <c:v>1.9399999999999997</c:v>
                </c:pt>
                <c:pt idx="92">
                  <c:v>3.81</c:v>
                </c:pt>
                <c:pt idx="93">
                  <c:v>2.71</c:v>
                </c:pt>
                <c:pt idx="94">
                  <c:v>1.39</c:v>
                </c:pt>
                <c:pt idx="95">
                  <c:v>2.62</c:v>
                </c:pt>
                <c:pt idx="96">
                  <c:v>2.1900000000000004</c:v>
                </c:pt>
                <c:pt idx="97">
                  <c:v>3.71</c:v>
                </c:pt>
                <c:pt idx="98">
                  <c:v>1.61</c:v>
                </c:pt>
                <c:pt idx="99">
                  <c:v>1.55</c:v>
                </c:pt>
                <c:pt idx="100">
                  <c:v>3.13</c:v>
                </c:pt>
                <c:pt idx="101">
                  <c:v>2.17</c:v>
                </c:pt>
                <c:pt idx="102">
                  <c:v>3.8299999999999996</c:v>
                </c:pt>
                <c:pt idx="103">
                  <c:v>1.73</c:v>
                </c:pt>
                <c:pt idx="104">
                  <c:v>0.81</c:v>
                </c:pt>
                <c:pt idx="105">
                  <c:v>3.57</c:v>
                </c:pt>
                <c:pt idx="106">
                  <c:v>2.83</c:v>
                </c:pt>
                <c:pt idx="107">
                  <c:v>3.8800000000000003</c:v>
                </c:pt>
                <c:pt idx="108">
                  <c:v>2.0099999999999998</c:v>
                </c:pt>
                <c:pt idx="109">
                  <c:v>1.4100000000000001</c:v>
                </c:pt>
                <c:pt idx="110">
                  <c:v>3.7199999999999998</c:v>
                </c:pt>
                <c:pt idx="111">
                  <c:v>1.33</c:v>
                </c:pt>
                <c:pt idx="112">
                  <c:v>1.29</c:v>
                </c:pt>
                <c:pt idx="113">
                  <c:v>1.64</c:v>
                </c:pt>
                <c:pt idx="114">
                  <c:v>3.39</c:v>
                </c:pt>
                <c:pt idx="115">
                  <c:v>2.78</c:v>
                </c:pt>
                <c:pt idx="116">
                  <c:v>1.8</c:v>
                </c:pt>
                <c:pt idx="117">
                  <c:v>3.5100000000000002</c:v>
                </c:pt>
                <c:pt idx="118">
                  <c:v>3.3400000000000003</c:v>
                </c:pt>
                <c:pt idx="119">
                  <c:v>3.66</c:v>
                </c:pt>
                <c:pt idx="120">
                  <c:v>0.95000000000000007</c:v>
                </c:pt>
                <c:pt idx="121">
                  <c:v>2.2200000000000002</c:v>
                </c:pt>
                <c:pt idx="122">
                  <c:v>3.56</c:v>
                </c:pt>
                <c:pt idx="123">
                  <c:v>4.0599999999999996</c:v>
                </c:pt>
                <c:pt idx="124">
                  <c:v>2.7800000000000002</c:v>
                </c:pt>
                <c:pt idx="125">
                  <c:v>1.94</c:v>
                </c:pt>
                <c:pt idx="126">
                  <c:v>4.04</c:v>
                </c:pt>
                <c:pt idx="127">
                  <c:v>1.7</c:v>
                </c:pt>
                <c:pt idx="128">
                  <c:v>3.1900000000000004</c:v>
                </c:pt>
                <c:pt idx="129">
                  <c:v>3.89</c:v>
                </c:pt>
                <c:pt idx="130">
                  <c:v>3.1199999999999997</c:v>
                </c:pt>
                <c:pt idx="131">
                  <c:v>3.25</c:v>
                </c:pt>
                <c:pt idx="132">
                  <c:v>1.0699999999999998</c:v>
                </c:pt>
                <c:pt idx="133">
                  <c:v>2.56</c:v>
                </c:pt>
                <c:pt idx="134">
                  <c:v>1.46</c:v>
                </c:pt>
                <c:pt idx="135">
                  <c:v>2.92</c:v>
                </c:pt>
                <c:pt idx="136">
                  <c:v>2.0099999999999998</c:v>
                </c:pt>
                <c:pt idx="137">
                  <c:v>2.5500000000000003</c:v>
                </c:pt>
                <c:pt idx="138">
                  <c:v>2.2800000000000002</c:v>
                </c:pt>
                <c:pt idx="139">
                  <c:v>0.93</c:v>
                </c:pt>
                <c:pt idx="140">
                  <c:v>1.42</c:v>
                </c:pt>
                <c:pt idx="141">
                  <c:v>3.65</c:v>
                </c:pt>
                <c:pt idx="142">
                  <c:v>1.1599999999999999</c:v>
                </c:pt>
                <c:pt idx="143">
                  <c:v>1.3499999999999999</c:v>
                </c:pt>
                <c:pt idx="144">
                  <c:v>1.34</c:v>
                </c:pt>
                <c:pt idx="145">
                  <c:v>3.73</c:v>
                </c:pt>
                <c:pt idx="146">
                  <c:v>1.94</c:v>
                </c:pt>
                <c:pt idx="147">
                  <c:v>1.82</c:v>
                </c:pt>
                <c:pt idx="148">
                  <c:v>3.18</c:v>
                </c:pt>
                <c:pt idx="149">
                  <c:v>2.1799999999999997</c:v>
                </c:pt>
                <c:pt idx="150">
                  <c:v>2.75</c:v>
                </c:pt>
                <c:pt idx="151">
                  <c:v>3.6100000000000003</c:v>
                </c:pt>
                <c:pt idx="152">
                  <c:v>2.54</c:v>
                </c:pt>
                <c:pt idx="153">
                  <c:v>3.44</c:v>
                </c:pt>
                <c:pt idx="154">
                  <c:v>3.09</c:v>
                </c:pt>
                <c:pt idx="155">
                  <c:v>2.7800000000000002</c:v>
                </c:pt>
                <c:pt idx="156">
                  <c:v>3.95</c:v>
                </c:pt>
                <c:pt idx="157">
                  <c:v>1.08</c:v>
                </c:pt>
                <c:pt idx="158">
                  <c:v>3.5100000000000002</c:v>
                </c:pt>
                <c:pt idx="159">
                  <c:v>2.92</c:v>
                </c:pt>
                <c:pt idx="160">
                  <c:v>2.7399999999999998</c:v>
                </c:pt>
                <c:pt idx="161">
                  <c:v>3.36</c:v>
                </c:pt>
                <c:pt idx="162">
                  <c:v>2.5</c:v>
                </c:pt>
                <c:pt idx="163">
                  <c:v>3.68</c:v>
                </c:pt>
                <c:pt idx="164">
                  <c:v>2.6</c:v>
                </c:pt>
                <c:pt idx="165">
                  <c:v>3.79</c:v>
                </c:pt>
                <c:pt idx="166">
                  <c:v>1.94</c:v>
                </c:pt>
                <c:pt idx="167">
                  <c:v>2.1</c:v>
                </c:pt>
                <c:pt idx="168">
                  <c:v>2.2999999999999998</c:v>
                </c:pt>
                <c:pt idx="169">
                  <c:v>2.3199999999999998</c:v>
                </c:pt>
                <c:pt idx="170">
                  <c:v>1.32</c:v>
                </c:pt>
                <c:pt idx="171">
                  <c:v>1.2300000000000002</c:v>
                </c:pt>
                <c:pt idx="172">
                  <c:v>1.9700000000000002</c:v>
                </c:pt>
                <c:pt idx="173">
                  <c:v>2.81</c:v>
                </c:pt>
                <c:pt idx="174">
                  <c:v>1.9</c:v>
                </c:pt>
                <c:pt idx="175">
                  <c:v>1.9</c:v>
                </c:pt>
                <c:pt idx="176">
                  <c:v>1.0799999999999998</c:v>
                </c:pt>
                <c:pt idx="177">
                  <c:v>2.7800000000000002</c:v>
                </c:pt>
                <c:pt idx="178">
                  <c:v>2.3800000000000003</c:v>
                </c:pt>
                <c:pt idx="179">
                  <c:v>1.77</c:v>
                </c:pt>
                <c:pt idx="180">
                  <c:v>0.93</c:v>
                </c:pt>
                <c:pt idx="181">
                  <c:v>2.6399999999999997</c:v>
                </c:pt>
                <c:pt idx="182">
                  <c:v>2.6399999999999997</c:v>
                </c:pt>
                <c:pt idx="183">
                  <c:v>3.9200000000000004</c:v>
                </c:pt>
                <c:pt idx="184">
                  <c:v>3.27</c:v>
                </c:pt>
                <c:pt idx="185">
                  <c:v>3.48</c:v>
                </c:pt>
                <c:pt idx="186">
                  <c:v>2.3000000000000003</c:v>
                </c:pt>
                <c:pt idx="187">
                  <c:v>1.1399999999999999</c:v>
                </c:pt>
                <c:pt idx="188">
                  <c:v>1.57</c:v>
                </c:pt>
                <c:pt idx="189">
                  <c:v>3.36</c:v>
                </c:pt>
                <c:pt idx="190">
                  <c:v>3.33</c:v>
                </c:pt>
                <c:pt idx="191">
                  <c:v>2.4899999999999998</c:v>
                </c:pt>
                <c:pt idx="192">
                  <c:v>2.5</c:v>
                </c:pt>
                <c:pt idx="193">
                  <c:v>1.24</c:v>
                </c:pt>
                <c:pt idx="194">
                  <c:v>3.1</c:v>
                </c:pt>
                <c:pt idx="195">
                  <c:v>2.67</c:v>
                </c:pt>
                <c:pt idx="196">
                  <c:v>1.98</c:v>
                </c:pt>
                <c:pt idx="197">
                  <c:v>3.1</c:v>
                </c:pt>
                <c:pt idx="198">
                  <c:v>2.77</c:v>
                </c:pt>
                <c:pt idx="199">
                  <c:v>2.89</c:v>
                </c:pt>
                <c:pt idx="200">
                  <c:v>2.36</c:v>
                </c:pt>
                <c:pt idx="201">
                  <c:v>3.14</c:v>
                </c:pt>
                <c:pt idx="202">
                  <c:v>3.21</c:v>
                </c:pt>
                <c:pt idx="203">
                  <c:v>1.6400000000000001</c:v>
                </c:pt>
                <c:pt idx="204">
                  <c:v>1.74</c:v>
                </c:pt>
                <c:pt idx="205">
                  <c:v>1.5</c:v>
                </c:pt>
                <c:pt idx="206">
                  <c:v>2.85</c:v>
                </c:pt>
                <c:pt idx="207">
                  <c:v>1.8</c:v>
                </c:pt>
                <c:pt idx="208">
                  <c:v>3.47</c:v>
                </c:pt>
                <c:pt idx="209">
                  <c:v>3.5100000000000002</c:v>
                </c:pt>
                <c:pt idx="210">
                  <c:v>1.31</c:v>
                </c:pt>
                <c:pt idx="211">
                  <c:v>2.36</c:v>
                </c:pt>
                <c:pt idx="212">
                  <c:v>2.3600000000000003</c:v>
                </c:pt>
                <c:pt idx="213">
                  <c:v>3.02</c:v>
                </c:pt>
                <c:pt idx="214">
                  <c:v>3.4800000000000004</c:v>
                </c:pt>
                <c:pt idx="215">
                  <c:v>2.0700000000000003</c:v>
                </c:pt>
                <c:pt idx="216">
                  <c:v>1.08</c:v>
                </c:pt>
                <c:pt idx="217">
                  <c:v>3.87</c:v>
                </c:pt>
                <c:pt idx="218">
                  <c:v>3.83</c:v>
                </c:pt>
                <c:pt idx="219">
                  <c:v>1.52</c:v>
                </c:pt>
                <c:pt idx="220">
                  <c:v>1.69</c:v>
                </c:pt>
                <c:pt idx="221">
                  <c:v>1.79</c:v>
                </c:pt>
                <c:pt idx="222">
                  <c:v>3.23</c:v>
                </c:pt>
                <c:pt idx="223">
                  <c:v>1.7799999999999998</c:v>
                </c:pt>
                <c:pt idx="224">
                  <c:v>3.9</c:v>
                </c:pt>
                <c:pt idx="225">
                  <c:v>2.83</c:v>
                </c:pt>
                <c:pt idx="226">
                  <c:v>3.77</c:v>
                </c:pt>
                <c:pt idx="227">
                  <c:v>2.54</c:v>
                </c:pt>
                <c:pt idx="228">
                  <c:v>3.04</c:v>
                </c:pt>
                <c:pt idx="229">
                  <c:v>1.4500000000000002</c:v>
                </c:pt>
                <c:pt idx="230">
                  <c:v>1.68</c:v>
                </c:pt>
                <c:pt idx="231">
                  <c:v>3.87</c:v>
                </c:pt>
                <c:pt idx="232">
                  <c:v>2.66</c:v>
                </c:pt>
                <c:pt idx="233">
                  <c:v>2.13</c:v>
                </c:pt>
                <c:pt idx="234">
                  <c:v>1.7899999999999998</c:v>
                </c:pt>
                <c:pt idx="235">
                  <c:v>2.8000000000000003</c:v>
                </c:pt>
                <c:pt idx="236">
                  <c:v>2.3000000000000003</c:v>
                </c:pt>
                <c:pt idx="237">
                  <c:v>2.39</c:v>
                </c:pt>
                <c:pt idx="238">
                  <c:v>1.01</c:v>
                </c:pt>
                <c:pt idx="239">
                  <c:v>2.81</c:v>
                </c:pt>
                <c:pt idx="240">
                  <c:v>2.5</c:v>
                </c:pt>
                <c:pt idx="241">
                  <c:v>1.95</c:v>
                </c:pt>
              </c:numCache>
            </c:numRef>
          </c:xVal>
          <c:yVal>
            <c:numRef>
              <c:f>'Análise de Dados'!$B$4:$B$245</c:f>
              <c:numCache>
                <c:formatCode>#,##0</c:formatCode>
                <c:ptCount val="242"/>
                <c:pt idx="0">
                  <c:v>16320</c:v>
                </c:pt>
                <c:pt idx="1">
                  <c:v>11560</c:v>
                </c:pt>
                <c:pt idx="2">
                  <c:v>9020</c:v>
                </c:pt>
                <c:pt idx="3">
                  <c:v>29120</c:v>
                </c:pt>
                <c:pt idx="4">
                  <c:v>38680</c:v>
                </c:pt>
                <c:pt idx="5">
                  <c:v>82570</c:v>
                </c:pt>
                <c:pt idx="6">
                  <c:v>9620</c:v>
                </c:pt>
                <c:pt idx="7">
                  <c:v>12180</c:v>
                </c:pt>
                <c:pt idx="8">
                  <c:v>12170</c:v>
                </c:pt>
                <c:pt idx="9">
                  <c:v>44410</c:v>
                </c:pt>
                <c:pt idx="10">
                  <c:v>27490</c:v>
                </c:pt>
                <c:pt idx="11">
                  <c:v>19660</c:v>
                </c:pt>
                <c:pt idx="12">
                  <c:v>31860</c:v>
                </c:pt>
                <c:pt idx="13">
                  <c:v>7770</c:v>
                </c:pt>
                <c:pt idx="14">
                  <c:v>9990</c:v>
                </c:pt>
                <c:pt idx="15">
                  <c:v>182280</c:v>
                </c:pt>
                <c:pt idx="16">
                  <c:v>38550</c:v>
                </c:pt>
                <c:pt idx="17">
                  <c:v>29230</c:v>
                </c:pt>
                <c:pt idx="18">
                  <c:v>30450</c:v>
                </c:pt>
                <c:pt idx="19">
                  <c:v>47870</c:v>
                </c:pt>
                <c:pt idx="20">
                  <c:v>16430</c:v>
                </c:pt>
                <c:pt idx="21">
                  <c:v>47600</c:v>
                </c:pt>
                <c:pt idx="22">
                  <c:v>13960</c:v>
                </c:pt>
                <c:pt idx="23">
                  <c:v>10380</c:v>
                </c:pt>
                <c:pt idx="24">
                  <c:v>56480</c:v>
                </c:pt>
                <c:pt idx="25">
                  <c:v>14370</c:v>
                </c:pt>
                <c:pt idx="26">
                  <c:v>40340</c:v>
                </c:pt>
                <c:pt idx="27">
                  <c:v>12120</c:v>
                </c:pt>
                <c:pt idx="28">
                  <c:v>13360</c:v>
                </c:pt>
                <c:pt idx="29">
                  <c:v>39510</c:v>
                </c:pt>
                <c:pt idx="30">
                  <c:v>116660</c:v>
                </c:pt>
                <c:pt idx="31">
                  <c:v>18750</c:v>
                </c:pt>
                <c:pt idx="32">
                  <c:v>25900</c:v>
                </c:pt>
                <c:pt idx="33">
                  <c:v>38910</c:v>
                </c:pt>
                <c:pt idx="34">
                  <c:v>110650</c:v>
                </c:pt>
                <c:pt idx="35">
                  <c:v>9230</c:v>
                </c:pt>
                <c:pt idx="36">
                  <c:v>81040</c:v>
                </c:pt>
                <c:pt idx="37">
                  <c:v>14370</c:v>
                </c:pt>
                <c:pt idx="38">
                  <c:v>36290</c:v>
                </c:pt>
                <c:pt idx="39">
                  <c:v>28160</c:v>
                </c:pt>
                <c:pt idx="40">
                  <c:v>18030</c:v>
                </c:pt>
                <c:pt idx="41">
                  <c:v>23380</c:v>
                </c:pt>
                <c:pt idx="42">
                  <c:v>13910</c:v>
                </c:pt>
                <c:pt idx="43">
                  <c:v>42150</c:v>
                </c:pt>
                <c:pt idx="44">
                  <c:v>76390</c:v>
                </c:pt>
                <c:pt idx="45">
                  <c:v>55550</c:v>
                </c:pt>
                <c:pt idx="46">
                  <c:v>11030</c:v>
                </c:pt>
                <c:pt idx="47">
                  <c:v>114190</c:v>
                </c:pt>
                <c:pt idx="48">
                  <c:v>15830</c:v>
                </c:pt>
                <c:pt idx="49">
                  <c:v>144490</c:v>
                </c:pt>
                <c:pt idx="50">
                  <c:v>24770</c:v>
                </c:pt>
                <c:pt idx="51">
                  <c:v>109590</c:v>
                </c:pt>
                <c:pt idx="52">
                  <c:v>87040</c:v>
                </c:pt>
                <c:pt idx="53">
                  <c:v>21910</c:v>
                </c:pt>
                <c:pt idx="54">
                  <c:v>88510</c:v>
                </c:pt>
                <c:pt idx="55">
                  <c:v>34920</c:v>
                </c:pt>
                <c:pt idx="56">
                  <c:v>29960</c:v>
                </c:pt>
                <c:pt idx="57">
                  <c:v>44640</c:v>
                </c:pt>
                <c:pt idx="58">
                  <c:v>51640</c:v>
                </c:pt>
                <c:pt idx="59">
                  <c:v>90680</c:v>
                </c:pt>
                <c:pt idx="60">
                  <c:v>55090</c:v>
                </c:pt>
                <c:pt idx="61">
                  <c:v>41940</c:v>
                </c:pt>
                <c:pt idx="62">
                  <c:v>29410</c:v>
                </c:pt>
                <c:pt idx="63">
                  <c:v>40460</c:v>
                </c:pt>
                <c:pt idx="64">
                  <c:v>23150</c:v>
                </c:pt>
                <c:pt idx="65">
                  <c:v>13660</c:v>
                </c:pt>
                <c:pt idx="66">
                  <c:v>17250</c:v>
                </c:pt>
                <c:pt idx="67">
                  <c:v>51650</c:v>
                </c:pt>
                <c:pt idx="68">
                  <c:v>20760</c:v>
                </c:pt>
                <c:pt idx="69">
                  <c:v>15500</c:v>
                </c:pt>
                <c:pt idx="70">
                  <c:v>24750</c:v>
                </c:pt>
                <c:pt idx="71">
                  <c:v>20340</c:v>
                </c:pt>
                <c:pt idx="72">
                  <c:v>28160</c:v>
                </c:pt>
                <c:pt idx="73">
                  <c:v>15310</c:v>
                </c:pt>
                <c:pt idx="74">
                  <c:v>13450</c:v>
                </c:pt>
                <c:pt idx="75">
                  <c:v>15060</c:v>
                </c:pt>
                <c:pt idx="76">
                  <c:v>25560</c:v>
                </c:pt>
                <c:pt idx="77">
                  <c:v>79170</c:v>
                </c:pt>
                <c:pt idx="78">
                  <c:v>19130</c:v>
                </c:pt>
                <c:pt idx="79">
                  <c:v>129080</c:v>
                </c:pt>
                <c:pt idx="80">
                  <c:v>25190</c:v>
                </c:pt>
                <c:pt idx="81">
                  <c:v>53410</c:v>
                </c:pt>
                <c:pt idx="82">
                  <c:v>65010</c:v>
                </c:pt>
                <c:pt idx="83">
                  <c:v>20750</c:v>
                </c:pt>
                <c:pt idx="84">
                  <c:v>37380</c:v>
                </c:pt>
                <c:pt idx="85">
                  <c:v>9990</c:v>
                </c:pt>
                <c:pt idx="86">
                  <c:v>8590</c:v>
                </c:pt>
                <c:pt idx="87">
                  <c:v>86880</c:v>
                </c:pt>
                <c:pt idx="88">
                  <c:v>13930</c:v>
                </c:pt>
                <c:pt idx="89">
                  <c:v>13210</c:v>
                </c:pt>
                <c:pt idx="90">
                  <c:v>23440</c:v>
                </c:pt>
                <c:pt idx="91">
                  <c:v>36140</c:v>
                </c:pt>
                <c:pt idx="92">
                  <c:v>6820</c:v>
                </c:pt>
                <c:pt idx="93">
                  <c:v>26010</c:v>
                </c:pt>
                <c:pt idx="94">
                  <c:v>56580</c:v>
                </c:pt>
                <c:pt idx="95">
                  <c:v>25230</c:v>
                </c:pt>
                <c:pt idx="96">
                  <c:v>40360</c:v>
                </c:pt>
                <c:pt idx="97">
                  <c:v>8980</c:v>
                </c:pt>
                <c:pt idx="98">
                  <c:v>46590</c:v>
                </c:pt>
                <c:pt idx="99">
                  <c:v>78500</c:v>
                </c:pt>
                <c:pt idx="100">
                  <c:v>14050</c:v>
                </c:pt>
                <c:pt idx="101">
                  <c:v>42290</c:v>
                </c:pt>
                <c:pt idx="102">
                  <c:v>7420</c:v>
                </c:pt>
                <c:pt idx="103">
                  <c:v>74510</c:v>
                </c:pt>
                <c:pt idx="104">
                  <c:v>136810</c:v>
                </c:pt>
                <c:pt idx="105">
                  <c:v>17400</c:v>
                </c:pt>
                <c:pt idx="106">
                  <c:v>25920</c:v>
                </c:pt>
                <c:pt idx="107">
                  <c:v>9850</c:v>
                </c:pt>
                <c:pt idx="108">
                  <c:v>28450</c:v>
                </c:pt>
                <c:pt idx="109">
                  <c:v>98700</c:v>
                </c:pt>
                <c:pt idx="110">
                  <c:v>16260</c:v>
                </c:pt>
                <c:pt idx="111">
                  <c:v>105500</c:v>
                </c:pt>
                <c:pt idx="112">
                  <c:v>94940</c:v>
                </c:pt>
                <c:pt idx="113">
                  <c:v>52590</c:v>
                </c:pt>
                <c:pt idx="114">
                  <c:v>18360</c:v>
                </c:pt>
                <c:pt idx="115">
                  <c:v>20940</c:v>
                </c:pt>
                <c:pt idx="116">
                  <c:v>56800</c:v>
                </c:pt>
                <c:pt idx="117">
                  <c:v>17760</c:v>
                </c:pt>
                <c:pt idx="118">
                  <c:v>14670</c:v>
                </c:pt>
                <c:pt idx="119">
                  <c:v>11110</c:v>
                </c:pt>
                <c:pt idx="120">
                  <c:v>127510</c:v>
                </c:pt>
                <c:pt idx="121">
                  <c:v>26210</c:v>
                </c:pt>
                <c:pt idx="122">
                  <c:v>10580</c:v>
                </c:pt>
                <c:pt idx="123">
                  <c:v>12470</c:v>
                </c:pt>
                <c:pt idx="124">
                  <c:v>13220</c:v>
                </c:pt>
                <c:pt idx="125">
                  <c:v>33650</c:v>
                </c:pt>
                <c:pt idx="126">
                  <c:v>10300</c:v>
                </c:pt>
                <c:pt idx="127">
                  <c:v>73130</c:v>
                </c:pt>
                <c:pt idx="128">
                  <c:v>20930</c:v>
                </c:pt>
                <c:pt idx="129">
                  <c:v>8320</c:v>
                </c:pt>
                <c:pt idx="130">
                  <c:v>12400</c:v>
                </c:pt>
                <c:pt idx="131">
                  <c:v>14430</c:v>
                </c:pt>
                <c:pt idx="132">
                  <c:v>110810</c:v>
                </c:pt>
                <c:pt idx="133">
                  <c:v>21630</c:v>
                </c:pt>
                <c:pt idx="134">
                  <c:v>73670</c:v>
                </c:pt>
                <c:pt idx="135">
                  <c:v>24140</c:v>
                </c:pt>
                <c:pt idx="136">
                  <c:v>38510</c:v>
                </c:pt>
                <c:pt idx="137">
                  <c:v>27280</c:v>
                </c:pt>
                <c:pt idx="138">
                  <c:v>38630</c:v>
                </c:pt>
                <c:pt idx="139">
                  <c:v>175960</c:v>
                </c:pt>
                <c:pt idx="140">
                  <c:v>84430</c:v>
                </c:pt>
                <c:pt idx="141">
                  <c:v>10980</c:v>
                </c:pt>
                <c:pt idx="142">
                  <c:v>194450</c:v>
                </c:pt>
                <c:pt idx="143">
                  <c:v>70450</c:v>
                </c:pt>
                <c:pt idx="144">
                  <c:v>99760</c:v>
                </c:pt>
                <c:pt idx="145">
                  <c:v>13160</c:v>
                </c:pt>
                <c:pt idx="146">
                  <c:v>37120</c:v>
                </c:pt>
                <c:pt idx="147">
                  <c:v>51760</c:v>
                </c:pt>
                <c:pt idx="148">
                  <c:v>19090</c:v>
                </c:pt>
                <c:pt idx="149">
                  <c:v>24650</c:v>
                </c:pt>
                <c:pt idx="150">
                  <c:v>20250</c:v>
                </c:pt>
                <c:pt idx="151">
                  <c:v>10250</c:v>
                </c:pt>
                <c:pt idx="152">
                  <c:v>20550</c:v>
                </c:pt>
                <c:pt idx="153">
                  <c:v>14920</c:v>
                </c:pt>
                <c:pt idx="154">
                  <c:v>24950</c:v>
                </c:pt>
                <c:pt idx="155">
                  <c:v>30350</c:v>
                </c:pt>
                <c:pt idx="156">
                  <c:v>13140</c:v>
                </c:pt>
                <c:pt idx="157">
                  <c:v>118630</c:v>
                </c:pt>
                <c:pt idx="158">
                  <c:v>11310</c:v>
                </c:pt>
                <c:pt idx="159">
                  <c:v>22660</c:v>
                </c:pt>
                <c:pt idx="160">
                  <c:v>28710</c:v>
                </c:pt>
                <c:pt idx="161">
                  <c:v>9680</c:v>
                </c:pt>
                <c:pt idx="162">
                  <c:v>31230</c:v>
                </c:pt>
                <c:pt idx="163">
                  <c:v>9820</c:v>
                </c:pt>
                <c:pt idx="164">
                  <c:v>24920</c:v>
                </c:pt>
                <c:pt idx="165">
                  <c:v>11610</c:v>
                </c:pt>
                <c:pt idx="166">
                  <c:v>59780</c:v>
                </c:pt>
                <c:pt idx="167">
                  <c:v>29790</c:v>
                </c:pt>
                <c:pt idx="168">
                  <c:v>25450</c:v>
                </c:pt>
                <c:pt idx="169">
                  <c:v>30600</c:v>
                </c:pt>
                <c:pt idx="170">
                  <c:v>86000</c:v>
                </c:pt>
                <c:pt idx="171">
                  <c:v>90720</c:v>
                </c:pt>
                <c:pt idx="172">
                  <c:v>36950</c:v>
                </c:pt>
                <c:pt idx="173">
                  <c:v>19350</c:v>
                </c:pt>
                <c:pt idx="174">
                  <c:v>45930</c:v>
                </c:pt>
                <c:pt idx="175">
                  <c:v>55940</c:v>
                </c:pt>
                <c:pt idx="176">
                  <c:v>170380</c:v>
                </c:pt>
                <c:pt idx="177">
                  <c:v>16370</c:v>
                </c:pt>
                <c:pt idx="178">
                  <c:v>34630</c:v>
                </c:pt>
                <c:pt idx="179">
                  <c:v>64500</c:v>
                </c:pt>
                <c:pt idx="180">
                  <c:v>114270</c:v>
                </c:pt>
                <c:pt idx="181">
                  <c:v>26620</c:v>
                </c:pt>
                <c:pt idx="182">
                  <c:v>17590</c:v>
                </c:pt>
                <c:pt idx="183">
                  <c:v>5900</c:v>
                </c:pt>
                <c:pt idx="184">
                  <c:v>18970</c:v>
                </c:pt>
                <c:pt idx="185">
                  <c:v>14130</c:v>
                </c:pt>
                <c:pt idx="186">
                  <c:v>31570</c:v>
                </c:pt>
                <c:pt idx="187">
                  <c:v>118850</c:v>
                </c:pt>
                <c:pt idx="188">
                  <c:v>97570</c:v>
                </c:pt>
                <c:pt idx="189">
                  <c:v>14590</c:v>
                </c:pt>
                <c:pt idx="190">
                  <c:v>14260</c:v>
                </c:pt>
                <c:pt idx="191">
                  <c:v>34440</c:v>
                </c:pt>
                <c:pt idx="192">
                  <c:v>19500</c:v>
                </c:pt>
                <c:pt idx="193">
                  <c:v>95380</c:v>
                </c:pt>
                <c:pt idx="194">
                  <c:v>20810</c:v>
                </c:pt>
                <c:pt idx="195">
                  <c:v>29110</c:v>
                </c:pt>
                <c:pt idx="196">
                  <c:v>28590</c:v>
                </c:pt>
                <c:pt idx="197">
                  <c:v>13650</c:v>
                </c:pt>
                <c:pt idx="198">
                  <c:v>18300</c:v>
                </c:pt>
                <c:pt idx="199">
                  <c:v>25270</c:v>
                </c:pt>
                <c:pt idx="200">
                  <c:v>25080</c:v>
                </c:pt>
                <c:pt idx="201">
                  <c:v>15600</c:v>
                </c:pt>
                <c:pt idx="202">
                  <c:v>16240</c:v>
                </c:pt>
                <c:pt idx="203">
                  <c:v>81050</c:v>
                </c:pt>
                <c:pt idx="204">
                  <c:v>48020</c:v>
                </c:pt>
                <c:pt idx="205">
                  <c:v>68400</c:v>
                </c:pt>
                <c:pt idx="206">
                  <c:v>20030</c:v>
                </c:pt>
                <c:pt idx="207">
                  <c:v>70370</c:v>
                </c:pt>
                <c:pt idx="208">
                  <c:v>11170</c:v>
                </c:pt>
                <c:pt idx="209">
                  <c:v>14570</c:v>
                </c:pt>
                <c:pt idx="210">
                  <c:v>125320</c:v>
                </c:pt>
                <c:pt idx="211">
                  <c:v>31470</c:v>
                </c:pt>
                <c:pt idx="212">
                  <c:v>26170</c:v>
                </c:pt>
                <c:pt idx="213">
                  <c:v>26130</c:v>
                </c:pt>
                <c:pt idx="214">
                  <c:v>13660</c:v>
                </c:pt>
                <c:pt idx="215">
                  <c:v>38320</c:v>
                </c:pt>
                <c:pt idx="216">
                  <c:v>143330</c:v>
                </c:pt>
                <c:pt idx="217">
                  <c:v>12940</c:v>
                </c:pt>
                <c:pt idx="218">
                  <c:v>10040</c:v>
                </c:pt>
                <c:pt idx="219">
                  <c:v>102230</c:v>
                </c:pt>
                <c:pt idx="220">
                  <c:v>52060</c:v>
                </c:pt>
                <c:pt idx="221">
                  <c:v>40540</c:v>
                </c:pt>
                <c:pt idx="222">
                  <c:v>14550</c:v>
                </c:pt>
                <c:pt idx="223">
                  <c:v>70930</c:v>
                </c:pt>
                <c:pt idx="224">
                  <c:v>11490</c:v>
                </c:pt>
                <c:pt idx="225">
                  <c:v>22180</c:v>
                </c:pt>
                <c:pt idx="226">
                  <c:v>8740</c:v>
                </c:pt>
                <c:pt idx="227">
                  <c:v>21170</c:v>
                </c:pt>
                <c:pt idx="228">
                  <c:v>19330</c:v>
                </c:pt>
                <c:pt idx="229">
                  <c:v>66960</c:v>
                </c:pt>
                <c:pt idx="230">
                  <c:v>63840</c:v>
                </c:pt>
                <c:pt idx="231">
                  <c:v>10250</c:v>
                </c:pt>
                <c:pt idx="232">
                  <c:v>23510</c:v>
                </c:pt>
                <c:pt idx="233">
                  <c:v>44850</c:v>
                </c:pt>
                <c:pt idx="234">
                  <c:v>58220</c:v>
                </c:pt>
                <c:pt idx="235">
                  <c:v>24990</c:v>
                </c:pt>
                <c:pt idx="236">
                  <c:v>19680</c:v>
                </c:pt>
                <c:pt idx="237">
                  <c:v>19800</c:v>
                </c:pt>
                <c:pt idx="238">
                  <c:v>220560</c:v>
                </c:pt>
                <c:pt idx="239">
                  <c:v>19030</c:v>
                </c:pt>
                <c:pt idx="240">
                  <c:v>28750</c:v>
                </c:pt>
                <c:pt idx="241">
                  <c:v>47270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A7-41F8-A115-0B5594FAA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609071"/>
        <c:axId val="2107615311"/>
      </c:scatterChart>
      <c:valAx>
        <c:axId val="210760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615311"/>
        <c:crosses val="autoZero"/>
        <c:crossBetween val="midCat"/>
      </c:valAx>
      <c:valAx>
        <c:axId val="21076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60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tockChart>
        <c:ser>
          <c:idx val="0"/>
          <c:order val="0"/>
          <c:tx>
            <c:strRef>
              <c:f>Gráficos!$B$22</c:f>
              <c:strCache>
                <c:ptCount val="1"/>
                <c:pt idx="0">
                  <c:v>Abertura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Gráficos!$A$23:$A$43</c:f>
              <c:numCache>
                <c:formatCode>m/d/yyyy</c:formatCode>
                <c:ptCount val="21"/>
                <c:pt idx="0">
                  <c:v>45048</c:v>
                </c:pt>
                <c:pt idx="1">
                  <c:v>45049</c:v>
                </c:pt>
                <c:pt idx="2">
                  <c:v>45050</c:v>
                </c:pt>
                <c:pt idx="3">
                  <c:v>45051</c:v>
                </c:pt>
                <c:pt idx="4">
                  <c:v>45054</c:v>
                </c:pt>
                <c:pt idx="5">
                  <c:v>45055</c:v>
                </c:pt>
                <c:pt idx="6">
                  <c:v>45056</c:v>
                </c:pt>
                <c:pt idx="7">
                  <c:v>45057</c:v>
                </c:pt>
                <c:pt idx="8">
                  <c:v>45058</c:v>
                </c:pt>
                <c:pt idx="9">
                  <c:v>45061</c:v>
                </c:pt>
                <c:pt idx="10">
                  <c:v>45062</c:v>
                </c:pt>
                <c:pt idx="11">
                  <c:v>45063</c:v>
                </c:pt>
                <c:pt idx="12">
                  <c:v>45064</c:v>
                </c:pt>
                <c:pt idx="13">
                  <c:v>45065</c:v>
                </c:pt>
                <c:pt idx="14">
                  <c:v>45068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45075</c:v>
                </c:pt>
                <c:pt idx="20">
                  <c:v>45076</c:v>
                </c:pt>
              </c:numCache>
            </c:numRef>
          </c:cat>
          <c:val>
            <c:numRef>
              <c:f>Gráficos!$B$23:$B$43</c:f>
              <c:numCache>
                <c:formatCode>_-[$R$-416]\ * #,##0.00_-;\-[$R$-416]\ * #,##0.00_-;_-[$R$-416]\ * "-"??_-;_-@_-</c:formatCode>
                <c:ptCount val="21"/>
                <c:pt idx="0">
                  <c:v>23.7</c:v>
                </c:pt>
                <c:pt idx="1">
                  <c:v>22.6</c:v>
                </c:pt>
                <c:pt idx="2">
                  <c:v>22.89</c:v>
                </c:pt>
                <c:pt idx="3">
                  <c:v>23.3</c:v>
                </c:pt>
                <c:pt idx="4">
                  <c:v>24.45</c:v>
                </c:pt>
                <c:pt idx="5">
                  <c:v>24.41</c:v>
                </c:pt>
                <c:pt idx="6">
                  <c:v>24.59</c:v>
                </c:pt>
                <c:pt idx="7">
                  <c:v>24.13</c:v>
                </c:pt>
                <c:pt idx="8">
                  <c:v>25.58</c:v>
                </c:pt>
                <c:pt idx="9">
                  <c:v>26.06</c:v>
                </c:pt>
                <c:pt idx="10">
                  <c:v>26.11</c:v>
                </c:pt>
                <c:pt idx="11">
                  <c:v>26.6</c:v>
                </c:pt>
                <c:pt idx="12">
                  <c:v>25.59</c:v>
                </c:pt>
                <c:pt idx="13">
                  <c:v>26.08</c:v>
                </c:pt>
                <c:pt idx="14">
                  <c:v>25.88</c:v>
                </c:pt>
                <c:pt idx="15">
                  <c:v>25.65</c:v>
                </c:pt>
                <c:pt idx="16">
                  <c:v>26.25</c:v>
                </c:pt>
                <c:pt idx="17">
                  <c:v>26.8</c:v>
                </c:pt>
                <c:pt idx="18">
                  <c:v>26.81</c:v>
                </c:pt>
                <c:pt idx="19">
                  <c:v>26.75</c:v>
                </c:pt>
                <c:pt idx="20">
                  <c:v>26.72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9-4141-B834-E59AED6DEA40}"/>
            </c:ext>
          </c:extLst>
        </c:ser>
        <c:ser>
          <c:idx val="1"/>
          <c:order val="1"/>
          <c:tx>
            <c:strRef>
              <c:f>Gráficos!$C$22</c:f>
              <c:strCache>
                <c:ptCount val="1"/>
                <c:pt idx="0">
                  <c:v>Alto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Gráficos!$A$23:$A$43</c:f>
              <c:numCache>
                <c:formatCode>m/d/yyyy</c:formatCode>
                <c:ptCount val="21"/>
                <c:pt idx="0">
                  <c:v>45048</c:v>
                </c:pt>
                <c:pt idx="1">
                  <c:v>45049</c:v>
                </c:pt>
                <c:pt idx="2">
                  <c:v>45050</c:v>
                </c:pt>
                <c:pt idx="3">
                  <c:v>45051</c:v>
                </c:pt>
                <c:pt idx="4">
                  <c:v>45054</c:v>
                </c:pt>
                <c:pt idx="5">
                  <c:v>45055</c:v>
                </c:pt>
                <c:pt idx="6">
                  <c:v>45056</c:v>
                </c:pt>
                <c:pt idx="7">
                  <c:v>45057</c:v>
                </c:pt>
                <c:pt idx="8">
                  <c:v>45058</c:v>
                </c:pt>
                <c:pt idx="9">
                  <c:v>45061</c:v>
                </c:pt>
                <c:pt idx="10">
                  <c:v>45062</c:v>
                </c:pt>
                <c:pt idx="11">
                  <c:v>45063</c:v>
                </c:pt>
                <c:pt idx="12">
                  <c:v>45064</c:v>
                </c:pt>
                <c:pt idx="13">
                  <c:v>45065</c:v>
                </c:pt>
                <c:pt idx="14">
                  <c:v>45068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45075</c:v>
                </c:pt>
                <c:pt idx="20">
                  <c:v>45076</c:v>
                </c:pt>
              </c:numCache>
            </c:numRef>
          </c:cat>
          <c:val>
            <c:numRef>
              <c:f>Gráficos!$C$23:$C$43</c:f>
              <c:numCache>
                <c:formatCode>_-[$R$-416]\ * #,##0.00_-;\-[$R$-416]\ * #,##0.00_-;_-[$R$-416]\ * "-"??_-;_-@_-</c:formatCode>
                <c:ptCount val="21"/>
                <c:pt idx="0">
                  <c:v>23.74</c:v>
                </c:pt>
                <c:pt idx="1">
                  <c:v>22.99</c:v>
                </c:pt>
                <c:pt idx="2">
                  <c:v>23.38</c:v>
                </c:pt>
                <c:pt idx="3">
                  <c:v>24.17</c:v>
                </c:pt>
                <c:pt idx="4">
                  <c:v>24.63</c:v>
                </c:pt>
                <c:pt idx="5">
                  <c:v>24.8</c:v>
                </c:pt>
                <c:pt idx="6">
                  <c:v>24.82</c:v>
                </c:pt>
                <c:pt idx="7">
                  <c:v>25.48</c:v>
                </c:pt>
                <c:pt idx="8">
                  <c:v>26.74</c:v>
                </c:pt>
                <c:pt idx="9">
                  <c:v>26.15</c:v>
                </c:pt>
                <c:pt idx="10">
                  <c:v>27.03</c:v>
                </c:pt>
                <c:pt idx="11">
                  <c:v>26.76</c:v>
                </c:pt>
                <c:pt idx="12">
                  <c:v>25.85</c:v>
                </c:pt>
                <c:pt idx="13">
                  <c:v>26.18</c:v>
                </c:pt>
                <c:pt idx="14">
                  <c:v>26.01</c:v>
                </c:pt>
                <c:pt idx="15">
                  <c:v>26.43</c:v>
                </c:pt>
                <c:pt idx="16">
                  <c:v>26.9</c:v>
                </c:pt>
                <c:pt idx="17">
                  <c:v>26.84</c:v>
                </c:pt>
                <c:pt idx="18">
                  <c:v>26.91</c:v>
                </c:pt>
                <c:pt idx="19">
                  <c:v>26.82</c:v>
                </c:pt>
                <c:pt idx="20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9-4141-B834-E59AED6DEA40}"/>
            </c:ext>
          </c:extLst>
        </c:ser>
        <c:ser>
          <c:idx val="2"/>
          <c:order val="2"/>
          <c:tx>
            <c:strRef>
              <c:f>Gráficos!$D$22</c:f>
              <c:strCache>
                <c:ptCount val="1"/>
                <c:pt idx="0">
                  <c:v>Baixo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Gráficos!$A$23:$A$43</c:f>
              <c:numCache>
                <c:formatCode>m/d/yyyy</c:formatCode>
                <c:ptCount val="21"/>
                <c:pt idx="0">
                  <c:v>45048</c:v>
                </c:pt>
                <c:pt idx="1">
                  <c:v>45049</c:v>
                </c:pt>
                <c:pt idx="2">
                  <c:v>45050</c:v>
                </c:pt>
                <c:pt idx="3">
                  <c:v>45051</c:v>
                </c:pt>
                <c:pt idx="4">
                  <c:v>45054</c:v>
                </c:pt>
                <c:pt idx="5">
                  <c:v>45055</c:v>
                </c:pt>
                <c:pt idx="6">
                  <c:v>45056</c:v>
                </c:pt>
                <c:pt idx="7">
                  <c:v>45057</c:v>
                </c:pt>
                <c:pt idx="8">
                  <c:v>45058</c:v>
                </c:pt>
                <c:pt idx="9">
                  <c:v>45061</c:v>
                </c:pt>
                <c:pt idx="10">
                  <c:v>45062</c:v>
                </c:pt>
                <c:pt idx="11">
                  <c:v>45063</c:v>
                </c:pt>
                <c:pt idx="12">
                  <c:v>45064</c:v>
                </c:pt>
                <c:pt idx="13">
                  <c:v>45065</c:v>
                </c:pt>
                <c:pt idx="14">
                  <c:v>45068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45075</c:v>
                </c:pt>
                <c:pt idx="20">
                  <c:v>45076</c:v>
                </c:pt>
              </c:numCache>
            </c:numRef>
          </c:cat>
          <c:val>
            <c:numRef>
              <c:f>Gráficos!$D$23:$D$43</c:f>
              <c:numCache>
                <c:formatCode>_-[$R$-416]\ * #,##0.00_-;\-[$R$-416]\ * #,##0.00_-;_-[$R$-416]\ * "-"??_-;_-@_-</c:formatCode>
                <c:ptCount val="21"/>
                <c:pt idx="0">
                  <c:v>22.64</c:v>
                </c:pt>
                <c:pt idx="1">
                  <c:v>22.42</c:v>
                </c:pt>
                <c:pt idx="2">
                  <c:v>22.61</c:v>
                </c:pt>
                <c:pt idx="3">
                  <c:v>23.18</c:v>
                </c:pt>
                <c:pt idx="4">
                  <c:v>24.21</c:v>
                </c:pt>
                <c:pt idx="5">
                  <c:v>24.24</c:v>
                </c:pt>
                <c:pt idx="6">
                  <c:v>24.33</c:v>
                </c:pt>
                <c:pt idx="7">
                  <c:v>23.93</c:v>
                </c:pt>
                <c:pt idx="8">
                  <c:v>25.48</c:v>
                </c:pt>
                <c:pt idx="9">
                  <c:v>25.4</c:v>
                </c:pt>
                <c:pt idx="10">
                  <c:v>26.08</c:v>
                </c:pt>
                <c:pt idx="11">
                  <c:v>25.51</c:v>
                </c:pt>
                <c:pt idx="12">
                  <c:v>25.35</c:v>
                </c:pt>
                <c:pt idx="13">
                  <c:v>25.64</c:v>
                </c:pt>
                <c:pt idx="14">
                  <c:v>25.5</c:v>
                </c:pt>
                <c:pt idx="15">
                  <c:v>25.52</c:v>
                </c:pt>
                <c:pt idx="16">
                  <c:v>26.05</c:v>
                </c:pt>
                <c:pt idx="17">
                  <c:v>26.19</c:v>
                </c:pt>
                <c:pt idx="18">
                  <c:v>26.53</c:v>
                </c:pt>
                <c:pt idx="19">
                  <c:v>26.56</c:v>
                </c:pt>
                <c:pt idx="20">
                  <c:v>26.26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9-4141-B834-E59AED6DEA40}"/>
            </c:ext>
          </c:extLst>
        </c:ser>
        <c:ser>
          <c:idx val="3"/>
          <c:order val="3"/>
          <c:tx>
            <c:strRef>
              <c:f>Gráficos!$E$22</c:f>
              <c:strCache>
                <c:ptCount val="1"/>
                <c:pt idx="0">
                  <c:v>Fechamento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Gráficos!$A$23:$A$43</c:f>
              <c:numCache>
                <c:formatCode>m/d/yyyy</c:formatCode>
                <c:ptCount val="21"/>
                <c:pt idx="0">
                  <c:v>45048</c:v>
                </c:pt>
                <c:pt idx="1">
                  <c:v>45049</c:v>
                </c:pt>
                <c:pt idx="2">
                  <c:v>45050</c:v>
                </c:pt>
                <c:pt idx="3">
                  <c:v>45051</c:v>
                </c:pt>
                <c:pt idx="4">
                  <c:v>45054</c:v>
                </c:pt>
                <c:pt idx="5">
                  <c:v>45055</c:v>
                </c:pt>
                <c:pt idx="6">
                  <c:v>45056</c:v>
                </c:pt>
                <c:pt idx="7">
                  <c:v>45057</c:v>
                </c:pt>
                <c:pt idx="8">
                  <c:v>45058</c:v>
                </c:pt>
                <c:pt idx="9">
                  <c:v>45061</c:v>
                </c:pt>
                <c:pt idx="10">
                  <c:v>45062</c:v>
                </c:pt>
                <c:pt idx="11">
                  <c:v>45063</c:v>
                </c:pt>
                <c:pt idx="12">
                  <c:v>45064</c:v>
                </c:pt>
                <c:pt idx="13">
                  <c:v>45065</c:v>
                </c:pt>
                <c:pt idx="14">
                  <c:v>45068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45075</c:v>
                </c:pt>
                <c:pt idx="20">
                  <c:v>45076</c:v>
                </c:pt>
              </c:numCache>
            </c:numRef>
          </c:cat>
          <c:val>
            <c:numRef>
              <c:f>Gráficos!$E$23:$E$43</c:f>
              <c:numCache>
                <c:formatCode>_-[$R$-416]\ * #,##0.00_-;\-[$R$-416]\ * #,##0.00_-;_-[$R$-416]\ * "-"??_-;_-@_-</c:formatCode>
                <c:ptCount val="21"/>
                <c:pt idx="0">
                  <c:v>22.74</c:v>
                </c:pt>
                <c:pt idx="1">
                  <c:v>22.66</c:v>
                </c:pt>
                <c:pt idx="2">
                  <c:v>23.02</c:v>
                </c:pt>
                <c:pt idx="3">
                  <c:v>24</c:v>
                </c:pt>
                <c:pt idx="4">
                  <c:v>24.51</c:v>
                </c:pt>
                <c:pt idx="5">
                  <c:v>24.59</c:v>
                </c:pt>
                <c:pt idx="6">
                  <c:v>24.53</c:v>
                </c:pt>
                <c:pt idx="7">
                  <c:v>25.43</c:v>
                </c:pt>
                <c:pt idx="8">
                  <c:v>26.25</c:v>
                </c:pt>
                <c:pt idx="9">
                  <c:v>25.66</c:v>
                </c:pt>
                <c:pt idx="10">
                  <c:v>26.3</c:v>
                </c:pt>
                <c:pt idx="11">
                  <c:v>25.66</c:v>
                </c:pt>
                <c:pt idx="12">
                  <c:v>25.81</c:v>
                </c:pt>
                <c:pt idx="13">
                  <c:v>25.92</c:v>
                </c:pt>
                <c:pt idx="14">
                  <c:v>25.62</c:v>
                </c:pt>
                <c:pt idx="15">
                  <c:v>26.25</c:v>
                </c:pt>
                <c:pt idx="16">
                  <c:v>26.65</c:v>
                </c:pt>
                <c:pt idx="17">
                  <c:v>26.45</c:v>
                </c:pt>
                <c:pt idx="18">
                  <c:v>26.8</c:v>
                </c:pt>
                <c:pt idx="19">
                  <c:v>26.69</c:v>
                </c:pt>
                <c:pt idx="20">
                  <c:v>26.39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29-4141-B834-E59AED6DE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92D05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467616223"/>
        <c:axId val="1467617663"/>
      </c:stockChart>
      <c:dateAx>
        <c:axId val="14676162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617663"/>
        <c:crosses val="autoZero"/>
        <c:auto val="1"/>
        <c:lblOffset val="100"/>
        <c:baseTimeUnit val="days"/>
      </c:dateAx>
      <c:valAx>
        <c:axId val="1467617663"/>
        <c:scaling>
          <c:orientation val="minMax"/>
          <c:max val="29"/>
          <c:min val="2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6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179614</xdr:rowOff>
    </xdr:from>
    <xdr:to>
      <xdr:col>13</xdr:col>
      <xdr:colOff>0</xdr:colOff>
      <xdr:row>23</xdr:row>
      <xdr:rowOff>179613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163AEB-9AD4-8A28-8EA1-454B08693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31888</xdr:rowOff>
    </xdr:from>
    <xdr:to>
      <xdr:col>19</xdr:col>
      <xdr:colOff>649357</xdr:colOff>
      <xdr:row>32</xdr:row>
      <xdr:rowOff>31888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FE842D-543B-BAC6-6FC2-C04492309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688730</xdr:colOff>
      <xdr:row>7</xdr:row>
      <xdr:rowOff>4396</xdr:rowOff>
    </xdr:from>
    <xdr:to>
      <xdr:col>7</xdr:col>
      <xdr:colOff>3194537</xdr:colOff>
      <xdr:row>29</xdr:row>
      <xdr:rowOff>183173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6A6D3-6B0B-E6C6-86F2-08DCFAA04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3142368</xdr:colOff>
      <xdr:row>20</xdr:row>
      <xdr:rowOff>1161</xdr:rowOff>
    </xdr:from>
    <xdr:to>
      <xdr:col>10</xdr:col>
      <xdr:colOff>503663</xdr:colOff>
      <xdr:row>32</xdr:row>
      <xdr:rowOff>67556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50238B5-6628-F85F-4041-E14B87E8E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20981688">
          <a:off x="9933693" y="3706386"/>
          <a:ext cx="2238095" cy="2238095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14</xdr:col>
      <xdr:colOff>599743</xdr:colOff>
      <xdr:row>46</xdr:row>
      <xdr:rowOff>161200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F111125-BDBB-BF90-22FF-66DBBD07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53925" y="2981325"/>
          <a:ext cx="2657143" cy="5800000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7</xdr:col>
      <xdr:colOff>1428750</xdr:colOff>
      <xdr:row>19</xdr:row>
      <xdr:rowOff>9525</xdr:rowOff>
    </xdr:from>
    <xdr:to>
      <xdr:col>7</xdr:col>
      <xdr:colOff>2847975</xdr:colOff>
      <xdr:row>23</xdr:row>
      <xdr:rowOff>28575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4EBBA430-81A8-91CA-5F7A-404BDE9C5D39}"/>
            </a:ext>
          </a:extLst>
        </xdr:cNvPr>
        <xdr:cNvSpPr/>
      </xdr:nvSpPr>
      <xdr:spPr>
        <a:xfrm>
          <a:off x="8220075" y="3533775"/>
          <a:ext cx="1419225" cy="742950"/>
        </a:xfrm>
        <a:prstGeom prst="rightArrow">
          <a:avLst/>
        </a:prstGeom>
        <a:solidFill>
          <a:srgbClr val="7030A0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REGRESSÃO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2</xdr:row>
      <xdr:rowOff>1</xdr:rowOff>
    </xdr:from>
    <xdr:to>
      <xdr:col>20</xdr:col>
      <xdr:colOff>684669</xdr:colOff>
      <xdr:row>6</xdr:row>
      <xdr:rowOff>178275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434687-C2DB-8ABE-DADC-85998699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4762" y="364436"/>
          <a:ext cx="12371429" cy="907143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8</xdr:col>
      <xdr:colOff>331303</xdr:colOff>
      <xdr:row>5</xdr:row>
      <xdr:rowOff>132522</xdr:rowOff>
    </xdr:from>
    <xdr:to>
      <xdr:col>10</xdr:col>
      <xdr:colOff>662606</xdr:colOff>
      <xdr:row>10</xdr:row>
      <xdr:rowOff>149087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883ECD0C-6AC1-DA70-ED05-0C574DAE909F}"/>
            </a:ext>
          </a:extLst>
        </xdr:cNvPr>
        <xdr:cNvSpPr/>
      </xdr:nvSpPr>
      <xdr:spPr>
        <a:xfrm rot="19775538">
          <a:off x="7073346" y="1043609"/>
          <a:ext cx="1706217" cy="927652"/>
        </a:xfrm>
        <a:prstGeom prst="rightArrow">
          <a:avLst/>
        </a:prstGeom>
        <a:solidFill>
          <a:srgbClr val="7030A0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400" b="1"/>
            <a:t>SEGMENTAÇÃO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16</xdr:row>
      <xdr:rowOff>29306</xdr:rowOff>
    </xdr:from>
    <xdr:to>
      <xdr:col>21</xdr:col>
      <xdr:colOff>76200</xdr:colOff>
      <xdr:row>41</xdr:row>
      <xdr:rowOff>29307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D9DFDAC-C9E9-D269-B603-3159AB433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866981</xdr:colOff>
      <xdr:row>6</xdr:row>
      <xdr:rowOff>0</xdr:rowOff>
    </xdr:from>
    <xdr:to>
      <xdr:col>19</xdr:col>
      <xdr:colOff>0</xdr:colOff>
      <xdr:row>20</xdr:row>
      <xdr:rowOff>157543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BB632B-0733-9D96-D3E3-DAF040AE4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8698" y="1176130"/>
          <a:ext cx="4135715" cy="2750000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15</xdr:col>
      <xdr:colOff>67094</xdr:colOff>
      <xdr:row>14</xdr:row>
      <xdr:rowOff>171534</xdr:rowOff>
    </xdr:from>
    <xdr:to>
      <xdr:col>17</xdr:col>
      <xdr:colOff>398398</xdr:colOff>
      <xdr:row>21</xdr:row>
      <xdr:rowOff>91136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F4CC3333-9349-4699-9FDB-89E312CD7A81}"/>
            </a:ext>
          </a:extLst>
        </xdr:cNvPr>
        <xdr:cNvSpPr/>
      </xdr:nvSpPr>
      <xdr:spPr>
        <a:xfrm rot="19775538">
          <a:off x="13741681" y="2838534"/>
          <a:ext cx="1706217" cy="1203406"/>
        </a:xfrm>
        <a:prstGeom prst="rightArrow">
          <a:avLst/>
        </a:prstGeom>
        <a:solidFill>
          <a:srgbClr val="7030A0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400" b="1"/>
            <a:t>GERENCIADOR DE CENÁRIOS</a:t>
          </a:r>
        </a:p>
      </xdr:txBody>
    </xdr:sp>
    <xdr:clientData/>
  </xdr:twoCellAnchor>
  <xdr:twoCellAnchor editAs="oneCell">
    <xdr:from>
      <xdr:col>13</xdr:col>
      <xdr:colOff>42787</xdr:colOff>
      <xdr:row>30</xdr:row>
      <xdr:rowOff>34135</xdr:rowOff>
    </xdr:from>
    <xdr:to>
      <xdr:col>15</xdr:col>
      <xdr:colOff>687456</xdr:colOff>
      <xdr:row>39</xdr:row>
      <xdr:rowOff>99392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55F2878-DE11-2155-B765-F3C5ECE06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2461" y="5624896"/>
          <a:ext cx="2019582" cy="1705213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17</xdr:col>
      <xdr:colOff>650174</xdr:colOff>
      <xdr:row>61</xdr:row>
      <xdr:rowOff>148658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BE8C9AD-E39B-4144-A2A0-243F7B495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9674" y="7959587"/>
          <a:ext cx="3400000" cy="3428571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17</xdr:col>
      <xdr:colOff>200763</xdr:colOff>
      <xdr:row>50</xdr:row>
      <xdr:rowOff>178021</xdr:rowOff>
    </xdr:from>
    <xdr:to>
      <xdr:col>18</xdr:col>
      <xdr:colOff>637448</xdr:colOff>
      <xdr:row>55</xdr:row>
      <xdr:rowOff>59798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76C862C6-29E0-7807-F774-2D64DB36984F}"/>
            </a:ext>
          </a:extLst>
        </xdr:cNvPr>
        <xdr:cNvSpPr/>
      </xdr:nvSpPr>
      <xdr:spPr>
        <a:xfrm flipH="1">
          <a:off x="15250263" y="9413130"/>
          <a:ext cx="1124142" cy="792864"/>
        </a:xfrm>
        <a:prstGeom prst="rightArrow">
          <a:avLst/>
        </a:prstGeom>
        <a:solidFill>
          <a:srgbClr val="7030A0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RESUMO</a:t>
          </a:r>
        </a:p>
      </xdr:txBody>
    </xdr:sp>
    <xdr:clientData/>
  </xdr:twoCellAnchor>
  <xdr:twoCellAnchor>
    <xdr:from>
      <xdr:col>15</xdr:col>
      <xdr:colOff>490652</xdr:colOff>
      <xdr:row>32</xdr:row>
      <xdr:rowOff>178021</xdr:rowOff>
    </xdr:from>
    <xdr:to>
      <xdr:col>17</xdr:col>
      <xdr:colOff>687454</xdr:colOff>
      <xdr:row>38</xdr:row>
      <xdr:rowOff>41412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067E2C87-A028-35D9-18EC-9162AAE34406}"/>
            </a:ext>
          </a:extLst>
        </xdr:cNvPr>
        <xdr:cNvSpPr/>
      </xdr:nvSpPr>
      <xdr:spPr>
        <a:xfrm flipH="1">
          <a:off x="14165239" y="6133217"/>
          <a:ext cx="1571715" cy="956695"/>
        </a:xfrm>
        <a:prstGeom prst="rightArrow">
          <a:avLst/>
        </a:prstGeom>
        <a:solidFill>
          <a:srgbClr val="7030A0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/>
            <a:t>GERENCIADOR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506465</xdr:colOff>
      <xdr:row>1</xdr:row>
      <xdr:rowOff>79568</xdr:rowOff>
    </xdr:from>
    <xdr:to>
      <xdr:col>13</xdr:col>
      <xdr:colOff>321674</xdr:colOff>
      <xdr:row>19</xdr:row>
      <xdr:rowOff>42022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8D5CBC-38DD-92A1-3F93-AF7EB4B8F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5310" y="335758"/>
          <a:ext cx="3914243" cy="3496557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13</xdr:col>
      <xdr:colOff>471610</xdr:colOff>
      <xdr:row>1</xdr:row>
      <xdr:rowOff>72914</xdr:rowOff>
    </xdr:from>
    <xdr:to>
      <xdr:col>17</xdr:col>
      <xdr:colOff>683172</xdr:colOff>
      <xdr:row>13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55F265-8A6E-BE57-CB4F-7F80F04AF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9489" y="329104"/>
          <a:ext cx="2944252" cy="2278775"/>
        </a:xfrm>
        <a:prstGeom prst="rect">
          <a:avLst/>
        </a:prstGeom>
        <a:ln w="38100" cap="sq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10</xdr:col>
      <xdr:colOff>92047</xdr:colOff>
      <xdr:row>0</xdr:row>
      <xdr:rowOff>44956</xdr:rowOff>
    </xdr:from>
    <xdr:to>
      <xdr:col>10</xdr:col>
      <xdr:colOff>638298</xdr:colOff>
      <xdr:row>2</xdr:row>
      <xdr:rowOff>151292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47B0C105-D5A1-8803-99E0-2F40A901C20B}"/>
            </a:ext>
          </a:extLst>
        </xdr:cNvPr>
        <xdr:cNvSpPr/>
      </xdr:nvSpPr>
      <xdr:spPr>
        <a:xfrm>
          <a:off x="8270409" y="44956"/>
          <a:ext cx="546251" cy="553026"/>
        </a:xfrm>
        <a:prstGeom prst="ellipse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latin typeface="Arial Black" panose="020B0A04020102020204" pitchFamily="34" charset="0"/>
            </a:rPr>
            <a:t>1</a:t>
          </a:r>
        </a:p>
      </xdr:txBody>
    </xdr:sp>
    <xdr:clientData/>
  </xdr:twoCellAnchor>
  <xdr:twoCellAnchor>
    <xdr:from>
      <xdr:col>15</xdr:col>
      <xdr:colOff>300406</xdr:colOff>
      <xdr:row>0</xdr:row>
      <xdr:rowOff>11906</xdr:rowOff>
    </xdr:from>
    <xdr:to>
      <xdr:col>16</xdr:col>
      <xdr:colOff>163484</xdr:colOff>
      <xdr:row>2</xdr:row>
      <xdr:rowOff>113110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5BF7ADD9-D674-CDFC-D045-181A97D3B241}"/>
            </a:ext>
          </a:extLst>
        </xdr:cNvPr>
        <xdr:cNvSpPr/>
      </xdr:nvSpPr>
      <xdr:spPr>
        <a:xfrm>
          <a:off x="11894630" y="11906"/>
          <a:ext cx="546251" cy="547894"/>
        </a:xfrm>
        <a:prstGeom prst="ellipse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latin typeface="Arial Black" panose="020B0A04020102020204" pitchFamily="34" charset="0"/>
            </a:rPr>
            <a:t>2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tiano" refreshedDate="45083.64747974537" backgroundQuery="1" createdVersion="8" refreshedVersion="8" minRefreshableVersion="3" recordCount="0" supportSubquery="1" supportAdvancedDrill="1" xr:uid="{C07F7793-5218-4CE5-837A-E6E365B04B0F}">
  <cacheSource type="external" connectionId="1"/>
  <cacheFields count="3">
    <cacheField name="[tbPrincipal].[Assessor].[Assessor]" caption="Assessor" numFmtId="0" hierarchy="2" level="1">
      <sharedItems count="21">
        <s v="Manoel"/>
        <s v="Mateus"/>
        <s v="Patrick"/>
        <s v="Rebeca"/>
        <s v="Rosalina"/>
        <s v="App"/>
        <s v="Antônio"/>
        <s v="Carla"/>
        <s v="José"/>
        <s v="Maria"/>
        <s v="Pedro"/>
        <s v="Denise"/>
        <s v="Jaqueline"/>
        <s v="Marcos"/>
        <s v="Roberta"/>
        <s v="Altamira"/>
        <s v="Cardoso"/>
        <s v="Cristiano"/>
        <s v="Geise"/>
        <s v="Moraes"/>
        <s v="Zuleica"/>
      </sharedItems>
    </cacheField>
    <cacheField name="[Measures].[Soma de Carteira]" caption="Soma de Carteira" numFmtId="0" hierarchy="12" level="32767"/>
    <cacheField name="[tbGestores].[Gestor].[Gestor]" caption="Gestor" numFmtId="0" hierarchy="1" level="1">
      <sharedItems containsBlank="1" count="6">
        <s v="Aline"/>
        <s v="App"/>
        <s v="Cesar"/>
        <s v="Matheus"/>
        <s v="Thiago"/>
        <m/>
      </sharedItems>
    </cacheField>
  </cacheFields>
  <cacheHierarchies count="13">
    <cacheHierarchy uniqueName="[tbGestores].[Assessor]" caption="Assessor" attribute="1" defaultMemberUniqueName="[tbGestores].[Assessor].[All]" allUniqueName="[tbGestores].[Assessor].[All]" dimensionUniqueName="[tbGestores]" displayFolder="" count="2" memberValueDatatype="130" unbalanced="0"/>
    <cacheHierarchy uniqueName="[tbGestores].[Gestor]" caption="Gestor" attribute="1" defaultMemberUniqueName="[tbGestores].[Gestor].[All]" allUniqueName="[tbGestores].[Gestor].[All]" dimensionUniqueName="[tbGestores]" displayFolder="" count="2" memberValueDatatype="130" unbalanced="0">
      <fieldsUsage count="2">
        <fieldUsage x="-1"/>
        <fieldUsage x="2"/>
      </fieldsUsage>
    </cacheHierarchy>
    <cacheHierarchy uniqueName="[tbPrincipal].[Assessor]" caption="Assessor" attribute="1" defaultMemberUniqueName="[tbPrincipal].[Assessor].[All]" allUniqueName="[tbPrincipal].[Assessor].[All]" dimensionUniqueName="[tbPrincipal]" displayFolder="" count="2" memberValueDatatype="130" unbalanced="0">
      <fieldsUsage count="2">
        <fieldUsage x="-1"/>
        <fieldUsage x="0"/>
      </fieldsUsage>
    </cacheHierarchy>
    <cacheHierarchy uniqueName="[tbPrincipal].[País]" caption="País" attribute="1" defaultMemberUniqueName="[tbPrincipal].[País].[All]" allUniqueName="[tbPrincipal].[País].[All]" dimensionUniqueName="[tbPrincipal]" displayFolder="" count="2" memberValueDatatype="130" unbalanced="0"/>
    <cacheHierarchy uniqueName="[tbPrincipal].[Cidade]" caption="Cidade" attribute="1" defaultMemberUniqueName="[tbPrincipal].[Cidade].[All]" allUniqueName="[tbPrincipal].[Cidade].[All]" dimensionUniqueName="[tbPrincipal]" displayFolder="" count="2" memberValueDatatype="130" unbalanced="0"/>
    <cacheHierarchy uniqueName="[tbPrincipal].[ID]" caption="ID" attribute="1" defaultMemberUniqueName="[tbPrincipal].[ID].[All]" allUniqueName="[tbPrincipal].[ID].[All]" dimensionUniqueName="[tbPrincipal]" displayFolder="" count="2" memberValueDatatype="130" unbalanced="0"/>
    <cacheHierarchy uniqueName="[tbPrincipal].[Nome]" caption="Nome" attribute="1" defaultMemberUniqueName="[tbPrincipal].[Nome].[All]" allUniqueName="[tbPrincipal].[Nome].[All]" dimensionUniqueName="[tbPrincipal]" displayFolder="" count="2" memberValueDatatype="130" unbalanced="0"/>
    <cacheHierarchy uniqueName="[tbPrincipal].[Ingresso]" caption="Ingresso" attribute="1" time="1" defaultMemberUniqueName="[tbPrincipal].[Ingresso].[All]" allUniqueName="[tbPrincipal].[Ingresso].[All]" dimensionUniqueName="[tbPrincipal]" displayFolder="" count="2" memberValueDatatype="7" unbalanced="0"/>
    <cacheHierarchy uniqueName="[tbPrincipal].[Carteira]" caption="Carteira" attribute="1" defaultMemberUniqueName="[tbPrincipal].[Carteira].[All]" allUniqueName="[tbPrincipal].[Carteira].[All]" dimensionUniqueName="[tbPrincipal]" displayFolder="" count="2" memberValueDatatype="20" unbalanced="0"/>
    <cacheHierarchy uniqueName="[Measures].[__XL_Count tbPrincipal]" caption="__XL_Count tbPrincipal" measure="1" displayFolder="" measureGroup="tbPrincipal" count="0" hidden="1"/>
    <cacheHierarchy uniqueName="[Measures].[__XL_Count tbGestores]" caption="__XL_Count tbGestores" measure="1" displayFolder="" measureGroup="tbGestores" count="0" hidden="1"/>
    <cacheHierarchy uniqueName="[Measures].[__No measures defined]" caption="__No measures defined" measure="1" displayFolder="" count="0" hidden="1"/>
    <cacheHierarchy uniqueName="[Measures].[Soma de Carteira]" caption="Soma de Carteira" measure="1" displayFolder="" measureGroup="tbPrincip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tbGestores" uniqueName="[tbGestores]" caption="tbGestores"/>
    <dimension name="tbPrincipal" uniqueName="[tbPrincipal]" caption="tbPrincipal"/>
  </dimensions>
  <measureGroups count="2">
    <measureGroup name="tbGestores" caption="tbGestores"/>
    <measureGroup name="tbPrincipal" caption="tbPrincipal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6C606-D19E-4C27-AE56-FBCDDD5AB0B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2"/>
    <field x="0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>
      <x v="2"/>
    </i>
    <i r="1">
      <x v="6"/>
    </i>
    <i r="1">
      <x v="7"/>
    </i>
    <i r="1">
      <x v="8"/>
    </i>
    <i r="1">
      <x v="9"/>
    </i>
    <i r="1">
      <x v="10"/>
    </i>
    <i>
      <x v="3"/>
    </i>
    <i r="1">
      <x v="11"/>
    </i>
    <i r="1">
      <x v="12"/>
    </i>
    <i r="1">
      <x v="13"/>
    </i>
    <i r="1">
      <x v="14"/>
    </i>
    <i>
      <x v="4"/>
    </i>
    <i r="1">
      <x v="15"/>
    </i>
    <i r="1">
      <x v="16"/>
    </i>
    <i r="1">
      <x v="17"/>
    </i>
    <i r="1">
      <x v="18"/>
    </i>
    <i r="1">
      <x v="19"/>
    </i>
    <i>
      <x v="5"/>
    </i>
    <i r="1">
      <x v="20"/>
    </i>
    <i t="grand">
      <x/>
    </i>
  </rowItems>
  <colItems count="1">
    <i/>
  </colItems>
  <dataFields count="1">
    <dataField name="Soma de Carteira" fld="1" baseField="0" baseItem="0" numFmtId="4"/>
  </dataFields>
  <pivotHierarchies count="1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Principal]"/>
        <x15:activeTabTopLevelEntity name="[tbGe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imageurl">
      <keyFlags>
        <key name="Blip Identifier">
          <flag name="ShowInCardView" value="0"/>
        </key>
      </keyFlags>
    </type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12">
  <a r="1" c="21">
    <v t="i">1</v>
    <v t="i">2</v>
    <v t="i">3</v>
    <v t="i">4</v>
    <v t="i">7</v>
    <v t="i">8</v>
    <v t="i">9</v>
    <v t="i">10</v>
    <v t="i">11</v>
    <v t="i">14</v>
    <v t="i">15</v>
    <v t="i">16</v>
    <v t="i">17</v>
    <v t="i">18</v>
    <v t="i">21</v>
    <v t="i">22</v>
    <v t="i">23</v>
    <v t="i">24</v>
    <v t="i">25</v>
    <v t="i">28</v>
    <v t="i">29</v>
  </a>
  <a r="1" c="21">
    <v>22.74</v>
    <v>22.66</v>
    <v>23.02</v>
    <v>24</v>
    <v>24.51</v>
    <v>24.59</v>
    <v>24.53</v>
    <v>25.43</v>
    <v>26.25</v>
    <v>25.66</v>
    <v>26.3</v>
    <v>25.66</v>
    <v>25.81</v>
    <v>25.92</v>
    <v>25.62</v>
    <v>26.25</v>
    <v>26.65</v>
    <v>26.45</v>
    <v>26.8</v>
    <v>26.69</v>
    <v>26.39</v>
  </a>
  <a r="1" c="21">
    <v>23.7</v>
    <v>22.6</v>
    <v>22.89</v>
    <v>23.3</v>
    <v>24.45</v>
    <v>24.41</v>
    <v>24.59</v>
    <v>24.13</v>
    <v>25.58</v>
    <v>26.06</v>
    <v>26.11</v>
    <v>26.6</v>
    <v>25.59</v>
    <v>26.08</v>
    <v>25.88</v>
    <v>25.65</v>
    <v>26.25</v>
    <v>26.8</v>
    <v>26.81</v>
    <v>26.75</v>
    <v>26.72</v>
  </a>
  <a r="1" c="21">
    <v>23.74</v>
    <v>22.99</v>
    <v>23.38</v>
    <v>24.17</v>
    <v>24.63</v>
    <v>24.8</v>
    <v>24.82</v>
    <v>25.48</v>
    <v>26.74</v>
    <v>26.15</v>
    <v>27.03</v>
    <v>26.76</v>
    <v>25.85</v>
    <v>26.18</v>
    <v>26.01</v>
    <v>26.43</v>
    <v>26.9</v>
    <v>26.84</v>
    <v>26.91</v>
    <v>26.82</v>
    <v>26.8</v>
  </a>
  <a r="1" c="21">
    <v>22.64</v>
    <v>22.42</v>
    <v>22.61</v>
    <v>23.18</v>
    <v>24.21</v>
    <v>24.24</v>
    <v>24.33</v>
    <v>23.93</v>
    <v>25.48</v>
    <v>25.4</v>
    <v>26.08</v>
    <v>25.51</v>
    <v>25.35</v>
    <v>25.64</v>
    <v>25.5</v>
    <v>25.52</v>
    <v>26.05</v>
    <v>26.19</v>
    <v>26.53</v>
    <v>26.56</v>
    <v>26.26</v>
  </a>
  <a r="1" c="21">
    <v>67556900</v>
    <v>50965500</v>
    <v>57772200</v>
    <v>83124700</v>
    <v>59179200</v>
    <v>33712700</v>
    <v>41346300</v>
    <v>136305900</v>
    <v>117050200</v>
    <v>81864400</v>
    <v>117199600</v>
    <v>106826400</v>
    <v>62821200</v>
    <v>68059400</v>
    <v>37756200</v>
    <v>57844100</v>
    <v>54639300</v>
    <v>49026400</v>
    <v>39809900</v>
    <v>17917700</v>
    <v>45649600</v>
  </a>
  <a r="1" c="58">
    <v t="i">1</v>
    <v t="i">8</v>
    <v t="i">15</v>
    <v t="i">22</v>
    <v t="i">30</v>
    <v t="i">36</v>
    <v t="i">43</v>
    <v t="i">51</v>
    <v t="i">57</v>
    <v t="i">65</v>
    <v t="i">71</v>
    <v t="i">78</v>
    <v t="i">85</v>
    <v t="i">92</v>
    <v t="i">99</v>
    <v t="i">106</v>
    <v t="i">113</v>
    <v t="i">120</v>
    <v t="i">128</v>
    <v t="i">134</v>
    <v t="i">141</v>
    <v t="i">148</v>
    <v t="i">155</v>
    <v t="i">162</v>
    <v t="i">169</v>
    <v t="i">176</v>
    <v t="i">183</v>
    <v t="i">190</v>
    <v t="i">197</v>
    <v t="i">204</v>
    <v t="i">211</v>
    <v t="i">218</v>
    <v t="i">225</v>
    <v t="i">232</v>
    <v t="i">240</v>
    <v t="i">247</v>
    <v t="i">253</v>
    <v t="i">261</v>
    <v t="i">267</v>
    <v t="i">274</v>
    <v t="i">281</v>
    <v t="i">288</v>
    <v t="i">296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394</v>
    <v t="i">400</v>
  </a>
  <a r="1" c="58">
    <v>274.73</v>
    <v>261.12</v>
    <v>252.56</v>
    <v>273.24</v>
    <v>270.02</v>
    <v>252.99</v>
    <v>247.65</v>
    <v>267.7</v>
    <v>259.58</v>
    <v>267.66000000000003</v>
    <v>256.72000000000003</v>
    <v>260.36</v>
    <v>280.74</v>
    <v>282.91000000000003</v>
    <v>291.91000000000003</v>
    <v>286.14999999999998</v>
    <v>268.08999999999997</v>
    <v>256.06</v>
    <v>264.45999999999998</v>
    <v>244.74</v>
    <v>237.92</v>
    <v>232.9</v>
    <v>234.24</v>
    <v>228.56</v>
    <v>242.12</v>
    <v>235.87</v>
    <v>221.39</v>
    <v>247.11</v>
    <v>241.22</v>
    <v>247.49</v>
    <v>255.02</v>
    <v>245.42</v>
    <v>244.69</v>
    <v>238.73</v>
    <v>239.82</v>
    <v>224.93</v>
    <v>239.23</v>
    <v>240.22</v>
    <v>248.16</v>
    <v>258.35000000000002</v>
    <v>263.10000000000002</v>
    <v>258.06</v>
    <v>249.22</v>
    <v>255.29</v>
    <v>248.59</v>
    <v>279.43</v>
    <v>280.57</v>
    <v>288.3</v>
    <v>291.60000000000002</v>
    <v>286.14</v>
    <v>285.76</v>
    <v>307.26</v>
    <v>310.64999999999998</v>
    <v>308.97000000000003</v>
    <v>318.33999999999997</v>
    <v>332.89</v>
    <v>335.4</v>
    <v>335.94</v>
  </a>
  <a r="1" c="58">
    <v>277.70999999999998</v>
    <v>270.06</v>
    <v>259.95499999999998</v>
    <v>255.49</v>
    <v>272.52999999999997</v>
    <v>272.06</v>
    <v>245.11</v>
    <v>250.255</v>
    <v>268.20499999999998</v>
    <v>256.16000000000003</v>
    <v>265.64999999999998</v>
    <v>259.75</v>
    <v>260.995</v>
    <v>277.82</v>
    <v>284.05</v>
    <v>291</v>
    <v>282.08</v>
    <v>265.85000000000002</v>
    <v>256.2</v>
    <v>265.77999999999997</v>
    <v>242.465</v>
    <v>237.04499999999999</v>
    <v>235.41</v>
    <v>233.05</v>
    <v>235.82</v>
    <v>243.76</v>
    <v>233.76</v>
    <v>221.99</v>
    <v>241.98500000000001</v>
    <v>241.43</v>
    <v>246.08</v>
    <v>252.01</v>
    <v>247.44499999999999</v>
    <v>244.86</v>
    <v>238.7</v>
    <v>243.08</v>
    <v>226.45</v>
    <v>237.97</v>
    <v>241.1</v>
    <v>244.51</v>
    <v>257.44</v>
    <v>267.64</v>
    <v>254.48</v>
    <v>252.46</v>
    <v>256.42500000000001</v>
    <v>247.4</v>
    <v>276.98</v>
    <v>280.5</v>
    <v>286.52</v>
    <v>289.20800000000003</v>
    <v>289.93</v>
    <v>282.08999999999997</v>
    <v>306.97000000000003</v>
    <v>310.13</v>
    <v>309.09500000000003</v>
    <v>318.60000000000002</v>
    <v>335.23</v>
    <v>335.22</v>
  </a>
  <a r="1" c="58">
    <v>290.88</v>
    <v>273.75</v>
    <v>268.33</v>
    <v>273.33999999999997</v>
    <v>277.69</v>
    <v>274.18</v>
    <v>255.3</v>
    <v>267.98</v>
    <v>268.3</v>
    <v>269.05500000000001</v>
    <v>266.52999999999997</v>
    <v>265.33</v>
    <v>282</v>
    <v>283.8</v>
    <v>291.91000000000003</v>
    <v>294.18</v>
    <v>282.45999999999998</v>
    <v>267.39999999999998</v>
    <v>265.23</v>
    <v>267.45</v>
    <v>247.66</v>
    <v>242.33</v>
    <v>250.58</v>
    <v>237.24</v>
    <v>243.93</v>
    <v>251.04</v>
    <v>235.74</v>
    <v>247.99</v>
    <v>247</v>
    <v>248.7</v>
    <v>256.12</v>
    <v>253.81899999999999</v>
    <v>263.91500000000002</v>
    <v>245.61500000000001</v>
    <v>241.92</v>
    <v>245.75</v>
    <v>239.9</v>
    <v>242.38</v>
    <v>249.83</v>
    <v>264.69</v>
    <v>276.76</v>
    <v>274.97000000000003</v>
    <v>256.83999999999997</v>
    <v>255.62</v>
    <v>260.12</v>
    <v>283.33</v>
    <v>281.06</v>
    <v>289.27</v>
    <v>292.08</v>
    <v>289.89999999999998</v>
    <v>291.755</v>
    <v>308.93</v>
    <v>311.97000000000003</v>
    <v>313</v>
    <v>319.04000000000002</v>
    <v>333.4</v>
    <v>337.5</v>
    <v>338.55990000000003</v>
  </a>
  <a r="1" c="58">
    <v>271.27</v>
    <v>250.02</v>
    <v>246.44</v>
    <v>253.43</v>
    <v>261.60000000000002</v>
    <v>252.53</v>
    <v>241.51</v>
    <v>249.51</v>
    <v>252.9</v>
    <v>254.74</v>
    <v>245.94</v>
    <v>253.3</v>
    <v>249.57</v>
    <v>272.38</v>
    <v>277.61</v>
    <v>285.56</v>
    <v>267.98</v>
    <v>254.47</v>
    <v>251.94</v>
    <v>242.06270000000001</v>
    <v>235.2</v>
    <v>232.73</v>
    <v>233.17</v>
    <v>219.13</v>
    <v>234.29</v>
    <v>225.78</v>
    <v>213.43100000000001</v>
    <v>221.28</v>
    <v>237.63</v>
    <v>240.71</v>
    <v>238.21</v>
    <v>242.20500000000001</v>
    <v>243.51</v>
    <v>233.87</v>
    <v>234.17</v>
    <v>219.35</v>
    <v>226.41</v>
    <v>230.68</v>
    <v>230.9</v>
    <v>242.2</v>
    <v>254.78</v>
    <v>256</v>
    <v>248.1</v>
    <v>245.61</v>
    <v>247.6</v>
    <v>245.73</v>
    <v>269.51909999999998</v>
    <v>272.04509999999999</v>
    <v>282.02999999999997</v>
    <v>281.64</v>
    <v>283.06079999999997</v>
    <v>275.37</v>
    <v>303.39999999999998</v>
    <v>306.08999999999997</v>
    <v>307.58999999999997</v>
    <v>312.61</v>
    <v>324.72000000000003</v>
    <v>334.6601</v>
  </a>
  <a r="1" c="58">
    <v>175769738</v>
    <v>221997169</v>
    <v>164627282</v>
    <v>142680141</v>
    <v>135187036</v>
    <v>120518929</v>
    <v>184152944</v>
    <v>115674192</v>
    <v>126633760</v>
    <v>87314678</v>
    <v>139761854</v>
    <v>113061843</v>
    <v>172010083</v>
    <v>102685912</v>
    <v>109536514</v>
    <v>92198119</v>
    <v>104858212</v>
    <v>114016260</v>
    <v>87868043</v>
    <v>147336678</v>
    <v>147349997</v>
    <v>146921666</v>
    <v>142125397</v>
    <v>154871905</v>
    <v>122568305</v>
    <v>223443932</v>
    <v>170779529</v>
    <v>170431704</v>
    <v>137343796</v>
    <v>74769633</v>
    <v>137930867</v>
    <v>109602043</v>
    <v>229942973</v>
    <v>128396491</v>
    <v>75591158</v>
    <v>159562627</v>
    <v>131675747</v>
    <v>123872791</v>
    <v>198648466</v>
    <v>152686042</v>
    <v>196239002</v>
    <v>170244679</v>
    <v>105098500</v>
    <v>126840033</v>
    <v>117910562</v>
    <v>237347572</v>
    <v>177709524</v>
    <v>131625277</v>
    <v>102542745</v>
    <v>122993610</v>
    <v>106069089</v>
    <v>219914683</v>
    <v>120776259</v>
    <v>124192361</v>
    <v>122204598</v>
    <v>158230100</v>
    <v>128101243</v>
    <v>21307053</v>
  </a>
</arrayData>
</file>

<file path=xl/richData/rdrichvalue.xml><?xml version="1.0" encoding="utf-8"?>
<rvData xmlns="http://schemas.microsoft.com/office/spreadsheetml/2017/richdata" count="472">
  <rv s="0">
    <v>https://www.bing.com/financeapi/forcetrigger?t=apn4gh&amp;q=BVMF%3aPETR4&amp;form=skydnc</v>
    <v>Learn more on Bing</v>
  </rv>
  <rv s="1">
    <v>pt-BR</v>
    <v>apn4gh</v>
    <v>268435456</v>
    <v>1</v>
    <v>Da plataforma Refinitiv</v>
    <v>0</v>
    <v>1</v>
    <v>Petróleo Brasileiro S.A. (Petrobras) (BVMF:PETR4)</v>
    <v>3</v>
    <v>4</v>
    <v>Finance</v>
    <v>5</v>
    <v>30.06</v>
    <v>16.52</v>
    <v>BVMF</v>
    <v>13044500000</v>
    <v>28.16</v>
    <v>1953</v>
    <v>27.21</v>
    <v>1.427</v>
    <v>B3 - Brazil Stock Exchange</v>
    <v>381701600000</v>
    <v>A PETRÓLEO BRASILEIRO S.A. - PETROBRAS é uma empresa especializada na indústria de petróleo, gás natural e energia. A Empresa está envolvida na prospecção, perfuração, refinação, transformação, comercialização e transporte de petróleo bruto proveniente da produção de campos petrolíferos onshore e offshore e de xisto ou outras rochas. Seus segmentos incluem Exploração e Produção, que abrange as atividades de exploração, desenvolvimento e produção de petróleo bruto, gás natural líquido e gás natural; Refinação, Transporte e Marketing, que abrange as atividades de refinação, logística, transporte e comercialização de petróleo, exportação de etanol e extração e processamento de xistos; Gás e Energia, que se dedica ao transporte e comercialização de gás natural produzido no Brasil e gás natural importado; Biocombustíveis, que abrange as atividades de produção de biodiesel e seus co-produtos, e atividades relacionadas ao etanol; Distribuição, que inclui as atividades de sua subsidiária Petrobras Distribuidora S.A. e Corporativa.</v>
    <v>BVMF</v>
    <v>27.47</v>
    <v>45149</v>
    <v>45083.764727152346</v>
    <v>0</v>
    <v>45417660</v>
    <v>BRL</v>
    <v>Petróleo Brasileiro S.A. (Petrobras)</v>
    <v>Petróleo Brasileiro S.A. (Petrobras)</v>
    <v>27.45</v>
    <v>28</v>
    <v>Av. Republica do Chile, n 65, 24 andar, Centro, Rio de Janeiro, RIO DE JANEIRO, 20.031-912 BR</v>
    <v>Oil &amp; Gas</v>
    <v>PETR4</v>
    <v>Ações</v>
    <v>Petróleo Brasileiro S.A. (Petrobras) (BVMF:PETR4)</v>
    <v>0.53</v>
    <v>1.9293999999999999E-2</v>
    <v>58056100</v>
  </rv>
  <rv s="2">
    <v>1</v>
  </rv>
  <rv s="3">
    <fb>45048</fb>
    <v>6</v>
  </rv>
  <rv s="3">
    <fb>23.7</fb>
    <v>7</v>
  </rv>
  <rv s="3">
    <fb>23.74</fb>
    <v>7</v>
  </rv>
  <rv s="3">
    <fb>22.64</fb>
    <v>7</v>
  </rv>
  <rv s="3">
    <fb>22.74</fb>
    <v>7</v>
  </rv>
  <rv s="3">
    <fb>67556900</fb>
    <v>8</v>
  </rv>
  <rv s="3">
    <fb>45049</fb>
    <v>6</v>
  </rv>
  <rv s="3">
    <fb>22.6</fb>
    <v>7</v>
  </rv>
  <rv s="3">
    <fb>22.99</fb>
    <v>7</v>
  </rv>
  <rv s="3">
    <fb>22.42</fb>
    <v>7</v>
  </rv>
  <rv s="3">
    <fb>22.66</fb>
    <v>7</v>
  </rv>
  <rv s="3">
    <fb>50965500</fb>
    <v>8</v>
  </rv>
  <rv s="3">
    <fb>45050</fb>
    <v>6</v>
  </rv>
  <rv s="3">
    <fb>22.89</fb>
    <v>7</v>
  </rv>
  <rv s="3">
    <fb>23.38</fb>
    <v>7</v>
  </rv>
  <rv s="3">
    <fb>22.61</fb>
    <v>7</v>
  </rv>
  <rv s="3">
    <fb>23.02</fb>
    <v>7</v>
  </rv>
  <rv s="3">
    <fb>57772200</fb>
    <v>8</v>
  </rv>
  <rv s="3">
    <fb>45051</fb>
    <v>6</v>
  </rv>
  <rv s="3">
    <fb>23.3</fb>
    <v>7</v>
  </rv>
  <rv s="3">
    <fb>24.17</fb>
    <v>7</v>
  </rv>
  <rv s="3">
    <fb>23.18</fb>
    <v>7</v>
  </rv>
  <rv s="3">
    <fb>24</fb>
    <v>7</v>
  </rv>
  <rv s="3">
    <fb>83124700</fb>
    <v>8</v>
  </rv>
  <rv s="3">
    <fb>45054</fb>
    <v>6</v>
  </rv>
  <rv s="3">
    <fb>24.45</fb>
    <v>7</v>
  </rv>
  <rv s="3">
    <fb>24.63</fb>
    <v>7</v>
  </rv>
  <rv s="3">
    <fb>24.21</fb>
    <v>7</v>
  </rv>
  <rv s="3">
    <fb>24.51</fb>
    <v>7</v>
  </rv>
  <rv s="3">
    <fb>59179200</fb>
    <v>8</v>
  </rv>
  <rv s="3">
    <fb>45055</fb>
    <v>6</v>
  </rv>
  <rv s="3">
    <fb>24.41</fb>
    <v>7</v>
  </rv>
  <rv s="3">
    <fb>24.8</fb>
    <v>7</v>
  </rv>
  <rv s="3">
    <fb>24.24</fb>
    <v>7</v>
  </rv>
  <rv s="3">
    <fb>24.59</fb>
    <v>7</v>
  </rv>
  <rv s="3">
    <fb>33712700</fb>
    <v>8</v>
  </rv>
  <rv s="3">
    <fb>45056</fb>
    <v>6</v>
  </rv>
  <rv s="3">
    <fb>24.82</fb>
    <v>7</v>
  </rv>
  <rv s="3">
    <fb>24.33</fb>
    <v>7</v>
  </rv>
  <rv s="3">
    <fb>24.53</fb>
    <v>7</v>
  </rv>
  <rv s="3">
    <fb>41346300</fb>
    <v>8</v>
  </rv>
  <rv s="3">
    <fb>45057</fb>
    <v>6</v>
  </rv>
  <rv s="3">
    <fb>24.13</fb>
    <v>7</v>
  </rv>
  <rv s="3">
    <fb>25.48</fb>
    <v>7</v>
  </rv>
  <rv s="3">
    <fb>23.93</fb>
    <v>7</v>
  </rv>
  <rv s="3">
    <fb>25.43</fb>
    <v>7</v>
  </rv>
  <rv s="3">
    <fb>136305900</fb>
    <v>8</v>
  </rv>
  <rv s="3">
    <fb>45058</fb>
    <v>6</v>
  </rv>
  <rv s="3">
    <fb>25.58</fb>
    <v>7</v>
  </rv>
  <rv s="3">
    <fb>26.74</fb>
    <v>7</v>
  </rv>
  <rv s="3">
    <fb>26.25</fb>
    <v>7</v>
  </rv>
  <rv s="3">
    <fb>117050200</fb>
    <v>8</v>
  </rv>
  <rv s="3">
    <fb>45061</fb>
    <v>6</v>
  </rv>
  <rv s="3">
    <fb>26.06</fb>
    <v>7</v>
  </rv>
  <rv s="3">
    <fb>26.15</fb>
    <v>7</v>
  </rv>
  <rv s="3">
    <fb>25.4</fb>
    <v>7</v>
  </rv>
  <rv s="3">
    <fb>25.66</fb>
    <v>7</v>
  </rv>
  <rv s="3">
    <fb>81864400</fb>
    <v>8</v>
  </rv>
  <rv s="3">
    <fb>45062</fb>
    <v>6</v>
  </rv>
  <rv s="3">
    <fb>26.11</fb>
    <v>7</v>
  </rv>
  <rv s="3">
    <fb>27.03</fb>
    <v>7</v>
  </rv>
  <rv s="3">
    <fb>26.08</fb>
    <v>7</v>
  </rv>
  <rv s="3">
    <fb>26.3</fb>
    <v>7</v>
  </rv>
  <rv s="3">
    <fb>117199600</fb>
    <v>8</v>
  </rv>
  <rv s="3">
    <fb>45063</fb>
    <v>6</v>
  </rv>
  <rv s="3">
    <fb>26.6</fb>
    <v>7</v>
  </rv>
  <rv s="3">
    <fb>26.76</fb>
    <v>7</v>
  </rv>
  <rv s="3">
    <fb>25.51</fb>
    <v>7</v>
  </rv>
  <rv s="3">
    <fb>106826400</fb>
    <v>8</v>
  </rv>
  <rv s="3">
    <fb>45064</fb>
    <v>6</v>
  </rv>
  <rv s="3">
    <fb>25.59</fb>
    <v>7</v>
  </rv>
  <rv s="3">
    <fb>25.85</fb>
    <v>7</v>
  </rv>
  <rv s="3">
    <fb>25.35</fb>
    <v>7</v>
  </rv>
  <rv s="3">
    <fb>25.81</fb>
    <v>7</v>
  </rv>
  <rv s="3">
    <fb>62821200</fb>
    <v>8</v>
  </rv>
  <rv s="3">
    <fb>45065</fb>
    <v>6</v>
  </rv>
  <rv s="3">
    <fb>26.18</fb>
    <v>7</v>
  </rv>
  <rv s="3">
    <fb>25.64</fb>
    <v>7</v>
  </rv>
  <rv s="3">
    <fb>25.92</fb>
    <v>7</v>
  </rv>
  <rv s="3">
    <fb>68059400</fb>
    <v>8</v>
  </rv>
  <rv s="3">
    <fb>45068</fb>
    <v>6</v>
  </rv>
  <rv s="3">
    <fb>25.88</fb>
    <v>7</v>
  </rv>
  <rv s="3">
    <fb>26.01</fb>
    <v>7</v>
  </rv>
  <rv s="3">
    <fb>25.5</fb>
    <v>7</v>
  </rv>
  <rv s="3">
    <fb>25.62</fb>
    <v>7</v>
  </rv>
  <rv s="3">
    <fb>37756200</fb>
    <v>8</v>
  </rv>
  <rv s="3">
    <fb>45069</fb>
    <v>6</v>
  </rv>
  <rv s="3">
    <fb>25.65</fb>
    <v>7</v>
  </rv>
  <rv s="3">
    <fb>26.43</fb>
    <v>7</v>
  </rv>
  <rv s="3">
    <fb>25.52</fb>
    <v>7</v>
  </rv>
  <rv s="3">
    <fb>57844100</fb>
    <v>8</v>
  </rv>
  <rv s="3">
    <fb>45070</fb>
    <v>6</v>
  </rv>
  <rv s="3">
    <fb>26.9</fb>
    <v>7</v>
  </rv>
  <rv s="3">
    <fb>26.05</fb>
    <v>7</v>
  </rv>
  <rv s="3">
    <fb>26.65</fb>
    <v>7</v>
  </rv>
  <rv s="3">
    <fb>54639300</fb>
    <v>8</v>
  </rv>
  <rv s="3">
    <fb>45071</fb>
    <v>6</v>
  </rv>
  <rv s="3">
    <fb>26.8</fb>
    <v>7</v>
  </rv>
  <rv s="3">
    <fb>26.84</fb>
    <v>7</v>
  </rv>
  <rv s="3">
    <fb>26.19</fb>
    <v>7</v>
  </rv>
  <rv s="3">
    <fb>26.45</fb>
    <v>7</v>
  </rv>
  <rv s="3">
    <fb>49026400</fb>
    <v>8</v>
  </rv>
  <rv s="3">
    <fb>45072</fb>
    <v>6</v>
  </rv>
  <rv s="3">
    <fb>26.81</fb>
    <v>7</v>
  </rv>
  <rv s="3">
    <fb>26.91</fb>
    <v>7</v>
  </rv>
  <rv s="3">
    <fb>26.53</fb>
    <v>7</v>
  </rv>
  <rv s="3">
    <fb>39809900</fb>
    <v>8</v>
  </rv>
  <rv s="3">
    <fb>45075</fb>
    <v>6</v>
  </rv>
  <rv s="3">
    <fb>26.75</fb>
    <v>7</v>
  </rv>
  <rv s="3">
    <fb>26.82</fb>
    <v>7</v>
  </rv>
  <rv s="3">
    <fb>26.56</fb>
    <v>7</v>
  </rv>
  <rv s="3">
    <fb>26.69</fb>
    <v>7</v>
  </rv>
  <rv s="3">
    <fb>17917700</fb>
    <v>8</v>
  </rv>
  <rv s="3">
    <fb>45076</fb>
    <v>6</v>
  </rv>
  <rv s="3">
    <fb>26.72</fb>
    <v>7</v>
  </rv>
  <rv s="3">
    <fb>26.26</fb>
    <v>7</v>
  </rv>
  <rv s="3">
    <fb>26.39</fb>
    <v>7</v>
  </rv>
  <rv s="3">
    <fb>45649600</fb>
    <v>8</v>
  </rv>
  <rv s="0">
    <v>http://en.wikipedia.org/wiki/Public_domain</v>
    <v>Public domain</v>
  </rv>
  <rv s="0">
    <v>https://en.wikipedia.org/wiki/Microsoft</v>
    <v>Wikipedia</v>
  </rv>
  <rv s="4">
    <v>121</v>
    <v>122</v>
  </rv>
  <rv s="5">
    <v>15</v>
    <v>https://www.bing.com/th?id=AMMS_e6e837c7bf3a77408619758b7447855a&amp;qlt=95</v>
    <v>123</v>
    <v>0</v>
    <v>https://www.bing.com/images/search?form=xlimg&amp;q=microsoft</v>
    <v>Image of MICROSOFT CORPORATION</v>
  </rv>
  <rv s="0">
    <v>https://www.bing.com/financeapi/forcetrigger?t=a1xzim&amp;q=XNAS%3aMSFT&amp;form=skydnc</v>
    <v>Learn more on Bing</v>
  </rv>
  <rv s="6">
    <v>pt-BR</v>
    <v>a1xzim</v>
    <v>268435456</v>
    <v>1</v>
    <v>Da plataforma Refinitiv</v>
    <v>9</v>
    <v>10</v>
    <v>MICROSOFT CORPORATION (XNAS:MSFT)</v>
    <v>12</v>
    <v>13</v>
    <v>Finance</v>
    <v>14</v>
    <v>338.55990000000003</v>
    <v>213.43100000000001</v>
    <v>XNAS</v>
    <v>7435488000</v>
    <v>335.37</v>
    <v>1993</v>
    <v>332.17</v>
    <v>0.92589999999999995</v>
    <v>Nasdaq Stock Market</v>
    <v>2479772425440</v>
    <v>A MICROSOFT CORPORATION é uma empresa de tecnologia. A Empresa desenvolve, licencia e oferece suporte a uma gama de produtos de software, serviços e dispositivos. Seus segmentos são Produtividade e Processos de Negócio, Nuvem Inteligente e Outras Soluções de Computação Pessoal. Seus produtos incluem sistemas operacionais; aplicativos de produtividade de dispositivos cruzados; aplicativos de servidor; aplicativos de soluções de negócio; ferramentas de gerenciamento de desktop e servidor; ferramentas de desenvolvimento de software; videojogos, e treinamento e certificação de integradores e desenvolvedores de sistemas de computador. Ela também projeta, fabrica e vende dispositivos, incluindo computadores pessoais, tablets, consoles para jogos e entretenimento, telefones, outros dispositivos inteligentes e acessórios relacionados, que se integram com suas ofertas baseadas em nuvem. Ela oferece uma variedade de serviços, incluindo soluções baseadas em nuvem, que fornecem aos clientes software, serviços, plataformas e conteúdo, além de oferecer serviços de suporte e consultoria de soluções. Ela também oferece publicidade online.</v>
    <v>XNAS</v>
    <v>335.94</v>
    <v>221000</v>
    <v>45083.775156423435</v>
    <v>124</v>
    <v>125</v>
    <v>26992465</v>
    <v>USD</v>
    <v>MICROSOFT CORPORATION</v>
    <v>MICROSOFT CORPORATION</v>
    <v>36.4129</v>
    <v>335.3</v>
    <v>333.505</v>
    <v>One Microsoft Way, REDMOND, WA, 98052-6399 US</v>
    <v>Software &amp; IT Services</v>
    <v>MSFT</v>
    <v>Ações</v>
    <v>MICROSOFT CORPORATION (XNAS:MSFT)</v>
    <v>-2.4350000000000001</v>
    <v>-7.2480000000000001E-3</v>
    <v>13562908</v>
  </rv>
  <rv s="2">
    <v>126</v>
  </rv>
  <rv s="3">
    <fb>44683</fb>
    <v>6</v>
  </rv>
  <rv s="3">
    <fb>274.73</fb>
    <v>16</v>
  </rv>
  <rv s="3">
    <fb>277.70999999999998</fb>
    <v>16</v>
  </rv>
  <rv s="3">
    <fb>290.88</fb>
    <v>16</v>
  </rv>
  <rv s="3">
    <fb>271.27</fb>
    <v>16</v>
  </rv>
  <rv s="3">
    <fb>175769738</fb>
    <v>8</v>
  </rv>
  <rv s="3">
    <fb>44690</fb>
    <v>6</v>
  </rv>
  <rv s="3">
    <fb>261.12</fb>
    <v>16</v>
  </rv>
  <rv s="3">
    <fb>270.06</fb>
    <v>16</v>
  </rv>
  <rv s="3">
    <fb>273.75</fb>
    <v>16</v>
  </rv>
  <rv s="3">
    <fb>250.02</fb>
    <v>16</v>
  </rv>
  <rv s="3">
    <fb>221997169</fb>
    <v>8</v>
  </rv>
  <rv s="3">
    <fb>44697</fb>
    <v>6</v>
  </rv>
  <rv s="3">
    <fb>252.56</fb>
    <v>16</v>
  </rv>
  <rv s="3">
    <fb>259.95499999999998</fb>
    <v>16</v>
  </rv>
  <rv s="3">
    <fb>268.33</fb>
    <v>16</v>
  </rv>
  <rv s="3">
    <fb>246.44</fb>
    <v>16</v>
  </rv>
  <rv s="3">
    <fb>164627282</fb>
    <v>8</v>
  </rv>
  <rv s="3">
    <fb>44704</fb>
    <v>6</v>
  </rv>
  <rv s="3">
    <fb>273.24</fb>
    <v>16</v>
  </rv>
  <rv s="3">
    <fb>255.49</fb>
    <v>16</v>
  </rv>
  <rv s="3">
    <fb>273.33999999999997</fb>
    <v>16</v>
  </rv>
  <rv s="3">
    <fb>253.43</fb>
    <v>16</v>
  </rv>
  <rv s="3">
    <fb>142680141</fb>
    <v>8</v>
  </rv>
  <rv s="3">
    <fb>44712</fb>
    <v>6</v>
  </rv>
  <rv s="3">
    <fb>270.02</fb>
    <v>16</v>
  </rv>
  <rv s="3">
    <fb>272.52999999999997</fb>
    <v>16</v>
  </rv>
  <rv s="3">
    <fb>277.69</fb>
    <v>16</v>
  </rv>
  <rv s="3">
    <fb>261.60000000000002</fb>
    <v>16</v>
  </rv>
  <rv s="3">
    <fb>135187036</fb>
    <v>8</v>
  </rv>
  <rv s="3">
    <fb>44718</fb>
    <v>6</v>
  </rv>
  <rv s="3">
    <fb>252.99</fb>
    <v>16</v>
  </rv>
  <rv s="3">
    <fb>272.06</fb>
    <v>16</v>
  </rv>
  <rv s="3">
    <fb>274.18</fb>
    <v>16</v>
  </rv>
  <rv s="3">
    <fb>252.53</fb>
    <v>16</v>
  </rv>
  <rv s="3">
    <fb>120518929</fb>
    <v>8</v>
  </rv>
  <rv s="3">
    <fb>44725</fb>
    <v>6</v>
  </rv>
  <rv s="3">
    <fb>247.65</fb>
    <v>16</v>
  </rv>
  <rv s="3">
    <fb>245.11</fb>
    <v>16</v>
  </rv>
  <rv s="3">
    <fb>255.3</fb>
    <v>16</v>
  </rv>
  <rv s="3">
    <fb>241.51</fb>
    <v>16</v>
  </rv>
  <rv s="3">
    <fb>184152944</fb>
    <v>8</v>
  </rv>
  <rv s="3">
    <fb>44733</fb>
    <v>6</v>
  </rv>
  <rv s="3">
    <fb>267.7</fb>
    <v>16</v>
  </rv>
  <rv s="3">
    <fb>250.255</fb>
    <v>16</v>
  </rv>
  <rv s="3">
    <fb>267.98</fb>
    <v>16</v>
  </rv>
  <rv s="3">
    <fb>249.51</fb>
    <v>16</v>
  </rv>
  <rv s="3">
    <fb>115674192</fb>
    <v>8</v>
  </rv>
  <rv s="3">
    <fb>44739</fb>
    <v>6</v>
  </rv>
  <rv s="3">
    <fb>259.58</fb>
    <v>16</v>
  </rv>
  <rv s="3">
    <fb>268.20499999999998</fb>
    <v>16</v>
  </rv>
  <rv s="3">
    <fb>268.3</fb>
    <v>16</v>
  </rv>
  <rv s="3">
    <fb>252.9</fb>
    <v>16</v>
  </rv>
  <rv s="3">
    <fb>126633760</fb>
    <v>8</v>
  </rv>
  <rv s="3">
    <fb>44747</fb>
    <v>6</v>
  </rv>
  <rv s="3">
    <fb>267.66000000000003</fb>
    <v>16</v>
  </rv>
  <rv s="3">
    <fb>256.16000000000003</fb>
    <v>16</v>
  </rv>
  <rv s="3">
    <fb>269.05500000000001</fb>
    <v>16</v>
  </rv>
  <rv s="3">
    <fb>254.74</fb>
    <v>16</v>
  </rv>
  <rv s="3">
    <fb>87314678</fb>
    <v>8</v>
  </rv>
  <rv s="3">
    <fb>44753</fb>
    <v>6</v>
  </rv>
  <rv s="3">
    <fb>256.72000000000003</fb>
    <v>16</v>
  </rv>
  <rv s="3">
    <fb>265.64999999999998</fb>
    <v>16</v>
  </rv>
  <rv s="3">
    <fb>266.52999999999997</fb>
    <v>16</v>
  </rv>
  <rv s="3">
    <fb>245.94</fb>
    <v>16</v>
  </rv>
  <rv s="3">
    <fb>139761854</fb>
    <v>8</v>
  </rv>
  <rv s="3">
    <fb>44760</fb>
    <v>6</v>
  </rv>
  <rv s="3">
    <fb>260.36</fb>
    <v>16</v>
  </rv>
  <rv s="3">
    <fb>259.75</fb>
    <v>16</v>
  </rv>
  <rv s="3">
    <fb>265.33</fb>
    <v>16</v>
  </rv>
  <rv s="3">
    <fb>253.3</fb>
    <v>16</v>
  </rv>
  <rv s="3">
    <fb>113061843</fb>
    <v>8</v>
  </rv>
  <rv s="3">
    <fb>44767</fb>
    <v>6</v>
  </rv>
  <rv s="3">
    <fb>280.74</fb>
    <v>16</v>
  </rv>
  <rv s="3">
    <fb>260.995</fb>
    <v>16</v>
  </rv>
  <rv s="3">
    <fb>282</fb>
    <v>16</v>
  </rv>
  <rv s="3">
    <fb>249.57</fb>
    <v>16</v>
  </rv>
  <rv s="3">
    <fb>172010083</fb>
    <v>8</v>
  </rv>
  <rv s="3">
    <fb>44774</fb>
    <v>6</v>
  </rv>
  <rv s="3">
    <fb>282.91000000000003</fb>
    <v>16</v>
  </rv>
  <rv s="3">
    <fb>277.82</fb>
    <v>16</v>
  </rv>
  <rv s="3">
    <fb>283.8</fb>
    <v>16</v>
  </rv>
  <rv s="3">
    <fb>272.38</fb>
    <v>16</v>
  </rv>
  <rv s="3">
    <fb>102685912</fb>
    <v>8</v>
  </rv>
  <rv s="3">
    <fb>44781</fb>
    <v>6</v>
  </rv>
  <rv s="3">
    <fb>291.91000000000003</fb>
    <v>16</v>
  </rv>
  <rv s="3">
    <fb>284.05</fb>
    <v>16</v>
  </rv>
  <rv s="3">
    <fb>277.61</fb>
    <v>16</v>
  </rv>
  <rv s="3">
    <fb>109536514</fb>
    <v>8</v>
  </rv>
  <rv s="3">
    <fb>44788</fb>
    <v>6</v>
  </rv>
  <rv s="3">
    <fb>286.14999999999998</fb>
    <v>16</v>
  </rv>
  <rv s="3">
    <fb>291</fb>
    <v>16</v>
  </rv>
  <rv s="3">
    <fb>294.18</fb>
    <v>16</v>
  </rv>
  <rv s="3">
    <fb>285.56</fb>
    <v>16</v>
  </rv>
  <rv s="3">
    <fb>92198119</fb>
    <v>8</v>
  </rv>
  <rv s="3">
    <fb>44795</fb>
    <v>6</v>
  </rv>
  <rv s="3">
    <fb>268.08999999999997</fb>
    <v>16</v>
  </rv>
  <rv s="3">
    <fb>282.08</fb>
    <v>16</v>
  </rv>
  <rv s="3">
    <fb>282.45999999999998</fb>
    <v>16</v>
  </rv>
  <rv s="3">
    <fb>104858212</fb>
    <v>8</v>
  </rv>
  <rv s="3">
    <fb>44802</fb>
    <v>6</v>
  </rv>
  <rv s="3">
    <fb>256.06</fb>
    <v>16</v>
  </rv>
  <rv s="3">
    <fb>265.85000000000002</fb>
    <v>16</v>
  </rv>
  <rv s="3">
    <fb>267.39999999999998</fb>
    <v>16</v>
  </rv>
  <rv s="3">
    <fb>254.47</fb>
    <v>16</v>
  </rv>
  <rv s="3">
    <fb>114016260</fb>
    <v>8</v>
  </rv>
  <rv s="3">
    <fb>44810</fb>
    <v>6</v>
  </rv>
  <rv s="3">
    <fb>264.45999999999998</fb>
    <v>16</v>
  </rv>
  <rv s="3">
    <fb>256.2</fb>
    <v>16</v>
  </rv>
  <rv s="3">
    <fb>265.23</fb>
    <v>16</v>
  </rv>
  <rv s="3">
    <fb>251.94</fb>
    <v>16</v>
  </rv>
  <rv s="3">
    <fb>87868043</fb>
    <v>8</v>
  </rv>
  <rv s="3">
    <fb>44816</fb>
    <v>6</v>
  </rv>
  <rv s="3">
    <fb>244.74</fb>
    <v>16</v>
  </rv>
  <rv s="3">
    <fb>265.77999999999997</fb>
    <v>16</v>
  </rv>
  <rv s="3">
    <fb>267.45</fb>
    <v>16</v>
  </rv>
  <rv s="3">
    <fb>242.06270000000001</fb>
    <v>16</v>
  </rv>
  <rv s="3">
    <fb>147336678</fb>
    <v>8</v>
  </rv>
  <rv s="3">
    <fb>44823</fb>
    <v>6</v>
  </rv>
  <rv s="3">
    <fb>237.92</fb>
    <v>16</v>
  </rv>
  <rv s="3">
    <fb>242.465</fb>
    <v>16</v>
  </rv>
  <rv s="3">
    <fb>247.66</fb>
    <v>16</v>
  </rv>
  <rv s="3">
    <fb>235.2</fb>
    <v>16</v>
  </rv>
  <rv s="3">
    <fb>147349997</fb>
    <v>8</v>
  </rv>
  <rv s="3">
    <fb>44830</fb>
    <v>6</v>
  </rv>
  <rv s="3">
    <fb>232.9</fb>
    <v>16</v>
  </rv>
  <rv s="3">
    <fb>237.04499999999999</fb>
    <v>16</v>
  </rv>
  <rv s="3">
    <fb>242.33</fb>
    <v>16</v>
  </rv>
  <rv s="3">
    <fb>232.73</fb>
    <v>16</v>
  </rv>
  <rv s="3">
    <fb>146921666</fb>
    <v>8</v>
  </rv>
  <rv s="3">
    <fb>44837</fb>
    <v>6</v>
  </rv>
  <rv s="3">
    <fb>234.24</fb>
    <v>16</v>
  </rv>
  <rv s="3">
    <fb>235.41</fb>
    <v>16</v>
  </rv>
  <rv s="3">
    <fb>250.58</fb>
    <v>16</v>
  </rv>
  <rv s="3">
    <fb>233.17</fb>
    <v>16</v>
  </rv>
  <rv s="3">
    <fb>142125397</fb>
    <v>8</v>
  </rv>
  <rv s="3">
    <fb>44844</fb>
    <v>6</v>
  </rv>
  <rv s="3">
    <fb>228.56</fb>
    <v>16</v>
  </rv>
  <rv s="3">
    <fb>233.05</fb>
    <v>16</v>
  </rv>
  <rv s="3">
    <fb>237.24</fb>
    <v>16</v>
  </rv>
  <rv s="3">
    <fb>219.13</fb>
    <v>16</v>
  </rv>
  <rv s="3">
    <fb>154871905</fb>
    <v>8</v>
  </rv>
  <rv s="3">
    <fb>44851</fb>
    <v>6</v>
  </rv>
  <rv s="3">
    <fb>242.12</fb>
    <v>16</v>
  </rv>
  <rv s="3">
    <fb>235.82</fb>
    <v>16</v>
  </rv>
  <rv s="3">
    <fb>243.93</fb>
    <v>16</v>
  </rv>
  <rv s="3">
    <fb>234.29</fb>
    <v>16</v>
  </rv>
  <rv s="3">
    <fb>122568305</fb>
    <v>8</v>
  </rv>
  <rv s="3">
    <fb>44858</fb>
    <v>6</v>
  </rv>
  <rv s="3">
    <fb>235.87</fb>
    <v>16</v>
  </rv>
  <rv s="3">
    <fb>243.76</fb>
    <v>16</v>
  </rv>
  <rv s="3">
    <fb>251.04</fb>
    <v>16</v>
  </rv>
  <rv s="3">
    <fb>225.78</fb>
    <v>16</v>
  </rv>
  <rv s="3">
    <fb>223443932</fb>
    <v>8</v>
  </rv>
  <rv s="3">
    <fb>44865</fb>
    <v>6</v>
  </rv>
  <rv s="3">
    <fb>221.39</fb>
    <v>16</v>
  </rv>
  <rv s="3">
    <fb>233.76</fb>
    <v>16</v>
  </rv>
  <rv s="3">
    <fb>235.74</fb>
    <v>16</v>
  </rv>
  <rv s="3">
    <fb>213.43100000000001</fb>
    <v>16</v>
  </rv>
  <rv s="3">
    <fb>170779529</fb>
    <v>8</v>
  </rv>
  <rv s="3">
    <fb>44872</fb>
    <v>6</v>
  </rv>
  <rv s="3">
    <fb>247.11</fb>
    <v>16</v>
  </rv>
  <rv s="3">
    <fb>221.99</fb>
    <v>16</v>
  </rv>
  <rv s="3">
    <fb>247.99</fb>
    <v>16</v>
  </rv>
  <rv s="3">
    <fb>221.28</fb>
    <v>16</v>
  </rv>
  <rv s="3">
    <fb>170431704</fb>
    <v>8</v>
  </rv>
  <rv s="3">
    <fb>44879</fb>
    <v>6</v>
  </rv>
  <rv s="3">
    <fb>241.22</fb>
    <v>16</v>
  </rv>
  <rv s="3">
    <fb>241.98500000000001</fb>
    <v>16</v>
  </rv>
  <rv s="3">
    <fb>247</fb>
    <v>16</v>
  </rv>
  <rv s="3">
    <fb>237.63</fb>
    <v>16</v>
  </rv>
  <rv s="3">
    <fb>137343796</fb>
    <v>8</v>
  </rv>
  <rv s="3">
    <fb>44886</fb>
    <v>6</v>
  </rv>
  <rv s="3">
    <fb>247.49</fb>
    <v>16</v>
  </rv>
  <rv s="3">
    <fb>241.43</fb>
    <v>16</v>
  </rv>
  <rv s="3">
    <fb>248.7</fb>
    <v>16</v>
  </rv>
  <rv s="3">
    <fb>240.71</fb>
    <v>16</v>
  </rv>
  <rv s="3">
    <fb>74769633</fb>
    <v>8</v>
  </rv>
  <rv s="3">
    <fb>44893</fb>
    <v>6</v>
  </rv>
  <rv s="3">
    <fb>255.02</fb>
    <v>16</v>
  </rv>
  <rv s="3">
    <fb>246.08</fb>
    <v>16</v>
  </rv>
  <rv s="3">
    <fb>256.12</fb>
    <v>16</v>
  </rv>
  <rv s="3">
    <fb>238.21</fb>
    <v>16</v>
  </rv>
  <rv s="3">
    <fb>137930867</fb>
    <v>8</v>
  </rv>
  <rv s="3">
    <fb>44900</fb>
    <v>6</v>
  </rv>
  <rv s="3">
    <fb>245.42</fb>
    <v>16</v>
  </rv>
  <rv s="3">
    <fb>252.01</fb>
    <v>16</v>
  </rv>
  <rv s="3">
    <fb>253.81899999999999</fb>
    <v>16</v>
  </rv>
  <rv s="3">
    <fb>242.20500000000001</fb>
    <v>16</v>
  </rv>
  <rv s="3">
    <fb>109602043</fb>
    <v>8</v>
  </rv>
  <rv s="3">
    <fb>44907</fb>
    <v>6</v>
  </rv>
  <rv s="3">
    <fb>244.69</fb>
    <v>16</v>
  </rv>
  <rv s="3">
    <fb>247.44499999999999</fb>
    <v>16</v>
  </rv>
  <rv s="3">
    <fb>263.91500000000002</fb>
    <v>16</v>
  </rv>
  <rv s="3">
    <fb>243.51</fb>
    <v>16</v>
  </rv>
  <rv s="3">
    <fb>229942973</fb>
    <v>8</v>
  </rv>
  <rv s="3">
    <fb>44914</fb>
    <v>6</v>
  </rv>
  <rv s="3">
    <fb>238.73</fb>
    <v>16</v>
  </rv>
  <rv s="3">
    <fb>244.86</fb>
    <v>16</v>
  </rv>
  <rv s="3">
    <fb>245.61500000000001</fb>
    <v>16</v>
  </rv>
  <rv s="3">
    <fb>233.87</fb>
    <v>16</v>
  </rv>
  <rv s="3">
    <fb>128396491</fb>
    <v>8</v>
  </rv>
  <rv s="3">
    <fb>44922</fb>
    <v>6</v>
  </rv>
  <rv s="3">
    <fb>239.82</fb>
    <v>16</v>
  </rv>
  <rv s="3">
    <fb>238.7</fb>
    <v>16</v>
  </rv>
  <rv s="3">
    <fb>241.92</fb>
    <v>16</v>
  </rv>
  <rv s="3">
    <fb>234.17</fb>
    <v>16</v>
  </rv>
  <rv s="3">
    <fb>75591158</fb>
    <v>8</v>
  </rv>
  <rv s="3">
    <fb>44929</fb>
    <v>6</v>
  </rv>
  <rv s="3">
    <fb>224.93</fb>
    <v>16</v>
  </rv>
  <rv s="3">
    <fb>243.08</fb>
    <v>16</v>
  </rv>
  <rv s="3">
    <fb>245.75</fb>
    <v>16</v>
  </rv>
  <rv s="3">
    <fb>219.35</fb>
    <v>16</v>
  </rv>
  <rv s="3">
    <fb>159562627</fb>
    <v>8</v>
  </rv>
  <rv s="3">
    <fb>44935</fb>
    <v>6</v>
  </rv>
  <rv s="3">
    <fb>239.23</fb>
    <v>16</v>
  </rv>
  <rv s="3">
    <fb>226.45</fb>
    <v>16</v>
  </rv>
  <rv s="3">
    <fb>239.9</fb>
    <v>16</v>
  </rv>
  <rv s="3">
    <fb>226.41</fb>
    <v>16</v>
  </rv>
  <rv s="3">
    <fb>131675747</fb>
    <v>8</v>
  </rv>
  <rv s="3">
    <fb>44943</fb>
    <v>6</v>
  </rv>
  <rv s="3">
    <fb>240.22</fb>
    <v>16</v>
  </rv>
  <rv s="3">
    <fb>237.97</fb>
    <v>16</v>
  </rv>
  <rv s="3">
    <fb>242.38</fb>
    <v>16</v>
  </rv>
  <rv s="3">
    <fb>230.68</fb>
    <v>16</v>
  </rv>
  <rv s="3">
    <fb>123872791</fb>
    <v>8</v>
  </rv>
  <rv s="3">
    <fb>44949</fb>
    <v>6</v>
  </rv>
  <rv s="3">
    <fb>248.16</fb>
    <v>16</v>
  </rv>
  <rv s="3">
    <fb>241.1</fb>
    <v>16</v>
  </rv>
  <rv s="3">
    <fb>249.83</fb>
    <v>16</v>
  </rv>
  <rv s="3">
    <fb>230.9</fb>
    <v>16</v>
  </rv>
  <rv s="3">
    <fb>198648466</fb>
    <v>8</v>
  </rv>
  <rv s="3">
    <fb>44956</fb>
    <v>6</v>
  </rv>
  <rv s="3">
    <fb>258.35000000000002</fb>
    <v>16</v>
  </rv>
  <rv s="3">
    <fb>244.51</fb>
    <v>16</v>
  </rv>
  <rv s="3">
    <fb>264.69</fb>
    <v>16</v>
  </rv>
  <rv s="3">
    <fb>242.2</fb>
    <v>16</v>
  </rv>
  <rv s="3">
    <fb>152686042</fb>
    <v>8</v>
  </rv>
  <rv s="3">
    <fb>44963</fb>
    <v>6</v>
  </rv>
  <rv s="3">
    <fb>263.10000000000002</fb>
    <v>16</v>
  </rv>
  <rv s="3">
    <fb>257.44</fb>
    <v>16</v>
  </rv>
  <rv s="3">
    <fb>276.76</fb>
    <v>16</v>
  </rv>
  <rv s="3">
    <fb>254.78</fb>
    <v>16</v>
  </rv>
  <rv s="3">
    <fb>196239002</fb>
    <v>8</v>
  </rv>
  <rv s="3">
    <fb>44970</fb>
    <v>6</v>
  </rv>
  <rv s="3">
    <fb>258.06</fb>
    <v>16</v>
  </rv>
  <rv s="3">
    <fb>267.64</fb>
    <v>16</v>
  </rv>
  <rv s="3">
    <fb>274.97000000000003</fb>
    <v>16</v>
  </rv>
  <rv s="3">
    <fb>256</fb>
    <v>16</v>
  </rv>
  <rv s="3">
    <fb>170244679</fb>
    <v>8</v>
  </rv>
  <rv s="3">
    <fb>44978</fb>
    <v>6</v>
  </rv>
  <rv s="3">
    <fb>249.22</fb>
    <v>16</v>
  </rv>
  <rv s="3">
    <fb>254.48</fb>
    <v>16</v>
  </rv>
  <rv s="3">
    <fb>256.83999999999997</fb>
    <v>16</v>
  </rv>
  <rv s="3">
    <fb>248.1</fb>
    <v>16</v>
  </rv>
  <rv s="3">
    <fb>105098500</fb>
    <v>8</v>
  </rv>
  <rv s="3">
    <fb>44984</fb>
    <v>6</v>
  </rv>
  <rv s="3">
    <fb>255.29</fb>
    <v>16</v>
  </rv>
  <rv s="3">
    <fb>252.46</fb>
    <v>16</v>
  </rv>
  <rv s="3">
    <fb>255.62</fb>
    <v>16</v>
  </rv>
  <rv s="3">
    <fb>245.61</fb>
    <v>16</v>
  </rv>
  <rv s="3">
    <fb>126840033</fb>
    <v>8</v>
  </rv>
  <rv s="3">
    <fb>44991</fb>
    <v>6</v>
  </rv>
  <rv s="3">
    <fb>248.59</fb>
    <v>16</v>
  </rv>
  <rv s="3">
    <fb>256.42500000000001</fb>
    <v>16</v>
  </rv>
  <rv s="3">
    <fb>260.12</fb>
    <v>16</v>
  </rv>
  <rv s="3">
    <fb>247.6</fb>
    <v>16</v>
  </rv>
  <rv s="3">
    <fb>117910562</fb>
    <v>8</v>
  </rv>
  <rv s="3">
    <fb>44998</fb>
    <v>6</v>
  </rv>
  <rv s="3">
    <fb>279.43</fb>
    <v>16</v>
  </rv>
  <rv s="3">
    <fb>247.4</fb>
    <v>16</v>
  </rv>
  <rv s="3">
    <fb>283.33</fb>
    <v>16</v>
  </rv>
  <rv s="3">
    <fb>245.73</fb>
    <v>16</v>
  </rv>
  <rv s="3">
    <fb>237347572</fb>
    <v>8</v>
  </rv>
  <rv s="3">
    <fb>45005</fb>
    <v>6</v>
  </rv>
  <rv s="3">
    <fb>280.57</fb>
    <v>16</v>
  </rv>
  <rv s="3">
    <fb>276.98</fb>
    <v>16</v>
  </rv>
  <rv s="3">
    <fb>281.06</fb>
    <v>16</v>
  </rv>
  <rv s="3">
    <fb>269.51909999999998</fb>
    <v>16</v>
  </rv>
  <rv s="3">
    <fb>177709524</fb>
    <v>8</v>
  </rv>
  <rv s="3">
    <fb>45012</fb>
    <v>6</v>
  </rv>
  <rv s="3">
    <fb>288.3</fb>
    <v>16</v>
  </rv>
  <rv s="3">
    <fb>280.5</fb>
    <v>16</v>
  </rv>
  <rv s="3">
    <fb>289.27</fb>
    <v>16</v>
  </rv>
  <rv s="3">
    <fb>272.04509999999999</fb>
    <v>16</v>
  </rv>
  <rv s="3">
    <fb>131625277</fb>
    <v>8</v>
  </rv>
  <rv s="3">
    <fb>45019</fb>
    <v>6</v>
  </rv>
  <rv s="3">
    <fb>291.60000000000002</fb>
    <v>16</v>
  </rv>
  <rv s="3">
    <fb>286.52</fb>
    <v>16</v>
  </rv>
  <rv s="3">
    <fb>292.08</fb>
    <v>16</v>
  </rv>
  <rv s="3">
    <fb>282.02999999999997</fb>
    <v>16</v>
  </rv>
  <rv s="3">
    <fb>102542745</fb>
    <v>8</v>
  </rv>
  <rv s="3">
    <fb>45026</fb>
    <v>6</v>
  </rv>
  <rv s="3">
    <fb>286.14</fb>
    <v>16</v>
  </rv>
  <rv s="3">
    <fb>289.20800000000003</fb>
    <v>16</v>
  </rv>
  <rv s="3">
    <fb>289.89999999999998</fb>
    <v>16</v>
  </rv>
  <rv s="3">
    <fb>281.64</fb>
    <v>16</v>
  </rv>
  <rv s="3">
    <fb>122993610</fb>
    <v>8</v>
  </rv>
  <rv s="3">
    <fb>45033</fb>
    <v>6</v>
  </rv>
  <rv s="3">
    <fb>285.76</fb>
    <v>16</v>
  </rv>
  <rv s="3">
    <fb>289.93</fb>
    <v>16</v>
  </rv>
  <rv s="3">
    <fb>291.755</fb>
    <v>16</v>
  </rv>
  <rv s="3">
    <fb>283.06079999999997</fb>
    <v>16</v>
  </rv>
  <rv s="3">
    <fb>106069089</fb>
    <v>8</v>
  </rv>
  <rv s="3">
    <fb>45040</fb>
    <v>6</v>
  </rv>
  <rv s="3">
    <fb>307.26</fb>
    <v>16</v>
  </rv>
  <rv s="3">
    <fb>282.08999999999997</fb>
    <v>16</v>
  </rv>
  <rv s="3">
    <fb>308.93</fb>
    <v>16</v>
  </rv>
  <rv s="3">
    <fb>275.37</fb>
    <v>16</v>
  </rv>
  <rv s="3">
    <fb>219914683</fb>
    <v>8</v>
  </rv>
  <rv s="3">
    <fb>45047</fb>
    <v>6</v>
  </rv>
  <rv s="3">
    <fb>310.64999999999998</fb>
    <v>16</v>
  </rv>
  <rv s="3">
    <fb>306.97000000000003</fb>
    <v>16</v>
  </rv>
  <rv s="3">
    <fb>311.97000000000003</fb>
    <v>16</v>
  </rv>
  <rv s="3">
    <fb>303.39999999999998</fb>
    <v>16</v>
  </rv>
  <rv s="3">
    <fb>120776259</fb>
    <v>8</v>
  </rv>
  <rv s="3">
    <fb>308.97000000000003</fb>
    <v>16</v>
  </rv>
  <rv s="3">
    <fb>310.13</fb>
    <v>16</v>
  </rv>
  <rv s="3">
    <fb>313</fb>
    <v>16</v>
  </rv>
  <rv s="3">
    <fb>306.08999999999997</fb>
    <v>16</v>
  </rv>
  <rv s="3">
    <fb>124192361</fb>
    <v>8</v>
  </rv>
  <rv s="3">
    <fb>318.33999999999997</fb>
    <v>16</v>
  </rv>
  <rv s="3">
    <fb>309.09500000000003</fb>
    <v>16</v>
  </rv>
  <rv s="3">
    <fb>319.04000000000002</fb>
    <v>16</v>
  </rv>
  <rv s="3">
    <fb>307.58999999999997</fb>
    <v>16</v>
  </rv>
  <rv s="3">
    <fb>122204598</fb>
    <v>8</v>
  </rv>
  <rv s="3">
    <fb>332.89</fb>
    <v>16</v>
  </rv>
  <rv s="3">
    <fb>318.60000000000002</fb>
    <v>16</v>
  </rv>
  <rv s="3">
    <fb>333.4</fb>
    <v>16</v>
  </rv>
  <rv s="3">
    <fb>312.61</fb>
    <v>16</v>
  </rv>
  <rv s="3">
    <fb>158230100</fb>
    <v>8</v>
  </rv>
  <rv s="3">
    <fb>335.4</fb>
    <v>16</v>
  </rv>
  <rv s="3">
    <fb>335.23</fb>
    <v>16</v>
  </rv>
  <rv s="3">
    <fb>337.5</fb>
    <v>16</v>
  </rv>
  <rv s="3">
    <fb>324.72000000000003</fb>
    <v>16</v>
  </rv>
  <rv s="3">
    <fb>128101243</fb>
    <v>8</v>
  </rv>
  <rv s="3">
    <fb>45082</fb>
    <v>6</v>
  </rv>
  <rv s="3">
    <fb>335.94</fb>
    <v>16</v>
  </rv>
  <rv s="3">
    <fb>335.22</fb>
    <v>16</v>
  </rv>
  <rv s="3">
    <fb>338.55990000000003</fb>
    <v>16</v>
  </rv>
  <rv s="3">
    <fb>334.6601</fb>
    <v>16</v>
  </rv>
  <rv s="3">
    <fb>21307053</fb>
    <v>8</v>
  </rv>
  <rv s="7">
    <v>17</v>
    <v>apn4gh</v>
    <v>Daily</v>
    <v>45047</v>
    <v>45076</v>
    <v>0</v>
    <v>1</v>
    <v>638210016000000000,638211368771967014,0</v>
    <v>0</v>
    <v>apn4gh</v>
    <v>BVMF:PETR4</v>
    <v>1</v>
    <v>2</v>
    <v>3</v>
    <v>4</v>
    <v>5</v>
  </rv>
  <rv s="7">
    <v>18</v>
    <v>a1xzim</v>
    <v>Weekly</v>
    <v>44682</v>
    <v>45087</v>
    <v>0</v>
    <v>1</v>
    <v>638215200000000000,638216733737388708,0</v>
    <v>6</v>
    <v>a1xzim</v>
    <v>XNAS:MSFT</v>
    <v>7</v>
    <v>8</v>
    <v>9</v>
    <v>10</v>
    <v>11</v>
  </rv>
</rvData>
</file>

<file path=xl/richData/rdrichvaluestructure.xml><?xml version="1.0" encoding="utf-8"?>
<rvStructures xmlns="http://schemas.microsoft.com/office/spreadsheetml/2017/richdata" count="8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">
    <k n="%cvi" t="r"/>
  </s>
  <s t="_formattednumber">
    <k n="_Format" t="spb"/>
  </s>
  <s t="_sourceattribution">
    <k n="License" t="r"/>
    <k n="Source" t="r"/>
  </s>
  <s t="_imageurl">
    <k n="_Provider" t="spb"/>
    <k n="Address" t="s"/>
    <k n="Attribution" t="r"/>
    <k n="ComputedImage" t="b"/>
    <k n="More Images 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Imagem" t="r"/>
    <k n="LearnMoreOnLink" t="r"/>
    <k n="Média de volume"/>
    <k n="Moeda" t="s"/>
    <k n="Nome" t="s"/>
    <k n="Nome oficial" t="s"/>
    <k n="P/E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Arrays count="2"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44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P/E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Imagem</v>
      <v t="s">ExchangeID</v>
      <v t="s">%ProviderInfo</v>
    </a>
  </spbArrays>
  <spbData count="19">
    <spb s="0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2</v>
      <v>3</v>
      <v>1</v>
      <v>1</v>
      <v>4</v>
      <v>1</v>
      <v>1</v>
      <v>4</v>
      <v>5</v>
      <v>4</v>
      <v>6</v>
      <v>1</v>
      <v>1</v>
      <v>7</v>
      <v>4</v>
      <v>1</v>
      <v>8</v>
      <v>9</v>
    </spb>
    <spb s="5">
      <v>Atraso de 30 minutos</v>
      <v xml:space="preserve">do fechamento anterior </v>
      <v xml:space="preserve">do fechamento anterior </v>
      <v>GMT</v>
    </spb>
    <spb s="6">
      <v>10</v>
    </spb>
    <spb s="6">
      <v>1</v>
    </spb>
    <spb s="6">
      <v>4</v>
    </spb>
    <spb s="7">
      <v>P/E</v>
      <v>High</v>
      <v>Beta</v>
      <v>Name</v>
      <v>Headquarters</v>
      <v>Low</v>
      <v>Exchange</v>
      <v>Currency</v>
      <v>Price</v>
      <v>Industry</v>
      <v>Image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">
      <v>1</v>
      <v>Name</v>
      <v>LearnMoreOnLink</v>
    </spb>
    <spb s="8">
      <v>0</v>
      <v>0</v>
    </spb>
    <spb s="9">
      <v>11</v>
      <v>2</v>
      <v>2</v>
      <v>2</v>
      <v>2</v>
    </spb>
    <spb s="10">
      <v>2</v>
      <v>11</v>
      <v>2</v>
      <v>3</v>
      <v>11</v>
      <v>11</v>
      <v>12</v>
      <v>4</v>
      <v>11</v>
      <v>11</v>
      <v>4</v>
      <v>5</v>
      <v>4</v>
      <v>6</v>
      <v>11</v>
      <v>11</v>
      <v>7</v>
      <v>4</v>
      <v>11</v>
      <v>13</v>
      <v>9</v>
    </spb>
    <spb s="11">
      <v>Tempo Real Nasdaq Última venda</v>
      <v xml:space="preserve">do fechamento anterior </v>
      <v>Origem : Nasdaq Última venda</v>
      <v xml:space="preserve">do fechamento anterior </v>
      <v>GMT</v>
    </spb>
    <spb s="12">
      <v>Da plataforma Refinitiv</v>
    </spb>
    <spb s="6">
      <v>11</v>
    </spb>
    <spb s="13">
      <v>1</v>
      <v>10</v>
      <v>1</v>
      <v>1</v>
      <v>1</v>
      <v>4</v>
    </spb>
    <spb s="13">
      <v>11</v>
      <v>10</v>
      <v>11</v>
      <v>11</v>
      <v>11</v>
      <v>4</v>
    </spb>
  </spbData>
</supportingPropertyBags>
</file>

<file path=xl/richData/rdsupportingpropertybagstructure.xml><?xml version="1.0" encoding="utf-8"?>
<spbStructures xmlns="http://schemas.microsoft.com/office/spreadsheetml/2017/richdata2" count="14"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Preço" t="s"/>
    <k n="Variação" t="s"/>
    <k n="Variação (%)" t="s"/>
    <k n="Hora da última transação" t="s"/>
  </s>
  <s>
    <k n="_Self" t="i"/>
  </s>
  <s>
    <k n="P/E" t="s"/>
    <k n="Alto" t="s"/>
    <k n="Beta" t="s"/>
    <k n="Nome" t="s"/>
    <k n="Sede" t="s"/>
    <k n="Baixo" t="s"/>
    <k n="Bolsa" t="s"/>
    <k n="Moeda" t="s"/>
    <k n="Preço" t="s"/>
    <k n="Setor" t="s"/>
    <k n="Imagem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ShowInDotNotation" t="b"/>
    <k n="ShowInAutoComplete" t="b"/>
  </s>
  <s>
    <k n="Imagem" t="spb"/>
    <k n="ExchangeID" t="spb"/>
    <k n="UniqueName" t="spb"/>
    <k n="`%ProviderInfo" t="spb"/>
    <k n="LearnMoreOnLink" t="spb"/>
  </s>
  <s>
    <k n="P/E" t="i"/>
    <k n="Alto" t="i"/>
    <k n="Beta" t="i"/>
    <k n="Nome" t="i"/>
    <k n="Baixo" t="i"/>
    <k n="Preço" t="i"/>
    <k n="Imagem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Preço" t="s"/>
    <k n="Variação" t="s"/>
    <k n="ExchangeID" t="s"/>
    <k n="Variação (%)" t="s"/>
    <k n="Hora da última transação" t="s"/>
  </s>
  <s>
    <k n="name" t="s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8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  <x:dxf>
      <x:numFmt numFmtId="19" formatCode="dd/mm/yyyy"/>
    </x:dxf>
  </dxfs>
  <richProperties>
    <rPr n="NumberFormat" t="s"/>
    <rPr n="IsTitleField" t="b"/>
    <rPr n="IsHeroField" t="b"/>
  </richProperties>
  <richStyles>
    <rSty dxfid="1">
      <rpv i="0">_-[$R$-pt-BR] * #,##0.00_-;-[$R$-pt-BR] * #,##0.00_-;_-[$R$-pt-BR] * "-"??_-;_-@_-</rpv>
    </rSty>
    <rSty dxfid="5">
      <rpv i="0">#,##0.00</rpv>
    </rSty>
    <rSty>
      <rpv i="1">1</rpv>
    </rSty>
    <rSty dxfid="4">
      <rpv i="0">#,##0</rpv>
    </rSty>
    <rSty dxfid="3"/>
    <rSty dxfid="0">
      <rpv i="0">0.00</rpv>
    </rSty>
    <rSty dxfid="6">
      <rpv i="0">0</rpv>
    </rSty>
    <rSty dxfid="1">
      <rpv i="0">_-[$R$-pt-BR] * #,##0_-;-[$R$-pt-BR] * #,##0_-;_-[$R$-pt-BR] * "-"_-;_-@_-</rpv>
    </rSty>
    <rSty dxfid="2"/>
    <rSty dxfid="7"/>
    <rSty dxfid="1">
      <rpv i="0">_([$$-en-US]* #,##0.00_);_([$$-en-US]* (#,##0.00);_([$$-en-US]* "-"??_);_(@_)</rpv>
    </rSty>
    <rSty>
      <rpv i="2">1</rpv>
    </rSty>
    <rSty dxfid="1">
      <rpv i="0">_([$$-en-US]* #,##0_);_([$$-en-US]* (#,##0);_([$$-en-US]* "-"_);_(@_)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C3B5D-19D2-4A2A-A629-E4520300C6C3}" name="Tabela1" displayName="Tabela1" ref="A1:F238" totalsRowShown="0">
  <autoFilter ref="A1:F238" xr:uid="{422C3B5D-19D2-4A2A-A629-E4520300C6C3}"/>
  <tableColumns count="6">
    <tableColumn id="1" xr3:uid="{B96FF4E0-E1BA-4AAF-BBE9-D50A1DFC6ED8}" name="Estudo de Projeção" dataDxfId="8"/>
    <tableColumn id="2" xr3:uid="{63541B72-C0A9-491E-BBA3-72ABF1882D4A}" name="Valores"/>
    <tableColumn id="3" xr3:uid="{F85E3BB1-B60E-4D38-BD3A-0B5FFCFE992E}" name="Previsão">
      <calculatedColumnFormula>_xlfn.FORECAST.ETS(A2,$B$2:$B$190,$A$2:$A$190,1,1)</calculatedColumnFormula>
    </tableColumn>
    <tableColumn id="4" xr3:uid="{7113F97A-D770-4847-B964-51F9472E02E8}" name="Limite de Confiança Inferior" dataDxfId="7">
      <calculatedColumnFormula>C2-_xlfn.FORECAST.ETS.CONFINT(A2,$B$2:$B$190,$A$2:$A$190,0.95,1,1)</calculatedColumnFormula>
    </tableColumn>
    <tableColumn id="5" xr3:uid="{2057BDF2-98B5-40C8-91F1-3379D915FB9F}" name="Limite de Confiança Superior" dataDxfId="6">
      <calculatedColumnFormula>C2+_xlfn.FORECAST.ETS.CONFINT(A2,$B$2:$B$190,$A$2:$A$190,0.95,1,1)</calculatedColumnFormula>
    </tableColumn>
    <tableColumn id="6" xr3:uid="{B56EF803-9E37-463D-A1F3-2426BE66FF57}" name="Coluna1" dataDxfId="5">
      <calculatedColumnFormula>Tabela1[[#This Row],[Valores]]*3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CBFE8-3AA9-4A8A-92C5-DEEC23DF8F3C}" name="tbPrincipal" displayName="tbPrincipal" ref="A3:G2003" totalsRowShown="0" headerRowBorderDxfId="4" headerRowCellStyle="Título 3">
  <autoFilter ref="A3:G2003" xr:uid="{6E5267B8-2401-4068-9456-87FE49ACA66A}"/>
  <tableColumns count="7">
    <tableColumn id="1" xr3:uid="{F6E220FB-F58C-4731-8412-EA2740ED9A6C}" name="Assessor"/>
    <tableColumn id="2" xr3:uid="{87867350-9898-43D7-9F3C-1AECC7E56325}" name="País"/>
    <tableColumn id="3" xr3:uid="{410A6CF8-72E6-439E-88D4-9DF66952642E}" name="Cidade"/>
    <tableColumn id="4" xr3:uid="{854688D0-D155-4AF7-98E2-D2BD9FA824D3}" name="ID"/>
    <tableColumn id="5" xr3:uid="{142E4FBD-9BA8-424F-B9EA-4452AA7E0E2B}" name="Nome"/>
    <tableColumn id="6" xr3:uid="{C26DBDD9-6FD8-4918-AAC8-A2B156DA65BC}" name="Ingresso" dataDxfId="3"/>
    <tableColumn id="7" xr3:uid="{990C879A-1C90-44A1-9E11-40F16D1DB986}" name="Carteira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DFDB5-4685-480F-B565-D43445A9D81A}" name="tbGestores" displayName="tbGestores" ref="A4:B24" totalsRowShown="0" headerRowBorderDxfId="2" headerRowCellStyle="Título 3">
  <autoFilter ref="A4:B24" xr:uid="{B38DFDB5-4685-480F-B565-D43445A9D81A}"/>
  <tableColumns count="2">
    <tableColumn id="1" xr3:uid="{2BEDF203-2B79-4C53-9EF4-8087EF14A4D9}" name="Assessor"/>
    <tableColumn id="2" xr3:uid="{F895F08E-EA2C-4BC5-9731-ACE72B73F475}" name="Gest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DBC0CB-8D11-4653-AACD-CCCA6D4BC2E1}" name="tbAtivos" displayName="tbAtivos" ref="G3:G6" totalsRowShown="0" headerRowDxfId="1" headerRowBorderDxfId="0" headerRowCellStyle="Título 3">
  <autoFilter ref="G3:G6" xr:uid="{16DBC0CB-8D11-4653-AACD-CCCA6D4BC2E1}"/>
  <tableColumns count="1">
    <tableColumn id="1" xr3:uid="{F53711EA-7DA3-42BC-A7F4-7E4045B4B8BE}" name="Ativo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274A-6C8A-4F84-B0A6-6CB110D04073}">
  <dimension ref="A1:H21"/>
  <sheetViews>
    <sheetView tabSelected="1" workbookViewId="0"/>
  </sheetViews>
  <sheetFormatPr defaultRowHeight="14.25"/>
  <cols>
    <col min="2" max="2" width="9.5" bestFit="1" customWidth="1"/>
    <col min="3" max="3" width="9.5" customWidth="1"/>
    <col min="4" max="8" width="18.75" customWidth="1"/>
  </cols>
  <sheetData>
    <row r="1" spans="1:8" ht="20.25" thickBot="1">
      <c r="A1" s="4" t="s">
        <v>5</v>
      </c>
      <c r="B1" s="4"/>
      <c r="C1" s="4"/>
      <c r="D1" s="4"/>
      <c r="E1" s="4"/>
    </row>
    <row r="2" spans="1:8" ht="15" thickTop="1"/>
    <row r="3" spans="1:8">
      <c r="D3" t="s">
        <v>7</v>
      </c>
    </row>
    <row r="4" spans="1:8">
      <c r="D4" s="15">
        <v>1.4999999999999999E-2</v>
      </c>
      <c r="E4" s="16">
        <v>6.4999999999999997E-3</v>
      </c>
      <c r="F4" s="17">
        <v>0.03</v>
      </c>
      <c r="G4" s="18">
        <v>0.01</v>
      </c>
      <c r="H4" s="19">
        <v>0.05</v>
      </c>
    </row>
    <row r="5" spans="1:8">
      <c r="B5" t="s">
        <v>6</v>
      </c>
    </row>
    <row r="6" spans="1:8">
      <c r="B6" s="20">
        <v>10</v>
      </c>
      <c r="D6" s="14" cm="1">
        <f t="array" ref="D6:H21">B6:B21*D4:H4</f>
        <v>0.15</v>
      </c>
      <c r="E6" s="14">
        <v>6.5000000000000002E-2</v>
      </c>
      <c r="F6" s="14">
        <v>0.3</v>
      </c>
      <c r="G6" s="14">
        <v>0.1</v>
      </c>
      <c r="H6" s="14">
        <v>0.5</v>
      </c>
    </row>
    <row r="7" spans="1:8">
      <c r="B7" s="20">
        <v>20</v>
      </c>
      <c r="C7" s="1"/>
      <c r="D7" s="14">
        <v>0.3</v>
      </c>
      <c r="E7" s="14">
        <v>0.13</v>
      </c>
      <c r="F7" s="14">
        <v>0.6</v>
      </c>
      <c r="G7" s="14">
        <v>0.2</v>
      </c>
      <c r="H7" s="14">
        <v>1</v>
      </c>
    </row>
    <row r="8" spans="1:8">
      <c r="B8" s="20">
        <v>30</v>
      </c>
      <c r="C8" s="1"/>
      <c r="D8" s="14">
        <v>0.44999999999999996</v>
      </c>
      <c r="E8" s="14">
        <v>0.19499999999999998</v>
      </c>
      <c r="F8" s="14">
        <v>0.89999999999999991</v>
      </c>
      <c r="G8" s="14">
        <v>0.3</v>
      </c>
      <c r="H8" s="14">
        <v>1.5</v>
      </c>
    </row>
    <row r="9" spans="1:8">
      <c r="B9" s="20">
        <v>5</v>
      </c>
      <c r="C9" s="1"/>
      <c r="D9" s="14">
        <v>7.4999999999999997E-2</v>
      </c>
      <c r="E9" s="14">
        <v>3.2500000000000001E-2</v>
      </c>
      <c r="F9" s="14">
        <v>0.15</v>
      </c>
      <c r="G9" s="14">
        <v>0.05</v>
      </c>
      <c r="H9" s="14">
        <v>0.25</v>
      </c>
    </row>
    <row r="10" spans="1:8">
      <c r="B10" s="20">
        <v>6</v>
      </c>
      <c r="C10" s="1"/>
      <c r="D10" s="14">
        <v>0.09</v>
      </c>
      <c r="E10" s="14">
        <v>3.9E-2</v>
      </c>
      <c r="F10" s="14">
        <v>0.18</v>
      </c>
      <c r="G10" s="14">
        <v>0.06</v>
      </c>
      <c r="H10" s="14">
        <v>0.30000000000000004</v>
      </c>
    </row>
    <row r="11" spans="1:8">
      <c r="B11" s="20">
        <v>7</v>
      </c>
      <c r="C11" s="1"/>
      <c r="D11" s="14">
        <v>0.105</v>
      </c>
      <c r="E11" s="14">
        <v>4.5499999999999999E-2</v>
      </c>
      <c r="F11" s="14">
        <v>0.21</v>
      </c>
      <c r="G11" s="14">
        <v>7.0000000000000007E-2</v>
      </c>
      <c r="H11" s="14">
        <v>0.35000000000000003</v>
      </c>
    </row>
    <row r="12" spans="1:8">
      <c r="B12" s="20">
        <v>8</v>
      </c>
      <c r="C12" s="1"/>
      <c r="D12" s="14">
        <v>0.12</v>
      </c>
      <c r="E12" s="14">
        <v>5.1999999999999998E-2</v>
      </c>
      <c r="F12" s="14">
        <v>0.24</v>
      </c>
      <c r="G12" s="14">
        <v>0.08</v>
      </c>
      <c r="H12" s="14">
        <v>0.4</v>
      </c>
    </row>
    <row r="13" spans="1:8">
      <c r="B13" s="20">
        <v>9</v>
      </c>
      <c r="C13" s="1"/>
      <c r="D13" s="14">
        <v>0.13500000000000001</v>
      </c>
      <c r="E13" s="14">
        <v>5.8499999999999996E-2</v>
      </c>
      <c r="F13" s="14">
        <v>0.27</v>
      </c>
      <c r="G13" s="14">
        <v>0.09</v>
      </c>
      <c r="H13" s="14">
        <v>0.45</v>
      </c>
    </row>
    <row r="14" spans="1:8">
      <c r="B14" s="20">
        <v>10</v>
      </c>
      <c r="C14" s="1"/>
      <c r="D14" s="14">
        <v>0.15</v>
      </c>
      <c r="E14" s="14">
        <v>6.5000000000000002E-2</v>
      </c>
      <c r="F14" s="14">
        <v>0.3</v>
      </c>
      <c r="G14" s="14">
        <v>0.1</v>
      </c>
      <c r="H14" s="14">
        <v>0.5</v>
      </c>
    </row>
    <row r="15" spans="1:8">
      <c r="B15" s="20">
        <v>11</v>
      </c>
      <c r="C15" s="1"/>
      <c r="D15" s="14">
        <v>0.16499999999999998</v>
      </c>
      <c r="E15" s="14">
        <v>7.1499999999999994E-2</v>
      </c>
      <c r="F15" s="14">
        <v>0.32999999999999996</v>
      </c>
      <c r="G15" s="14">
        <v>0.11</v>
      </c>
      <c r="H15" s="14">
        <v>0.55000000000000004</v>
      </c>
    </row>
    <row r="16" spans="1:8">
      <c r="B16" s="20">
        <v>12</v>
      </c>
      <c r="C16" s="1"/>
      <c r="D16" s="14">
        <v>0.18</v>
      </c>
      <c r="E16" s="14">
        <v>7.8E-2</v>
      </c>
      <c r="F16" s="14">
        <v>0.36</v>
      </c>
      <c r="G16" s="14">
        <v>0.12</v>
      </c>
      <c r="H16" s="14">
        <v>0.60000000000000009</v>
      </c>
    </row>
    <row r="17" spans="2:8">
      <c r="B17" s="20">
        <v>13</v>
      </c>
      <c r="C17" s="1"/>
      <c r="D17" s="14">
        <v>0.19500000000000001</v>
      </c>
      <c r="E17" s="14">
        <v>8.4499999999999992E-2</v>
      </c>
      <c r="F17" s="14">
        <v>0.39</v>
      </c>
      <c r="G17" s="14">
        <v>0.13</v>
      </c>
      <c r="H17" s="14">
        <v>0.65</v>
      </c>
    </row>
    <row r="18" spans="2:8">
      <c r="B18" s="20">
        <v>14</v>
      </c>
      <c r="C18" s="1"/>
      <c r="D18" s="14">
        <v>0.21</v>
      </c>
      <c r="E18" s="14">
        <v>9.0999999999999998E-2</v>
      </c>
      <c r="F18" s="14">
        <v>0.42</v>
      </c>
      <c r="G18" s="14">
        <v>0.14000000000000001</v>
      </c>
      <c r="H18" s="14">
        <v>0.70000000000000007</v>
      </c>
    </row>
    <row r="19" spans="2:8">
      <c r="B19" s="20">
        <v>15</v>
      </c>
      <c r="C19" s="1"/>
      <c r="D19" s="14">
        <v>0.22499999999999998</v>
      </c>
      <c r="E19" s="14">
        <v>9.7499999999999989E-2</v>
      </c>
      <c r="F19" s="14">
        <v>0.44999999999999996</v>
      </c>
      <c r="G19" s="14">
        <v>0.15</v>
      </c>
      <c r="H19" s="14">
        <v>0.75</v>
      </c>
    </row>
    <row r="20" spans="2:8">
      <c r="B20" s="20">
        <v>16</v>
      </c>
      <c r="C20" s="1"/>
      <c r="D20" s="14">
        <v>0.24</v>
      </c>
      <c r="E20" s="14">
        <v>0.104</v>
      </c>
      <c r="F20" s="14">
        <v>0.48</v>
      </c>
      <c r="G20" s="14">
        <v>0.16</v>
      </c>
      <c r="H20" s="14">
        <v>0.8</v>
      </c>
    </row>
    <row r="21" spans="2:8">
      <c r="B21" s="20">
        <v>17</v>
      </c>
      <c r="C21" s="1"/>
      <c r="D21" s="14">
        <v>0.255</v>
      </c>
      <c r="E21" s="14">
        <v>0.1105</v>
      </c>
      <c r="F21" s="14">
        <v>0.51</v>
      </c>
      <c r="G21" s="14">
        <v>0.17</v>
      </c>
      <c r="H21" s="14">
        <v>0.85000000000000009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D456-8113-4BD0-B6F6-25D98A591EC3}">
  <dimension ref="A1:Z39"/>
  <sheetViews>
    <sheetView workbookViewId="0"/>
  </sheetViews>
  <sheetFormatPr defaultRowHeight="14.25"/>
  <sheetData>
    <row r="1" spans="1:26" ht="20.25" thickBot="1">
      <c r="A1" s="4" t="s">
        <v>8</v>
      </c>
      <c r="B1" s="4"/>
      <c r="C1" s="4"/>
      <c r="D1" s="4"/>
    </row>
    <row r="2" spans="1:26" ht="15" thickTop="1"/>
    <row r="3" spans="1:26" ht="15.75" thickBot="1">
      <c r="B3" s="21" t="s">
        <v>9</v>
      </c>
      <c r="C3" s="21" t="s">
        <v>10</v>
      </c>
      <c r="D3" s="21" t="s">
        <v>11</v>
      </c>
      <c r="E3" s="21" t="s">
        <v>12</v>
      </c>
      <c r="F3" s="21" t="s">
        <v>13</v>
      </c>
      <c r="G3" s="21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1" t="s">
        <v>21</v>
      </c>
      <c r="P3" s="21" t="s">
        <v>22</v>
      </c>
      <c r="Q3" s="21" t="s">
        <v>23</v>
      </c>
      <c r="R3" s="21" t="s">
        <v>24</v>
      </c>
      <c r="S3" s="21" t="s">
        <v>25</v>
      </c>
      <c r="T3" s="21" t="s">
        <v>26</v>
      </c>
      <c r="U3" s="21" t="s">
        <v>27</v>
      </c>
      <c r="V3" s="21" t="s">
        <v>28</v>
      </c>
      <c r="W3" s="21" t="s">
        <v>29</v>
      </c>
      <c r="X3" s="21" t="s">
        <v>30</v>
      </c>
      <c r="Z3" s="12"/>
    </row>
    <row r="4" spans="1:26"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P4">
        <v>1</v>
      </c>
      <c r="Q4">
        <v>1.5</v>
      </c>
      <c r="R4">
        <v>0.69</v>
      </c>
      <c r="S4">
        <v>1.43</v>
      </c>
      <c r="T4">
        <v>0.87999999999999989</v>
      </c>
      <c r="U4" s="12"/>
      <c r="V4" s="12"/>
      <c r="W4" s="12"/>
      <c r="X4" s="12"/>
    </row>
    <row r="5" spans="1:26"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M5" t="s">
        <v>4</v>
      </c>
      <c r="N5" t="s">
        <v>4</v>
      </c>
      <c r="P5">
        <v>2</v>
      </c>
      <c r="Q5">
        <v>1.3599999999999999</v>
      </c>
      <c r="R5">
        <v>1.19</v>
      </c>
      <c r="S5">
        <v>0.59</v>
      </c>
      <c r="T5">
        <v>0.83</v>
      </c>
      <c r="U5" s="12"/>
      <c r="V5" s="12"/>
      <c r="W5" s="12"/>
      <c r="X5" s="12"/>
    </row>
    <row r="6" spans="1:2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M6" t="s">
        <v>4</v>
      </c>
      <c r="N6" t="s">
        <v>4</v>
      </c>
      <c r="P6">
        <v>4</v>
      </c>
      <c r="Q6">
        <v>1.33</v>
      </c>
      <c r="R6">
        <v>1.5499999999999998</v>
      </c>
      <c r="S6">
        <v>0.76</v>
      </c>
      <c r="T6">
        <v>0.7</v>
      </c>
      <c r="U6" s="12"/>
      <c r="V6" s="12"/>
      <c r="W6" s="12"/>
      <c r="X6" s="12"/>
    </row>
    <row r="7" spans="1:26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M7" t="s">
        <v>4</v>
      </c>
      <c r="N7" t="s">
        <v>4</v>
      </c>
      <c r="P7">
        <v>5</v>
      </c>
      <c r="Q7">
        <v>0.56999999999999995</v>
      </c>
      <c r="S7">
        <v>1.2599999999999998</v>
      </c>
      <c r="T7">
        <v>0.85</v>
      </c>
      <c r="U7" s="12"/>
      <c r="V7" s="12"/>
      <c r="W7" s="12"/>
      <c r="X7" s="12"/>
    </row>
    <row r="8" spans="1:26"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M8" t="s">
        <v>4</v>
      </c>
      <c r="N8" t="s">
        <v>4</v>
      </c>
      <c r="P8">
        <v>6</v>
      </c>
      <c r="Q8">
        <v>1.38</v>
      </c>
      <c r="S8">
        <v>1.1099999999999999</v>
      </c>
      <c r="T8">
        <v>0.57999999999999996</v>
      </c>
      <c r="U8" s="12"/>
      <c r="V8" s="12"/>
      <c r="W8" s="12"/>
      <c r="X8" s="12"/>
    </row>
    <row r="9" spans="1:26"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P9">
        <v>7</v>
      </c>
      <c r="Q9">
        <v>0.99</v>
      </c>
      <c r="R9">
        <v>1.54</v>
      </c>
      <c r="S9">
        <v>0.6399999999999999</v>
      </c>
      <c r="T9">
        <v>0.86999999999999988</v>
      </c>
      <c r="U9" s="12"/>
      <c r="V9" s="12"/>
      <c r="W9" s="12"/>
      <c r="X9" s="12"/>
    </row>
    <row r="10" spans="1:26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P10">
        <v>8</v>
      </c>
      <c r="Q10">
        <v>1.04</v>
      </c>
      <c r="R10">
        <v>0.62</v>
      </c>
      <c r="S10">
        <v>0.77999999999999992</v>
      </c>
      <c r="T10">
        <v>0.77999999999999992</v>
      </c>
      <c r="U10" s="12"/>
      <c r="V10" s="12"/>
      <c r="W10" s="12"/>
      <c r="X10" s="12"/>
    </row>
    <row r="11" spans="1:26"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P11">
        <v>9</v>
      </c>
      <c r="Q11">
        <v>0.96</v>
      </c>
      <c r="R11">
        <v>1.48</v>
      </c>
      <c r="S11">
        <v>1.1099999999999999</v>
      </c>
      <c r="T11">
        <v>1.33</v>
      </c>
      <c r="U11" s="12"/>
      <c r="V11" s="12"/>
      <c r="W11" s="12"/>
      <c r="X11" s="12"/>
    </row>
    <row r="12" spans="1:26"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P12">
        <v>10</v>
      </c>
      <c r="Q12">
        <v>1.1000000000000001</v>
      </c>
      <c r="R12">
        <v>0.65999999999999992</v>
      </c>
      <c r="S12">
        <v>1.49</v>
      </c>
      <c r="T12">
        <v>1.46</v>
      </c>
      <c r="U12" s="12"/>
      <c r="V12" s="12"/>
      <c r="W12" s="12"/>
      <c r="X12" s="12"/>
    </row>
    <row r="13" spans="1:26"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P13">
        <v>11</v>
      </c>
      <c r="Q13">
        <v>0.99</v>
      </c>
      <c r="R13">
        <v>1.2999999999999998</v>
      </c>
      <c r="S13">
        <v>1</v>
      </c>
      <c r="T13">
        <v>1.29</v>
      </c>
      <c r="U13" s="12"/>
      <c r="V13" s="12"/>
      <c r="W13" s="12"/>
      <c r="X13" s="12"/>
    </row>
    <row r="14" spans="1:26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P14">
        <v>12</v>
      </c>
      <c r="Q14">
        <v>1.38</v>
      </c>
      <c r="R14">
        <v>1.52</v>
      </c>
      <c r="S14">
        <v>0.71</v>
      </c>
      <c r="T14">
        <v>1.1000000000000001</v>
      </c>
      <c r="U14" s="12"/>
      <c r="V14" s="12"/>
      <c r="W14" s="12"/>
      <c r="X14" s="12"/>
    </row>
    <row r="15" spans="1:26">
      <c r="B15" t="s">
        <v>4</v>
      </c>
      <c r="C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P15">
        <v>13</v>
      </c>
      <c r="Q15">
        <v>1.39</v>
      </c>
      <c r="R15">
        <v>0.8899999999999999</v>
      </c>
      <c r="S15">
        <v>1.1000000000000001</v>
      </c>
      <c r="T15">
        <v>1.47</v>
      </c>
      <c r="U15" s="12"/>
      <c r="V15" s="12"/>
      <c r="W15" s="12"/>
      <c r="X15" s="12"/>
    </row>
    <row r="16" spans="1:26">
      <c r="B16" t="s">
        <v>4</v>
      </c>
      <c r="C16" t="s">
        <v>4</v>
      </c>
      <c r="D16" t="s">
        <v>5706</v>
      </c>
      <c r="E16" t="s">
        <v>5706</v>
      </c>
      <c r="F16" t="s">
        <v>5706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P16">
        <v>14</v>
      </c>
      <c r="Q16">
        <v>1.23</v>
      </c>
      <c r="S16">
        <v>1.33</v>
      </c>
      <c r="T16">
        <v>1.25</v>
      </c>
      <c r="U16" s="12"/>
      <c r="V16" s="12"/>
      <c r="W16" s="12"/>
      <c r="X16" s="12"/>
    </row>
    <row r="17" spans="2:24">
      <c r="B17" t="s">
        <v>4</v>
      </c>
      <c r="C17" t="s">
        <v>4</v>
      </c>
      <c r="D17" t="s">
        <v>5706</v>
      </c>
      <c r="E17" t="s">
        <v>5706</v>
      </c>
      <c r="F17" t="s">
        <v>5706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P17">
        <v>15</v>
      </c>
      <c r="Q17">
        <v>0.76</v>
      </c>
      <c r="R17">
        <v>0.57999999999999996</v>
      </c>
      <c r="S17">
        <v>1.1299999999999999</v>
      </c>
      <c r="T17">
        <v>1.1200000000000001</v>
      </c>
      <c r="U17" s="12"/>
      <c r="V17" s="12"/>
      <c r="W17" s="12"/>
      <c r="X17" s="12"/>
    </row>
    <row r="18" spans="2:24">
      <c r="B18" t="s">
        <v>4</v>
      </c>
      <c r="C18" t="s">
        <v>4</v>
      </c>
      <c r="D18" t="s">
        <v>5706</v>
      </c>
      <c r="E18" t="s">
        <v>5706</v>
      </c>
      <c r="F18" t="s">
        <v>5706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P18">
        <v>16</v>
      </c>
      <c r="Q18">
        <v>0.61</v>
      </c>
      <c r="R18">
        <v>1.03</v>
      </c>
      <c r="S18">
        <v>0.75</v>
      </c>
      <c r="T18">
        <v>0.98</v>
      </c>
      <c r="U18" s="12"/>
      <c r="V18" s="12"/>
      <c r="W18" s="12"/>
      <c r="X18" s="12"/>
    </row>
    <row r="19" spans="2:24">
      <c r="B19" t="s">
        <v>4</v>
      </c>
      <c r="C19" t="s">
        <v>4</v>
      </c>
      <c r="D19" t="s">
        <v>5706</v>
      </c>
      <c r="E19" t="s">
        <v>5706</v>
      </c>
      <c r="F19" t="s">
        <v>5706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P19">
        <v>17</v>
      </c>
      <c r="Q19">
        <v>0.96</v>
      </c>
      <c r="R19">
        <v>1.17</v>
      </c>
      <c r="S19">
        <v>0.62</v>
      </c>
      <c r="T19">
        <v>0.73</v>
      </c>
      <c r="U19" s="12"/>
      <c r="V19" s="12"/>
      <c r="W19" s="12"/>
      <c r="X19" s="12"/>
    </row>
    <row r="20" spans="2:24">
      <c r="B20" t="s">
        <v>4</v>
      </c>
      <c r="C20" t="s">
        <v>4</v>
      </c>
      <c r="D20" t="s">
        <v>5706</v>
      </c>
      <c r="E20" t="s">
        <v>5706</v>
      </c>
      <c r="F20" t="s">
        <v>5706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P20">
        <v>18</v>
      </c>
      <c r="Q20">
        <v>0.84</v>
      </c>
      <c r="R20">
        <v>1.0499999999999998</v>
      </c>
      <c r="S20">
        <v>1.22</v>
      </c>
      <c r="T20">
        <v>1.52</v>
      </c>
      <c r="U20" s="12"/>
      <c r="V20" s="12"/>
      <c r="W20" s="12"/>
      <c r="X20" s="12"/>
    </row>
    <row r="21" spans="2:24">
      <c r="B21" t="s">
        <v>4</v>
      </c>
      <c r="C21" t="s">
        <v>4</v>
      </c>
      <c r="D21" t="s">
        <v>5706</v>
      </c>
      <c r="E21" t="s">
        <v>5706</v>
      </c>
      <c r="F21" t="s">
        <v>5706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P21">
        <v>19</v>
      </c>
      <c r="Q21">
        <v>1.08</v>
      </c>
      <c r="S21">
        <v>1.38</v>
      </c>
      <c r="T21">
        <v>0.66999999999999993</v>
      </c>
      <c r="U21" s="12"/>
      <c r="V21" s="12"/>
      <c r="W21" s="12"/>
      <c r="X21" s="12"/>
    </row>
    <row r="22" spans="2:24">
      <c r="B22" t="s">
        <v>4</v>
      </c>
      <c r="C22" t="s">
        <v>4</v>
      </c>
      <c r="D22" t="s">
        <v>5706</v>
      </c>
      <c r="E22" t="s">
        <v>5706</v>
      </c>
      <c r="F22" t="s">
        <v>5706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P22">
        <v>20</v>
      </c>
      <c r="Q22">
        <v>0.95</v>
      </c>
      <c r="R22">
        <v>0.89999999999999991</v>
      </c>
      <c r="S22">
        <v>1.46</v>
      </c>
      <c r="T22">
        <v>0.77999999999999992</v>
      </c>
      <c r="U22" s="12"/>
      <c r="V22" s="12"/>
      <c r="W22" s="12"/>
      <c r="X22" s="12"/>
    </row>
    <row r="23" spans="2:24">
      <c r="B23" t="s">
        <v>4</v>
      </c>
      <c r="C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P23">
        <v>21</v>
      </c>
      <c r="Q23">
        <v>0.83</v>
      </c>
      <c r="R23">
        <v>1.22</v>
      </c>
      <c r="S23">
        <v>1.2999999999999998</v>
      </c>
      <c r="T23">
        <v>1.1399999999999999</v>
      </c>
      <c r="U23" s="12"/>
      <c r="V23" s="12"/>
      <c r="W23" s="12"/>
      <c r="X23" s="12"/>
    </row>
    <row r="24" spans="2:24"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P24">
        <v>22</v>
      </c>
      <c r="Q24">
        <v>0.8899999999999999</v>
      </c>
      <c r="R24">
        <v>1.33</v>
      </c>
      <c r="S24">
        <v>0.57999999999999996</v>
      </c>
      <c r="T24">
        <v>1.02</v>
      </c>
      <c r="U24" s="12"/>
      <c r="V24" s="12"/>
      <c r="W24" s="12"/>
      <c r="X24" s="12"/>
    </row>
    <row r="25" spans="2:24"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P25">
        <v>23</v>
      </c>
      <c r="Q25">
        <v>1.2799999999999998</v>
      </c>
      <c r="R25">
        <v>1.5699999999999998</v>
      </c>
      <c r="S25">
        <v>0.85999999999999988</v>
      </c>
      <c r="T25">
        <v>1.23</v>
      </c>
      <c r="U25" s="12"/>
      <c r="V25" s="12"/>
      <c r="W25" s="12"/>
      <c r="X25" s="12"/>
    </row>
    <row r="26" spans="2:2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P26">
        <v>24</v>
      </c>
      <c r="Q26">
        <v>0.6399999999999999</v>
      </c>
      <c r="R26">
        <v>1.19</v>
      </c>
      <c r="S26">
        <v>1.22</v>
      </c>
      <c r="T26">
        <v>1.22</v>
      </c>
      <c r="U26" s="12"/>
      <c r="V26" s="12"/>
      <c r="W26" s="12"/>
      <c r="X26" s="12"/>
    </row>
    <row r="27" spans="2:24"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P27">
        <v>25</v>
      </c>
      <c r="Q27">
        <v>0.98</v>
      </c>
      <c r="R27">
        <v>1.33</v>
      </c>
      <c r="S27">
        <v>0.96</v>
      </c>
      <c r="T27">
        <v>1.04</v>
      </c>
      <c r="U27" s="12"/>
      <c r="V27" s="12"/>
      <c r="W27" s="12"/>
      <c r="X27" s="12"/>
    </row>
    <row r="28" spans="2:24"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P28">
        <v>26</v>
      </c>
      <c r="Q28">
        <v>1.0899999999999999</v>
      </c>
      <c r="R28">
        <v>1.08</v>
      </c>
      <c r="S28">
        <v>1.41</v>
      </c>
      <c r="T28">
        <v>0.69</v>
      </c>
      <c r="U28" s="12"/>
      <c r="V28" s="12"/>
      <c r="W28" s="12"/>
      <c r="X28" s="12"/>
    </row>
    <row r="29" spans="2:24"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P29">
        <v>27</v>
      </c>
      <c r="Q29">
        <v>1.39</v>
      </c>
      <c r="R29">
        <v>1.49</v>
      </c>
      <c r="S29">
        <v>1.1499999999999999</v>
      </c>
      <c r="T29">
        <v>0.67999999999999994</v>
      </c>
      <c r="U29" s="12"/>
      <c r="V29" s="12"/>
      <c r="W29" s="12"/>
      <c r="X29" s="12"/>
    </row>
    <row r="30" spans="2:2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P30">
        <v>28</v>
      </c>
      <c r="Q30">
        <v>0.56999999999999995</v>
      </c>
      <c r="R30">
        <v>1.5499999999999998</v>
      </c>
      <c r="S30">
        <v>1.2799999999999998</v>
      </c>
      <c r="T30">
        <v>1.29</v>
      </c>
      <c r="U30" s="12"/>
      <c r="V30" s="12"/>
      <c r="W30" s="12"/>
      <c r="X30" s="12"/>
    </row>
    <row r="31" spans="2:24"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P31">
        <v>29</v>
      </c>
      <c r="Q31">
        <v>0.85999999999999988</v>
      </c>
      <c r="S31">
        <v>0.6</v>
      </c>
      <c r="T31">
        <v>1.35</v>
      </c>
      <c r="U31" s="12"/>
      <c r="V31" s="12"/>
      <c r="W31" s="12"/>
      <c r="X31" s="12"/>
    </row>
    <row r="32" spans="2:24"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P32">
        <v>30</v>
      </c>
      <c r="Q32">
        <v>0.79999999999999993</v>
      </c>
      <c r="R32">
        <v>0.90999999999999992</v>
      </c>
      <c r="S32">
        <v>1.52</v>
      </c>
      <c r="T32">
        <v>0.85</v>
      </c>
      <c r="U32" s="12"/>
      <c r="V32" s="12"/>
      <c r="W32" s="12"/>
      <c r="X32" s="12"/>
    </row>
    <row r="33" spans="2:24"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P33">
        <v>31</v>
      </c>
      <c r="Q33">
        <v>1.35</v>
      </c>
      <c r="R33">
        <v>1.06</v>
      </c>
      <c r="S33">
        <v>0.75</v>
      </c>
      <c r="T33">
        <v>1.49</v>
      </c>
      <c r="U33" s="12"/>
      <c r="V33" s="12"/>
      <c r="W33" s="12"/>
      <c r="X33" s="12"/>
    </row>
    <row r="34" spans="2:24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P34">
        <v>32</v>
      </c>
      <c r="Q34">
        <v>1.2</v>
      </c>
      <c r="S34">
        <v>1.1099999999999999</v>
      </c>
      <c r="T34">
        <v>0.72</v>
      </c>
      <c r="U34" s="12"/>
      <c r="V34" s="12"/>
      <c r="W34" s="12"/>
      <c r="X34" s="12"/>
    </row>
    <row r="35" spans="2:24"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P35">
        <v>33</v>
      </c>
      <c r="Q35">
        <v>1.24</v>
      </c>
      <c r="R35">
        <v>1.49</v>
      </c>
      <c r="S35">
        <v>1.19</v>
      </c>
      <c r="T35">
        <v>0.57999999999999996</v>
      </c>
      <c r="U35" s="12"/>
      <c r="V35" s="12"/>
      <c r="W35" s="12"/>
      <c r="X35" s="12"/>
    </row>
    <row r="36" spans="2:2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P36">
        <v>34</v>
      </c>
      <c r="Q36">
        <v>0.72</v>
      </c>
      <c r="R36">
        <v>1.3399999999999999</v>
      </c>
      <c r="S36">
        <v>1.48</v>
      </c>
      <c r="T36">
        <v>1.29</v>
      </c>
      <c r="U36" s="12"/>
      <c r="V36" s="12"/>
      <c r="W36" s="12"/>
      <c r="X36" s="12"/>
    </row>
    <row r="37" spans="2:24"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P37">
        <v>35</v>
      </c>
      <c r="Q37">
        <v>0.7</v>
      </c>
      <c r="R37">
        <v>1.29</v>
      </c>
      <c r="S37">
        <v>1.18</v>
      </c>
      <c r="T37">
        <v>0.77999999999999992</v>
      </c>
      <c r="U37" s="12"/>
      <c r="V37" s="12"/>
      <c r="W37" s="12"/>
      <c r="X37" s="12"/>
    </row>
    <row r="38" spans="2:24"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P38">
        <v>36</v>
      </c>
      <c r="Q38">
        <v>1.2599999999999998</v>
      </c>
      <c r="R38">
        <v>1.1299999999999999</v>
      </c>
      <c r="S38">
        <v>1.47</v>
      </c>
      <c r="T38">
        <v>1.17</v>
      </c>
      <c r="U38" s="12"/>
      <c r="V38" s="12"/>
      <c r="W38" s="12"/>
      <c r="X38" s="12"/>
    </row>
    <row r="39" spans="2:24"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P39">
        <v>37</v>
      </c>
      <c r="Q39">
        <v>1.2599999999999998</v>
      </c>
      <c r="R39">
        <v>1.1299999999999999</v>
      </c>
      <c r="S39">
        <v>1.47</v>
      </c>
      <c r="T39">
        <v>1.17</v>
      </c>
      <c r="U39" s="12"/>
      <c r="V39" s="12"/>
      <c r="W39" s="12"/>
      <c r="X39" s="12"/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C109-7254-4278-A204-9A5895CCF9E9}">
  <dimension ref="A1:Z39"/>
  <sheetViews>
    <sheetView zoomScaleNormal="100" workbookViewId="0"/>
  </sheetViews>
  <sheetFormatPr defaultRowHeight="14.25"/>
  <sheetData>
    <row r="1" spans="1:26" ht="20.25" thickBot="1">
      <c r="A1" s="4" t="s">
        <v>8</v>
      </c>
      <c r="B1" s="4"/>
      <c r="C1" s="4"/>
      <c r="D1" s="4"/>
    </row>
    <row r="2" spans="1:26" ht="15" thickTop="1"/>
    <row r="3" spans="1:26" ht="15.75" thickBot="1">
      <c r="B3" s="21" t="s">
        <v>9</v>
      </c>
      <c r="C3" s="21" t="s">
        <v>10</v>
      </c>
      <c r="D3" s="21" t="s">
        <v>11</v>
      </c>
      <c r="E3" s="21" t="s">
        <v>12</v>
      </c>
      <c r="F3" s="21" t="s">
        <v>13</v>
      </c>
      <c r="G3" s="21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1" t="s">
        <v>21</v>
      </c>
      <c r="P3" s="21" t="s">
        <v>22</v>
      </c>
      <c r="Q3" s="21" t="s">
        <v>23</v>
      </c>
      <c r="R3" s="21" t="s">
        <v>24</v>
      </c>
      <c r="S3" s="21" t="s">
        <v>25</v>
      </c>
      <c r="T3" s="21" t="s">
        <v>26</v>
      </c>
      <c r="U3" s="21" t="s">
        <v>27</v>
      </c>
      <c r="V3" s="21" t="s">
        <v>28</v>
      </c>
      <c r="W3" s="21" t="s">
        <v>29</v>
      </c>
      <c r="X3" s="21" t="s">
        <v>30</v>
      </c>
      <c r="Z3" s="12"/>
    </row>
    <row r="4" spans="1:26"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P4">
        <v>1</v>
      </c>
      <c r="Q4">
        <v>1.3800000000000001</v>
      </c>
      <c r="R4">
        <v>0.57000000000000006</v>
      </c>
      <c r="S4">
        <v>1.31</v>
      </c>
      <c r="T4">
        <v>0.76</v>
      </c>
      <c r="U4" s="12"/>
      <c r="V4" s="12"/>
      <c r="W4" s="12"/>
      <c r="X4" s="12"/>
    </row>
    <row r="5" spans="1:26"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M5" t="s">
        <v>4</v>
      </c>
      <c r="N5" t="s">
        <v>4</v>
      </c>
      <c r="P5">
        <v>2</v>
      </c>
      <c r="Q5">
        <v>1.24</v>
      </c>
      <c r="R5">
        <v>1.07</v>
      </c>
      <c r="S5">
        <v>0.47000000000000003</v>
      </c>
      <c r="T5">
        <v>0.71</v>
      </c>
      <c r="U5" s="12"/>
      <c r="V5" s="12"/>
      <c r="W5" s="12"/>
      <c r="X5" s="12"/>
    </row>
    <row r="6" spans="1:2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P6">
        <v>4</v>
      </c>
      <c r="Q6">
        <v>1.21</v>
      </c>
      <c r="R6">
        <v>1.43</v>
      </c>
      <c r="S6">
        <v>0.64</v>
      </c>
      <c r="T6">
        <v>0.58000000000000007</v>
      </c>
      <c r="U6" s="12"/>
      <c r="V6" s="12"/>
      <c r="W6" s="12"/>
      <c r="X6" s="12"/>
    </row>
    <row r="7" spans="1:26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P7">
        <v>5</v>
      </c>
      <c r="Q7">
        <v>0.45</v>
      </c>
      <c r="S7">
        <v>1.1399999999999999</v>
      </c>
      <c r="T7">
        <v>0.73</v>
      </c>
      <c r="U7" s="12"/>
      <c r="V7" s="12"/>
      <c r="W7" s="12"/>
      <c r="X7" s="12"/>
    </row>
    <row r="8" spans="1:26"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P8">
        <v>6</v>
      </c>
      <c r="Q8">
        <v>1.26</v>
      </c>
      <c r="S8">
        <v>0.99</v>
      </c>
      <c r="T8">
        <v>0.46</v>
      </c>
      <c r="U8" s="12"/>
      <c r="V8" s="12"/>
      <c r="W8" s="12"/>
      <c r="X8" s="12"/>
    </row>
    <row r="9" spans="1:26"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P9">
        <v>7</v>
      </c>
      <c r="Q9">
        <v>0.87</v>
      </c>
      <c r="R9">
        <v>1.42</v>
      </c>
      <c r="S9">
        <v>0.52</v>
      </c>
      <c r="T9">
        <v>0.75</v>
      </c>
      <c r="U9" s="12"/>
      <c r="V9" s="12"/>
      <c r="W9" s="12"/>
      <c r="X9" s="12"/>
    </row>
    <row r="10" spans="1:26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M10" t="s">
        <v>4</v>
      </c>
      <c r="N10" t="s">
        <v>4</v>
      </c>
      <c r="P10">
        <v>8</v>
      </c>
      <c r="Q10">
        <v>0.91999999999999993</v>
      </c>
      <c r="R10">
        <v>0.5</v>
      </c>
      <c r="S10">
        <v>0.66</v>
      </c>
      <c r="T10">
        <v>0.66</v>
      </c>
      <c r="U10" s="12"/>
      <c r="V10" s="12"/>
      <c r="W10" s="12"/>
      <c r="X10" s="12"/>
    </row>
    <row r="11" spans="1:26"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P11">
        <v>9</v>
      </c>
      <c r="Q11">
        <v>0.84000000000000008</v>
      </c>
      <c r="R11">
        <v>1.36</v>
      </c>
      <c r="S11">
        <v>0.99</v>
      </c>
      <c r="T11">
        <v>1.21</v>
      </c>
      <c r="U11" s="12"/>
      <c r="V11" s="12"/>
      <c r="W11" s="12"/>
      <c r="X11" s="12"/>
    </row>
    <row r="12" spans="1:26"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P12">
        <v>10</v>
      </c>
      <c r="Q12">
        <v>0.98</v>
      </c>
      <c r="R12">
        <v>0.54</v>
      </c>
      <c r="S12">
        <v>1.37</v>
      </c>
      <c r="T12">
        <v>1.34</v>
      </c>
      <c r="U12" s="12"/>
      <c r="V12" s="12"/>
      <c r="W12" s="12"/>
      <c r="X12" s="12"/>
    </row>
    <row r="13" spans="1:26"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P13">
        <v>11</v>
      </c>
      <c r="Q13">
        <v>0.87</v>
      </c>
      <c r="R13">
        <v>1.18</v>
      </c>
      <c r="S13">
        <v>0.88</v>
      </c>
      <c r="T13">
        <v>1.17</v>
      </c>
      <c r="U13" s="12"/>
      <c r="V13" s="12"/>
      <c r="W13" s="12"/>
      <c r="X13" s="12"/>
    </row>
    <row r="14" spans="1:26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P14">
        <v>12</v>
      </c>
      <c r="Q14">
        <v>1.26</v>
      </c>
      <c r="R14">
        <v>1.4</v>
      </c>
      <c r="S14">
        <v>0.59000000000000008</v>
      </c>
      <c r="T14">
        <v>0.98</v>
      </c>
      <c r="U14" s="12"/>
      <c r="V14" s="12"/>
      <c r="W14" s="12"/>
      <c r="X14" s="12"/>
    </row>
    <row r="15" spans="1:26"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M15" t="s">
        <v>4</v>
      </c>
      <c r="N15" t="s">
        <v>4</v>
      </c>
      <c r="P15">
        <v>13</v>
      </c>
      <c r="Q15">
        <v>1.27</v>
      </c>
      <c r="R15">
        <v>0.77</v>
      </c>
      <c r="S15">
        <v>0.98</v>
      </c>
      <c r="T15">
        <v>1.35</v>
      </c>
      <c r="U15" s="12"/>
      <c r="V15" s="12"/>
      <c r="W15" s="12"/>
      <c r="X15" s="12"/>
    </row>
    <row r="16" spans="1:26"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M16" t="s">
        <v>4</v>
      </c>
      <c r="N16" t="s">
        <v>4</v>
      </c>
      <c r="P16">
        <v>14</v>
      </c>
      <c r="Q16">
        <v>1.1100000000000001</v>
      </c>
      <c r="S16">
        <v>1.21</v>
      </c>
      <c r="T16">
        <v>1.1300000000000001</v>
      </c>
      <c r="U16" s="12"/>
      <c r="V16" s="12"/>
      <c r="W16" s="12"/>
      <c r="X16" s="12"/>
    </row>
    <row r="17" spans="2:24"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M17" t="s">
        <v>4</v>
      </c>
      <c r="N17" t="s">
        <v>4</v>
      </c>
      <c r="P17">
        <v>15</v>
      </c>
      <c r="Q17">
        <v>0.64</v>
      </c>
      <c r="R17">
        <v>0.46</v>
      </c>
      <c r="S17">
        <v>1.01</v>
      </c>
      <c r="T17">
        <v>1</v>
      </c>
      <c r="U17" s="12"/>
      <c r="V17" s="12"/>
      <c r="W17" s="12"/>
      <c r="X17" s="12"/>
    </row>
    <row r="18" spans="2:24"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M18" t="s">
        <v>4</v>
      </c>
      <c r="N18" t="s">
        <v>4</v>
      </c>
      <c r="P18">
        <v>16</v>
      </c>
      <c r="Q18">
        <v>0.49</v>
      </c>
      <c r="R18">
        <v>0.91</v>
      </c>
      <c r="S18">
        <v>0.63</v>
      </c>
      <c r="T18">
        <v>0.86</v>
      </c>
      <c r="U18" s="12"/>
      <c r="V18" s="12"/>
      <c r="W18" s="12"/>
      <c r="X18" s="12"/>
    </row>
    <row r="19" spans="2:24"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P19">
        <v>17</v>
      </c>
      <c r="Q19">
        <v>0.84000000000000008</v>
      </c>
      <c r="R19">
        <v>1.05</v>
      </c>
      <c r="S19">
        <v>0.5</v>
      </c>
      <c r="T19">
        <v>0.61</v>
      </c>
      <c r="U19" s="12"/>
      <c r="V19" s="12"/>
      <c r="W19" s="12"/>
      <c r="X19" s="12"/>
    </row>
    <row r="20" spans="2:24"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P20">
        <v>18</v>
      </c>
      <c r="Q20">
        <v>0.72</v>
      </c>
      <c r="R20">
        <v>0.92999999999999994</v>
      </c>
      <c r="S20">
        <v>1.1000000000000001</v>
      </c>
      <c r="T20">
        <v>1.4</v>
      </c>
      <c r="U20" s="12"/>
      <c r="V20" s="12"/>
      <c r="W20" s="12"/>
      <c r="X20" s="12"/>
    </row>
    <row r="21" spans="2:24"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M21" t="s">
        <v>4</v>
      </c>
      <c r="N21" t="s">
        <v>4</v>
      </c>
      <c r="P21">
        <v>19</v>
      </c>
      <c r="Q21">
        <v>0.96</v>
      </c>
      <c r="S21">
        <v>1.26</v>
      </c>
      <c r="T21">
        <v>0.55000000000000004</v>
      </c>
      <c r="U21" s="12"/>
      <c r="V21" s="12"/>
      <c r="W21" s="12"/>
      <c r="X21" s="12"/>
    </row>
    <row r="22" spans="2:24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M22" t="s">
        <v>4</v>
      </c>
      <c r="N22" t="s">
        <v>4</v>
      </c>
      <c r="P22">
        <v>20</v>
      </c>
      <c r="Q22">
        <v>0.83000000000000007</v>
      </c>
      <c r="R22">
        <v>0.78</v>
      </c>
      <c r="S22">
        <v>1.34</v>
      </c>
      <c r="T22">
        <v>0.66</v>
      </c>
      <c r="U22" s="12"/>
      <c r="V22" s="12"/>
      <c r="W22" s="12"/>
      <c r="X22" s="12"/>
    </row>
    <row r="23" spans="2:24"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M23" t="s">
        <v>4</v>
      </c>
      <c r="N23" t="s">
        <v>4</v>
      </c>
      <c r="P23">
        <v>21</v>
      </c>
      <c r="Q23">
        <v>0.71</v>
      </c>
      <c r="R23">
        <v>1.1000000000000001</v>
      </c>
      <c r="S23">
        <v>1.18</v>
      </c>
      <c r="T23">
        <v>1.02</v>
      </c>
      <c r="U23" s="12"/>
      <c r="V23" s="12"/>
      <c r="W23" s="12"/>
      <c r="X23" s="12"/>
    </row>
    <row r="24" spans="2:24"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P24">
        <v>22</v>
      </c>
      <c r="Q24">
        <v>0.77</v>
      </c>
      <c r="R24">
        <v>1.21</v>
      </c>
      <c r="S24">
        <v>0.46</v>
      </c>
      <c r="T24">
        <v>0.9</v>
      </c>
      <c r="U24" s="12"/>
      <c r="V24" s="12"/>
      <c r="W24" s="12"/>
      <c r="X24" s="12"/>
    </row>
    <row r="25" spans="2:24"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P25">
        <v>23</v>
      </c>
      <c r="Q25">
        <v>1.1599999999999999</v>
      </c>
      <c r="R25">
        <v>1.45</v>
      </c>
      <c r="S25">
        <v>0.74</v>
      </c>
      <c r="T25">
        <v>1.1100000000000001</v>
      </c>
      <c r="U25" s="12"/>
      <c r="V25" s="12"/>
      <c r="W25" s="12"/>
      <c r="X25" s="12"/>
    </row>
    <row r="26" spans="2:2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P26">
        <v>24</v>
      </c>
      <c r="Q26">
        <v>0.52</v>
      </c>
      <c r="R26">
        <v>1.07</v>
      </c>
      <c r="S26">
        <v>1.1000000000000001</v>
      </c>
      <c r="T26">
        <v>1.1000000000000001</v>
      </c>
      <c r="U26" s="12"/>
      <c r="V26" s="12"/>
      <c r="W26" s="12"/>
      <c r="X26" s="12"/>
    </row>
    <row r="27" spans="2:24"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P27">
        <v>25</v>
      </c>
      <c r="Q27">
        <v>0.86</v>
      </c>
      <c r="R27">
        <v>1.21</v>
      </c>
      <c r="S27">
        <v>0.84000000000000008</v>
      </c>
      <c r="T27">
        <v>0.91999999999999993</v>
      </c>
      <c r="U27" s="12"/>
      <c r="V27" s="12"/>
      <c r="W27" s="12"/>
      <c r="X27" s="12"/>
    </row>
    <row r="28" spans="2:24"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P28">
        <v>26</v>
      </c>
      <c r="Q28">
        <v>0.97</v>
      </c>
      <c r="R28">
        <v>0.96</v>
      </c>
      <c r="S28">
        <v>1.29</v>
      </c>
      <c r="T28">
        <v>0.57000000000000006</v>
      </c>
      <c r="U28" s="12"/>
      <c r="V28" s="12"/>
      <c r="W28" s="12"/>
      <c r="X28" s="12"/>
    </row>
    <row r="29" spans="2:24"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P29">
        <v>27</v>
      </c>
      <c r="Q29">
        <v>1.27</v>
      </c>
      <c r="R29">
        <v>1.37</v>
      </c>
      <c r="S29">
        <v>1.03</v>
      </c>
      <c r="T29">
        <v>0.56000000000000005</v>
      </c>
      <c r="U29" s="12"/>
      <c r="V29" s="12"/>
      <c r="W29" s="12"/>
      <c r="X29" s="12"/>
    </row>
    <row r="30" spans="2:2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P30">
        <v>28</v>
      </c>
      <c r="Q30">
        <v>0.45</v>
      </c>
      <c r="R30">
        <v>1.43</v>
      </c>
      <c r="S30">
        <v>1.1599999999999999</v>
      </c>
      <c r="T30">
        <v>1.17</v>
      </c>
      <c r="U30" s="12"/>
      <c r="V30" s="12"/>
      <c r="W30" s="12"/>
      <c r="X30" s="12"/>
    </row>
    <row r="31" spans="2:24"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P31">
        <v>29</v>
      </c>
      <c r="Q31">
        <v>0.74</v>
      </c>
      <c r="S31">
        <v>0.48</v>
      </c>
      <c r="T31">
        <v>1.23</v>
      </c>
      <c r="U31" s="12"/>
      <c r="V31" s="12"/>
      <c r="W31" s="12"/>
      <c r="X31" s="12"/>
    </row>
    <row r="32" spans="2:24"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P32">
        <v>30</v>
      </c>
      <c r="Q32">
        <v>0.68</v>
      </c>
      <c r="R32">
        <v>0.79</v>
      </c>
      <c r="S32">
        <v>1.4</v>
      </c>
      <c r="T32">
        <v>0.73</v>
      </c>
      <c r="U32" s="12"/>
      <c r="V32" s="12"/>
      <c r="W32" s="12"/>
      <c r="X32" s="12"/>
    </row>
    <row r="33" spans="2:24"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P33">
        <v>31</v>
      </c>
      <c r="Q33">
        <v>1.23</v>
      </c>
      <c r="R33">
        <v>0.94</v>
      </c>
      <c r="S33">
        <v>0.63</v>
      </c>
      <c r="T33">
        <v>1.37</v>
      </c>
      <c r="U33" s="12"/>
      <c r="V33" s="12"/>
      <c r="W33" s="12"/>
      <c r="X33" s="12"/>
    </row>
    <row r="34" spans="2:24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P34">
        <v>32</v>
      </c>
      <c r="Q34">
        <v>1.08</v>
      </c>
      <c r="S34">
        <v>0.99</v>
      </c>
      <c r="T34">
        <v>0.6</v>
      </c>
      <c r="U34" s="12"/>
      <c r="V34" s="12"/>
      <c r="W34" s="12"/>
      <c r="X34" s="12"/>
    </row>
    <row r="35" spans="2:24"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P35">
        <v>33</v>
      </c>
      <c r="Q35">
        <v>1.1200000000000001</v>
      </c>
      <c r="R35">
        <v>1.37</v>
      </c>
      <c r="S35">
        <v>1.07</v>
      </c>
      <c r="T35">
        <v>0.46</v>
      </c>
      <c r="U35" s="12"/>
      <c r="V35" s="12"/>
      <c r="W35" s="12"/>
      <c r="X35" s="12"/>
    </row>
    <row r="36" spans="2:2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P36">
        <v>34</v>
      </c>
      <c r="Q36">
        <v>0.6</v>
      </c>
      <c r="R36">
        <v>1.22</v>
      </c>
      <c r="S36">
        <v>1.36</v>
      </c>
      <c r="T36">
        <v>1.17</v>
      </c>
      <c r="U36" s="12"/>
      <c r="V36" s="12"/>
      <c r="W36" s="12"/>
      <c r="X36" s="12"/>
    </row>
    <row r="37" spans="2:24"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P37">
        <v>35</v>
      </c>
      <c r="Q37">
        <v>0.58000000000000007</v>
      </c>
      <c r="R37">
        <v>1.17</v>
      </c>
      <c r="S37">
        <v>1.06</v>
      </c>
      <c r="T37">
        <v>0.66</v>
      </c>
      <c r="U37" s="12"/>
      <c r="V37" s="12"/>
      <c r="W37" s="12"/>
      <c r="X37" s="12"/>
    </row>
    <row r="38" spans="2:24"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P38">
        <v>36</v>
      </c>
      <c r="Q38">
        <v>1.1399999999999999</v>
      </c>
      <c r="R38">
        <v>1.01</v>
      </c>
      <c r="S38">
        <v>1.35</v>
      </c>
      <c r="T38">
        <v>1.05</v>
      </c>
      <c r="U38" s="12"/>
      <c r="V38" s="12"/>
      <c r="W38" s="12"/>
      <c r="X38" s="12"/>
    </row>
    <row r="39" spans="2:24"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P39">
        <v>37</v>
      </c>
      <c r="Q39">
        <v>1.1399999999999999</v>
      </c>
      <c r="R39">
        <v>1.01</v>
      </c>
      <c r="S39">
        <v>1.35</v>
      </c>
      <c r="T39">
        <v>1.05</v>
      </c>
      <c r="U39" s="12"/>
      <c r="V39" s="12"/>
      <c r="W39" s="12"/>
      <c r="X39" s="12"/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8C02-E70F-43D5-B153-BDDDDC81CD16}">
  <dimension ref="A1:Z39"/>
  <sheetViews>
    <sheetView workbookViewId="0"/>
  </sheetViews>
  <sheetFormatPr defaultRowHeight="14.25"/>
  <sheetData>
    <row r="1" spans="1:26" ht="20.25" thickBot="1">
      <c r="A1" s="4" t="s">
        <v>8</v>
      </c>
      <c r="B1" s="4"/>
      <c r="C1" s="4"/>
      <c r="D1" s="4"/>
    </row>
    <row r="2" spans="1:26" ht="15" thickTop="1"/>
    <row r="3" spans="1:26" ht="15.75" thickBot="1">
      <c r="B3" s="21" t="s">
        <v>9</v>
      </c>
      <c r="C3" s="21" t="s">
        <v>10</v>
      </c>
      <c r="D3" s="21" t="s">
        <v>11</v>
      </c>
      <c r="E3" s="21" t="s">
        <v>12</v>
      </c>
      <c r="F3" s="21" t="s">
        <v>13</v>
      </c>
      <c r="G3" s="21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1" t="s">
        <v>21</v>
      </c>
      <c r="P3" s="21" t="s">
        <v>22</v>
      </c>
      <c r="Q3" s="21" t="s">
        <v>23</v>
      </c>
      <c r="R3" s="21" t="s">
        <v>24</v>
      </c>
      <c r="S3" s="21" t="s">
        <v>25</v>
      </c>
      <c r="T3" s="21" t="s">
        <v>26</v>
      </c>
      <c r="U3" s="21" t="s">
        <v>27</v>
      </c>
      <c r="V3" s="21" t="s">
        <v>28</v>
      </c>
      <c r="W3" s="21" t="s">
        <v>29</v>
      </c>
      <c r="X3" s="21" t="s">
        <v>30</v>
      </c>
      <c r="Z3" s="12"/>
    </row>
    <row r="4" spans="1:26"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P4">
        <v>1</v>
      </c>
      <c r="Q4">
        <v>1.86</v>
      </c>
      <c r="R4">
        <v>1.05</v>
      </c>
      <c r="S4">
        <v>1.79</v>
      </c>
      <c r="T4">
        <v>1.24</v>
      </c>
      <c r="U4" s="12"/>
      <c r="V4" s="12"/>
      <c r="W4" s="12"/>
      <c r="X4" s="12"/>
    </row>
    <row r="5" spans="1:26"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M5" t="s">
        <v>4</v>
      </c>
      <c r="N5" t="s">
        <v>4</v>
      </c>
      <c r="P5">
        <v>2</v>
      </c>
      <c r="Q5">
        <v>1.7200000000000002</v>
      </c>
      <c r="R5">
        <v>1.55</v>
      </c>
      <c r="S5">
        <v>0.95000000000000007</v>
      </c>
      <c r="T5">
        <v>1.19</v>
      </c>
      <c r="U5" s="12"/>
      <c r="V5" s="12"/>
      <c r="W5" s="12"/>
      <c r="X5" s="12"/>
    </row>
    <row r="6" spans="1:2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P6">
        <v>4</v>
      </c>
      <c r="Q6">
        <v>1.69</v>
      </c>
      <c r="R6">
        <v>1.9100000000000001</v>
      </c>
      <c r="S6">
        <v>1.1200000000000001</v>
      </c>
      <c r="T6">
        <v>1.06</v>
      </c>
      <c r="U6" s="12"/>
      <c r="V6" s="12"/>
      <c r="W6" s="12"/>
      <c r="X6" s="12"/>
    </row>
    <row r="7" spans="1:26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P7">
        <v>5</v>
      </c>
      <c r="Q7">
        <v>0.93</v>
      </c>
      <c r="S7">
        <v>1.62</v>
      </c>
      <c r="T7">
        <v>1.21</v>
      </c>
      <c r="U7" s="12"/>
      <c r="V7" s="12"/>
      <c r="W7" s="12"/>
      <c r="X7" s="12"/>
    </row>
    <row r="8" spans="1:26"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P8">
        <v>6</v>
      </c>
      <c r="Q8">
        <v>1.7400000000000002</v>
      </c>
      <c r="S8">
        <v>1.4700000000000002</v>
      </c>
      <c r="T8">
        <v>0.94000000000000006</v>
      </c>
      <c r="U8" s="12"/>
      <c r="V8" s="12"/>
      <c r="W8" s="12"/>
      <c r="X8" s="12"/>
    </row>
    <row r="9" spans="1:26"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P9">
        <v>7</v>
      </c>
      <c r="Q9">
        <v>1.35</v>
      </c>
      <c r="R9">
        <v>1.9</v>
      </c>
      <c r="S9">
        <v>1</v>
      </c>
      <c r="T9">
        <v>1.23</v>
      </c>
      <c r="U9" s="12"/>
      <c r="V9" s="12"/>
      <c r="W9" s="12"/>
      <c r="X9" s="12"/>
    </row>
    <row r="10" spans="1:26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P10">
        <v>8</v>
      </c>
      <c r="Q10">
        <v>1.4</v>
      </c>
      <c r="R10">
        <v>0.98000000000000009</v>
      </c>
      <c r="S10">
        <v>1.1400000000000001</v>
      </c>
      <c r="T10">
        <v>1.1400000000000001</v>
      </c>
      <c r="U10" s="12"/>
      <c r="V10" s="12"/>
      <c r="W10" s="12"/>
      <c r="X10" s="12"/>
    </row>
    <row r="11" spans="1:26">
      <c r="B11" t="s">
        <v>4</v>
      </c>
      <c r="C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P11">
        <v>9</v>
      </c>
      <c r="Q11">
        <v>1.32</v>
      </c>
      <c r="R11">
        <v>1.84</v>
      </c>
      <c r="S11">
        <v>1.4700000000000002</v>
      </c>
      <c r="T11">
        <v>1.69</v>
      </c>
      <c r="U11" s="12"/>
      <c r="V11" s="12"/>
      <c r="W11" s="12"/>
      <c r="X11" s="12"/>
    </row>
    <row r="12" spans="1:26"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M12" t="s">
        <v>4</v>
      </c>
      <c r="N12" t="s">
        <v>4</v>
      </c>
      <c r="P12">
        <v>10</v>
      </c>
      <c r="Q12">
        <v>1.46</v>
      </c>
      <c r="R12">
        <v>1.02</v>
      </c>
      <c r="S12">
        <v>1.85</v>
      </c>
      <c r="T12">
        <v>1.82</v>
      </c>
      <c r="U12" s="12"/>
      <c r="V12" s="12"/>
      <c r="W12" s="12"/>
      <c r="X12" s="12"/>
    </row>
    <row r="13" spans="1:26"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M13" t="s">
        <v>4</v>
      </c>
      <c r="N13" t="s">
        <v>4</v>
      </c>
      <c r="P13">
        <v>11</v>
      </c>
      <c r="Q13">
        <v>1.35</v>
      </c>
      <c r="R13">
        <v>1.6600000000000001</v>
      </c>
      <c r="S13">
        <v>1.36</v>
      </c>
      <c r="T13">
        <v>1.65</v>
      </c>
      <c r="U13" s="12"/>
      <c r="V13" s="12"/>
      <c r="W13" s="12"/>
      <c r="X13" s="12"/>
    </row>
    <row r="14" spans="1:26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M14" t="s">
        <v>4</v>
      </c>
      <c r="N14" t="s">
        <v>4</v>
      </c>
      <c r="P14">
        <v>12</v>
      </c>
      <c r="Q14">
        <v>1.7400000000000002</v>
      </c>
      <c r="R14">
        <v>1.88</v>
      </c>
      <c r="S14">
        <v>1.07</v>
      </c>
      <c r="T14">
        <v>1.46</v>
      </c>
      <c r="U14" s="12"/>
      <c r="V14" s="12"/>
      <c r="W14" s="12"/>
      <c r="X14" s="12"/>
    </row>
    <row r="15" spans="1:26"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P15">
        <v>13</v>
      </c>
      <c r="Q15">
        <v>1.75</v>
      </c>
      <c r="R15">
        <v>1.25</v>
      </c>
      <c r="S15">
        <v>1.46</v>
      </c>
      <c r="T15">
        <v>1.83</v>
      </c>
      <c r="U15" s="12"/>
      <c r="V15" s="12"/>
      <c r="W15" s="12"/>
      <c r="X15" s="12"/>
    </row>
    <row r="16" spans="1:26"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P16">
        <v>14</v>
      </c>
      <c r="Q16">
        <v>1.59</v>
      </c>
      <c r="S16">
        <v>1.69</v>
      </c>
      <c r="T16">
        <v>1.61</v>
      </c>
      <c r="U16" s="12"/>
      <c r="V16" s="12"/>
      <c r="W16" s="12"/>
      <c r="X16" s="12"/>
    </row>
    <row r="17" spans="2:24"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P17">
        <v>15</v>
      </c>
      <c r="Q17">
        <v>1.1200000000000001</v>
      </c>
      <c r="R17">
        <v>0.94000000000000006</v>
      </c>
      <c r="S17">
        <v>1.4900000000000002</v>
      </c>
      <c r="T17">
        <v>1.48</v>
      </c>
      <c r="U17" s="12"/>
      <c r="V17" s="12"/>
      <c r="W17" s="12"/>
      <c r="X17" s="12"/>
    </row>
    <row r="18" spans="2:24"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P18">
        <v>16</v>
      </c>
      <c r="Q18">
        <v>0.97000000000000008</v>
      </c>
      <c r="R18">
        <v>1.3900000000000001</v>
      </c>
      <c r="S18">
        <v>1.1100000000000001</v>
      </c>
      <c r="T18">
        <v>1.34</v>
      </c>
      <c r="U18" s="12"/>
      <c r="V18" s="12"/>
      <c r="W18" s="12"/>
      <c r="X18" s="12"/>
    </row>
    <row r="19" spans="2:24"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P19">
        <v>17</v>
      </c>
      <c r="Q19">
        <v>1.32</v>
      </c>
      <c r="R19">
        <v>1.53</v>
      </c>
      <c r="S19">
        <v>0.98000000000000009</v>
      </c>
      <c r="T19">
        <v>1.0900000000000001</v>
      </c>
      <c r="U19" s="12"/>
      <c r="V19" s="12"/>
      <c r="W19" s="12"/>
      <c r="X19" s="12"/>
    </row>
    <row r="20" spans="2:24"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P20">
        <v>18</v>
      </c>
      <c r="Q20">
        <v>1.2000000000000002</v>
      </c>
      <c r="R20">
        <v>1.4100000000000001</v>
      </c>
      <c r="S20">
        <v>1.58</v>
      </c>
      <c r="T20">
        <v>1.88</v>
      </c>
      <c r="U20" s="12"/>
      <c r="V20" s="12"/>
      <c r="W20" s="12"/>
      <c r="X20" s="12"/>
    </row>
    <row r="21" spans="2:24"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P21">
        <v>19</v>
      </c>
      <c r="Q21">
        <v>1.44</v>
      </c>
      <c r="S21">
        <v>1.7400000000000002</v>
      </c>
      <c r="T21">
        <v>1.03</v>
      </c>
      <c r="U21" s="12"/>
      <c r="V21" s="12"/>
      <c r="W21" s="12"/>
      <c r="X21" s="12"/>
    </row>
    <row r="22" spans="2:24">
      <c r="B22" t="s">
        <v>4</v>
      </c>
      <c r="C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P22">
        <v>20</v>
      </c>
      <c r="Q22">
        <v>1.31</v>
      </c>
      <c r="R22">
        <v>1.26</v>
      </c>
      <c r="S22">
        <v>1.82</v>
      </c>
      <c r="T22">
        <v>1.1400000000000001</v>
      </c>
      <c r="U22" s="12"/>
      <c r="V22" s="12"/>
      <c r="W22" s="12"/>
      <c r="X22" s="12"/>
    </row>
    <row r="23" spans="2:24">
      <c r="B23" t="s">
        <v>4</v>
      </c>
      <c r="C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P23">
        <v>21</v>
      </c>
      <c r="Q23">
        <v>1.19</v>
      </c>
      <c r="R23">
        <v>1.58</v>
      </c>
      <c r="S23">
        <v>1.6600000000000001</v>
      </c>
      <c r="T23">
        <v>1.5</v>
      </c>
      <c r="U23" s="12"/>
      <c r="V23" s="12"/>
      <c r="W23" s="12"/>
      <c r="X23" s="12"/>
    </row>
    <row r="24" spans="2:24"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P24">
        <v>22</v>
      </c>
      <c r="Q24">
        <v>1.25</v>
      </c>
      <c r="R24">
        <v>1.69</v>
      </c>
      <c r="S24">
        <v>0.94000000000000006</v>
      </c>
      <c r="T24">
        <v>1.3800000000000001</v>
      </c>
      <c r="U24" s="12"/>
      <c r="V24" s="12"/>
      <c r="W24" s="12"/>
      <c r="X24" s="12"/>
    </row>
    <row r="25" spans="2:24"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P25">
        <v>23</v>
      </c>
      <c r="Q25">
        <v>1.6400000000000001</v>
      </c>
      <c r="R25">
        <v>1.9300000000000002</v>
      </c>
      <c r="S25">
        <v>1.22</v>
      </c>
      <c r="T25">
        <v>1.59</v>
      </c>
      <c r="U25" s="12"/>
      <c r="V25" s="12"/>
      <c r="W25" s="12"/>
      <c r="X25" s="12"/>
    </row>
    <row r="26" spans="2:2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P26">
        <v>24</v>
      </c>
      <c r="Q26">
        <v>1</v>
      </c>
      <c r="R26">
        <v>1.55</v>
      </c>
      <c r="S26">
        <v>1.58</v>
      </c>
      <c r="T26">
        <v>1.58</v>
      </c>
      <c r="U26" s="12"/>
      <c r="V26" s="12"/>
      <c r="W26" s="12"/>
      <c r="X26" s="12"/>
    </row>
    <row r="27" spans="2:24"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P27">
        <v>25</v>
      </c>
      <c r="Q27">
        <v>1.34</v>
      </c>
      <c r="R27">
        <v>1.69</v>
      </c>
      <c r="S27">
        <v>1.32</v>
      </c>
      <c r="T27">
        <v>1.4</v>
      </c>
      <c r="U27" s="12"/>
      <c r="V27" s="12"/>
      <c r="W27" s="12"/>
      <c r="X27" s="12"/>
    </row>
    <row r="28" spans="2:24"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P28">
        <v>26</v>
      </c>
      <c r="Q28">
        <v>1.4500000000000002</v>
      </c>
      <c r="R28">
        <v>1.44</v>
      </c>
      <c r="S28">
        <v>1.77</v>
      </c>
      <c r="T28">
        <v>1.05</v>
      </c>
      <c r="U28" s="12"/>
      <c r="V28" s="12"/>
      <c r="W28" s="12"/>
      <c r="X28" s="12"/>
    </row>
    <row r="29" spans="2:24"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P29">
        <v>27</v>
      </c>
      <c r="Q29">
        <v>1.75</v>
      </c>
      <c r="R29">
        <v>1.85</v>
      </c>
      <c r="S29">
        <v>1.51</v>
      </c>
      <c r="T29">
        <v>1.04</v>
      </c>
      <c r="U29" s="12"/>
      <c r="V29" s="12"/>
      <c r="W29" s="12"/>
      <c r="X29" s="12"/>
    </row>
    <row r="30" spans="2:2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P30">
        <v>28</v>
      </c>
      <c r="Q30">
        <v>0.93</v>
      </c>
      <c r="R30">
        <v>1.9100000000000001</v>
      </c>
      <c r="S30">
        <v>1.6400000000000001</v>
      </c>
      <c r="T30">
        <v>1.65</v>
      </c>
      <c r="U30" s="12"/>
      <c r="V30" s="12"/>
      <c r="W30" s="12"/>
      <c r="X30" s="12"/>
    </row>
    <row r="31" spans="2:24"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P31">
        <v>29</v>
      </c>
      <c r="Q31">
        <v>1.22</v>
      </c>
      <c r="S31">
        <v>0.96000000000000008</v>
      </c>
      <c r="T31">
        <v>1.71</v>
      </c>
      <c r="U31" s="12"/>
      <c r="V31" s="12"/>
      <c r="W31" s="12"/>
      <c r="X31" s="12"/>
    </row>
    <row r="32" spans="2:24"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P32">
        <v>30</v>
      </c>
      <c r="Q32">
        <v>1.1600000000000001</v>
      </c>
      <c r="R32">
        <v>1.27</v>
      </c>
      <c r="S32">
        <v>1.88</v>
      </c>
      <c r="T32">
        <v>1.21</v>
      </c>
      <c r="U32" s="12"/>
      <c r="V32" s="12"/>
      <c r="W32" s="12"/>
      <c r="X32" s="12"/>
    </row>
    <row r="33" spans="2:24"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P33">
        <v>31</v>
      </c>
      <c r="Q33">
        <v>1.71</v>
      </c>
      <c r="R33">
        <v>1.42</v>
      </c>
      <c r="S33">
        <v>1.1100000000000001</v>
      </c>
      <c r="T33">
        <v>1.85</v>
      </c>
      <c r="U33" s="12"/>
      <c r="V33" s="12"/>
      <c r="W33" s="12"/>
      <c r="X33" s="12"/>
    </row>
    <row r="34" spans="2:24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P34">
        <v>32</v>
      </c>
      <c r="Q34">
        <v>1.56</v>
      </c>
      <c r="S34">
        <v>1.4700000000000002</v>
      </c>
      <c r="T34">
        <v>1.08</v>
      </c>
      <c r="U34" s="12"/>
      <c r="V34" s="12"/>
      <c r="W34" s="12"/>
      <c r="X34" s="12"/>
    </row>
    <row r="35" spans="2:24"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P35">
        <v>33</v>
      </c>
      <c r="Q35">
        <v>1.6</v>
      </c>
      <c r="R35">
        <v>1.85</v>
      </c>
      <c r="S35">
        <v>1.55</v>
      </c>
      <c r="T35">
        <v>0.94000000000000006</v>
      </c>
      <c r="U35" s="12"/>
      <c r="V35" s="12"/>
      <c r="W35" s="12"/>
      <c r="X35" s="12"/>
    </row>
    <row r="36" spans="2:24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P36">
        <v>34</v>
      </c>
      <c r="Q36">
        <v>1.08</v>
      </c>
      <c r="R36">
        <v>1.7000000000000002</v>
      </c>
      <c r="S36">
        <v>1.84</v>
      </c>
      <c r="T36">
        <v>1.65</v>
      </c>
      <c r="U36" s="12"/>
      <c r="V36" s="12"/>
      <c r="W36" s="12"/>
      <c r="X36" s="12"/>
    </row>
    <row r="37" spans="2:24"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P37">
        <v>35</v>
      </c>
      <c r="Q37">
        <v>1.06</v>
      </c>
      <c r="R37">
        <v>1.65</v>
      </c>
      <c r="S37">
        <v>1.54</v>
      </c>
      <c r="T37">
        <v>1.1400000000000001</v>
      </c>
      <c r="U37" s="12"/>
      <c r="V37" s="12"/>
      <c r="W37" s="12"/>
      <c r="X37" s="12"/>
    </row>
    <row r="38" spans="2:24"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P38">
        <v>36</v>
      </c>
      <c r="Q38">
        <v>1.62</v>
      </c>
      <c r="R38">
        <v>1.4900000000000002</v>
      </c>
      <c r="S38">
        <v>1.83</v>
      </c>
      <c r="T38">
        <v>1.53</v>
      </c>
      <c r="U38" s="12"/>
      <c r="V38" s="12"/>
      <c r="W38" s="12"/>
      <c r="X38" s="12"/>
    </row>
    <row r="39" spans="2:24"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P39">
        <v>37</v>
      </c>
      <c r="Q39">
        <v>1.62</v>
      </c>
      <c r="R39">
        <v>1.4900000000000002</v>
      </c>
      <c r="S39">
        <v>1.83</v>
      </c>
      <c r="T39">
        <v>1.53</v>
      </c>
      <c r="U39" s="12"/>
      <c r="V39" s="12"/>
      <c r="W39" s="12"/>
      <c r="X39" s="12"/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00A4-D178-470C-BEB6-EBFC39E71D9E}">
  <dimension ref="A1:G2003"/>
  <sheetViews>
    <sheetView zoomScale="190" zoomScaleNormal="190" workbookViewId="0"/>
  </sheetViews>
  <sheetFormatPr defaultRowHeight="14.25"/>
  <cols>
    <col min="1" max="2" width="12.5" customWidth="1"/>
    <col min="3" max="3" width="17.375" customWidth="1"/>
    <col min="4" max="4" width="12.5" customWidth="1"/>
    <col min="5" max="5" width="20" customWidth="1"/>
    <col min="6" max="6" width="11.125" style="23" customWidth="1"/>
    <col min="7" max="7" width="16.25" customWidth="1"/>
  </cols>
  <sheetData>
    <row r="1" spans="1:7" ht="20.25" thickBot="1">
      <c r="A1" s="4" t="s">
        <v>5714</v>
      </c>
      <c r="B1" s="4"/>
      <c r="C1" s="4"/>
      <c r="D1" s="4"/>
      <c r="G1" s="25" t="s">
        <v>5713</v>
      </c>
    </row>
    <row r="2" spans="1:7" ht="15" thickTop="1"/>
    <row r="3" spans="1:7" ht="15.75" thickBot="1">
      <c r="A3" s="21" t="s">
        <v>5693</v>
      </c>
      <c r="B3" s="21" t="s">
        <v>34</v>
      </c>
      <c r="C3" s="21" t="s">
        <v>33</v>
      </c>
      <c r="D3" s="21" t="s">
        <v>31</v>
      </c>
      <c r="E3" s="21" t="s">
        <v>32</v>
      </c>
      <c r="F3" s="24" t="s">
        <v>3492</v>
      </c>
      <c r="G3" s="21" t="s">
        <v>3491</v>
      </c>
    </row>
    <row r="4" spans="1:7">
      <c r="A4" t="s">
        <v>5694</v>
      </c>
      <c r="B4" t="s">
        <v>106</v>
      </c>
      <c r="C4" t="s">
        <v>1982</v>
      </c>
      <c r="D4" t="s">
        <v>2159</v>
      </c>
      <c r="E4" t="s">
        <v>3493</v>
      </c>
      <c r="F4" s="23">
        <v>44346</v>
      </c>
      <c r="G4" s="1">
        <v>16000</v>
      </c>
    </row>
    <row r="5" spans="1:7">
      <c r="A5" t="s">
        <v>5694</v>
      </c>
      <c r="B5" t="s">
        <v>94</v>
      </c>
      <c r="C5" t="s">
        <v>2046</v>
      </c>
      <c r="D5" t="s">
        <v>5493</v>
      </c>
      <c r="E5" t="s">
        <v>3494</v>
      </c>
      <c r="F5" s="23">
        <v>44346</v>
      </c>
      <c r="G5" s="1">
        <v>12389</v>
      </c>
    </row>
    <row r="6" spans="1:7">
      <c r="A6" t="s">
        <v>5694</v>
      </c>
      <c r="B6" t="s">
        <v>303</v>
      </c>
      <c r="C6" t="s">
        <v>678</v>
      </c>
      <c r="D6" t="s">
        <v>677</v>
      </c>
      <c r="E6" t="s">
        <v>3495</v>
      </c>
      <c r="F6" s="23">
        <v>45005</v>
      </c>
      <c r="G6" s="1">
        <v>11623</v>
      </c>
    </row>
    <row r="7" spans="1:7">
      <c r="A7" t="s">
        <v>5694</v>
      </c>
      <c r="B7" t="s">
        <v>311</v>
      </c>
      <c r="C7" t="s">
        <v>787</v>
      </c>
      <c r="D7" t="s">
        <v>786</v>
      </c>
      <c r="E7" t="s">
        <v>3496</v>
      </c>
      <c r="F7" s="23">
        <v>44346</v>
      </c>
      <c r="G7" s="1">
        <v>19851</v>
      </c>
    </row>
    <row r="8" spans="1:7">
      <c r="A8" t="s">
        <v>5694</v>
      </c>
      <c r="B8" t="s">
        <v>149</v>
      </c>
      <c r="C8" t="s">
        <v>1019</v>
      </c>
      <c r="D8" t="s">
        <v>1018</v>
      </c>
      <c r="E8" t="s">
        <v>3497</v>
      </c>
      <c r="F8" s="23">
        <v>45050</v>
      </c>
      <c r="G8" s="1">
        <v>2695</v>
      </c>
    </row>
    <row r="9" spans="1:7">
      <c r="A9" t="s">
        <v>5694</v>
      </c>
      <c r="B9" t="s">
        <v>106</v>
      </c>
      <c r="C9" t="s">
        <v>1891</v>
      </c>
      <c r="D9" t="s">
        <v>1890</v>
      </c>
      <c r="E9" t="s">
        <v>3498</v>
      </c>
      <c r="F9" s="23">
        <v>44346</v>
      </c>
      <c r="G9" s="1">
        <v>19553</v>
      </c>
    </row>
    <row r="10" spans="1:7">
      <c r="A10" t="s">
        <v>5694</v>
      </c>
      <c r="B10" t="s">
        <v>768</v>
      </c>
      <c r="C10" t="s">
        <v>767</v>
      </c>
      <c r="D10" t="s">
        <v>766</v>
      </c>
      <c r="E10" t="s">
        <v>3499</v>
      </c>
      <c r="F10" s="23">
        <v>44506</v>
      </c>
      <c r="G10" s="1">
        <v>10900</v>
      </c>
    </row>
    <row r="11" spans="1:7">
      <c r="A11" t="s">
        <v>5694</v>
      </c>
      <c r="B11" t="s">
        <v>94</v>
      </c>
      <c r="C11" t="s">
        <v>3485</v>
      </c>
      <c r="D11" t="s">
        <v>5494</v>
      </c>
      <c r="E11" t="s">
        <v>3500</v>
      </c>
      <c r="F11" s="23">
        <v>44346</v>
      </c>
      <c r="G11" s="1">
        <v>5123</v>
      </c>
    </row>
    <row r="12" spans="1:7">
      <c r="A12" t="s">
        <v>5695</v>
      </c>
      <c r="B12" t="s">
        <v>94</v>
      </c>
      <c r="C12" t="s">
        <v>3486</v>
      </c>
      <c r="D12" t="s">
        <v>5495</v>
      </c>
      <c r="E12" t="s">
        <v>3501</v>
      </c>
      <c r="F12" s="23">
        <v>44346</v>
      </c>
      <c r="G12" s="1">
        <v>20000</v>
      </c>
    </row>
    <row r="13" spans="1:7">
      <c r="A13" t="s">
        <v>5695</v>
      </c>
      <c r="B13" t="s">
        <v>106</v>
      </c>
      <c r="C13" t="s">
        <v>2757</v>
      </c>
      <c r="D13" t="s">
        <v>2756</v>
      </c>
      <c r="E13" t="s">
        <v>3502</v>
      </c>
      <c r="F13" s="23">
        <v>44714</v>
      </c>
      <c r="G13" s="1">
        <v>8540</v>
      </c>
    </row>
    <row r="14" spans="1:7">
      <c r="A14" t="s">
        <v>5695</v>
      </c>
      <c r="B14" t="s">
        <v>94</v>
      </c>
      <c r="C14" t="s">
        <v>3484</v>
      </c>
      <c r="D14" t="s">
        <v>1100</v>
      </c>
      <c r="E14" t="s">
        <v>3503</v>
      </c>
      <c r="F14" s="23">
        <v>44776</v>
      </c>
      <c r="G14" s="1">
        <v>11643</v>
      </c>
    </row>
    <row r="15" spans="1:7">
      <c r="A15" t="s">
        <v>5695</v>
      </c>
      <c r="B15" t="s">
        <v>94</v>
      </c>
      <c r="C15" t="s">
        <v>3487</v>
      </c>
      <c r="D15" t="s">
        <v>594</v>
      </c>
      <c r="E15" t="s">
        <v>3504</v>
      </c>
      <c r="F15" s="23">
        <v>44804</v>
      </c>
      <c r="G15" s="1">
        <v>5631</v>
      </c>
    </row>
    <row r="16" spans="1:7">
      <c r="A16" t="s">
        <v>5695</v>
      </c>
      <c r="B16" t="s">
        <v>298</v>
      </c>
      <c r="C16" t="s">
        <v>2450</v>
      </c>
      <c r="D16" t="s">
        <v>5496</v>
      </c>
      <c r="E16" t="s">
        <v>3505</v>
      </c>
      <c r="F16" s="23">
        <v>44346</v>
      </c>
      <c r="G16" s="1">
        <v>12775</v>
      </c>
    </row>
    <row r="17" spans="1:7">
      <c r="A17" t="s">
        <v>5695</v>
      </c>
      <c r="B17" t="s">
        <v>875</v>
      </c>
      <c r="C17" t="s">
        <v>874</v>
      </c>
      <c r="D17" t="s">
        <v>873</v>
      </c>
      <c r="E17" t="s">
        <v>3506</v>
      </c>
      <c r="F17" s="23">
        <v>44346</v>
      </c>
      <c r="G17" s="1">
        <v>17640</v>
      </c>
    </row>
    <row r="18" spans="1:7">
      <c r="A18" t="s">
        <v>5695</v>
      </c>
      <c r="B18" t="s">
        <v>94</v>
      </c>
      <c r="C18" t="s">
        <v>136</v>
      </c>
      <c r="D18" t="s">
        <v>5497</v>
      </c>
      <c r="E18" t="s">
        <v>3507</v>
      </c>
      <c r="F18" s="23">
        <v>44346</v>
      </c>
      <c r="G18" s="1">
        <v>10973</v>
      </c>
    </row>
    <row r="19" spans="1:7">
      <c r="A19" t="s">
        <v>5695</v>
      </c>
      <c r="B19" t="s">
        <v>208</v>
      </c>
      <c r="C19" t="s">
        <v>988</v>
      </c>
      <c r="D19" t="s">
        <v>987</v>
      </c>
      <c r="E19" t="s">
        <v>3508</v>
      </c>
      <c r="F19" s="23">
        <v>44346</v>
      </c>
      <c r="G19" s="1">
        <v>6336</v>
      </c>
    </row>
    <row r="20" spans="1:7">
      <c r="A20" t="s">
        <v>5696</v>
      </c>
      <c r="B20" t="s">
        <v>37</v>
      </c>
      <c r="C20" t="s">
        <v>1142</v>
      </c>
      <c r="D20" t="s">
        <v>1141</v>
      </c>
      <c r="E20" t="s">
        <v>3509</v>
      </c>
      <c r="F20" s="23">
        <v>44475</v>
      </c>
      <c r="G20" s="1">
        <v>5680</v>
      </c>
    </row>
    <row r="21" spans="1:7">
      <c r="A21" t="s">
        <v>5696</v>
      </c>
      <c r="B21" t="s">
        <v>233</v>
      </c>
      <c r="C21" t="s">
        <v>2871</v>
      </c>
      <c r="D21" t="s">
        <v>2870</v>
      </c>
      <c r="E21" t="s">
        <v>3510</v>
      </c>
      <c r="F21" s="23">
        <v>44346</v>
      </c>
      <c r="G21" s="1">
        <v>17220</v>
      </c>
    </row>
    <row r="22" spans="1:7">
      <c r="A22" t="s">
        <v>5696</v>
      </c>
      <c r="B22" t="s">
        <v>106</v>
      </c>
      <c r="C22" t="s">
        <v>658</v>
      </c>
      <c r="D22" t="s">
        <v>5498</v>
      </c>
      <c r="E22" t="s">
        <v>3511</v>
      </c>
      <c r="F22" s="23">
        <v>44686</v>
      </c>
      <c r="G22" s="1">
        <v>8536</v>
      </c>
    </row>
    <row r="23" spans="1:7">
      <c r="A23" t="s">
        <v>5696</v>
      </c>
      <c r="B23" t="s">
        <v>94</v>
      </c>
      <c r="C23" t="s">
        <v>3486</v>
      </c>
      <c r="D23" t="s">
        <v>1204</v>
      </c>
      <c r="E23" t="s">
        <v>3512</v>
      </c>
      <c r="F23" s="23">
        <v>45025</v>
      </c>
      <c r="G23" s="1">
        <v>8937</v>
      </c>
    </row>
    <row r="24" spans="1:7">
      <c r="A24" t="s">
        <v>5696</v>
      </c>
      <c r="B24" t="s">
        <v>149</v>
      </c>
      <c r="C24" t="s">
        <v>337</v>
      </c>
      <c r="D24" t="s">
        <v>336</v>
      </c>
      <c r="E24" t="s">
        <v>3513</v>
      </c>
      <c r="F24" s="23">
        <v>44982</v>
      </c>
      <c r="G24" s="1">
        <v>4330</v>
      </c>
    </row>
    <row r="25" spans="1:7">
      <c r="A25" t="s">
        <v>5696</v>
      </c>
      <c r="B25" t="s">
        <v>68</v>
      </c>
      <c r="C25" t="s">
        <v>816</v>
      </c>
      <c r="D25" t="s">
        <v>815</v>
      </c>
      <c r="E25" t="s">
        <v>3514</v>
      </c>
      <c r="F25" s="23">
        <v>44346</v>
      </c>
      <c r="G25" s="1">
        <v>2847</v>
      </c>
    </row>
    <row r="26" spans="1:7">
      <c r="A26" t="s">
        <v>5696</v>
      </c>
      <c r="B26" t="s">
        <v>233</v>
      </c>
      <c r="C26" t="s">
        <v>2223</v>
      </c>
      <c r="D26" t="s">
        <v>2222</v>
      </c>
      <c r="E26" t="s">
        <v>3515</v>
      </c>
      <c r="F26" s="23">
        <v>44346</v>
      </c>
      <c r="G26" s="1">
        <v>1938</v>
      </c>
    </row>
    <row r="27" spans="1:7">
      <c r="A27" t="s">
        <v>5696</v>
      </c>
      <c r="B27" t="s">
        <v>101</v>
      </c>
      <c r="C27" t="s">
        <v>534</v>
      </c>
      <c r="D27" t="s">
        <v>533</v>
      </c>
      <c r="E27" t="s">
        <v>3516</v>
      </c>
      <c r="F27" s="23">
        <v>44346</v>
      </c>
      <c r="G27" s="1">
        <v>15249</v>
      </c>
    </row>
    <row r="28" spans="1:7">
      <c r="A28" t="s">
        <v>5696</v>
      </c>
      <c r="B28" t="s">
        <v>298</v>
      </c>
      <c r="C28" t="s">
        <v>3001</v>
      </c>
      <c r="D28" t="s">
        <v>3000</v>
      </c>
      <c r="E28" t="s">
        <v>3517</v>
      </c>
      <c r="F28" s="23">
        <v>44431</v>
      </c>
      <c r="G28" s="1">
        <v>2853</v>
      </c>
    </row>
    <row r="29" spans="1:7">
      <c r="A29" t="s">
        <v>5696</v>
      </c>
      <c r="B29" t="s">
        <v>233</v>
      </c>
      <c r="C29" t="s">
        <v>3401</v>
      </c>
      <c r="D29" t="s">
        <v>3400</v>
      </c>
      <c r="E29" t="s">
        <v>3518</v>
      </c>
      <c r="F29" s="23">
        <v>44593</v>
      </c>
      <c r="G29" s="1">
        <v>2933</v>
      </c>
    </row>
    <row r="30" spans="1:7">
      <c r="A30" t="s">
        <v>1656</v>
      </c>
      <c r="B30" t="s">
        <v>228</v>
      </c>
      <c r="C30" t="s">
        <v>227</v>
      </c>
      <c r="D30" t="s">
        <v>226</v>
      </c>
      <c r="E30" t="s">
        <v>3519</v>
      </c>
      <c r="F30" s="23">
        <v>44346</v>
      </c>
      <c r="G30" s="1">
        <v>13495</v>
      </c>
    </row>
    <row r="31" spans="1:7">
      <c r="A31" t="s">
        <v>1656</v>
      </c>
      <c r="B31" t="s">
        <v>94</v>
      </c>
      <c r="C31" t="s">
        <v>3206</v>
      </c>
      <c r="D31" t="s">
        <v>3205</v>
      </c>
      <c r="E31" t="s">
        <v>3520</v>
      </c>
      <c r="F31" s="23">
        <v>44346</v>
      </c>
      <c r="G31" s="1">
        <v>13881</v>
      </c>
    </row>
    <row r="32" spans="1:7">
      <c r="A32" t="s">
        <v>1656</v>
      </c>
      <c r="B32" t="s">
        <v>94</v>
      </c>
      <c r="C32" t="s">
        <v>2773</v>
      </c>
      <c r="D32" t="s">
        <v>2772</v>
      </c>
      <c r="E32" t="s">
        <v>3521</v>
      </c>
      <c r="F32" s="23">
        <v>45024</v>
      </c>
      <c r="G32" s="1">
        <v>3056</v>
      </c>
    </row>
    <row r="33" spans="1:7">
      <c r="A33" t="s">
        <v>1656</v>
      </c>
      <c r="B33" t="s">
        <v>43</v>
      </c>
      <c r="C33" t="s">
        <v>845</v>
      </c>
      <c r="D33" t="s">
        <v>844</v>
      </c>
      <c r="E33" t="s">
        <v>3522</v>
      </c>
      <c r="F33" s="23">
        <v>44707</v>
      </c>
      <c r="G33" s="1">
        <v>4071</v>
      </c>
    </row>
    <row r="34" spans="1:7">
      <c r="A34" t="s">
        <v>1656</v>
      </c>
      <c r="B34" t="s">
        <v>284</v>
      </c>
      <c r="C34" t="s">
        <v>283</v>
      </c>
      <c r="D34" t="s">
        <v>282</v>
      </c>
      <c r="E34" t="s">
        <v>3523</v>
      </c>
      <c r="F34" s="23">
        <v>44346</v>
      </c>
      <c r="G34" s="1">
        <v>11453</v>
      </c>
    </row>
    <row r="35" spans="1:7">
      <c r="A35" t="s">
        <v>1656</v>
      </c>
      <c r="B35" t="s">
        <v>174</v>
      </c>
      <c r="C35" t="s">
        <v>292</v>
      </c>
      <c r="D35" t="s">
        <v>291</v>
      </c>
      <c r="E35" t="s">
        <v>3524</v>
      </c>
      <c r="F35" s="23">
        <v>44416</v>
      </c>
      <c r="G35" s="1">
        <v>7353</v>
      </c>
    </row>
    <row r="36" spans="1:7">
      <c r="A36" t="s">
        <v>1656</v>
      </c>
      <c r="B36" t="s">
        <v>94</v>
      </c>
      <c r="C36" t="s">
        <v>1968</v>
      </c>
      <c r="D36" t="s">
        <v>1967</v>
      </c>
      <c r="E36" t="s">
        <v>3525</v>
      </c>
      <c r="F36" s="23">
        <v>45039</v>
      </c>
      <c r="G36" s="1">
        <v>1563</v>
      </c>
    </row>
    <row r="37" spans="1:7">
      <c r="A37" t="s">
        <v>1656</v>
      </c>
      <c r="B37" t="s">
        <v>298</v>
      </c>
      <c r="C37" t="s">
        <v>2214</v>
      </c>
      <c r="D37" t="s">
        <v>2213</v>
      </c>
      <c r="E37" t="s">
        <v>3526</v>
      </c>
      <c r="F37" s="23">
        <v>44346</v>
      </c>
      <c r="G37" s="1">
        <v>7763</v>
      </c>
    </row>
    <row r="38" spans="1:7">
      <c r="A38" t="s">
        <v>1656</v>
      </c>
      <c r="B38" t="s">
        <v>311</v>
      </c>
      <c r="C38" t="s">
        <v>3421</v>
      </c>
      <c r="D38" t="s">
        <v>3420</v>
      </c>
      <c r="E38" t="s">
        <v>3527</v>
      </c>
      <c r="F38" s="23">
        <v>44346</v>
      </c>
      <c r="G38" s="1">
        <v>13531</v>
      </c>
    </row>
    <row r="39" spans="1:7">
      <c r="A39" t="s">
        <v>1656</v>
      </c>
      <c r="B39" t="s">
        <v>94</v>
      </c>
      <c r="C39" t="s">
        <v>3026</v>
      </c>
      <c r="D39" t="s">
        <v>5499</v>
      </c>
      <c r="E39" t="s">
        <v>3528</v>
      </c>
      <c r="F39" s="23">
        <v>44413</v>
      </c>
      <c r="G39" s="1">
        <v>6494</v>
      </c>
    </row>
    <row r="40" spans="1:7">
      <c r="A40" t="s">
        <v>5697</v>
      </c>
      <c r="B40" t="s">
        <v>311</v>
      </c>
      <c r="C40" t="s">
        <v>2500</v>
      </c>
      <c r="D40" t="s">
        <v>2499</v>
      </c>
      <c r="E40" t="s">
        <v>3529</v>
      </c>
      <c r="F40" s="23">
        <v>44495</v>
      </c>
      <c r="G40" s="1">
        <v>4342</v>
      </c>
    </row>
    <row r="41" spans="1:7">
      <c r="A41" t="s">
        <v>5697</v>
      </c>
      <c r="B41" t="s">
        <v>101</v>
      </c>
      <c r="C41" t="s">
        <v>1080</v>
      </c>
      <c r="D41" t="s">
        <v>1550</v>
      </c>
      <c r="E41" t="s">
        <v>3530</v>
      </c>
      <c r="F41" s="23">
        <v>44988</v>
      </c>
      <c r="G41" s="1">
        <v>5208</v>
      </c>
    </row>
    <row r="42" spans="1:7">
      <c r="A42" t="s">
        <v>5697</v>
      </c>
      <c r="B42" t="s">
        <v>298</v>
      </c>
      <c r="C42" t="s">
        <v>2026</v>
      </c>
      <c r="D42" t="s">
        <v>2025</v>
      </c>
      <c r="E42" t="s">
        <v>3531</v>
      </c>
      <c r="F42" s="23">
        <v>44346</v>
      </c>
      <c r="G42" s="1">
        <v>17043</v>
      </c>
    </row>
    <row r="43" spans="1:7">
      <c r="A43" t="s">
        <v>5697</v>
      </c>
      <c r="B43" t="s">
        <v>106</v>
      </c>
      <c r="C43" t="s">
        <v>2564</v>
      </c>
      <c r="D43" t="s">
        <v>2563</v>
      </c>
      <c r="E43" t="s">
        <v>3532</v>
      </c>
      <c r="F43" s="23">
        <v>44346</v>
      </c>
      <c r="G43" s="1">
        <v>13057</v>
      </c>
    </row>
    <row r="44" spans="1:7">
      <c r="A44" t="s">
        <v>5697</v>
      </c>
      <c r="B44" t="s">
        <v>1388</v>
      </c>
      <c r="C44" t="s">
        <v>1387</v>
      </c>
      <c r="D44" t="s">
        <v>1386</v>
      </c>
      <c r="E44" t="s">
        <v>3533</v>
      </c>
      <c r="F44" s="23">
        <v>44359</v>
      </c>
      <c r="G44" s="1">
        <v>1035</v>
      </c>
    </row>
    <row r="45" spans="1:7">
      <c r="A45" t="s">
        <v>5697</v>
      </c>
      <c r="B45" t="s">
        <v>244</v>
      </c>
      <c r="C45" t="s">
        <v>1582</v>
      </c>
      <c r="D45" t="s">
        <v>1581</v>
      </c>
      <c r="E45" t="s">
        <v>3534</v>
      </c>
      <c r="F45" s="23">
        <v>44512</v>
      </c>
      <c r="G45" s="1">
        <v>4728</v>
      </c>
    </row>
    <row r="46" spans="1:7">
      <c r="A46" t="s">
        <v>5697</v>
      </c>
      <c r="B46" t="s">
        <v>94</v>
      </c>
      <c r="C46" t="s">
        <v>3487</v>
      </c>
      <c r="D46" t="s">
        <v>1648</v>
      </c>
      <c r="E46" t="s">
        <v>3535</v>
      </c>
      <c r="F46" s="23">
        <v>44346</v>
      </c>
      <c r="G46" s="1">
        <v>13930</v>
      </c>
    </row>
    <row r="47" spans="1:7">
      <c r="A47" t="s">
        <v>5697</v>
      </c>
      <c r="B47" t="s">
        <v>94</v>
      </c>
      <c r="C47" t="s">
        <v>3267</v>
      </c>
      <c r="D47" t="s">
        <v>3266</v>
      </c>
      <c r="E47" t="s">
        <v>3536</v>
      </c>
      <c r="F47" s="23">
        <v>44346</v>
      </c>
      <c r="G47" s="1">
        <v>16618</v>
      </c>
    </row>
    <row r="48" spans="1:7">
      <c r="A48" t="s">
        <v>5697</v>
      </c>
      <c r="B48" t="s">
        <v>94</v>
      </c>
      <c r="C48" t="s">
        <v>714</v>
      </c>
      <c r="D48" t="s">
        <v>713</v>
      </c>
      <c r="E48" t="s">
        <v>3537</v>
      </c>
      <c r="F48" s="23">
        <v>44346</v>
      </c>
      <c r="G48" s="1">
        <v>11555</v>
      </c>
    </row>
    <row r="49" spans="1:7">
      <c r="A49" t="s">
        <v>5697</v>
      </c>
      <c r="B49" t="s">
        <v>94</v>
      </c>
      <c r="C49" t="s">
        <v>3486</v>
      </c>
      <c r="D49" t="s">
        <v>1507</v>
      </c>
      <c r="E49" t="s">
        <v>3538</v>
      </c>
      <c r="F49" s="23">
        <v>44490</v>
      </c>
      <c r="G49" s="1">
        <v>5730</v>
      </c>
    </row>
    <row r="50" spans="1:7">
      <c r="A50" t="s">
        <v>5697</v>
      </c>
      <c r="B50" t="s">
        <v>94</v>
      </c>
      <c r="C50" t="s">
        <v>3488</v>
      </c>
      <c r="D50" t="s">
        <v>615</v>
      </c>
      <c r="E50" t="s">
        <v>3539</v>
      </c>
      <c r="F50" s="23">
        <v>44346</v>
      </c>
      <c r="G50" s="1">
        <v>15805</v>
      </c>
    </row>
    <row r="51" spans="1:7">
      <c r="A51" t="s">
        <v>5697</v>
      </c>
      <c r="B51" t="s">
        <v>94</v>
      </c>
      <c r="D51" t="s">
        <v>5500</v>
      </c>
      <c r="E51" t="s">
        <v>3540</v>
      </c>
      <c r="F51" s="23">
        <v>44346</v>
      </c>
      <c r="G51" s="1">
        <v>12964</v>
      </c>
    </row>
    <row r="52" spans="1:7">
      <c r="A52" t="s">
        <v>5697</v>
      </c>
      <c r="B52" t="s">
        <v>208</v>
      </c>
      <c r="C52" t="s">
        <v>1009</v>
      </c>
      <c r="D52" t="s">
        <v>5501</v>
      </c>
      <c r="E52" t="s">
        <v>3541</v>
      </c>
      <c r="F52" s="23">
        <v>44688</v>
      </c>
      <c r="G52" s="1">
        <v>8054</v>
      </c>
    </row>
    <row r="53" spans="1:7">
      <c r="A53" t="s">
        <v>5698</v>
      </c>
      <c r="B53" t="s">
        <v>298</v>
      </c>
      <c r="C53" t="s">
        <v>1293</v>
      </c>
      <c r="D53" t="s">
        <v>1292</v>
      </c>
      <c r="E53" t="s">
        <v>3542</v>
      </c>
      <c r="F53" s="23">
        <v>45020</v>
      </c>
      <c r="G53" s="1">
        <v>2730</v>
      </c>
    </row>
    <row r="54" spans="1:7">
      <c r="A54" t="s">
        <v>5698</v>
      </c>
      <c r="B54" t="s">
        <v>94</v>
      </c>
      <c r="C54" t="s">
        <v>3363</v>
      </c>
      <c r="D54" t="s">
        <v>3362</v>
      </c>
      <c r="E54" t="s">
        <v>3543</v>
      </c>
      <c r="F54" s="23">
        <v>44410</v>
      </c>
      <c r="G54" s="1">
        <v>3955</v>
      </c>
    </row>
    <row r="55" spans="1:7">
      <c r="A55" t="s">
        <v>5698</v>
      </c>
      <c r="B55" t="s">
        <v>1456</v>
      </c>
      <c r="C55" t="s">
        <v>1455</v>
      </c>
      <c r="D55" t="s">
        <v>1454</v>
      </c>
      <c r="E55" t="s">
        <v>3544</v>
      </c>
      <c r="F55" s="23">
        <v>44346</v>
      </c>
      <c r="G55" s="1">
        <v>18685</v>
      </c>
    </row>
    <row r="56" spans="1:7">
      <c r="A56" t="s">
        <v>5698</v>
      </c>
      <c r="B56" t="s">
        <v>94</v>
      </c>
      <c r="C56" t="s">
        <v>3337</v>
      </c>
      <c r="D56" t="s">
        <v>3336</v>
      </c>
      <c r="E56" t="s">
        <v>3545</v>
      </c>
      <c r="F56" s="23">
        <v>44346</v>
      </c>
      <c r="G56" s="1">
        <v>6310</v>
      </c>
    </row>
    <row r="57" spans="1:7">
      <c r="A57" t="s">
        <v>5698</v>
      </c>
      <c r="B57" t="s">
        <v>94</v>
      </c>
      <c r="C57" t="s">
        <v>136</v>
      </c>
      <c r="D57" t="s">
        <v>2558</v>
      </c>
      <c r="E57" t="s">
        <v>3546</v>
      </c>
      <c r="F57" s="23">
        <v>44346</v>
      </c>
      <c r="G57" s="1">
        <v>17120</v>
      </c>
    </row>
    <row r="58" spans="1:7">
      <c r="A58" t="s">
        <v>5698</v>
      </c>
      <c r="B58" t="s">
        <v>43</v>
      </c>
      <c r="C58" t="s">
        <v>55</v>
      </c>
      <c r="D58" t="s">
        <v>54</v>
      </c>
      <c r="E58" t="s">
        <v>3547</v>
      </c>
      <c r="F58" s="23">
        <v>44710</v>
      </c>
      <c r="G58" s="1">
        <v>2060</v>
      </c>
    </row>
    <row r="59" spans="1:7">
      <c r="A59" t="s">
        <v>5698</v>
      </c>
      <c r="B59" t="s">
        <v>298</v>
      </c>
      <c r="C59" t="s">
        <v>2899</v>
      </c>
      <c r="D59" t="s">
        <v>2898</v>
      </c>
      <c r="E59" t="s">
        <v>3548</v>
      </c>
      <c r="F59" s="23">
        <v>44346</v>
      </c>
      <c r="G59" s="1">
        <v>8104</v>
      </c>
    </row>
    <row r="60" spans="1:7">
      <c r="A60" t="s">
        <v>5698</v>
      </c>
      <c r="B60" t="s">
        <v>1407</v>
      </c>
      <c r="C60" t="s">
        <v>1495</v>
      </c>
      <c r="D60" t="s">
        <v>1494</v>
      </c>
      <c r="E60" t="s">
        <v>3549</v>
      </c>
      <c r="F60" s="23">
        <v>44346</v>
      </c>
      <c r="G60" s="1">
        <v>15293</v>
      </c>
    </row>
    <row r="61" spans="1:7">
      <c r="A61" t="s">
        <v>5698</v>
      </c>
      <c r="B61" t="s">
        <v>298</v>
      </c>
      <c r="C61" t="s">
        <v>126</v>
      </c>
      <c r="D61" t="s">
        <v>2029</v>
      </c>
      <c r="E61" t="s">
        <v>3550</v>
      </c>
      <c r="F61" s="23">
        <v>44874</v>
      </c>
      <c r="G61" s="1">
        <v>6626</v>
      </c>
    </row>
    <row r="62" spans="1:7">
      <c r="A62" t="s">
        <v>5698</v>
      </c>
      <c r="B62" t="s">
        <v>94</v>
      </c>
      <c r="C62" t="s">
        <v>2585</v>
      </c>
      <c r="D62" t="s">
        <v>2605</v>
      </c>
      <c r="E62" t="s">
        <v>3551</v>
      </c>
      <c r="F62" s="23">
        <v>45011</v>
      </c>
      <c r="G62" s="1">
        <v>560</v>
      </c>
    </row>
    <row r="63" spans="1:7">
      <c r="A63" t="s">
        <v>5698</v>
      </c>
      <c r="B63" t="s">
        <v>37</v>
      </c>
      <c r="C63" t="s">
        <v>1442</v>
      </c>
      <c r="D63" t="s">
        <v>1441</v>
      </c>
      <c r="E63" t="s">
        <v>3552</v>
      </c>
      <c r="F63" s="23">
        <v>44487</v>
      </c>
      <c r="G63" s="1">
        <v>6814</v>
      </c>
    </row>
    <row r="64" spans="1:7">
      <c r="A64" t="s">
        <v>5698</v>
      </c>
      <c r="B64" t="s">
        <v>106</v>
      </c>
      <c r="C64" t="s">
        <v>2574</v>
      </c>
      <c r="D64" t="s">
        <v>5502</v>
      </c>
      <c r="E64" t="s">
        <v>3553</v>
      </c>
      <c r="F64" s="23">
        <v>44938</v>
      </c>
      <c r="G64" s="1">
        <v>8520</v>
      </c>
    </row>
    <row r="65" spans="1:7">
      <c r="A65" t="s">
        <v>5698</v>
      </c>
      <c r="B65" t="s">
        <v>43</v>
      </c>
      <c r="C65" t="s">
        <v>727</v>
      </c>
      <c r="D65" t="s">
        <v>726</v>
      </c>
      <c r="E65" t="s">
        <v>3554</v>
      </c>
      <c r="F65" s="23">
        <v>44889</v>
      </c>
      <c r="G65" s="1">
        <v>7050</v>
      </c>
    </row>
    <row r="66" spans="1:7">
      <c r="A66" t="s">
        <v>5698</v>
      </c>
      <c r="B66" t="s">
        <v>43</v>
      </c>
      <c r="C66" t="s">
        <v>1465</v>
      </c>
      <c r="D66" t="s">
        <v>1464</v>
      </c>
      <c r="E66" t="s">
        <v>3555</v>
      </c>
      <c r="F66" s="23">
        <v>44346</v>
      </c>
      <c r="G66" s="1">
        <v>12256</v>
      </c>
    </row>
    <row r="67" spans="1:7">
      <c r="A67" t="s">
        <v>5699</v>
      </c>
      <c r="B67" t="s">
        <v>43</v>
      </c>
      <c r="C67" t="s">
        <v>1289</v>
      </c>
      <c r="D67" t="s">
        <v>1288</v>
      </c>
      <c r="E67" t="s">
        <v>3556</v>
      </c>
      <c r="F67" s="23">
        <v>44578</v>
      </c>
      <c r="G67" s="1">
        <v>4902</v>
      </c>
    </row>
    <row r="68" spans="1:7">
      <c r="A68" t="s">
        <v>5699</v>
      </c>
      <c r="B68" t="s">
        <v>43</v>
      </c>
      <c r="C68" t="s">
        <v>1272</v>
      </c>
      <c r="D68" t="s">
        <v>1271</v>
      </c>
      <c r="E68" t="s">
        <v>3557</v>
      </c>
      <c r="F68" s="23">
        <v>44346</v>
      </c>
      <c r="G68" s="1">
        <v>15455</v>
      </c>
    </row>
    <row r="69" spans="1:7">
      <c r="A69" t="s">
        <v>5699</v>
      </c>
      <c r="B69" t="s">
        <v>174</v>
      </c>
      <c r="C69" t="s">
        <v>504</v>
      </c>
      <c r="D69" t="s">
        <v>503</v>
      </c>
      <c r="E69" t="s">
        <v>3558</v>
      </c>
      <c r="F69" s="23">
        <v>44393</v>
      </c>
      <c r="G69" s="1">
        <v>5001</v>
      </c>
    </row>
    <row r="70" spans="1:7">
      <c r="A70" t="s">
        <v>5699</v>
      </c>
      <c r="B70" t="s">
        <v>106</v>
      </c>
      <c r="C70" t="s">
        <v>2635</v>
      </c>
      <c r="D70" t="s">
        <v>2634</v>
      </c>
      <c r="E70" t="s">
        <v>3559</v>
      </c>
      <c r="F70" s="23">
        <v>44346</v>
      </c>
      <c r="G70" s="1">
        <v>3475</v>
      </c>
    </row>
    <row r="71" spans="1:7">
      <c r="A71" t="s">
        <v>5699</v>
      </c>
      <c r="B71" t="s">
        <v>94</v>
      </c>
      <c r="C71" t="s">
        <v>1320</v>
      </c>
      <c r="D71" t="s">
        <v>1319</v>
      </c>
      <c r="E71" t="s">
        <v>3560</v>
      </c>
      <c r="F71" s="23">
        <v>44346</v>
      </c>
      <c r="G71" s="1">
        <v>16157</v>
      </c>
    </row>
    <row r="72" spans="1:7">
      <c r="A72" t="s">
        <v>5699</v>
      </c>
      <c r="B72" t="s">
        <v>826</v>
      </c>
      <c r="C72" t="s">
        <v>934</v>
      </c>
      <c r="D72" t="s">
        <v>933</v>
      </c>
      <c r="E72" t="s">
        <v>3561</v>
      </c>
      <c r="F72" s="23">
        <v>44346</v>
      </c>
      <c r="G72" s="1">
        <v>16278</v>
      </c>
    </row>
    <row r="73" spans="1:7">
      <c r="A73" t="s">
        <v>5699</v>
      </c>
      <c r="B73" t="s">
        <v>106</v>
      </c>
      <c r="C73" t="s">
        <v>3341</v>
      </c>
      <c r="D73" t="s">
        <v>3340</v>
      </c>
      <c r="E73" t="s">
        <v>3562</v>
      </c>
      <c r="F73" s="23">
        <v>44346</v>
      </c>
      <c r="G73" s="1">
        <v>14103</v>
      </c>
    </row>
    <row r="74" spans="1:7">
      <c r="A74" t="s">
        <v>5699</v>
      </c>
      <c r="B74" t="s">
        <v>94</v>
      </c>
      <c r="D74" t="s">
        <v>2318</v>
      </c>
      <c r="E74" t="s">
        <v>3563</v>
      </c>
      <c r="F74" s="23">
        <v>44346</v>
      </c>
      <c r="G74" s="1">
        <v>12128</v>
      </c>
    </row>
    <row r="75" spans="1:7">
      <c r="A75" t="s">
        <v>5699</v>
      </c>
      <c r="B75" t="s">
        <v>94</v>
      </c>
      <c r="C75" t="s">
        <v>2996</v>
      </c>
      <c r="D75" t="s">
        <v>2995</v>
      </c>
      <c r="E75" t="s">
        <v>3564</v>
      </c>
      <c r="F75" s="23">
        <v>44346</v>
      </c>
      <c r="G75" s="1">
        <v>18046</v>
      </c>
    </row>
    <row r="76" spans="1:7">
      <c r="A76" t="s">
        <v>5699</v>
      </c>
      <c r="B76" t="s">
        <v>1223</v>
      </c>
      <c r="C76" t="s">
        <v>2255</v>
      </c>
      <c r="D76" t="s">
        <v>2254</v>
      </c>
      <c r="E76" t="s">
        <v>3565</v>
      </c>
      <c r="F76" s="23">
        <v>44346</v>
      </c>
      <c r="G76" s="1">
        <v>10200</v>
      </c>
    </row>
    <row r="77" spans="1:7">
      <c r="A77" t="s">
        <v>5699</v>
      </c>
      <c r="B77" t="s">
        <v>298</v>
      </c>
      <c r="C77" t="s">
        <v>748</v>
      </c>
      <c r="D77" t="s">
        <v>747</v>
      </c>
      <c r="E77" t="s">
        <v>3566</v>
      </c>
      <c r="F77" s="23">
        <v>44346</v>
      </c>
      <c r="G77" s="1">
        <v>12229</v>
      </c>
    </row>
    <row r="78" spans="1:7">
      <c r="A78" t="s">
        <v>5700</v>
      </c>
      <c r="B78" t="s">
        <v>94</v>
      </c>
      <c r="C78" t="s">
        <v>2144</v>
      </c>
      <c r="D78" t="s">
        <v>2143</v>
      </c>
      <c r="E78" t="s">
        <v>3567</v>
      </c>
      <c r="F78" s="23">
        <v>44603</v>
      </c>
      <c r="G78" s="1">
        <v>8649</v>
      </c>
    </row>
    <row r="79" spans="1:7">
      <c r="A79" t="s">
        <v>5700</v>
      </c>
      <c r="B79" t="s">
        <v>94</v>
      </c>
      <c r="C79" t="s">
        <v>3487</v>
      </c>
      <c r="D79" t="s">
        <v>1279</v>
      </c>
      <c r="E79" t="s">
        <v>3568</v>
      </c>
      <c r="F79" s="23">
        <v>44346</v>
      </c>
      <c r="G79" s="1">
        <v>12885</v>
      </c>
    </row>
    <row r="80" spans="1:7">
      <c r="A80" t="s">
        <v>5700</v>
      </c>
      <c r="B80" t="s">
        <v>37</v>
      </c>
      <c r="C80" t="s">
        <v>723</v>
      </c>
      <c r="D80" t="s">
        <v>1408</v>
      </c>
      <c r="E80" t="s">
        <v>3569</v>
      </c>
      <c r="F80" s="23">
        <v>45072</v>
      </c>
      <c r="G80" s="1">
        <v>4445</v>
      </c>
    </row>
    <row r="81" spans="1:7">
      <c r="A81" t="s">
        <v>5700</v>
      </c>
      <c r="B81" t="s">
        <v>43</v>
      </c>
      <c r="C81" t="s">
        <v>184</v>
      </c>
      <c r="D81" t="s">
        <v>183</v>
      </c>
      <c r="E81" t="s">
        <v>3570</v>
      </c>
      <c r="F81" s="23">
        <v>44346</v>
      </c>
      <c r="G81" s="1">
        <v>12298</v>
      </c>
    </row>
    <row r="82" spans="1:7">
      <c r="A82" t="s">
        <v>5700</v>
      </c>
      <c r="B82" t="s">
        <v>46</v>
      </c>
      <c r="C82" t="s">
        <v>1366</v>
      </c>
      <c r="D82" t="s">
        <v>5503</v>
      </c>
      <c r="E82" t="s">
        <v>3571</v>
      </c>
      <c r="F82" s="23">
        <v>44346</v>
      </c>
      <c r="G82" s="1">
        <v>17510</v>
      </c>
    </row>
    <row r="83" spans="1:7">
      <c r="A83" t="s">
        <v>5700</v>
      </c>
      <c r="B83" t="s">
        <v>106</v>
      </c>
      <c r="C83" t="s">
        <v>957</v>
      </c>
      <c r="D83" t="s">
        <v>956</v>
      </c>
      <c r="E83" t="s">
        <v>3572</v>
      </c>
      <c r="F83" s="23">
        <v>44622</v>
      </c>
      <c r="G83" s="1">
        <v>1781</v>
      </c>
    </row>
    <row r="84" spans="1:7">
      <c r="A84" t="s">
        <v>5700</v>
      </c>
      <c r="B84" t="s">
        <v>233</v>
      </c>
      <c r="C84" t="s">
        <v>2944</v>
      </c>
      <c r="D84" t="s">
        <v>2943</v>
      </c>
      <c r="E84" t="s">
        <v>3573</v>
      </c>
      <c r="F84" s="23">
        <v>44845</v>
      </c>
      <c r="G84" s="1">
        <v>2759</v>
      </c>
    </row>
    <row r="85" spans="1:7">
      <c r="A85" t="s">
        <v>5700</v>
      </c>
      <c r="B85" t="s">
        <v>311</v>
      </c>
      <c r="C85" t="s">
        <v>1979</v>
      </c>
      <c r="D85" t="s">
        <v>1978</v>
      </c>
      <c r="E85" t="s">
        <v>3574</v>
      </c>
      <c r="F85" s="23">
        <v>44346</v>
      </c>
      <c r="G85" s="1">
        <v>9380</v>
      </c>
    </row>
    <row r="86" spans="1:7">
      <c r="A86" t="s">
        <v>5700</v>
      </c>
      <c r="B86" t="s">
        <v>78</v>
      </c>
      <c r="C86" t="s">
        <v>1307</v>
      </c>
      <c r="D86" t="s">
        <v>5504</v>
      </c>
      <c r="E86" t="s">
        <v>3575</v>
      </c>
      <c r="F86" s="23">
        <v>44346</v>
      </c>
      <c r="G86" s="1">
        <v>15211</v>
      </c>
    </row>
    <row r="87" spans="1:7">
      <c r="A87" t="s">
        <v>5700</v>
      </c>
      <c r="B87" t="s">
        <v>654</v>
      </c>
      <c r="C87" t="s">
        <v>1381</v>
      </c>
      <c r="D87" t="s">
        <v>1380</v>
      </c>
      <c r="E87" t="s">
        <v>3576</v>
      </c>
      <c r="F87" s="23">
        <v>44346</v>
      </c>
      <c r="G87" s="1">
        <v>7238</v>
      </c>
    </row>
    <row r="88" spans="1:7">
      <c r="A88" t="s">
        <v>5700</v>
      </c>
      <c r="B88" t="s">
        <v>311</v>
      </c>
      <c r="C88" t="s">
        <v>1432</v>
      </c>
      <c r="D88" t="s">
        <v>1431</v>
      </c>
      <c r="E88" t="s">
        <v>3577</v>
      </c>
      <c r="F88" s="23">
        <v>44346</v>
      </c>
      <c r="G88" s="1">
        <v>13359</v>
      </c>
    </row>
    <row r="89" spans="1:7">
      <c r="A89" t="s">
        <v>5700</v>
      </c>
      <c r="B89" t="s">
        <v>122</v>
      </c>
      <c r="C89" t="s">
        <v>1347</v>
      </c>
      <c r="D89" t="s">
        <v>1346</v>
      </c>
      <c r="E89" t="s">
        <v>3578</v>
      </c>
      <c r="F89" s="23">
        <v>44346</v>
      </c>
      <c r="G89" s="1">
        <v>9696</v>
      </c>
    </row>
    <row r="90" spans="1:7">
      <c r="A90" t="s">
        <v>5700</v>
      </c>
      <c r="B90" t="s">
        <v>174</v>
      </c>
      <c r="C90" t="s">
        <v>1638</v>
      </c>
      <c r="D90" t="s">
        <v>1637</v>
      </c>
      <c r="E90" t="s">
        <v>3579</v>
      </c>
      <c r="F90" s="23">
        <v>44346</v>
      </c>
      <c r="G90" s="1">
        <v>8275</v>
      </c>
    </row>
    <row r="91" spans="1:7">
      <c r="A91" t="s">
        <v>5700</v>
      </c>
      <c r="B91" t="s">
        <v>106</v>
      </c>
      <c r="C91" t="s">
        <v>1428</v>
      </c>
      <c r="D91" t="s">
        <v>1427</v>
      </c>
      <c r="E91" t="s">
        <v>3580</v>
      </c>
      <c r="F91" s="23">
        <v>44346</v>
      </c>
      <c r="G91" s="1">
        <v>18675</v>
      </c>
    </row>
    <row r="92" spans="1:7">
      <c r="A92" t="s">
        <v>5700</v>
      </c>
      <c r="B92" t="s">
        <v>94</v>
      </c>
      <c r="C92" t="s">
        <v>1903</v>
      </c>
      <c r="D92" t="s">
        <v>1902</v>
      </c>
      <c r="E92" t="s">
        <v>3581</v>
      </c>
      <c r="F92" s="23">
        <v>45005</v>
      </c>
      <c r="G92" s="1">
        <v>1273</v>
      </c>
    </row>
    <row r="93" spans="1:7">
      <c r="A93" t="s">
        <v>5701</v>
      </c>
      <c r="B93" t="s">
        <v>109</v>
      </c>
      <c r="C93" t="s">
        <v>260</v>
      </c>
      <c r="D93" t="s">
        <v>259</v>
      </c>
      <c r="E93" t="s">
        <v>3582</v>
      </c>
      <c r="F93" s="23">
        <v>44931</v>
      </c>
      <c r="G93" s="1">
        <v>6103</v>
      </c>
    </row>
    <row r="94" spans="1:7">
      <c r="A94" t="s">
        <v>5701</v>
      </c>
      <c r="B94" t="s">
        <v>298</v>
      </c>
      <c r="C94" t="s">
        <v>2125</v>
      </c>
      <c r="D94" t="s">
        <v>2124</v>
      </c>
      <c r="E94" t="s">
        <v>3583</v>
      </c>
      <c r="F94" s="23">
        <v>44917</v>
      </c>
      <c r="G94" s="1">
        <v>7903</v>
      </c>
    </row>
    <row r="95" spans="1:7">
      <c r="A95" t="s">
        <v>5701</v>
      </c>
      <c r="B95" t="s">
        <v>37</v>
      </c>
      <c r="C95" t="s">
        <v>550</v>
      </c>
      <c r="D95" t="s">
        <v>549</v>
      </c>
      <c r="E95" t="s">
        <v>3584</v>
      </c>
      <c r="F95" s="23">
        <v>44346</v>
      </c>
      <c r="G95" s="1">
        <v>13455</v>
      </c>
    </row>
    <row r="96" spans="1:7">
      <c r="A96" t="s">
        <v>5701</v>
      </c>
      <c r="B96" t="s">
        <v>188</v>
      </c>
      <c r="C96" t="s">
        <v>343</v>
      </c>
      <c r="D96" t="s">
        <v>342</v>
      </c>
      <c r="E96" t="s">
        <v>3585</v>
      </c>
      <c r="F96" s="23">
        <v>44656</v>
      </c>
      <c r="G96" s="1">
        <v>4299</v>
      </c>
    </row>
    <row r="97" spans="1:7">
      <c r="A97" t="s">
        <v>5701</v>
      </c>
      <c r="B97" t="s">
        <v>298</v>
      </c>
      <c r="C97" t="s">
        <v>3433</v>
      </c>
      <c r="D97" t="s">
        <v>3432</v>
      </c>
      <c r="E97" t="s">
        <v>3586</v>
      </c>
      <c r="F97" s="23">
        <v>44993</v>
      </c>
      <c r="G97" s="1">
        <v>1662</v>
      </c>
    </row>
    <row r="98" spans="1:7">
      <c r="A98" t="s">
        <v>5701</v>
      </c>
      <c r="B98" t="s">
        <v>298</v>
      </c>
      <c r="C98" t="s">
        <v>2202</v>
      </c>
      <c r="D98" t="s">
        <v>5505</v>
      </c>
      <c r="E98" t="s">
        <v>3587</v>
      </c>
      <c r="F98" s="23">
        <v>44346</v>
      </c>
      <c r="G98" s="1">
        <v>3131</v>
      </c>
    </row>
    <row r="99" spans="1:7">
      <c r="A99" t="s">
        <v>5701</v>
      </c>
      <c r="B99" t="s">
        <v>188</v>
      </c>
      <c r="C99" t="s">
        <v>1679</v>
      </c>
      <c r="D99" t="s">
        <v>5506</v>
      </c>
      <c r="E99" t="s">
        <v>3588</v>
      </c>
      <c r="F99" s="23">
        <v>44346</v>
      </c>
      <c r="G99" s="1">
        <v>729</v>
      </c>
    </row>
    <row r="100" spans="1:7">
      <c r="A100" t="s">
        <v>5701</v>
      </c>
      <c r="B100" t="s">
        <v>94</v>
      </c>
      <c r="C100" t="s">
        <v>3489</v>
      </c>
      <c r="D100" t="s">
        <v>293</v>
      </c>
      <c r="E100" t="s">
        <v>3589</v>
      </c>
      <c r="F100" s="23">
        <v>45067</v>
      </c>
      <c r="G100" s="1">
        <v>574</v>
      </c>
    </row>
    <row r="101" spans="1:7">
      <c r="A101" t="s">
        <v>5701</v>
      </c>
      <c r="B101" t="s">
        <v>94</v>
      </c>
      <c r="C101" t="s">
        <v>2022</v>
      </c>
      <c r="D101" t="s">
        <v>2021</v>
      </c>
      <c r="E101" t="s">
        <v>3590</v>
      </c>
      <c r="F101" s="23">
        <v>44564</v>
      </c>
      <c r="G101" s="1">
        <v>4195</v>
      </c>
    </row>
    <row r="102" spans="1:7">
      <c r="A102" t="s">
        <v>5701</v>
      </c>
      <c r="B102" t="s">
        <v>106</v>
      </c>
      <c r="C102" t="s">
        <v>3181</v>
      </c>
      <c r="D102" t="s">
        <v>3180</v>
      </c>
      <c r="E102" t="s">
        <v>3591</v>
      </c>
      <c r="F102" s="23">
        <v>44914</v>
      </c>
      <c r="G102" s="1">
        <v>6098</v>
      </c>
    </row>
    <row r="103" spans="1:7">
      <c r="A103" t="s">
        <v>5701</v>
      </c>
      <c r="B103" t="s">
        <v>1154</v>
      </c>
      <c r="C103" t="s">
        <v>1434</v>
      </c>
      <c r="D103" t="s">
        <v>1433</v>
      </c>
      <c r="E103" t="s">
        <v>3592</v>
      </c>
      <c r="F103" s="23">
        <v>44849</v>
      </c>
      <c r="G103" s="1">
        <v>11722</v>
      </c>
    </row>
    <row r="104" spans="1:7">
      <c r="A104" t="s">
        <v>5701</v>
      </c>
      <c r="B104" t="s">
        <v>733</v>
      </c>
      <c r="C104" t="s">
        <v>732</v>
      </c>
      <c r="D104" t="s">
        <v>731</v>
      </c>
      <c r="E104" t="s">
        <v>3593</v>
      </c>
      <c r="F104" s="23">
        <v>44346</v>
      </c>
      <c r="G104" s="1">
        <v>12851</v>
      </c>
    </row>
    <row r="105" spans="1:7">
      <c r="A105" t="s">
        <v>5701</v>
      </c>
      <c r="B105" t="s">
        <v>94</v>
      </c>
      <c r="C105" t="s">
        <v>2196</v>
      </c>
      <c r="D105" t="s">
        <v>3292</v>
      </c>
      <c r="E105" t="s">
        <v>3594</v>
      </c>
      <c r="F105" s="23">
        <v>44346</v>
      </c>
      <c r="G105" s="1">
        <v>12965</v>
      </c>
    </row>
    <row r="106" spans="1:7">
      <c r="A106" t="s">
        <v>5701</v>
      </c>
      <c r="B106" t="s">
        <v>37</v>
      </c>
      <c r="C106" t="s">
        <v>306</v>
      </c>
      <c r="D106" t="s">
        <v>5507</v>
      </c>
      <c r="E106" t="s">
        <v>3595</v>
      </c>
      <c r="F106" s="23">
        <v>44413</v>
      </c>
      <c r="G106" s="1">
        <v>3263</v>
      </c>
    </row>
    <row r="107" spans="1:7">
      <c r="A107" t="s">
        <v>5701</v>
      </c>
      <c r="B107" t="s">
        <v>94</v>
      </c>
      <c r="C107" t="s">
        <v>3179</v>
      </c>
      <c r="D107" t="s">
        <v>3178</v>
      </c>
      <c r="E107" t="s">
        <v>3596</v>
      </c>
      <c r="F107" s="23">
        <v>44346</v>
      </c>
      <c r="G107" s="1">
        <v>19039</v>
      </c>
    </row>
    <row r="108" spans="1:7">
      <c r="A108" t="s">
        <v>5701</v>
      </c>
      <c r="B108" t="s">
        <v>94</v>
      </c>
      <c r="C108" t="s">
        <v>3490</v>
      </c>
      <c r="D108" t="s">
        <v>630</v>
      </c>
      <c r="E108" t="s">
        <v>3597</v>
      </c>
      <c r="F108" s="23">
        <v>44355</v>
      </c>
      <c r="G108" s="1">
        <v>2522</v>
      </c>
    </row>
    <row r="109" spans="1:7">
      <c r="A109" t="s">
        <v>5701</v>
      </c>
      <c r="B109" t="s">
        <v>40</v>
      </c>
      <c r="C109" t="s">
        <v>1764</v>
      </c>
      <c r="D109" t="s">
        <v>5508</v>
      </c>
      <c r="E109" t="s">
        <v>3598</v>
      </c>
      <c r="F109" s="23">
        <v>44459</v>
      </c>
      <c r="G109" s="1">
        <v>2448</v>
      </c>
    </row>
    <row r="110" spans="1:7">
      <c r="A110" t="s">
        <v>5701</v>
      </c>
      <c r="B110" t="s">
        <v>298</v>
      </c>
      <c r="D110" t="s">
        <v>2172</v>
      </c>
      <c r="E110" t="s">
        <v>3599</v>
      </c>
      <c r="F110" s="23">
        <v>44346</v>
      </c>
      <c r="G110" s="1">
        <v>9455</v>
      </c>
    </row>
    <row r="111" spans="1:7">
      <c r="A111" t="s">
        <v>5701</v>
      </c>
      <c r="B111" t="s">
        <v>298</v>
      </c>
      <c r="C111" t="s">
        <v>710</v>
      </c>
      <c r="D111" t="s">
        <v>709</v>
      </c>
      <c r="E111" t="s">
        <v>3600</v>
      </c>
      <c r="F111" s="23">
        <v>45002</v>
      </c>
      <c r="G111" s="1">
        <v>4190</v>
      </c>
    </row>
    <row r="112" spans="1:7">
      <c r="A112" t="s">
        <v>5701</v>
      </c>
      <c r="B112" t="s">
        <v>94</v>
      </c>
      <c r="C112" t="s">
        <v>2592</v>
      </c>
      <c r="D112" t="s">
        <v>5509</v>
      </c>
      <c r="E112" t="s">
        <v>3601</v>
      </c>
      <c r="F112" s="23">
        <v>44633</v>
      </c>
      <c r="G112" s="1">
        <v>7475</v>
      </c>
    </row>
    <row r="113" spans="1:7">
      <c r="A113" t="s">
        <v>5701</v>
      </c>
      <c r="B113" t="s">
        <v>106</v>
      </c>
      <c r="C113" t="s">
        <v>3280</v>
      </c>
      <c r="D113" t="s">
        <v>3279</v>
      </c>
      <c r="E113" t="s">
        <v>3602</v>
      </c>
      <c r="F113" s="23">
        <v>44346</v>
      </c>
      <c r="G113" s="1">
        <v>13733</v>
      </c>
    </row>
    <row r="114" spans="1:7">
      <c r="A114" t="s">
        <v>5701</v>
      </c>
      <c r="B114" t="s">
        <v>101</v>
      </c>
      <c r="C114" t="s">
        <v>397</v>
      </c>
      <c r="D114" t="s">
        <v>396</v>
      </c>
      <c r="E114" t="s">
        <v>3603</v>
      </c>
      <c r="F114" s="23">
        <v>44346</v>
      </c>
      <c r="G114" s="1">
        <v>3174</v>
      </c>
    </row>
    <row r="115" spans="1:7">
      <c r="A115" t="s">
        <v>5701</v>
      </c>
      <c r="B115" t="s">
        <v>106</v>
      </c>
      <c r="C115" t="s">
        <v>984</v>
      </c>
      <c r="D115" t="s">
        <v>2819</v>
      </c>
      <c r="E115" t="s">
        <v>3604</v>
      </c>
      <c r="F115" s="23">
        <v>44692</v>
      </c>
      <c r="G115" s="1">
        <v>9024</v>
      </c>
    </row>
    <row r="116" spans="1:7">
      <c r="A116" t="s">
        <v>5701</v>
      </c>
      <c r="B116" t="s">
        <v>1223</v>
      </c>
      <c r="C116" t="s">
        <v>2781</v>
      </c>
      <c r="D116" t="s">
        <v>2780</v>
      </c>
      <c r="E116" t="s">
        <v>3605</v>
      </c>
      <c r="F116" s="23">
        <v>44346</v>
      </c>
      <c r="G116" s="1">
        <v>13097</v>
      </c>
    </row>
    <row r="117" spans="1:7">
      <c r="A117" t="s">
        <v>5701</v>
      </c>
      <c r="B117" t="s">
        <v>233</v>
      </c>
      <c r="C117" t="s">
        <v>232</v>
      </c>
      <c r="D117" t="s">
        <v>231</v>
      </c>
      <c r="E117" t="s">
        <v>3606</v>
      </c>
      <c r="F117" s="23">
        <v>44346</v>
      </c>
      <c r="G117" s="1">
        <v>16294</v>
      </c>
    </row>
    <row r="118" spans="1:7">
      <c r="A118" t="s">
        <v>5701</v>
      </c>
      <c r="B118" t="s">
        <v>298</v>
      </c>
      <c r="C118" t="s">
        <v>365</v>
      </c>
      <c r="D118" t="s">
        <v>3424</v>
      </c>
      <c r="E118" t="s">
        <v>3607</v>
      </c>
      <c r="F118" s="23">
        <v>44915</v>
      </c>
      <c r="G118" s="1">
        <v>4660</v>
      </c>
    </row>
    <row r="119" spans="1:7">
      <c r="A119" t="s">
        <v>5701</v>
      </c>
      <c r="B119" t="s">
        <v>106</v>
      </c>
      <c r="C119" t="s">
        <v>2510</v>
      </c>
      <c r="D119" t="s">
        <v>2509</v>
      </c>
      <c r="E119" t="s">
        <v>3608</v>
      </c>
      <c r="F119" s="23">
        <v>44346</v>
      </c>
      <c r="G119" s="1">
        <v>18021</v>
      </c>
    </row>
    <row r="120" spans="1:7">
      <c r="A120" t="s">
        <v>5702</v>
      </c>
      <c r="B120" t="s">
        <v>106</v>
      </c>
      <c r="C120" t="s">
        <v>1647</v>
      </c>
      <c r="D120" t="s">
        <v>1646</v>
      </c>
      <c r="E120" t="s">
        <v>3609</v>
      </c>
      <c r="F120" s="23">
        <v>44944</v>
      </c>
      <c r="G120" s="1">
        <v>10466</v>
      </c>
    </row>
    <row r="121" spans="1:7">
      <c r="A121" t="s">
        <v>5702</v>
      </c>
      <c r="B121" t="s">
        <v>106</v>
      </c>
      <c r="C121" t="s">
        <v>2191</v>
      </c>
      <c r="D121" t="s">
        <v>5510</v>
      </c>
      <c r="E121" t="s">
        <v>3610</v>
      </c>
      <c r="F121" s="23">
        <v>44774</v>
      </c>
      <c r="G121" s="1">
        <v>6552</v>
      </c>
    </row>
    <row r="122" spans="1:7">
      <c r="A122" t="s">
        <v>5702</v>
      </c>
      <c r="B122" t="s">
        <v>94</v>
      </c>
      <c r="C122" t="s">
        <v>3490</v>
      </c>
      <c r="D122" t="s">
        <v>1075</v>
      </c>
      <c r="E122" t="s">
        <v>3611</v>
      </c>
      <c r="F122" s="23">
        <v>44346</v>
      </c>
      <c r="G122" s="1">
        <v>12318</v>
      </c>
    </row>
    <row r="123" spans="1:7">
      <c r="A123" t="s">
        <v>5702</v>
      </c>
      <c r="B123" t="s">
        <v>106</v>
      </c>
      <c r="C123" t="s">
        <v>2456</v>
      </c>
      <c r="D123" t="s">
        <v>2455</v>
      </c>
      <c r="E123" t="s">
        <v>3612</v>
      </c>
      <c r="F123" s="23">
        <v>44346</v>
      </c>
      <c r="G123" s="1">
        <v>14794</v>
      </c>
    </row>
    <row r="124" spans="1:7">
      <c r="A124" t="s">
        <v>5702</v>
      </c>
      <c r="B124" t="s">
        <v>94</v>
      </c>
      <c r="C124" t="s">
        <v>2992</v>
      </c>
      <c r="D124" t="s">
        <v>5511</v>
      </c>
      <c r="E124" t="s">
        <v>3613</v>
      </c>
      <c r="F124" s="23">
        <v>44346</v>
      </c>
      <c r="G124" s="1">
        <v>19860</v>
      </c>
    </row>
    <row r="125" spans="1:7">
      <c r="A125" t="s">
        <v>5702</v>
      </c>
      <c r="B125" t="s">
        <v>106</v>
      </c>
      <c r="C125" t="s">
        <v>2101</v>
      </c>
      <c r="D125" t="s">
        <v>2100</v>
      </c>
      <c r="E125" t="s">
        <v>3614</v>
      </c>
      <c r="F125" s="23">
        <v>44346</v>
      </c>
      <c r="G125" s="1">
        <v>6510</v>
      </c>
    </row>
    <row r="126" spans="1:7">
      <c r="A126" t="s">
        <v>5702</v>
      </c>
      <c r="B126" t="s">
        <v>135</v>
      </c>
      <c r="C126" t="s">
        <v>1585</v>
      </c>
      <c r="D126" t="s">
        <v>1584</v>
      </c>
      <c r="E126" t="s">
        <v>3615</v>
      </c>
      <c r="F126" s="23">
        <v>44749</v>
      </c>
      <c r="G126" s="1">
        <v>2345</v>
      </c>
    </row>
    <row r="127" spans="1:7">
      <c r="A127" t="s">
        <v>5702</v>
      </c>
      <c r="B127" t="s">
        <v>298</v>
      </c>
      <c r="C127" t="s">
        <v>1102</v>
      </c>
      <c r="D127" t="s">
        <v>1101</v>
      </c>
      <c r="E127" t="s">
        <v>3616</v>
      </c>
      <c r="F127" s="23">
        <v>44663</v>
      </c>
      <c r="G127" s="1">
        <v>4856</v>
      </c>
    </row>
    <row r="128" spans="1:7">
      <c r="A128" t="s">
        <v>5702</v>
      </c>
      <c r="B128" t="s">
        <v>43</v>
      </c>
      <c r="C128" t="s">
        <v>1120</v>
      </c>
      <c r="D128" t="s">
        <v>1119</v>
      </c>
      <c r="E128" t="s">
        <v>3617</v>
      </c>
      <c r="F128" s="23">
        <v>44346</v>
      </c>
      <c r="G128" s="1">
        <v>16034</v>
      </c>
    </row>
    <row r="129" spans="1:7">
      <c r="A129" t="s">
        <v>5702</v>
      </c>
      <c r="B129" t="s">
        <v>106</v>
      </c>
      <c r="C129" t="s">
        <v>355</v>
      </c>
      <c r="D129" t="s">
        <v>3278</v>
      </c>
      <c r="E129" t="s">
        <v>3618</v>
      </c>
      <c r="F129" s="23">
        <v>44995</v>
      </c>
      <c r="G129" s="1">
        <v>10148</v>
      </c>
    </row>
    <row r="130" spans="1:7">
      <c r="A130" t="s">
        <v>5702</v>
      </c>
      <c r="B130" t="s">
        <v>298</v>
      </c>
      <c r="C130" t="s">
        <v>1987</v>
      </c>
      <c r="D130" t="s">
        <v>1986</v>
      </c>
      <c r="E130" t="s">
        <v>3619</v>
      </c>
      <c r="F130" s="23">
        <v>44886</v>
      </c>
      <c r="G130" s="1">
        <v>6502</v>
      </c>
    </row>
    <row r="131" spans="1:7">
      <c r="A131" t="s">
        <v>2235</v>
      </c>
      <c r="B131" t="s">
        <v>94</v>
      </c>
      <c r="C131" t="s">
        <v>3007</v>
      </c>
      <c r="D131" t="s">
        <v>3006</v>
      </c>
      <c r="E131" t="s">
        <v>3620</v>
      </c>
      <c r="F131" s="23">
        <v>44346</v>
      </c>
      <c r="G131" s="1">
        <v>16423</v>
      </c>
    </row>
    <row r="132" spans="1:7">
      <c r="A132" t="s">
        <v>2235</v>
      </c>
      <c r="B132" t="s">
        <v>94</v>
      </c>
      <c r="C132" t="s">
        <v>2980</v>
      </c>
      <c r="D132" t="s">
        <v>2979</v>
      </c>
      <c r="E132" t="s">
        <v>3621</v>
      </c>
      <c r="F132" s="23">
        <v>44346</v>
      </c>
      <c r="G132" s="1">
        <v>2234</v>
      </c>
    </row>
    <row r="133" spans="1:7">
      <c r="A133" t="s">
        <v>2235</v>
      </c>
      <c r="B133" t="s">
        <v>37</v>
      </c>
      <c r="C133" t="s">
        <v>570</v>
      </c>
      <c r="D133" t="s">
        <v>569</v>
      </c>
      <c r="E133" t="s">
        <v>3622</v>
      </c>
      <c r="F133" s="23">
        <v>44346</v>
      </c>
      <c r="G133" s="1">
        <v>14172</v>
      </c>
    </row>
    <row r="134" spans="1:7">
      <c r="A134" t="s">
        <v>2235</v>
      </c>
      <c r="B134" t="s">
        <v>311</v>
      </c>
      <c r="C134" t="s">
        <v>3208</v>
      </c>
      <c r="D134" t="s">
        <v>3207</v>
      </c>
      <c r="E134" t="s">
        <v>3623</v>
      </c>
      <c r="F134" s="23">
        <v>44719</v>
      </c>
      <c r="G134" s="1">
        <v>3077</v>
      </c>
    </row>
    <row r="135" spans="1:7">
      <c r="A135" t="s">
        <v>2235</v>
      </c>
      <c r="B135" t="s">
        <v>37</v>
      </c>
      <c r="C135" t="s">
        <v>53</v>
      </c>
      <c r="D135" t="s">
        <v>52</v>
      </c>
      <c r="E135" t="s">
        <v>3624</v>
      </c>
      <c r="F135" s="23">
        <v>44346</v>
      </c>
      <c r="G135" s="1">
        <v>2103</v>
      </c>
    </row>
    <row r="136" spans="1:7">
      <c r="A136" t="s">
        <v>2235</v>
      </c>
      <c r="B136" t="s">
        <v>298</v>
      </c>
      <c r="C136" t="s">
        <v>297</v>
      </c>
      <c r="D136" t="s">
        <v>481</v>
      </c>
      <c r="E136" t="s">
        <v>3625</v>
      </c>
      <c r="F136" s="23">
        <v>44346</v>
      </c>
      <c r="G136" s="1">
        <v>5439</v>
      </c>
    </row>
    <row r="137" spans="1:7">
      <c r="A137" t="s">
        <v>2235</v>
      </c>
      <c r="B137" t="s">
        <v>101</v>
      </c>
      <c r="C137" t="s">
        <v>877</v>
      </c>
      <c r="D137" t="s">
        <v>876</v>
      </c>
      <c r="E137" t="s">
        <v>3626</v>
      </c>
      <c r="F137" s="23">
        <v>44346</v>
      </c>
      <c r="G137" s="1">
        <v>12903</v>
      </c>
    </row>
    <row r="138" spans="1:7">
      <c r="A138" t="s">
        <v>2235</v>
      </c>
      <c r="B138" t="s">
        <v>106</v>
      </c>
      <c r="C138" t="s">
        <v>2994</v>
      </c>
      <c r="D138" t="s">
        <v>2993</v>
      </c>
      <c r="E138" t="s">
        <v>3627</v>
      </c>
      <c r="F138" s="23">
        <v>44346</v>
      </c>
      <c r="G138" s="1">
        <v>16375</v>
      </c>
    </row>
    <row r="139" spans="1:7">
      <c r="A139" t="s">
        <v>2235</v>
      </c>
      <c r="B139" t="s">
        <v>37</v>
      </c>
      <c r="C139" t="s">
        <v>349</v>
      </c>
      <c r="D139" t="s">
        <v>348</v>
      </c>
      <c r="E139" t="s">
        <v>3628</v>
      </c>
      <c r="F139" s="23">
        <v>44346</v>
      </c>
      <c r="G139" s="1">
        <v>17510</v>
      </c>
    </row>
    <row r="140" spans="1:7">
      <c r="A140" t="s">
        <v>2235</v>
      </c>
      <c r="B140" t="s">
        <v>94</v>
      </c>
      <c r="C140" t="s">
        <v>959</v>
      </c>
      <c r="D140" t="s">
        <v>958</v>
      </c>
      <c r="E140" t="s">
        <v>3629</v>
      </c>
      <c r="F140" s="23">
        <v>44346</v>
      </c>
      <c r="G140" s="1">
        <v>13171</v>
      </c>
    </row>
    <row r="141" spans="1:7">
      <c r="A141" t="s">
        <v>2235</v>
      </c>
      <c r="B141" t="s">
        <v>233</v>
      </c>
      <c r="D141" t="s">
        <v>2324</v>
      </c>
      <c r="E141" t="s">
        <v>3630</v>
      </c>
      <c r="F141" s="23">
        <v>44616</v>
      </c>
      <c r="G141" s="1">
        <v>10259</v>
      </c>
    </row>
    <row r="142" spans="1:7">
      <c r="A142" t="s">
        <v>2235</v>
      </c>
      <c r="B142" t="s">
        <v>106</v>
      </c>
      <c r="C142" t="s">
        <v>2939</v>
      </c>
      <c r="D142" t="s">
        <v>3299</v>
      </c>
      <c r="E142" t="s">
        <v>3631</v>
      </c>
      <c r="F142" s="23">
        <v>44346</v>
      </c>
      <c r="G142" s="1">
        <v>13936</v>
      </c>
    </row>
    <row r="143" spans="1:7">
      <c r="A143" t="s">
        <v>2235</v>
      </c>
      <c r="B143" t="s">
        <v>233</v>
      </c>
      <c r="C143" t="s">
        <v>2694</v>
      </c>
      <c r="D143" t="s">
        <v>2693</v>
      </c>
      <c r="E143" t="s">
        <v>3632</v>
      </c>
      <c r="F143" s="23">
        <v>44677</v>
      </c>
      <c r="G143" s="1">
        <v>11321</v>
      </c>
    </row>
    <row r="144" spans="1:7">
      <c r="A144" t="s">
        <v>2235</v>
      </c>
      <c r="B144" t="s">
        <v>1193</v>
      </c>
      <c r="C144" t="s">
        <v>1192</v>
      </c>
      <c r="D144" t="s">
        <v>1191</v>
      </c>
      <c r="E144" t="s">
        <v>3633</v>
      </c>
      <c r="F144" s="23">
        <v>44603</v>
      </c>
      <c r="G144" s="1">
        <v>6288</v>
      </c>
    </row>
    <row r="145" spans="1:7">
      <c r="A145" t="s">
        <v>2235</v>
      </c>
      <c r="B145" t="s">
        <v>149</v>
      </c>
      <c r="C145" t="s">
        <v>1206</v>
      </c>
      <c r="D145" t="s">
        <v>1205</v>
      </c>
      <c r="E145" t="s">
        <v>3634</v>
      </c>
      <c r="F145" s="23">
        <v>44346</v>
      </c>
      <c r="G145" s="1">
        <v>16499</v>
      </c>
    </row>
    <row r="146" spans="1:7">
      <c r="A146" t="s">
        <v>2235</v>
      </c>
      <c r="B146" t="s">
        <v>94</v>
      </c>
      <c r="C146" t="s">
        <v>3486</v>
      </c>
      <c r="D146" t="s">
        <v>1626</v>
      </c>
      <c r="E146" t="s">
        <v>3635</v>
      </c>
      <c r="F146" s="23">
        <v>45004</v>
      </c>
      <c r="G146" s="1">
        <v>9837</v>
      </c>
    </row>
    <row r="147" spans="1:7">
      <c r="A147" t="s">
        <v>2235</v>
      </c>
      <c r="B147" t="s">
        <v>94</v>
      </c>
      <c r="C147" t="s">
        <v>1992</v>
      </c>
      <c r="D147" t="s">
        <v>5512</v>
      </c>
      <c r="E147" t="s">
        <v>3636</v>
      </c>
      <c r="F147" s="23">
        <v>44346</v>
      </c>
      <c r="G147" s="1">
        <v>13396</v>
      </c>
    </row>
    <row r="148" spans="1:7">
      <c r="A148" t="s">
        <v>2235</v>
      </c>
      <c r="B148" t="s">
        <v>106</v>
      </c>
      <c r="C148" t="s">
        <v>2512</v>
      </c>
      <c r="D148" t="s">
        <v>2511</v>
      </c>
      <c r="E148" t="s">
        <v>3637</v>
      </c>
      <c r="F148" s="23">
        <v>44346</v>
      </c>
      <c r="G148" s="1">
        <v>16007</v>
      </c>
    </row>
    <row r="149" spans="1:7">
      <c r="A149" t="s">
        <v>5703</v>
      </c>
      <c r="B149" t="s">
        <v>311</v>
      </c>
      <c r="C149" t="s">
        <v>1160</v>
      </c>
      <c r="D149" t="s">
        <v>1159</v>
      </c>
      <c r="E149" t="s">
        <v>3638</v>
      </c>
      <c r="F149" s="23">
        <v>44346</v>
      </c>
      <c r="G149" s="1">
        <v>16125</v>
      </c>
    </row>
    <row r="150" spans="1:7">
      <c r="A150" t="s">
        <v>5703</v>
      </c>
      <c r="B150" t="s">
        <v>94</v>
      </c>
      <c r="C150" t="s">
        <v>2010</v>
      </c>
      <c r="D150" t="s">
        <v>2009</v>
      </c>
      <c r="E150" t="s">
        <v>3639</v>
      </c>
      <c r="F150" s="23">
        <v>44349</v>
      </c>
      <c r="G150" s="1">
        <v>8275</v>
      </c>
    </row>
    <row r="151" spans="1:7">
      <c r="A151" t="s">
        <v>5703</v>
      </c>
      <c r="B151" t="s">
        <v>94</v>
      </c>
      <c r="C151" t="s">
        <v>3486</v>
      </c>
      <c r="D151" t="s">
        <v>773</v>
      </c>
      <c r="E151" t="s">
        <v>3640</v>
      </c>
      <c r="F151" s="23">
        <v>44816</v>
      </c>
      <c r="G151" s="1">
        <v>5934</v>
      </c>
    </row>
    <row r="152" spans="1:7">
      <c r="A152" t="s">
        <v>5703</v>
      </c>
      <c r="B152" t="s">
        <v>94</v>
      </c>
      <c r="C152" t="s">
        <v>3230</v>
      </c>
      <c r="D152" t="s">
        <v>3229</v>
      </c>
      <c r="E152" t="s">
        <v>3641</v>
      </c>
      <c r="F152" s="23">
        <v>44346</v>
      </c>
      <c r="G152" s="1">
        <v>18537</v>
      </c>
    </row>
    <row r="153" spans="1:7">
      <c r="A153" t="s">
        <v>5703</v>
      </c>
      <c r="B153" t="s">
        <v>106</v>
      </c>
      <c r="C153" t="s">
        <v>3372</v>
      </c>
      <c r="D153" t="s">
        <v>3371</v>
      </c>
      <c r="E153" t="s">
        <v>3642</v>
      </c>
      <c r="F153" s="23">
        <v>44715</v>
      </c>
      <c r="G153" s="1">
        <v>11815</v>
      </c>
    </row>
    <row r="154" spans="1:7">
      <c r="A154" t="s">
        <v>5703</v>
      </c>
      <c r="B154" t="s">
        <v>94</v>
      </c>
      <c r="C154" t="s">
        <v>2698</v>
      </c>
      <c r="D154" t="s">
        <v>2697</v>
      </c>
      <c r="E154" t="s">
        <v>3643</v>
      </c>
      <c r="F154" s="23">
        <v>45014</v>
      </c>
      <c r="G154" s="1">
        <v>8352</v>
      </c>
    </row>
    <row r="155" spans="1:7">
      <c r="A155" t="s">
        <v>5703</v>
      </c>
      <c r="B155" t="s">
        <v>311</v>
      </c>
      <c r="C155" t="s">
        <v>2664</v>
      </c>
      <c r="D155" t="s">
        <v>2663</v>
      </c>
      <c r="E155" t="s">
        <v>3644</v>
      </c>
      <c r="F155" s="23">
        <v>44920</v>
      </c>
      <c r="G155" s="1">
        <v>577</v>
      </c>
    </row>
    <row r="156" spans="1:7">
      <c r="A156" t="s">
        <v>5703</v>
      </c>
      <c r="B156" t="s">
        <v>106</v>
      </c>
      <c r="C156" t="s">
        <v>1603</v>
      </c>
      <c r="D156" t="s">
        <v>1602</v>
      </c>
      <c r="E156" t="s">
        <v>3645</v>
      </c>
      <c r="F156" s="23">
        <v>44346</v>
      </c>
      <c r="G156" s="1">
        <v>582</v>
      </c>
    </row>
    <row r="157" spans="1:7">
      <c r="A157" t="s">
        <v>5703</v>
      </c>
      <c r="B157" t="s">
        <v>94</v>
      </c>
      <c r="C157" t="s">
        <v>2338</v>
      </c>
      <c r="D157" t="s">
        <v>2337</v>
      </c>
      <c r="E157" t="s">
        <v>3646</v>
      </c>
      <c r="F157" s="23">
        <v>44346</v>
      </c>
      <c r="G157" s="1">
        <v>19033</v>
      </c>
    </row>
    <row r="158" spans="1:7">
      <c r="A158" t="s">
        <v>5703</v>
      </c>
      <c r="B158" t="s">
        <v>43</v>
      </c>
      <c r="C158" t="s">
        <v>1390</v>
      </c>
      <c r="D158" t="s">
        <v>1389</v>
      </c>
      <c r="E158" t="s">
        <v>3647</v>
      </c>
      <c r="F158" s="23">
        <v>44562</v>
      </c>
      <c r="G158" s="1">
        <v>2882</v>
      </c>
    </row>
    <row r="159" spans="1:7">
      <c r="A159" t="s">
        <v>5703</v>
      </c>
      <c r="B159" t="s">
        <v>106</v>
      </c>
      <c r="C159" t="s">
        <v>2231</v>
      </c>
      <c r="D159" t="s">
        <v>2230</v>
      </c>
      <c r="E159" t="s">
        <v>3648</v>
      </c>
      <c r="F159" s="23">
        <v>44517</v>
      </c>
      <c r="G159" s="1">
        <v>712</v>
      </c>
    </row>
    <row r="160" spans="1:7">
      <c r="A160" t="s">
        <v>5703</v>
      </c>
      <c r="B160" t="s">
        <v>233</v>
      </c>
      <c r="C160" t="s">
        <v>2976</v>
      </c>
      <c r="D160" t="s">
        <v>2975</v>
      </c>
      <c r="E160" t="s">
        <v>3649</v>
      </c>
      <c r="F160" s="23">
        <v>44346</v>
      </c>
      <c r="G160" s="1">
        <v>12722</v>
      </c>
    </row>
    <row r="161" spans="1:7">
      <c r="A161" t="s">
        <v>5703</v>
      </c>
      <c r="B161" t="s">
        <v>298</v>
      </c>
      <c r="C161" t="s">
        <v>2824</v>
      </c>
      <c r="D161" t="s">
        <v>2867</v>
      </c>
      <c r="E161" t="s">
        <v>3650</v>
      </c>
      <c r="F161" s="23">
        <v>44346</v>
      </c>
      <c r="G161" s="1">
        <v>528</v>
      </c>
    </row>
    <row r="162" spans="1:7">
      <c r="A162" t="s">
        <v>5703</v>
      </c>
      <c r="B162" t="s">
        <v>94</v>
      </c>
      <c r="C162" t="s">
        <v>917</v>
      </c>
      <c r="D162" t="s">
        <v>5513</v>
      </c>
      <c r="E162" t="s">
        <v>3651</v>
      </c>
      <c r="F162" s="23">
        <v>44770</v>
      </c>
      <c r="G162" s="1">
        <v>3844</v>
      </c>
    </row>
    <row r="163" spans="1:7">
      <c r="A163" t="s">
        <v>5703</v>
      </c>
      <c r="B163" t="s">
        <v>233</v>
      </c>
      <c r="C163" t="s">
        <v>3216</v>
      </c>
      <c r="D163" t="s">
        <v>3215</v>
      </c>
      <c r="E163" t="s">
        <v>3652</v>
      </c>
      <c r="F163" s="23">
        <v>44346</v>
      </c>
      <c r="G163" s="1">
        <v>13905</v>
      </c>
    </row>
    <row r="164" spans="1:7">
      <c r="A164" t="s">
        <v>5703</v>
      </c>
      <c r="B164" t="s">
        <v>94</v>
      </c>
      <c r="C164" t="s">
        <v>3488</v>
      </c>
      <c r="D164" t="s">
        <v>724</v>
      </c>
      <c r="E164" t="s">
        <v>3653</v>
      </c>
      <c r="F164" s="23">
        <v>44346</v>
      </c>
      <c r="G164" s="1">
        <v>17515</v>
      </c>
    </row>
    <row r="165" spans="1:7">
      <c r="A165" t="s">
        <v>5704</v>
      </c>
      <c r="B165" t="s">
        <v>792</v>
      </c>
      <c r="C165" t="s">
        <v>791</v>
      </c>
      <c r="D165" t="s">
        <v>790</v>
      </c>
      <c r="E165" t="s">
        <v>3654</v>
      </c>
      <c r="F165" s="23">
        <v>44386</v>
      </c>
      <c r="G165" s="1">
        <v>10692</v>
      </c>
    </row>
    <row r="166" spans="1:7">
      <c r="A166" t="s">
        <v>5704</v>
      </c>
      <c r="B166" t="s">
        <v>94</v>
      </c>
      <c r="C166" t="s">
        <v>266</v>
      </c>
      <c r="D166" t="s">
        <v>5514</v>
      </c>
      <c r="E166" t="s">
        <v>3655</v>
      </c>
      <c r="F166" s="23">
        <v>44424</v>
      </c>
      <c r="G166" s="1">
        <v>10737</v>
      </c>
    </row>
    <row r="167" spans="1:7">
      <c r="A167" t="s">
        <v>5704</v>
      </c>
      <c r="B167" t="s">
        <v>106</v>
      </c>
      <c r="C167" t="s">
        <v>2200</v>
      </c>
      <c r="D167" t="s">
        <v>2199</v>
      </c>
      <c r="E167" t="s">
        <v>3656</v>
      </c>
      <c r="F167" s="23">
        <v>44346</v>
      </c>
      <c r="G167" s="1">
        <v>19086</v>
      </c>
    </row>
    <row r="168" spans="1:7">
      <c r="A168" t="s">
        <v>5704</v>
      </c>
      <c r="B168" t="s">
        <v>298</v>
      </c>
      <c r="C168" t="s">
        <v>1659</v>
      </c>
      <c r="D168" t="s">
        <v>5515</v>
      </c>
      <c r="E168" t="s">
        <v>3657</v>
      </c>
      <c r="F168" s="23">
        <v>44355</v>
      </c>
      <c r="G168" s="1">
        <v>8608</v>
      </c>
    </row>
    <row r="169" spans="1:7">
      <c r="A169" t="s">
        <v>5704</v>
      </c>
      <c r="B169" t="s">
        <v>233</v>
      </c>
      <c r="C169" t="s">
        <v>3472</v>
      </c>
      <c r="D169" t="s">
        <v>3471</v>
      </c>
      <c r="E169" t="s">
        <v>3658</v>
      </c>
      <c r="F169" s="23">
        <v>44346</v>
      </c>
      <c r="G169" s="1">
        <v>18961</v>
      </c>
    </row>
    <row r="170" spans="1:7">
      <c r="A170" t="s">
        <v>5704</v>
      </c>
      <c r="B170" t="s">
        <v>94</v>
      </c>
      <c r="C170" t="s">
        <v>3081</v>
      </c>
      <c r="D170" t="s">
        <v>3080</v>
      </c>
      <c r="E170" t="s">
        <v>3659</v>
      </c>
      <c r="F170" s="23">
        <v>44950</v>
      </c>
      <c r="G170" s="1">
        <v>8105</v>
      </c>
    </row>
    <row r="171" spans="1:7">
      <c r="A171" t="s">
        <v>5704</v>
      </c>
      <c r="B171" t="s">
        <v>311</v>
      </c>
      <c r="C171" t="s">
        <v>3214</v>
      </c>
      <c r="D171" t="s">
        <v>3213</v>
      </c>
      <c r="E171" t="s">
        <v>3660</v>
      </c>
      <c r="F171" s="23">
        <v>44346</v>
      </c>
      <c r="G171" s="1">
        <v>12106</v>
      </c>
    </row>
    <row r="172" spans="1:7">
      <c r="A172" t="s">
        <v>5704</v>
      </c>
      <c r="B172" t="s">
        <v>244</v>
      </c>
      <c r="C172" t="s">
        <v>243</v>
      </c>
      <c r="D172" t="s">
        <v>242</v>
      </c>
      <c r="E172" t="s">
        <v>3661</v>
      </c>
      <c r="F172" s="23">
        <v>44588</v>
      </c>
      <c r="G172" s="1">
        <v>11980</v>
      </c>
    </row>
    <row r="173" spans="1:7">
      <c r="A173" t="s">
        <v>5704</v>
      </c>
      <c r="B173" t="s">
        <v>94</v>
      </c>
      <c r="C173" t="s">
        <v>3487</v>
      </c>
      <c r="D173" t="s">
        <v>827</v>
      </c>
      <c r="E173" t="s">
        <v>3662</v>
      </c>
      <c r="F173" s="23">
        <v>44346</v>
      </c>
      <c r="G173" s="1">
        <v>12023</v>
      </c>
    </row>
    <row r="174" spans="1:7">
      <c r="A174" t="s">
        <v>5704</v>
      </c>
      <c r="B174" t="s">
        <v>94</v>
      </c>
      <c r="C174" t="s">
        <v>3269</v>
      </c>
      <c r="D174" t="s">
        <v>3268</v>
      </c>
      <c r="E174" t="s">
        <v>3663</v>
      </c>
      <c r="F174" s="23">
        <v>44346</v>
      </c>
      <c r="G174" s="1">
        <v>7482</v>
      </c>
    </row>
    <row r="175" spans="1:7">
      <c r="A175" t="s">
        <v>5704</v>
      </c>
      <c r="B175" t="s">
        <v>94</v>
      </c>
      <c r="C175" t="s">
        <v>1857</v>
      </c>
      <c r="D175" t="s">
        <v>5516</v>
      </c>
      <c r="E175" t="s">
        <v>3664</v>
      </c>
      <c r="F175" s="23">
        <v>44346</v>
      </c>
      <c r="G175" s="1">
        <v>12758</v>
      </c>
    </row>
    <row r="176" spans="1:7">
      <c r="A176" t="s">
        <v>5704</v>
      </c>
      <c r="B176" t="s">
        <v>298</v>
      </c>
      <c r="C176" t="s">
        <v>1896</v>
      </c>
      <c r="D176" t="s">
        <v>3353</v>
      </c>
      <c r="E176" t="s">
        <v>3665</v>
      </c>
      <c r="F176" s="23">
        <v>44346</v>
      </c>
      <c r="G176" s="1">
        <v>17739</v>
      </c>
    </row>
    <row r="177" spans="1:7">
      <c r="A177" t="s">
        <v>5704</v>
      </c>
      <c r="B177" t="s">
        <v>37</v>
      </c>
      <c r="C177" t="s">
        <v>884</v>
      </c>
      <c r="D177" t="s">
        <v>883</v>
      </c>
      <c r="E177" t="s">
        <v>3666</v>
      </c>
      <c r="F177" s="23">
        <v>44777</v>
      </c>
      <c r="G177" s="1">
        <v>2402</v>
      </c>
    </row>
    <row r="178" spans="1:7">
      <c r="A178" t="s">
        <v>5704</v>
      </c>
      <c r="B178" t="s">
        <v>94</v>
      </c>
      <c r="C178" t="s">
        <v>694</v>
      </c>
      <c r="D178" t="s">
        <v>3059</v>
      </c>
      <c r="E178" t="s">
        <v>3667</v>
      </c>
      <c r="F178" s="23">
        <v>44662</v>
      </c>
      <c r="G178" s="1">
        <v>969</v>
      </c>
    </row>
    <row r="179" spans="1:7">
      <c r="A179" t="s">
        <v>5704</v>
      </c>
      <c r="B179" t="s">
        <v>188</v>
      </c>
      <c r="C179" t="s">
        <v>187</v>
      </c>
      <c r="D179" t="s">
        <v>186</v>
      </c>
      <c r="E179" t="s">
        <v>3668</v>
      </c>
      <c r="F179" s="23">
        <v>44650</v>
      </c>
      <c r="G179" s="1">
        <v>11154</v>
      </c>
    </row>
    <row r="180" spans="1:7">
      <c r="A180" t="s">
        <v>5704</v>
      </c>
      <c r="B180" t="s">
        <v>654</v>
      </c>
      <c r="C180" t="s">
        <v>1547</v>
      </c>
      <c r="D180" t="s">
        <v>1546</v>
      </c>
      <c r="E180" t="s">
        <v>3669</v>
      </c>
      <c r="F180" s="23">
        <v>44838</v>
      </c>
      <c r="G180" s="1">
        <v>8640</v>
      </c>
    </row>
    <row r="181" spans="1:7">
      <c r="A181" t="s">
        <v>5704</v>
      </c>
      <c r="B181" t="s">
        <v>255</v>
      </c>
      <c r="C181" t="s">
        <v>254</v>
      </c>
      <c r="D181" t="s">
        <v>253</v>
      </c>
      <c r="E181" t="s">
        <v>3670</v>
      </c>
      <c r="F181" s="23">
        <v>44346</v>
      </c>
      <c r="G181" s="1">
        <v>784</v>
      </c>
    </row>
    <row r="182" spans="1:7">
      <c r="A182" t="s">
        <v>5705</v>
      </c>
      <c r="B182" t="s">
        <v>94</v>
      </c>
      <c r="C182" t="s">
        <v>384</v>
      </c>
      <c r="D182" t="s">
        <v>383</v>
      </c>
      <c r="E182" t="s">
        <v>3671</v>
      </c>
      <c r="F182" s="23">
        <v>44346</v>
      </c>
      <c r="G182" s="1">
        <v>5994</v>
      </c>
    </row>
    <row r="183" spans="1:7">
      <c r="A183" t="s">
        <v>5705</v>
      </c>
      <c r="B183" t="s">
        <v>135</v>
      </c>
      <c r="C183" t="s">
        <v>893</v>
      </c>
      <c r="D183" t="s">
        <v>892</v>
      </c>
      <c r="E183" t="s">
        <v>3672</v>
      </c>
      <c r="F183" s="23">
        <v>44697</v>
      </c>
      <c r="G183" s="1">
        <v>1698</v>
      </c>
    </row>
    <row r="184" spans="1:7">
      <c r="A184" t="s">
        <v>5705</v>
      </c>
      <c r="B184" t="s">
        <v>46</v>
      </c>
      <c r="C184" t="s">
        <v>45</v>
      </c>
      <c r="D184" t="s">
        <v>44</v>
      </c>
      <c r="E184" t="s">
        <v>3673</v>
      </c>
      <c r="F184" s="23">
        <v>44645</v>
      </c>
      <c r="G184" s="1">
        <v>3839</v>
      </c>
    </row>
    <row r="185" spans="1:7">
      <c r="A185" t="s">
        <v>5705</v>
      </c>
      <c r="B185" t="s">
        <v>94</v>
      </c>
      <c r="C185" t="s">
        <v>3486</v>
      </c>
      <c r="D185" t="s">
        <v>853</v>
      </c>
      <c r="E185" t="s">
        <v>3674</v>
      </c>
      <c r="F185" s="23">
        <v>44346</v>
      </c>
      <c r="G185" s="1">
        <v>16383</v>
      </c>
    </row>
    <row r="186" spans="1:7">
      <c r="A186" t="s">
        <v>5705</v>
      </c>
      <c r="B186" t="s">
        <v>233</v>
      </c>
      <c r="C186" t="s">
        <v>2763</v>
      </c>
      <c r="D186" t="s">
        <v>2762</v>
      </c>
      <c r="E186" t="s">
        <v>3675</v>
      </c>
      <c r="F186" s="23">
        <v>44643</v>
      </c>
      <c r="G186" s="1">
        <v>9869</v>
      </c>
    </row>
    <row r="187" spans="1:7">
      <c r="A187" t="s">
        <v>5705</v>
      </c>
      <c r="B187" t="s">
        <v>106</v>
      </c>
      <c r="C187" t="s">
        <v>2733</v>
      </c>
      <c r="D187" t="s">
        <v>2732</v>
      </c>
      <c r="E187" t="s">
        <v>3676</v>
      </c>
      <c r="F187" s="23">
        <v>44964</v>
      </c>
      <c r="G187" s="1">
        <v>7480</v>
      </c>
    </row>
    <row r="188" spans="1:7">
      <c r="A188" t="s">
        <v>5705</v>
      </c>
      <c r="B188" t="s">
        <v>94</v>
      </c>
      <c r="C188" t="s">
        <v>917</v>
      </c>
      <c r="D188" t="s">
        <v>916</v>
      </c>
      <c r="E188" t="s">
        <v>3677</v>
      </c>
      <c r="F188" s="23">
        <v>44824</v>
      </c>
      <c r="G188" s="1">
        <v>3112</v>
      </c>
    </row>
    <row r="189" spans="1:7">
      <c r="A189" t="s">
        <v>5705</v>
      </c>
      <c r="B189" t="s">
        <v>94</v>
      </c>
      <c r="C189" t="s">
        <v>3485</v>
      </c>
      <c r="D189" t="s">
        <v>1391</v>
      </c>
      <c r="E189" t="s">
        <v>3678</v>
      </c>
      <c r="F189" s="23">
        <v>44783</v>
      </c>
      <c r="G189" s="1">
        <v>9976</v>
      </c>
    </row>
    <row r="190" spans="1:7">
      <c r="A190" t="s">
        <v>5705</v>
      </c>
      <c r="B190" t="s">
        <v>94</v>
      </c>
      <c r="C190" t="s">
        <v>3487</v>
      </c>
      <c r="D190" t="s">
        <v>746</v>
      </c>
      <c r="E190" t="s">
        <v>3679</v>
      </c>
      <c r="F190" s="23">
        <v>44346</v>
      </c>
      <c r="G190" s="1">
        <v>17208</v>
      </c>
    </row>
    <row r="191" spans="1:7">
      <c r="A191" t="s">
        <v>5705</v>
      </c>
      <c r="B191" t="s">
        <v>94</v>
      </c>
      <c r="C191" t="s">
        <v>2623</v>
      </c>
      <c r="D191" t="s">
        <v>2622</v>
      </c>
      <c r="E191" t="s">
        <v>3680</v>
      </c>
      <c r="F191" s="23">
        <v>44346</v>
      </c>
      <c r="G191" s="1">
        <v>7644</v>
      </c>
    </row>
    <row r="192" spans="1:7">
      <c r="A192" t="s">
        <v>5705</v>
      </c>
      <c r="B192" t="s">
        <v>311</v>
      </c>
      <c r="C192" t="s">
        <v>2571</v>
      </c>
      <c r="D192" t="s">
        <v>2570</v>
      </c>
      <c r="E192" t="s">
        <v>3681</v>
      </c>
      <c r="F192" s="23">
        <v>44346</v>
      </c>
      <c r="G192" s="1">
        <v>18424</v>
      </c>
    </row>
    <row r="193" spans="1:7">
      <c r="A193" t="s">
        <v>5705</v>
      </c>
      <c r="B193" t="s">
        <v>94</v>
      </c>
      <c r="C193" t="s">
        <v>2024</v>
      </c>
      <c r="D193" t="s">
        <v>2023</v>
      </c>
      <c r="E193" t="s">
        <v>3682</v>
      </c>
      <c r="F193" s="23">
        <v>44917</v>
      </c>
      <c r="G193" s="1">
        <v>11304</v>
      </c>
    </row>
    <row r="194" spans="1:7">
      <c r="A194" t="s">
        <v>5705</v>
      </c>
      <c r="B194" t="s">
        <v>1377</v>
      </c>
      <c r="C194" t="s">
        <v>1376</v>
      </c>
      <c r="D194" t="s">
        <v>1375</v>
      </c>
      <c r="E194" t="s">
        <v>3683</v>
      </c>
      <c r="F194" s="23">
        <v>45019</v>
      </c>
      <c r="G194" s="1">
        <v>10225</v>
      </c>
    </row>
    <row r="195" spans="1:7">
      <c r="A195" t="s">
        <v>5705</v>
      </c>
      <c r="B195" t="s">
        <v>94</v>
      </c>
      <c r="C195" t="s">
        <v>3033</v>
      </c>
      <c r="D195" t="s">
        <v>3032</v>
      </c>
      <c r="E195" t="s">
        <v>3684</v>
      </c>
      <c r="F195" s="23">
        <v>44946</v>
      </c>
      <c r="G195" s="1">
        <v>926</v>
      </c>
    </row>
    <row r="196" spans="1:7">
      <c r="A196" t="s">
        <v>5705</v>
      </c>
      <c r="B196" t="s">
        <v>298</v>
      </c>
      <c r="C196" t="s">
        <v>2184</v>
      </c>
      <c r="D196" t="s">
        <v>2967</v>
      </c>
      <c r="E196" t="s">
        <v>3685</v>
      </c>
      <c r="F196" s="23">
        <v>44981</v>
      </c>
      <c r="G196" s="1">
        <v>5699</v>
      </c>
    </row>
    <row r="197" spans="1:7">
      <c r="A197" t="s">
        <v>5705</v>
      </c>
      <c r="B197" t="s">
        <v>94</v>
      </c>
      <c r="C197" t="s">
        <v>1962</v>
      </c>
      <c r="D197" t="s">
        <v>1961</v>
      </c>
      <c r="E197" t="s">
        <v>3686</v>
      </c>
      <c r="F197" s="23">
        <v>44346</v>
      </c>
      <c r="G197" s="1">
        <v>19070</v>
      </c>
    </row>
    <row r="198" spans="1:7">
      <c r="A198" t="s">
        <v>5705</v>
      </c>
      <c r="B198" t="s">
        <v>1737</v>
      </c>
      <c r="C198" t="s">
        <v>1736</v>
      </c>
      <c r="D198" t="s">
        <v>1735</v>
      </c>
      <c r="E198" t="s">
        <v>3687</v>
      </c>
      <c r="F198" s="23">
        <v>44690</v>
      </c>
      <c r="G198" s="1">
        <v>9051</v>
      </c>
    </row>
    <row r="199" spans="1:7">
      <c r="A199" t="s">
        <v>5705</v>
      </c>
      <c r="B199" t="s">
        <v>233</v>
      </c>
      <c r="C199" t="s">
        <v>2417</v>
      </c>
      <c r="D199" t="s">
        <v>3387</v>
      </c>
      <c r="E199" t="s">
        <v>3688</v>
      </c>
      <c r="F199" s="23">
        <v>44346</v>
      </c>
      <c r="G199" s="1">
        <v>18420</v>
      </c>
    </row>
    <row r="200" spans="1:7">
      <c r="A200" t="s">
        <v>5705</v>
      </c>
      <c r="B200" t="s">
        <v>135</v>
      </c>
      <c r="C200" t="s">
        <v>986</v>
      </c>
      <c r="D200" t="s">
        <v>985</v>
      </c>
      <c r="E200" t="s">
        <v>3689</v>
      </c>
      <c r="F200" s="23">
        <v>44374</v>
      </c>
      <c r="G200" s="1">
        <v>10146</v>
      </c>
    </row>
    <row r="201" spans="1:7">
      <c r="A201" t="s">
        <v>5705</v>
      </c>
      <c r="B201" t="s">
        <v>106</v>
      </c>
      <c r="C201" t="s">
        <v>3322</v>
      </c>
      <c r="D201" t="s">
        <v>3321</v>
      </c>
      <c r="E201" t="s">
        <v>3690</v>
      </c>
      <c r="F201" s="23">
        <v>44526</v>
      </c>
      <c r="G201" s="1">
        <v>1072</v>
      </c>
    </row>
    <row r="202" spans="1:7">
      <c r="A202" t="s">
        <v>5705</v>
      </c>
      <c r="B202" t="s">
        <v>37</v>
      </c>
      <c r="C202" t="s">
        <v>1609</v>
      </c>
      <c r="D202" t="s">
        <v>1608</v>
      </c>
      <c r="E202" t="s">
        <v>3691</v>
      </c>
      <c r="F202" s="23">
        <v>44876</v>
      </c>
      <c r="G202" s="1">
        <v>4292</v>
      </c>
    </row>
    <row r="203" spans="1:7">
      <c r="A203" t="s">
        <v>5705</v>
      </c>
      <c r="B203" t="s">
        <v>94</v>
      </c>
      <c r="C203" t="s">
        <v>3265</v>
      </c>
      <c r="D203" t="s">
        <v>1645</v>
      </c>
      <c r="E203" t="s">
        <v>3692</v>
      </c>
      <c r="F203" s="23">
        <v>44360</v>
      </c>
      <c r="G203" s="1">
        <v>3567</v>
      </c>
    </row>
    <row r="204" spans="1:7">
      <c r="A204" t="s">
        <v>5705</v>
      </c>
      <c r="B204" t="s">
        <v>106</v>
      </c>
      <c r="C204" t="s">
        <v>3228</v>
      </c>
      <c r="D204" t="s">
        <v>3227</v>
      </c>
      <c r="E204" t="s">
        <v>3693</v>
      </c>
      <c r="F204" s="23">
        <v>44867</v>
      </c>
      <c r="G204" s="1">
        <v>5605</v>
      </c>
    </row>
    <row r="205" spans="1:7">
      <c r="A205" t="s">
        <v>5705</v>
      </c>
      <c r="B205" t="s">
        <v>94</v>
      </c>
      <c r="C205" t="s">
        <v>3295</v>
      </c>
      <c r="D205" t="s">
        <v>3294</v>
      </c>
      <c r="E205" t="s">
        <v>3694</v>
      </c>
      <c r="F205" s="23">
        <v>44813</v>
      </c>
      <c r="G205" s="1">
        <v>10636</v>
      </c>
    </row>
    <row r="206" spans="1:7">
      <c r="A206" t="s">
        <v>5705</v>
      </c>
      <c r="B206" t="s">
        <v>94</v>
      </c>
      <c r="C206" t="s">
        <v>3265</v>
      </c>
      <c r="D206" t="s">
        <v>1557</v>
      </c>
      <c r="E206" t="s">
        <v>3695</v>
      </c>
      <c r="F206" s="23">
        <v>44614</v>
      </c>
      <c r="G206" s="1">
        <v>3334</v>
      </c>
    </row>
    <row r="207" spans="1:7">
      <c r="A207" t="s">
        <v>5705</v>
      </c>
      <c r="B207" t="s">
        <v>43</v>
      </c>
      <c r="C207" t="s">
        <v>457</v>
      </c>
      <c r="D207" t="s">
        <v>456</v>
      </c>
      <c r="E207" t="s">
        <v>3696</v>
      </c>
      <c r="F207" s="23">
        <v>44346</v>
      </c>
      <c r="G207" s="1">
        <v>11945</v>
      </c>
    </row>
    <row r="208" spans="1:7">
      <c r="A208" t="s">
        <v>5705</v>
      </c>
      <c r="B208" t="s">
        <v>149</v>
      </c>
      <c r="C208" t="s">
        <v>269</v>
      </c>
      <c r="D208" t="s">
        <v>268</v>
      </c>
      <c r="E208" t="s">
        <v>3697</v>
      </c>
      <c r="F208" s="23">
        <v>44553</v>
      </c>
      <c r="G208" s="1">
        <v>6872</v>
      </c>
    </row>
    <row r="209" spans="1:7">
      <c r="A209" t="s">
        <v>5705</v>
      </c>
      <c r="B209" t="s">
        <v>1047</v>
      </c>
      <c r="C209" t="s">
        <v>1046</v>
      </c>
      <c r="D209" t="s">
        <v>1045</v>
      </c>
      <c r="E209" t="s">
        <v>3698</v>
      </c>
      <c r="F209" s="23">
        <v>44377</v>
      </c>
      <c r="G209" s="1">
        <v>11260</v>
      </c>
    </row>
    <row r="210" spans="1:7">
      <c r="A210" t="s">
        <v>5705</v>
      </c>
      <c r="B210" t="s">
        <v>311</v>
      </c>
      <c r="C210" t="s">
        <v>1935</v>
      </c>
      <c r="D210" t="s">
        <v>1934</v>
      </c>
      <c r="E210" t="s">
        <v>3699</v>
      </c>
      <c r="F210" s="23">
        <v>44696</v>
      </c>
      <c r="G210" s="1">
        <v>614</v>
      </c>
    </row>
    <row r="211" spans="1:7">
      <c r="A211" t="s">
        <v>5705</v>
      </c>
      <c r="B211" t="s">
        <v>311</v>
      </c>
      <c r="C211" t="s">
        <v>734</v>
      </c>
      <c r="D211" t="s">
        <v>5517</v>
      </c>
      <c r="E211" t="s">
        <v>3700</v>
      </c>
      <c r="F211" s="23">
        <v>44346</v>
      </c>
      <c r="G211" s="1">
        <v>15822</v>
      </c>
    </row>
    <row r="212" spans="1:7">
      <c r="A212" t="s">
        <v>5705</v>
      </c>
      <c r="B212" t="s">
        <v>43</v>
      </c>
      <c r="C212" t="s">
        <v>882</v>
      </c>
      <c r="D212" t="s">
        <v>881</v>
      </c>
      <c r="E212" t="s">
        <v>3701</v>
      </c>
      <c r="F212" s="23">
        <v>44992</v>
      </c>
      <c r="G212" s="1">
        <v>9218</v>
      </c>
    </row>
    <row r="213" spans="1:7">
      <c r="A213" t="s">
        <v>5705</v>
      </c>
      <c r="B213" t="s">
        <v>37</v>
      </c>
      <c r="C213" t="s">
        <v>1122</v>
      </c>
      <c r="D213" t="s">
        <v>1121</v>
      </c>
      <c r="E213" t="s">
        <v>3702</v>
      </c>
      <c r="F213" s="23">
        <v>44346</v>
      </c>
      <c r="G213" s="1">
        <v>16511</v>
      </c>
    </row>
    <row r="214" spans="1:7">
      <c r="A214" t="s">
        <v>5705</v>
      </c>
      <c r="B214" t="s">
        <v>101</v>
      </c>
      <c r="C214" t="s">
        <v>1526</v>
      </c>
      <c r="D214" t="s">
        <v>1525</v>
      </c>
      <c r="E214" t="s">
        <v>3703</v>
      </c>
      <c r="F214" s="23">
        <v>44346</v>
      </c>
      <c r="G214" s="1">
        <v>17962</v>
      </c>
    </row>
    <row r="215" spans="1:7">
      <c r="A215" t="s">
        <v>5705</v>
      </c>
      <c r="B215" t="s">
        <v>94</v>
      </c>
      <c r="C215" t="s">
        <v>3065</v>
      </c>
      <c r="D215" t="s">
        <v>5518</v>
      </c>
      <c r="E215" t="s">
        <v>3704</v>
      </c>
      <c r="F215" s="23">
        <v>44925</v>
      </c>
      <c r="G215" s="1">
        <v>1091</v>
      </c>
    </row>
    <row r="216" spans="1:7">
      <c r="A216" t="s">
        <v>5705</v>
      </c>
      <c r="B216" t="s">
        <v>755</v>
      </c>
      <c r="C216" t="s">
        <v>1566</v>
      </c>
      <c r="D216" t="s">
        <v>1565</v>
      </c>
      <c r="E216" t="s">
        <v>3705</v>
      </c>
      <c r="F216" s="23">
        <v>44346</v>
      </c>
      <c r="G216" s="1">
        <v>14884</v>
      </c>
    </row>
    <row r="217" spans="1:7">
      <c r="A217" t="s">
        <v>5705</v>
      </c>
      <c r="B217" t="s">
        <v>298</v>
      </c>
      <c r="C217" t="s">
        <v>2266</v>
      </c>
      <c r="D217" t="s">
        <v>2265</v>
      </c>
      <c r="E217" t="s">
        <v>3706</v>
      </c>
      <c r="F217" s="23">
        <v>44346</v>
      </c>
      <c r="G217" s="1">
        <v>19827</v>
      </c>
    </row>
    <row r="218" spans="1:7">
      <c r="A218" t="s">
        <v>5705</v>
      </c>
      <c r="B218" t="s">
        <v>106</v>
      </c>
      <c r="C218" t="s">
        <v>1437</v>
      </c>
      <c r="D218" t="s">
        <v>1436</v>
      </c>
      <c r="E218" t="s">
        <v>3707</v>
      </c>
      <c r="F218" s="23">
        <v>44531</v>
      </c>
      <c r="G218" s="1">
        <v>1918</v>
      </c>
    </row>
    <row r="219" spans="1:7">
      <c r="A219" t="s">
        <v>5705</v>
      </c>
      <c r="B219" t="s">
        <v>94</v>
      </c>
      <c r="C219" t="s">
        <v>3486</v>
      </c>
      <c r="D219" t="s">
        <v>1253</v>
      </c>
      <c r="E219" t="s">
        <v>3708</v>
      </c>
      <c r="F219" s="23">
        <v>44346</v>
      </c>
      <c r="G219" s="1">
        <v>6383</v>
      </c>
    </row>
    <row r="220" spans="1:7">
      <c r="A220" t="s">
        <v>5705</v>
      </c>
      <c r="B220" t="s">
        <v>311</v>
      </c>
      <c r="C220" t="s">
        <v>3158</v>
      </c>
      <c r="D220" t="s">
        <v>3157</v>
      </c>
      <c r="E220" t="s">
        <v>3709</v>
      </c>
      <c r="F220" s="23">
        <v>44422</v>
      </c>
      <c r="G220" s="1">
        <v>6354</v>
      </c>
    </row>
    <row r="221" spans="1:7">
      <c r="A221" t="s">
        <v>5706</v>
      </c>
      <c r="B221" t="s">
        <v>94</v>
      </c>
      <c r="C221" t="s">
        <v>3088</v>
      </c>
      <c r="D221" t="s">
        <v>3087</v>
      </c>
      <c r="E221" t="s">
        <v>3710</v>
      </c>
      <c r="F221" s="23">
        <v>44346</v>
      </c>
      <c r="G221" s="1">
        <v>16735</v>
      </c>
    </row>
    <row r="222" spans="1:7">
      <c r="A222" t="s">
        <v>5706</v>
      </c>
      <c r="B222" t="s">
        <v>106</v>
      </c>
      <c r="C222" t="s">
        <v>1850</v>
      </c>
      <c r="D222" t="s">
        <v>1849</v>
      </c>
      <c r="E222" t="s">
        <v>3711</v>
      </c>
      <c r="F222" s="23">
        <v>44346</v>
      </c>
      <c r="G222" s="1">
        <v>15644</v>
      </c>
    </row>
    <row r="223" spans="1:7">
      <c r="A223" t="s">
        <v>5706</v>
      </c>
      <c r="B223" t="s">
        <v>233</v>
      </c>
      <c r="C223" t="s">
        <v>2476</v>
      </c>
      <c r="D223" t="s">
        <v>2475</v>
      </c>
      <c r="E223" t="s">
        <v>3712</v>
      </c>
      <c r="F223" s="23">
        <v>44346</v>
      </c>
      <c r="G223" s="1">
        <v>19055</v>
      </c>
    </row>
    <row r="224" spans="1:7">
      <c r="A224" t="s">
        <v>5706</v>
      </c>
      <c r="B224" t="s">
        <v>106</v>
      </c>
      <c r="C224" t="s">
        <v>2646</v>
      </c>
      <c r="D224" t="s">
        <v>5519</v>
      </c>
      <c r="E224" t="s">
        <v>3713</v>
      </c>
      <c r="F224" s="23">
        <v>44384</v>
      </c>
      <c r="G224" s="1">
        <v>9398</v>
      </c>
    </row>
    <row r="225" spans="1:7">
      <c r="A225" t="s">
        <v>5706</v>
      </c>
      <c r="B225" t="s">
        <v>37</v>
      </c>
      <c r="C225" t="s">
        <v>409</v>
      </c>
      <c r="D225" t="s">
        <v>408</v>
      </c>
      <c r="E225" t="s">
        <v>3714</v>
      </c>
      <c r="F225" s="23">
        <v>44346</v>
      </c>
      <c r="G225" s="1">
        <v>2360</v>
      </c>
    </row>
    <row r="226" spans="1:7">
      <c r="A226" t="s">
        <v>5706</v>
      </c>
      <c r="B226" t="s">
        <v>94</v>
      </c>
      <c r="C226" t="s">
        <v>3083</v>
      </c>
      <c r="D226" t="s">
        <v>3082</v>
      </c>
      <c r="E226" t="s">
        <v>3715</v>
      </c>
      <c r="F226" s="23">
        <v>44346</v>
      </c>
      <c r="G226" s="1">
        <v>8943</v>
      </c>
    </row>
    <row r="227" spans="1:7">
      <c r="A227" t="s">
        <v>5706</v>
      </c>
      <c r="B227" t="s">
        <v>94</v>
      </c>
      <c r="C227" t="s">
        <v>2326</v>
      </c>
      <c r="D227" t="s">
        <v>2325</v>
      </c>
      <c r="E227" t="s">
        <v>3716</v>
      </c>
      <c r="F227" s="23">
        <v>44346</v>
      </c>
      <c r="G227" s="1">
        <v>11589</v>
      </c>
    </row>
    <row r="228" spans="1:7">
      <c r="A228" t="s">
        <v>5706</v>
      </c>
      <c r="B228" t="s">
        <v>94</v>
      </c>
      <c r="C228" t="s">
        <v>3486</v>
      </c>
      <c r="D228" t="s">
        <v>1158</v>
      </c>
      <c r="E228" t="s">
        <v>3717</v>
      </c>
      <c r="F228" s="23">
        <v>44346</v>
      </c>
      <c r="G228" s="1">
        <v>10026</v>
      </c>
    </row>
    <row r="229" spans="1:7">
      <c r="A229" t="s">
        <v>5706</v>
      </c>
      <c r="B229" t="s">
        <v>208</v>
      </c>
      <c r="C229" t="s">
        <v>1576</v>
      </c>
      <c r="D229" t="s">
        <v>1575</v>
      </c>
      <c r="E229" t="s">
        <v>3718</v>
      </c>
      <c r="F229" s="23">
        <v>45017</v>
      </c>
      <c r="G229" s="1">
        <v>2129</v>
      </c>
    </row>
    <row r="230" spans="1:7">
      <c r="A230" t="s">
        <v>5706</v>
      </c>
      <c r="B230" t="s">
        <v>94</v>
      </c>
      <c r="C230" t="s">
        <v>3330</v>
      </c>
      <c r="D230" t="s">
        <v>5520</v>
      </c>
      <c r="E230" t="s">
        <v>3719</v>
      </c>
      <c r="F230" s="23">
        <v>44346</v>
      </c>
      <c r="G230" s="1">
        <v>10370</v>
      </c>
    </row>
    <row r="231" spans="1:7">
      <c r="A231" t="s">
        <v>5706</v>
      </c>
      <c r="B231" t="s">
        <v>106</v>
      </c>
      <c r="C231" t="s">
        <v>2849</v>
      </c>
      <c r="D231" t="s">
        <v>5521</v>
      </c>
      <c r="E231" t="s">
        <v>3720</v>
      </c>
      <c r="F231" s="23">
        <v>45057</v>
      </c>
      <c r="G231" s="1">
        <v>6441</v>
      </c>
    </row>
    <row r="232" spans="1:7">
      <c r="A232" t="s">
        <v>5706</v>
      </c>
      <c r="B232" t="s">
        <v>37</v>
      </c>
      <c r="C232" t="s">
        <v>945</v>
      </c>
      <c r="D232" t="s">
        <v>944</v>
      </c>
      <c r="E232" t="s">
        <v>3721</v>
      </c>
      <c r="F232" s="23">
        <v>44346</v>
      </c>
      <c r="G232" s="1">
        <v>13415</v>
      </c>
    </row>
    <row r="233" spans="1:7">
      <c r="A233" t="s">
        <v>5706</v>
      </c>
      <c r="B233" t="s">
        <v>106</v>
      </c>
      <c r="C233" t="s">
        <v>2848</v>
      </c>
      <c r="D233" t="s">
        <v>2847</v>
      </c>
      <c r="E233" t="s">
        <v>3722</v>
      </c>
      <c r="F233" s="23">
        <v>44416</v>
      </c>
      <c r="G233" s="1">
        <v>9816</v>
      </c>
    </row>
    <row r="234" spans="1:7">
      <c r="A234" t="s">
        <v>5706</v>
      </c>
      <c r="B234" t="s">
        <v>94</v>
      </c>
      <c r="C234" t="s">
        <v>3265</v>
      </c>
      <c r="D234" t="s">
        <v>765</v>
      </c>
      <c r="E234" t="s">
        <v>3723</v>
      </c>
      <c r="F234" s="23">
        <v>44941</v>
      </c>
      <c r="G234" s="1">
        <v>3379</v>
      </c>
    </row>
    <row r="235" spans="1:7">
      <c r="A235" t="s">
        <v>5706</v>
      </c>
      <c r="B235" t="s">
        <v>97</v>
      </c>
      <c r="C235" t="s">
        <v>1238</v>
      </c>
      <c r="D235" t="s">
        <v>1237</v>
      </c>
      <c r="E235" t="s">
        <v>3724</v>
      </c>
      <c r="F235" s="23">
        <v>44346</v>
      </c>
      <c r="G235" s="1">
        <v>13346</v>
      </c>
    </row>
    <row r="236" spans="1:7">
      <c r="A236" t="s">
        <v>5706</v>
      </c>
      <c r="B236" t="s">
        <v>94</v>
      </c>
      <c r="C236" t="s">
        <v>2432</v>
      </c>
      <c r="D236" t="s">
        <v>3074</v>
      </c>
      <c r="E236" t="s">
        <v>3725</v>
      </c>
      <c r="F236" s="23">
        <v>44605</v>
      </c>
      <c r="G236" s="1">
        <v>5742</v>
      </c>
    </row>
    <row r="237" spans="1:7">
      <c r="A237" t="s">
        <v>5706</v>
      </c>
      <c r="B237" t="s">
        <v>78</v>
      </c>
      <c r="C237" t="s">
        <v>80</v>
      </c>
      <c r="D237" t="s">
        <v>79</v>
      </c>
      <c r="E237" t="s">
        <v>3726</v>
      </c>
      <c r="F237" s="23">
        <v>44346</v>
      </c>
      <c r="G237" s="1">
        <v>3574</v>
      </c>
    </row>
    <row r="238" spans="1:7">
      <c r="A238" t="s">
        <v>5706</v>
      </c>
      <c r="B238" t="s">
        <v>106</v>
      </c>
      <c r="C238" t="s">
        <v>632</v>
      </c>
      <c r="D238" t="s">
        <v>631</v>
      </c>
      <c r="E238" t="s">
        <v>3727</v>
      </c>
      <c r="F238" s="23">
        <v>44681</v>
      </c>
      <c r="G238" s="1">
        <v>6514</v>
      </c>
    </row>
    <row r="239" spans="1:7">
      <c r="A239" t="s">
        <v>5706</v>
      </c>
      <c r="B239" t="s">
        <v>37</v>
      </c>
      <c r="C239" t="s">
        <v>1180</v>
      </c>
      <c r="D239" t="s">
        <v>1179</v>
      </c>
      <c r="E239" t="s">
        <v>3728</v>
      </c>
      <c r="F239" s="23">
        <v>44346</v>
      </c>
      <c r="G239" s="1">
        <v>15681</v>
      </c>
    </row>
    <row r="240" spans="1:7">
      <c r="A240" t="s">
        <v>5706</v>
      </c>
      <c r="B240" t="s">
        <v>106</v>
      </c>
      <c r="C240" t="s">
        <v>2315</v>
      </c>
      <c r="D240" t="s">
        <v>2314</v>
      </c>
      <c r="E240" t="s">
        <v>3729</v>
      </c>
      <c r="F240" s="23">
        <v>44346</v>
      </c>
      <c r="G240" s="1">
        <v>11489</v>
      </c>
    </row>
    <row r="241" spans="1:7">
      <c r="A241" t="s">
        <v>5706</v>
      </c>
      <c r="B241" t="s">
        <v>233</v>
      </c>
      <c r="C241" t="s">
        <v>2578</v>
      </c>
      <c r="D241" t="s">
        <v>2577</v>
      </c>
      <c r="E241" t="s">
        <v>3730</v>
      </c>
      <c r="F241" s="23">
        <v>44346</v>
      </c>
      <c r="G241" s="1">
        <v>19398</v>
      </c>
    </row>
    <row r="242" spans="1:7">
      <c r="A242" t="s">
        <v>5706</v>
      </c>
      <c r="B242" t="s">
        <v>755</v>
      </c>
      <c r="C242" t="s">
        <v>1395</v>
      </c>
      <c r="D242" t="s">
        <v>1394</v>
      </c>
      <c r="E242" t="s">
        <v>3731</v>
      </c>
      <c r="F242" s="23">
        <v>44346</v>
      </c>
      <c r="G242" s="1">
        <v>13127</v>
      </c>
    </row>
    <row r="243" spans="1:7">
      <c r="A243" t="s">
        <v>5706</v>
      </c>
      <c r="B243" t="s">
        <v>97</v>
      </c>
      <c r="C243" t="s">
        <v>1809</v>
      </c>
      <c r="D243" t="s">
        <v>1808</v>
      </c>
      <c r="E243" t="s">
        <v>3732</v>
      </c>
      <c r="F243" s="23">
        <v>44346</v>
      </c>
      <c r="G243" s="1">
        <v>12351</v>
      </c>
    </row>
    <row r="244" spans="1:7">
      <c r="A244" t="s">
        <v>5706</v>
      </c>
      <c r="B244" t="s">
        <v>43</v>
      </c>
      <c r="C244" t="s">
        <v>961</v>
      </c>
      <c r="D244" t="s">
        <v>960</v>
      </c>
      <c r="E244" t="s">
        <v>3733</v>
      </c>
      <c r="F244" s="23">
        <v>44346</v>
      </c>
      <c r="G244" s="1">
        <v>15421</v>
      </c>
    </row>
    <row r="245" spans="1:7">
      <c r="A245" t="s">
        <v>5706</v>
      </c>
      <c r="B245" t="s">
        <v>37</v>
      </c>
      <c r="C245" t="s">
        <v>603</v>
      </c>
      <c r="D245" t="s">
        <v>602</v>
      </c>
      <c r="E245" t="s">
        <v>3734</v>
      </c>
      <c r="F245" s="23">
        <v>44346</v>
      </c>
      <c r="G245" s="1">
        <v>16524</v>
      </c>
    </row>
    <row r="246" spans="1:7">
      <c r="A246" t="s">
        <v>5706</v>
      </c>
      <c r="B246" t="s">
        <v>94</v>
      </c>
      <c r="C246" t="s">
        <v>3490</v>
      </c>
      <c r="D246" t="s">
        <v>1614</v>
      </c>
      <c r="E246" t="s">
        <v>3735</v>
      </c>
      <c r="F246" s="23">
        <v>44380</v>
      </c>
      <c r="G246" s="1">
        <v>2887</v>
      </c>
    </row>
    <row r="247" spans="1:7">
      <c r="A247" t="s">
        <v>5706</v>
      </c>
      <c r="B247" t="s">
        <v>106</v>
      </c>
      <c r="C247" t="s">
        <v>146</v>
      </c>
      <c r="D247" t="s">
        <v>145</v>
      </c>
      <c r="E247" t="s">
        <v>3736</v>
      </c>
      <c r="F247" s="23">
        <v>44346</v>
      </c>
      <c r="G247" s="1">
        <v>11432</v>
      </c>
    </row>
    <row r="248" spans="1:7">
      <c r="A248" t="s">
        <v>5706</v>
      </c>
      <c r="B248" t="s">
        <v>94</v>
      </c>
      <c r="C248" t="s">
        <v>3395</v>
      </c>
      <c r="D248" t="s">
        <v>3394</v>
      </c>
      <c r="E248" t="s">
        <v>3737</v>
      </c>
      <c r="F248" s="23">
        <v>44796</v>
      </c>
      <c r="G248" s="1">
        <v>7381</v>
      </c>
    </row>
    <row r="249" spans="1:7">
      <c r="A249" t="s">
        <v>5706</v>
      </c>
      <c r="B249" t="s">
        <v>72</v>
      </c>
      <c r="C249" t="s">
        <v>686</v>
      </c>
      <c r="D249" t="s">
        <v>685</v>
      </c>
      <c r="E249" t="s">
        <v>3738</v>
      </c>
      <c r="F249" s="23">
        <v>44955</v>
      </c>
      <c r="G249" s="1">
        <v>1418</v>
      </c>
    </row>
    <row r="250" spans="1:7">
      <c r="A250" t="s">
        <v>5706</v>
      </c>
      <c r="B250" t="s">
        <v>94</v>
      </c>
      <c r="C250" t="s">
        <v>3312</v>
      </c>
      <c r="D250" t="s">
        <v>3311</v>
      </c>
      <c r="E250" t="s">
        <v>3739</v>
      </c>
      <c r="F250" s="23">
        <v>44538</v>
      </c>
      <c r="G250" s="1">
        <v>3399</v>
      </c>
    </row>
    <row r="251" spans="1:7">
      <c r="A251" t="s">
        <v>5706</v>
      </c>
      <c r="B251" t="s">
        <v>94</v>
      </c>
      <c r="C251" t="s">
        <v>3427</v>
      </c>
      <c r="D251" t="s">
        <v>3426</v>
      </c>
      <c r="E251" t="s">
        <v>3740</v>
      </c>
      <c r="F251" s="23">
        <v>44860</v>
      </c>
      <c r="G251" s="1">
        <v>1544</v>
      </c>
    </row>
    <row r="252" spans="1:7">
      <c r="A252" t="s">
        <v>5706</v>
      </c>
      <c r="B252" t="s">
        <v>94</v>
      </c>
      <c r="C252" t="s">
        <v>3485</v>
      </c>
      <c r="D252" t="s">
        <v>1618</v>
      </c>
      <c r="E252" t="s">
        <v>3741</v>
      </c>
      <c r="F252" s="23">
        <v>44346</v>
      </c>
      <c r="G252" s="1">
        <v>15166</v>
      </c>
    </row>
    <row r="253" spans="1:7">
      <c r="A253" t="s">
        <v>5706</v>
      </c>
      <c r="B253" t="s">
        <v>94</v>
      </c>
      <c r="C253" t="s">
        <v>3007</v>
      </c>
      <c r="D253" t="s">
        <v>3354</v>
      </c>
      <c r="E253" t="s">
        <v>3742</v>
      </c>
      <c r="F253" s="23">
        <v>44947</v>
      </c>
      <c r="G253" s="1">
        <v>6158</v>
      </c>
    </row>
    <row r="254" spans="1:7">
      <c r="A254" t="s">
        <v>5706</v>
      </c>
      <c r="B254" t="s">
        <v>65</v>
      </c>
      <c r="C254" t="s">
        <v>953</v>
      </c>
      <c r="D254" t="s">
        <v>952</v>
      </c>
      <c r="E254" t="s">
        <v>3743</v>
      </c>
      <c r="F254" s="23">
        <v>44346</v>
      </c>
      <c r="G254" s="1">
        <v>18752</v>
      </c>
    </row>
    <row r="255" spans="1:7">
      <c r="A255" t="s">
        <v>5706</v>
      </c>
      <c r="B255" t="s">
        <v>37</v>
      </c>
      <c r="C255" t="s">
        <v>1728</v>
      </c>
      <c r="D255" t="s">
        <v>1727</v>
      </c>
      <c r="E255" t="s">
        <v>3744</v>
      </c>
      <c r="F255" s="23">
        <v>44346</v>
      </c>
      <c r="G255" s="1">
        <v>18968</v>
      </c>
    </row>
    <row r="256" spans="1:7">
      <c r="A256" t="s">
        <v>5707</v>
      </c>
      <c r="B256" t="s">
        <v>106</v>
      </c>
      <c r="C256" t="s">
        <v>3031</v>
      </c>
      <c r="D256" t="s">
        <v>3030</v>
      </c>
      <c r="E256" t="s">
        <v>3745</v>
      </c>
      <c r="F256" s="23">
        <v>44346</v>
      </c>
      <c r="G256" s="1">
        <v>17301</v>
      </c>
    </row>
    <row r="257" spans="1:7">
      <c r="A257" t="s">
        <v>5707</v>
      </c>
      <c r="B257" t="s">
        <v>37</v>
      </c>
      <c r="C257" t="s">
        <v>964</v>
      </c>
      <c r="D257" t="s">
        <v>963</v>
      </c>
      <c r="E257" t="s">
        <v>3746</v>
      </c>
      <c r="F257" s="23">
        <v>44346</v>
      </c>
      <c r="G257" s="1">
        <v>13234</v>
      </c>
    </row>
    <row r="258" spans="1:7">
      <c r="A258" t="s">
        <v>5707</v>
      </c>
      <c r="B258" t="s">
        <v>233</v>
      </c>
      <c r="C258" t="s">
        <v>2171</v>
      </c>
      <c r="D258" t="s">
        <v>5522</v>
      </c>
      <c r="E258" t="s">
        <v>3747</v>
      </c>
      <c r="F258" s="23">
        <v>44346</v>
      </c>
      <c r="G258" s="1">
        <v>8686</v>
      </c>
    </row>
    <row r="259" spans="1:7">
      <c r="A259" t="s">
        <v>5707</v>
      </c>
      <c r="B259" t="s">
        <v>480</v>
      </c>
      <c r="C259" t="s">
        <v>1568</v>
      </c>
      <c r="D259" t="s">
        <v>1567</v>
      </c>
      <c r="E259" t="s">
        <v>3748</v>
      </c>
      <c r="F259" s="23">
        <v>44346</v>
      </c>
      <c r="G259" s="1">
        <v>12038</v>
      </c>
    </row>
    <row r="260" spans="1:7">
      <c r="A260" t="s">
        <v>5707</v>
      </c>
      <c r="B260" t="s">
        <v>831</v>
      </c>
      <c r="C260" t="s">
        <v>830</v>
      </c>
      <c r="D260" t="s">
        <v>5523</v>
      </c>
      <c r="E260" t="s">
        <v>3749</v>
      </c>
      <c r="F260" s="23">
        <v>44785</v>
      </c>
      <c r="G260" s="1">
        <v>6886</v>
      </c>
    </row>
    <row r="261" spans="1:7">
      <c r="A261" t="s">
        <v>5707</v>
      </c>
      <c r="B261" t="s">
        <v>444</v>
      </c>
      <c r="C261" t="s">
        <v>1229</v>
      </c>
      <c r="D261" t="s">
        <v>1228</v>
      </c>
      <c r="E261" t="s">
        <v>3750</v>
      </c>
      <c r="F261" s="23">
        <v>44346</v>
      </c>
      <c r="G261" s="1">
        <v>14432</v>
      </c>
    </row>
    <row r="262" spans="1:7">
      <c r="A262" t="s">
        <v>5707</v>
      </c>
      <c r="B262" t="s">
        <v>40</v>
      </c>
      <c r="C262" t="s">
        <v>1634</v>
      </c>
      <c r="D262" t="s">
        <v>1633</v>
      </c>
      <c r="E262" t="s">
        <v>3751</v>
      </c>
      <c r="F262" s="23">
        <v>44346</v>
      </c>
      <c r="G262" s="1">
        <v>19079</v>
      </c>
    </row>
    <row r="263" spans="1:7">
      <c r="A263" t="s">
        <v>5707</v>
      </c>
      <c r="B263" t="s">
        <v>106</v>
      </c>
      <c r="C263" t="s">
        <v>2008</v>
      </c>
      <c r="D263" t="s">
        <v>2007</v>
      </c>
      <c r="E263" t="s">
        <v>3752</v>
      </c>
      <c r="F263" s="23">
        <v>44346</v>
      </c>
      <c r="G263" s="1">
        <v>15277</v>
      </c>
    </row>
    <row r="264" spans="1:7">
      <c r="A264" t="s">
        <v>5707</v>
      </c>
      <c r="B264" t="s">
        <v>106</v>
      </c>
      <c r="C264" t="s">
        <v>1971</v>
      </c>
      <c r="D264" t="s">
        <v>5524</v>
      </c>
      <c r="E264" t="s">
        <v>3753</v>
      </c>
      <c r="F264" s="23">
        <v>44346</v>
      </c>
      <c r="G264" s="1">
        <v>18411</v>
      </c>
    </row>
    <row r="265" spans="1:7">
      <c r="A265" t="s">
        <v>5707</v>
      </c>
      <c r="B265" t="s">
        <v>233</v>
      </c>
      <c r="C265" t="s">
        <v>3192</v>
      </c>
      <c r="D265" t="s">
        <v>3191</v>
      </c>
      <c r="E265" t="s">
        <v>3754</v>
      </c>
      <c r="F265" s="23">
        <v>44864</v>
      </c>
      <c r="G265" s="1">
        <v>508</v>
      </c>
    </row>
    <row r="266" spans="1:7">
      <c r="A266" t="s">
        <v>5707</v>
      </c>
      <c r="B266" t="s">
        <v>94</v>
      </c>
      <c r="C266" t="s">
        <v>3485</v>
      </c>
      <c r="D266" t="s">
        <v>1636</v>
      </c>
      <c r="E266" t="s">
        <v>3755</v>
      </c>
      <c r="F266" s="23">
        <v>44927</v>
      </c>
      <c r="G266" s="1">
        <v>8189</v>
      </c>
    </row>
    <row r="267" spans="1:7">
      <c r="A267" t="s">
        <v>5707</v>
      </c>
      <c r="B267" t="s">
        <v>311</v>
      </c>
      <c r="C267" t="s">
        <v>2947</v>
      </c>
      <c r="D267" t="s">
        <v>2946</v>
      </c>
      <c r="E267" t="s">
        <v>3756</v>
      </c>
      <c r="F267" s="23">
        <v>44806</v>
      </c>
      <c r="G267" s="1">
        <v>2837</v>
      </c>
    </row>
    <row r="268" spans="1:7">
      <c r="A268" t="s">
        <v>5707</v>
      </c>
      <c r="B268" t="s">
        <v>94</v>
      </c>
      <c r="C268" t="s">
        <v>3487</v>
      </c>
      <c r="D268" t="s">
        <v>189</v>
      </c>
      <c r="E268" t="s">
        <v>3757</v>
      </c>
      <c r="F268" s="23">
        <v>45029</v>
      </c>
      <c r="G268" s="1">
        <v>9523</v>
      </c>
    </row>
    <row r="269" spans="1:7">
      <c r="A269" t="s">
        <v>5707</v>
      </c>
      <c r="B269" t="s">
        <v>94</v>
      </c>
      <c r="C269" t="s">
        <v>2153</v>
      </c>
      <c r="D269" t="s">
        <v>5525</v>
      </c>
      <c r="E269" t="s">
        <v>3758</v>
      </c>
      <c r="F269" s="23">
        <v>44346</v>
      </c>
      <c r="G269" s="1">
        <v>17253</v>
      </c>
    </row>
    <row r="270" spans="1:7">
      <c r="A270" t="s">
        <v>5707</v>
      </c>
      <c r="B270" t="s">
        <v>68</v>
      </c>
      <c r="C270" t="s">
        <v>1773</v>
      </c>
      <c r="D270" t="s">
        <v>1772</v>
      </c>
      <c r="E270" t="s">
        <v>3759</v>
      </c>
      <c r="F270" s="23">
        <v>44346</v>
      </c>
      <c r="G270" s="1">
        <v>17016</v>
      </c>
    </row>
    <row r="271" spans="1:7">
      <c r="A271" t="s">
        <v>5707</v>
      </c>
      <c r="B271" t="s">
        <v>106</v>
      </c>
      <c r="C271" t="s">
        <v>2747</v>
      </c>
      <c r="D271" t="s">
        <v>2746</v>
      </c>
      <c r="E271" t="s">
        <v>3760</v>
      </c>
      <c r="F271" s="23">
        <v>44423</v>
      </c>
      <c r="G271" s="1">
        <v>8285</v>
      </c>
    </row>
    <row r="272" spans="1:7">
      <c r="A272" t="s">
        <v>5707</v>
      </c>
      <c r="B272" t="s">
        <v>85</v>
      </c>
      <c r="C272" t="s">
        <v>781</v>
      </c>
      <c r="D272" t="s">
        <v>780</v>
      </c>
      <c r="E272" t="s">
        <v>3761</v>
      </c>
      <c r="F272" s="23">
        <v>44563</v>
      </c>
      <c r="G272" s="1">
        <v>4998</v>
      </c>
    </row>
    <row r="273" spans="1:7">
      <c r="A273" t="s">
        <v>5707</v>
      </c>
      <c r="B273" t="s">
        <v>97</v>
      </c>
      <c r="C273" t="s">
        <v>1167</v>
      </c>
      <c r="D273" t="s">
        <v>1166</v>
      </c>
      <c r="E273" t="s">
        <v>3762</v>
      </c>
      <c r="F273" s="23">
        <v>44346</v>
      </c>
      <c r="G273" s="1">
        <v>6017</v>
      </c>
    </row>
    <row r="274" spans="1:7">
      <c r="A274" t="s">
        <v>5707</v>
      </c>
      <c r="B274" t="s">
        <v>94</v>
      </c>
      <c r="C274" t="s">
        <v>1799</v>
      </c>
      <c r="D274" t="s">
        <v>1798</v>
      </c>
      <c r="E274" t="s">
        <v>3763</v>
      </c>
      <c r="F274" s="23">
        <v>44527</v>
      </c>
      <c r="G274" s="1">
        <v>10819</v>
      </c>
    </row>
    <row r="275" spans="1:7">
      <c r="A275" t="s">
        <v>5707</v>
      </c>
      <c r="B275" t="s">
        <v>140</v>
      </c>
      <c r="C275" t="s">
        <v>807</v>
      </c>
      <c r="D275" t="s">
        <v>5526</v>
      </c>
      <c r="E275" t="s">
        <v>3764</v>
      </c>
      <c r="F275" s="23">
        <v>44346</v>
      </c>
      <c r="G275" s="1">
        <v>4172</v>
      </c>
    </row>
    <row r="276" spans="1:7">
      <c r="A276" t="s">
        <v>5707</v>
      </c>
      <c r="B276" t="s">
        <v>298</v>
      </c>
      <c r="C276" t="s">
        <v>1854</v>
      </c>
      <c r="D276" t="s">
        <v>2109</v>
      </c>
      <c r="E276" t="s">
        <v>3765</v>
      </c>
      <c r="F276" s="23">
        <v>44910</v>
      </c>
      <c r="G276" s="1">
        <v>9926</v>
      </c>
    </row>
    <row r="277" spans="1:7">
      <c r="A277" t="s">
        <v>5707</v>
      </c>
      <c r="B277" t="s">
        <v>1223</v>
      </c>
      <c r="C277" t="s">
        <v>2818</v>
      </c>
      <c r="D277" t="s">
        <v>3109</v>
      </c>
      <c r="E277" t="s">
        <v>3766</v>
      </c>
      <c r="F277" s="23">
        <v>44346</v>
      </c>
      <c r="G277" s="1">
        <v>18913</v>
      </c>
    </row>
    <row r="278" spans="1:7">
      <c r="A278" t="s">
        <v>5707</v>
      </c>
      <c r="B278" t="s">
        <v>94</v>
      </c>
      <c r="C278" t="s">
        <v>3486</v>
      </c>
      <c r="D278" t="s">
        <v>1088</v>
      </c>
      <c r="E278" t="s">
        <v>3767</v>
      </c>
      <c r="F278" s="23">
        <v>44495</v>
      </c>
      <c r="G278" s="1">
        <v>4816</v>
      </c>
    </row>
    <row r="279" spans="1:7">
      <c r="A279" t="s">
        <v>5707</v>
      </c>
      <c r="B279" t="s">
        <v>233</v>
      </c>
      <c r="C279" t="s">
        <v>2090</v>
      </c>
      <c r="D279" t="s">
        <v>5527</v>
      </c>
      <c r="E279" t="s">
        <v>3768</v>
      </c>
      <c r="F279" s="23">
        <v>44346</v>
      </c>
      <c r="G279" s="1">
        <v>14986</v>
      </c>
    </row>
    <row r="280" spans="1:7">
      <c r="A280" t="s">
        <v>5707</v>
      </c>
      <c r="B280" t="s">
        <v>311</v>
      </c>
      <c r="C280" t="s">
        <v>745</v>
      </c>
      <c r="D280" t="s">
        <v>1865</v>
      </c>
      <c r="E280" t="s">
        <v>3769</v>
      </c>
      <c r="F280" s="23">
        <v>44346</v>
      </c>
      <c r="G280" s="1">
        <v>19489</v>
      </c>
    </row>
    <row r="281" spans="1:7">
      <c r="A281" t="s">
        <v>5707</v>
      </c>
      <c r="B281" t="s">
        <v>244</v>
      </c>
      <c r="C281" t="s">
        <v>1580</v>
      </c>
      <c r="D281" t="s">
        <v>1579</v>
      </c>
      <c r="E281" t="s">
        <v>3770</v>
      </c>
      <c r="F281" s="23">
        <v>44346</v>
      </c>
      <c r="G281" s="1">
        <v>19859</v>
      </c>
    </row>
    <row r="282" spans="1:7">
      <c r="A282" t="s">
        <v>5707</v>
      </c>
      <c r="B282" t="s">
        <v>43</v>
      </c>
      <c r="C282" t="s">
        <v>1127</v>
      </c>
      <c r="D282" t="s">
        <v>5528</v>
      </c>
      <c r="E282" t="s">
        <v>3771</v>
      </c>
      <c r="F282" s="23">
        <v>44493</v>
      </c>
      <c r="G282" s="1">
        <v>11456</v>
      </c>
    </row>
    <row r="283" spans="1:7">
      <c r="A283" t="s">
        <v>5707</v>
      </c>
      <c r="B283" t="s">
        <v>94</v>
      </c>
      <c r="C283" t="s">
        <v>1419</v>
      </c>
      <c r="D283" t="s">
        <v>1418</v>
      </c>
      <c r="E283" t="s">
        <v>3772</v>
      </c>
      <c r="F283" s="23">
        <v>44346</v>
      </c>
      <c r="G283" s="1">
        <v>19352</v>
      </c>
    </row>
    <row r="284" spans="1:7">
      <c r="A284" t="s">
        <v>5707</v>
      </c>
      <c r="B284" t="s">
        <v>37</v>
      </c>
      <c r="C284" t="s">
        <v>1702</v>
      </c>
      <c r="D284" t="s">
        <v>1701</v>
      </c>
      <c r="E284" t="s">
        <v>3773</v>
      </c>
      <c r="F284" s="23">
        <v>44346</v>
      </c>
      <c r="G284" s="1">
        <v>1860</v>
      </c>
    </row>
    <row r="285" spans="1:7">
      <c r="A285" t="s">
        <v>5707</v>
      </c>
      <c r="B285" t="s">
        <v>106</v>
      </c>
      <c r="C285" t="s">
        <v>2939</v>
      </c>
      <c r="D285" t="s">
        <v>2938</v>
      </c>
      <c r="E285" t="s">
        <v>3774</v>
      </c>
      <c r="F285" s="23">
        <v>44346</v>
      </c>
      <c r="G285" s="1">
        <v>19961</v>
      </c>
    </row>
    <row r="286" spans="1:7">
      <c r="A286" t="s">
        <v>5707</v>
      </c>
      <c r="B286" t="s">
        <v>140</v>
      </c>
      <c r="C286" t="s">
        <v>1489</v>
      </c>
      <c r="D286" t="s">
        <v>1488</v>
      </c>
      <c r="E286" t="s">
        <v>3775</v>
      </c>
      <c r="F286" s="23">
        <v>44346</v>
      </c>
      <c r="G286" s="1">
        <v>7729</v>
      </c>
    </row>
    <row r="287" spans="1:7">
      <c r="A287" t="s">
        <v>5707</v>
      </c>
      <c r="B287" t="s">
        <v>311</v>
      </c>
      <c r="C287" t="s">
        <v>2228</v>
      </c>
      <c r="D287" t="s">
        <v>2669</v>
      </c>
      <c r="E287" t="s">
        <v>3776</v>
      </c>
      <c r="F287" s="23">
        <v>44346</v>
      </c>
      <c r="G287" s="1">
        <v>8725</v>
      </c>
    </row>
    <row r="288" spans="1:7">
      <c r="A288" t="s">
        <v>5707</v>
      </c>
      <c r="B288" t="s">
        <v>37</v>
      </c>
      <c r="C288" t="s">
        <v>1197</v>
      </c>
      <c r="D288" t="s">
        <v>1196</v>
      </c>
      <c r="E288" t="s">
        <v>3777</v>
      </c>
      <c r="F288" s="23">
        <v>44346</v>
      </c>
      <c r="G288" s="1">
        <v>12545</v>
      </c>
    </row>
    <row r="289" spans="1:7">
      <c r="A289" t="s">
        <v>5707</v>
      </c>
      <c r="B289" t="s">
        <v>208</v>
      </c>
      <c r="C289" t="s">
        <v>868</v>
      </c>
      <c r="D289" t="s">
        <v>867</v>
      </c>
      <c r="E289" t="s">
        <v>3778</v>
      </c>
      <c r="F289" s="23">
        <v>44346</v>
      </c>
      <c r="G289" s="1">
        <v>4797</v>
      </c>
    </row>
    <row r="290" spans="1:7">
      <c r="A290" t="s">
        <v>5707</v>
      </c>
      <c r="B290" t="s">
        <v>94</v>
      </c>
      <c r="C290" t="s">
        <v>3063</v>
      </c>
      <c r="D290" t="s">
        <v>3062</v>
      </c>
      <c r="E290" t="s">
        <v>3779</v>
      </c>
      <c r="F290" s="23">
        <v>44346</v>
      </c>
      <c r="G290" s="1">
        <v>14943</v>
      </c>
    </row>
    <row r="291" spans="1:7">
      <c r="A291" t="s">
        <v>5707</v>
      </c>
      <c r="B291" t="s">
        <v>106</v>
      </c>
      <c r="C291" t="s">
        <v>1733</v>
      </c>
      <c r="D291" t="s">
        <v>1879</v>
      </c>
      <c r="E291" t="s">
        <v>3780</v>
      </c>
      <c r="F291" s="23">
        <v>44621</v>
      </c>
      <c r="G291" s="1">
        <v>7747</v>
      </c>
    </row>
    <row r="292" spans="1:7">
      <c r="A292" t="s">
        <v>5707</v>
      </c>
      <c r="B292" t="s">
        <v>106</v>
      </c>
      <c r="C292" t="s">
        <v>2587</v>
      </c>
      <c r="D292" t="s">
        <v>2586</v>
      </c>
      <c r="E292" t="s">
        <v>3781</v>
      </c>
      <c r="F292" s="23">
        <v>44346</v>
      </c>
      <c r="G292" s="1">
        <v>17384</v>
      </c>
    </row>
    <row r="293" spans="1:7">
      <c r="A293" t="s">
        <v>5707</v>
      </c>
      <c r="B293" t="s">
        <v>298</v>
      </c>
      <c r="C293" t="s">
        <v>1942</v>
      </c>
      <c r="D293" t="s">
        <v>1941</v>
      </c>
      <c r="E293" t="s">
        <v>3782</v>
      </c>
      <c r="F293" s="23">
        <v>44991</v>
      </c>
      <c r="G293" s="1">
        <v>9712</v>
      </c>
    </row>
    <row r="294" spans="1:7">
      <c r="A294" t="s">
        <v>5707</v>
      </c>
      <c r="B294" t="s">
        <v>94</v>
      </c>
      <c r="C294" t="s">
        <v>1909</v>
      </c>
      <c r="D294" t="s">
        <v>1908</v>
      </c>
      <c r="E294" t="s">
        <v>3783</v>
      </c>
      <c r="F294" s="23">
        <v>44346</v>
      </c>
      <c r="G294" s="1">
        <v>17346</v>
      </c>
    </row>
    <row r="295" spans="1:7">
      <c r="A295" t="s">
        <v>5707</v>
      </c>
      <c r="B295" t="s">
        <v>43</v>
      </c>
      <c r="C295" t="s">
        <v>1779</v>
      </c>
      <c r="D295" t="s">
        <v>1778</v>
      </c>
      <c r="E295" t="s">
        <v>3784</v>
      </c>
      <c r="F295" s="23">
        <v>44833</v>
      </c>
      <c r="G295" s="1">
        <v>1770</v>
      </c>
    </row>
    <row r="296" spans="1:7">
      <c r="A296" t="s">
        <v>5707</v>
      </c>
      <c r="B296" t="s">
        <v>94</v>
      </c>
      <c r="D296" t="s">
        <v>2583</v>
      </c>
      <c r="E296" t="s">
        <v>3785</v>
      </c>
      <c r="F296" s="23">
        <v>44346</v>
      </c>
      <c r="G296" s="1">
        <v>16729</v>
      </c>
    </row>
    <row r="297" spans="1:7">
      <c r="A297" t="s">
        <v>5707</v>
      </c>
      <c r="B297" t="s">
        <v>94</v>
      </c>
      <c r="C297" t="s">
        <v>2206</v>
      </c>
      <c r="D297" t="s">
        <v>2205</v>
      </c>
      <c r="E297" t="s">
        <v>3786</v>
      </c>
      <c r="F297" s="23">
        <v>44383</v>
      </c>
      <c r="G297" s="1">
        <v>9400</v>
      </c>
    </row>
    <row r="298" spans="1:7">
      <c r="A298" t="s">
        <v>5707</v>
      </c>
      <c r="B298" t="s">
        <v>311</v>
      </c>
      <c r="C298" t="s">
        <v>2493</v>
      </c>
      <c r="D298" t="s">
        <v>2492</v>
      </c>
      <c r="E298" t="s">
        <v>3787</v>
      </c>
      <c r="F298" s="23">
        <v>44603</v>
      </c>
      <c r="G298" s="1">
        <v>6039</v>
      </c>
    </row>
    <row r="299" spans="1:7">
      <c r="A299" t="s">
        <v>5707</v>
      </c>
      <c r="B299" t="s">
        <v>94</v>
      </c>
      <c r="C299" t="s">
        <v>3488</v>
      </c>
      <c r="D299" t="s">
        <v>175</v>
      </c>
      <c r="E299" t="s">
        <v>3788</v>
      </c>
      <c r="F299" s="23">
        <v>44346</v>
      </c>
      <c r="G299" s="1">
        <v>15485</v>
      </c>
    </row>
    <row r="300" spans="1:7">
      <c r="A300" t="s">
        <v>5707</v>
      </c>
      <c r="B300" t="s">
        <v>311</v>
      </c>
      <c r="C300" t="s">
        <v>2833</v>
      </c>
      <c r="D300" t="s">
        <v>2832</v>
      </c>
      <c r="E300" t="s">
        <v>3789</v>
      </c>
      <c r="F300" s="23">
        <v>44346</v>
      </c>
      <c r="G300" s="1">
        <v>9397</v>
      </c>
    </row>
    <row r="301" spans="1:7">
      <c r="A301" t="s">
        <v>5707</v>
      </c>
      <c r="B301" t="s">
        <v>135</v>
      </c>
      <c r="C301" t="s">
        <v>1415</v>
      </c>
      <c r="D301" t="s">
        <v>1414</v>
      </c>
      <c r="E301" t="s">
        <v>3790</v>
      </c>
      <c r="F301" s="23">
        <v>44346</v>
      </c>
      <c r="G301" s="1">
        <v>18870</v>
      </c>
    </row>
    <row r="302" spans="1:7">
      <c r="A302" t="s">
        <v>5707</v>
      </c>
      <c r="B302" t="s">
        <v>208</v>
      </c>
      <c r="C302" t="s">
        <v>1354</v>
      </c>
      <c r="D302" t="s">
        <v>1353</v>
      </c>
      <c r="E302" t="s">
        <v>3791</v>
      </c>
      <c r="F302" s="23">
        <v>44346</v>
      </c>
      <c r="G302" s="1">
        <v>13593</v>
      </c>
    </row>
    <row r="303" spans="1:7">
      <c r="A303" t="s">
        <v>5707</v>
      </c>
      <c r="B303" t="s">
        <v>106</v>
      </c>
      <c r="C303" t="s">
        <v>3447</v>
      </c>
      <c r="D303" t="s">
        <v>3446</v>
      </c>
      <c r="E303" t="s">
        <v>3792</v>
      </c>
      <c r="F303" s="23">
        <v>44346</v>
      </c>
      <c r="G303" s="1">
        <v>18095</v>
      </c>
    </row>
    <row r="304" spans="1:7">
      <c r="A304" t="s">
        <v>5707</v>
      </c>
      <c r="B304" t="s">
        <v>311</v>
      </c>
      <c r="C304" t="s">
        <v>794</v>
      </c>
      <c r="D304" t="s">
        <v>793</v>
      </c>
      <c r="E304" t="s">
        <v>3793</v>
      </c>
      <c r="F304" s="23">
        <v>44346</v>
      </c>
      <c r="G304" s="1">
        <v>9956</v>
      </c>
    </row>
    <row r="305" spans="1:7">
      <c r="A305" t="s">
        <v>5707</v>
      </c>
      <c r="B305" t="s">
        <v>2062</v>
      </c>
      <c r="C305" t="s">
        <v>3108</v>
      </c>
      <c r="D305" t="s">
        <v>3107</v>
      </c>
      <c r="E305" t="s">
        <v>3794</v>
      </c>
      <c r="F305" s="23">
        <v>44564</v>
      </c>
      <c r="G305" s="1">
        <v>1646</v>
      </c>
    </row>
    <row r="306" spans="1:7">
      <c r="A306" t="s">
        <v>5707</v>
      </c>
      <c r="B306" t="s">
        <v>94</v>
      </c>
      <c r="C306" t="s">
        <v>2036</v>
      </c>
      <c r="D306" t="s">
        <v>2035</v>
      </c>
      <c r="E306" t="s">
        <v>3795</v>
      </c>
      <c r="F306" s="23">
        <v>44346</v>
      </c>
      <c r="G306" s="1">
        <v>14082</v>
      </c>
    </row>
    <row r="307" spans="1:7">
      <c r="A307" t="s">
        <v>5707</v>
      </c>
      <c r="B307" t="s">
        <v>311</v>
      </c>
      <c r="C307" t="s">
        <v>2048</v>
      </c>
      <c r="D307" t="s">
        <v>2047</v>
      </c>
      <c r="E307" t="s">
        <v>3796</v>
      </c>
      <c r="F307" s="23">
        <v>44552</v>
      </c>
      <c r="G307" s="1">
        <v>5122</v>
      </c>
    </row>
    <row r="308" spans="1:7">
      <c r="A308" t="s">
        <v>5707</v>
      </c>
      <c r="B308" t="s">
        <v>94</v>
      </c>
      <c r="C308" t="s">
        <v>2000</v>
      </c>
      <c r="D308" t="s">
        <v>1999</v>
      </c>
      <c r="E308" t="s">
        <v>3797</v>
      </c>
      <c r="F308" s="23">
        <v>44675</v>
      </c>
      <c r="G308" s="1">
        <v>5398</v>
      </c>
    </row>
    <row r="309" spans="1:7">
      <c r="A309" t="s">
        <v>5707</v>
      </c>
      <c r="B309" t="s">
        <v>37</v>
      </c>
      <c r="C309" t="s">
        <v>783</v>
      </c>
      <c r="D309" t="s">
        <v>782</v>
      </c>
      <c r="E309" t="s">
        <v>3798</v>
      </c>
      <c r="F309" s="23">
        <v>44346</v>
      </c>
      <c r="G309" s="1">
        <v>13052</v>
      </c>
    </row>
    <row r="310" spans="1:7">
      <c r="A310" t="s">
        <v>5707</v>
      </c>
      <c r="B310" t="s">
        <v>94</v>
      </c>
      <c r="C310" t="s">
        <v>2271</v>
      </c>
      <c r="D310" t="s">
        <v>2270</v>
      </c>
      <c r="E310" t="s">
        <v>3799</v>
      </c>
      <c r="F310" s="23">
        <v>44346</v>
      </c>
      <c r="G310" s="1">
        <v>11001</v>
      </c>
    </row>
    <row r="311" spans="1:7">
      <c r="A311" t="s">
        <v>5707</v>
      </c>
      <c r="B311" t="s">
        <v>37</v>
      </c>
      <c r="C311" t="s">
        <v>1528</v>
      </c>
      <c r="D311" t="s">
        <v>1527</v>
      </c>
      <c r="E311" t="s">
        <v>3800</v>
      </c>
      <c r="F311" s="23">
        <v>44346</v>
      </c>
      <c r="G311" s="1">
        <v>2247</v>
      </c>
    </row>
    <row r="312" spans="1:7">
      <c r="A312" t="s">
        <v>5707</v>
      </c>
      <c r="B312" t="s">
        <v>106</v>
      </c>
      <c r="D312" t="s">
        <v>5529</v>
      </c>
      <c r="E312" t="s">
        <v>3801</v>
      </c>
      <c r="F312" s="23">
        <v>44346</v>
      </c>
      <c r="G312" s="1">
        <v>15749</v>
      </c>
    </row>
    <row r="313" spans="1:7">
      <c r="A313" t="s">
        <v>5707</v>
      </c>
      <c r="B313" t="s">
        <v>94</v>
      </c>
      <c r="C313" t="s">
        <v>3486</v>
      </c>
      <c r="D313" t="s">
        <v>199</v>
      </c>
      <c r="E313" t="s">
        <v>3802</v>
      </c>
      <c r="F313" s="23">
        <v>44955</v>
      </c>
      <c r="G313" s="1">
        <v>10667</v>
      </c>
    </row>
    <row r="314" spans="1:7">
      <c r="A314" t="s">
        <v>5707</v>
      </c>
      <c r="B314" t="s">
        <v>43</v>
      </c>
      <c r="C314" t="s">
        <v>1057</v>
      </c>
      <c r="D314" t="s">
        <v>1056</v>
      </c>
      <c r="E314" t="s">
        <v>3803</v>
      </c>
      <c r="F314" s="23">
        <v>44346</v>
      </c>
      <c r="G314" s="1">
        <v>10605</v>
      </c>
    </row>
    <row r="315" spans="1:7">
      <c r="A315" t="s">
        <v>5708</v>
      </c>
      <c r="B315" t="s">
        <v>94</v>
      </c>
      <c r="C315" t="s">
        <v>3368</v>
      </c>
      <c r="D315" t="s">
        <v>3367</v>
      </c>
      <c r="E315" t="s">
        <v>3804</v>
      </c>
      <c r="F315" s="23">
        <v>44809</v>
      </c>
      <c r="G315" s="1">
        <v>3991</v>
      </c>
    </row>
    <row r="316" spans="1:7">
      <c r="A316" t="s">
        <v>5708</v>
      </c>
      <c r="B316" t="s">
        <v>106</v>
      </c>
      <c r="C316" t="s">
        <v>3442</v>
      </c>
      <c r="D316" t="s">
        <v>3441</v>
      </c>
      <c r="E316" t="s">
        <v>3805</v>
      </c>
      <c r="F316" s="23">
        <v>44346</v>
      </c>
      <c r="G316" s="1">
        <v>7062</v>
      </c>
    </row>
    <row r="317" spans="1:7">
      <c r="A317" t="s">
        <v>5708</v>
      </c>
      <c r="B317" t="s">
        <v>94</v>
      </c>
      <c r="C317" t="s">
        <v>2187</v>
      </c>
      <c r="D317" t="s">
        <v>2186</v>
      </c>
      <c r="E317" t="s">
        <v>3806</v>
      </c>
      <c r="F317" s="23">
        <v>44431</v>
      </c>
      <c r="G317" s="1">
        <v>7806</v>
      </c>
    </row>
    <row r="318" spans="1:7">
      <c r="A318" t="s">
        <v>5708</v>
      </c>
      <c r="B318" t="s">
        <v>1006</v>
      </c>
      <c r="C318" t="s">
        <v>1552</v>
      </c>
      <c r="D318" t="s">
        <v>1551</v>
      </c>
      <c r="E318" t="s">
        <v>3807</v>
      </c>
      <c r="F318" s="23">
        <v>44596</v>
      </c>
      <c r="G318" s="1">
        <v>7657</v>
      </c>
    </row>
    <row r="319" spans="1:7">
      <c r="A319" t="s">
        <v>5708</v>
      </c>
      <c r="B319" t="s">
        <v>106</v>
      </c>
      <c r="C319" t="s">
        <v>2380</v>
      </c>
      <c r="D319" t="s">
        <v>2379</v>
      </c>
      <c r="E319" t="s">
        <v>3808</v>
      </c>
      <c r="F319" s="23">
        <v>44521</v>
      </c>
      <c r="G319" s="1">
        <v>7045</v>
      </c>
    </row>
    <row r="320" spans="1:7">
      <c r="A320" t="s">
        <v>5708</v>
      </c>
      <c r="B320" t="s">
        <v>94</v>
      </c>
      <c r="C320" t="s">
        <v>2121</v>
      </c>
      <c r="D320" t="s">
        <v>2120</v>
      </c>
      <c r="E320" t="s">
        <v>3809</v>
      </c>
      <c r="F320" s="23">
        <v>44346</v>
      </c>
      <c r="G320" s="1">
        <v>3523</v>
      </c>
    </row>
    <row r="321" spans="1:7">
      <c r="A321" t="s">
        <v>5708</v>
      </c>
      <c r="B321" t="s">
        <v>311</v>
      </c>
      <c r="D321" t="s">
        <v>3222</v>
      </c>
      <c r="E321" t="s">
        <v>3810</v>
      </c>
      <c r="F321" s="23">
        <v>44346</v>
      </c>
      <c r="G321" s="1">
        <v>13019</v>
      </c>
    </row>
    <row r="322" spans="1:7">
      <c r="A322" t="s">
        <v>5708</v>
      </c>
      <c r="B322" t="s">
        <v>298</v>
      </c>
      <c r="C322" t="s">
        <v>1674</v>
      </c>
      <c r="D322" t="s">
        <v>3443</v>
      </c>
      <c r="E322" t="s">
        <v>3811</v>
      </c>
      <c r="F322" s="23">
        <v>44908</v>
      </c>
      <c r="G322" s="1">
        <v>10727</v>
      </c>
    </row>
    <row r="323" spans="1:7">
      <c r="A323" t="s">
        <v>5708</v>
      </c>
      <c r="B323" t="s">
        <v>311</v>
      </c>
      <c r="C323" t="s">
        <v>2531</v>
      </c>
      <c r="D323" t="s">
        <v>2530</v>
      </c>
      <c r="E323" t="s">
        <v>3812</v>
      </c>
      <c r="F323" s="23">
        <v>44346</v>
      </c>
      <c r="G323" s="1">
        <v>13270</v>
      </c>
    </row>
    <row r="324" spans="1:7">
      <c r="A324" t="s">
        <v>5708</v>
      </c>
      <c r="B324" t="s">
        <v>311</v>
      </c>
      <c r="C324" t="s">
        <v>2984</v>
      </c>
      <c r="D324" t="s">
        <v>3046</v>
      </c>
      <c r="E324" t="s">
        <v>3813</v>
      </c>
      <c r="F324" s="23">
        <v>44346</v>
      </c>
      <c r="G324" s="1">
        <v>11856</v>
      </c>
    </row>
    <row r="325" spans="1:7">
      <c r="A325" t="s">
        <v>5708</v>
      </c>
      <c r="B325" t="s">
        <v>1223</v>
      </c>
      <c r="C325" t="s">
        <v>1370</v>
      </c>
      <c r="D325" t="s">
        <v>3138</v>
      </c>
      <c r="E325" t="s">
        <v>3814</v>
      </c>
      <c r="F325" s="23">
        <v>44491</v>
      </c>
      <c r="G325" s="1">
        <v>11302</v>
      </c>
    </row>
    <row r="326" spans="1:7">
      <c r="A326" t="s">
        <v>5708</v>
      </c>
      <c r="B326" t="s">
        <v>106</v>
      </c>
      <c r="C326" t="s">
        <v>2568</v>
      </c>
      <c r="D326" t="s">
        <v>2567</v>
      </c>
      <c r="E326" t="s">
        <v>3815</v>
      </c>
      <c r="F326" s="23">
        <v>44346</v>
      </c>
      <c r="G326" s="1">
        <v>9492</v>
      </c>
    </row>
    <row r="327" spans="1:7">
      <c r="A327" t="s">
        <v>5708</v>
      </c>
      <c r="B327" t="s">
        <v>298</v>
      </c>
      <c r="C327" t="s">
        <v>2887</v>
      </c>
      <c r="D327" t="s">
        <v>2886</v>
      </c>
      <c r="E327" t="s">
        <v>3816</v>
      </c>
      <c r="F327" s="23">
        <v>45033</v>
      </c>
      <c r="G327" s="1">
        <v>8507</v>
      </c>
    </row>
    <row r="328" spans="1:7">
      <c r="A328" t="s">
        <v>5708</v>
      </c>
      <c r="B328" t="s">
        <v>94</v>
      </c>
      <c r="C328" t="s">
        <v>3486</v>
      </c>
      <c r="D328" t="s">
        <v>350</v>
      </c>
      <c r="E328" t="s">
        <v>3817</v>
      </c>
      <c r="F328" s="23">
        <v>44346</v>
      </c>
      <c r="G328" s="1">
        <v>8153</v>
      </c>
    </row>
    <row r="329" spans="1:7">
      <c r="A329" t="s">
        <v>5708</v>
      </c>
      <c r="B329" t="s">
        <v>94</v>
      </c>
      <c r="C329" t="s">
        <v>1931</v>
      </c>
      <c r="D329" t="s">
        <v>1930</v>
      </c>
      <c r="E329" t="s">
        <v>3818</v>
      </c>
      <c r="F329" s="23">
        <v>44346</v>
      </c>
      <c r="G329" s="1">
        <v>16184</v>
      </c>
    </row>
    <row r="330" spans="1:7">
      <c r="A330" t="s">
        <v>5708</v>
      </c>
      <c r="B330" t="s">
        <v>106</v>
      </c>
      <c r="C330" t="s">
        <v>2879</v>
      </c>
      <c r="D330" t="s">
        <v>2878</v>
      </c>
      <c r="E330" t="s">
        <v>3819</v>
      </c>
      <c r="F330" s="23">
        <v>44346</v>
      </c>
      <c r="G330" s="1">
        <v>2077</v>
      </c>
    </row>
    <row r="331" spans="1:7">
      <c r="A331" t="s">
        <v>5708</v>
      </c>
      <c r="B331" t="s">
        <v>311</v>
      </c>
      <c r="C331" t="s">
        <v>1169</v>
      </c>
      <c r="D331" t="s">
        <v>2786</v>
      </c>
      <c r="E331" t="s">
        <v>3820</v>
      </c>
      <c r="F331" s="23">
        <v>44346</v>
      </c>
      <c r="G331" s="1">
        <v>19186</v>
      </c>
    </row>
    <row r="332" spans="1:7">
      <c r="A332" t="s">
        <v>5708</v>
      </c>
      <c r="B332" t="s">
        <v>1323</v>
      </c>
      <c r="C332" t="s">
        <v>1322</v>
      </c>
      <c r="D332" t="s">
        <v>1508</v>
      </c>
      <c r="E332" t="s">
        <v>3821</v>
      </c>
      <c r="F332" s="23">
        <v>44346</v>
      </c>
      <c r="G332" s="1">
        <v>13769</v>
      </c>
    </row>
    <row r="333" spans="1:7">
      <c r="A333" t="s">
        <v>5708</v>
      </c>
      <c r="B333" t="s">
        <v>106</v>
      </c>
      <c r="C333" t="s">
        <v>2383</v>
      </c>
      <c r="D333" t="s">
        <v>5530</v>
      </c>
      <c r="E333" t="s">
        <v>3822</v>
      </c>
      <c r="F333" s="23">
        <v>44534</v>
      </c>
      <c r="G333" s="1">
        <v>6814</v>
      </c>
    </row>
    <row r="334" spans="1:7">
      <c r="A334" t="s">
        <v>5708</v>
      </c>
      <c r="B334" t="s">
        <v>94</v>
      </c>
      <c r="C334" t="s">
        <v>3054</v>
      </c>
      <c r="D334" t="s">
        <v>3386</v>
      </c>
      <c r="E334" t="s">
        <v>3823</v>
      </c>
      <c r="F334" s="23">
        <v>44346</v>
      </c>
      <c r="G334" s="1">
        <v>8038</v>
      </c>
    </row>
    <row r="335" spans="1:7">
      <c r="A335" t="s">
        <v>5708</v>
      </c>
      <c r="B335" t="s">
        <v>233</v>
      </c>
      <c r="C335" t="s">
        <v>2393</v>
      </c>
      <c r="D335" t="s">
        <v>2392</v>
      </c>
      <c r="E335" t="s">
        <v>3824</v>
      </c>
      <c r="F335" s="23">
        <v>44346</v>
      </c>
      <c r="G335" s="1">
        <v>4830</v>
      </c>
    </row>
    <row r="336" spans="1:7">
      <c r="A336" t="s">
        <v>5708</v>
      </c>
      <c r="B336" t="s">
        <v>40</v>
      </c>
      <c r="C336" t="s">
        <v>1751</v>
      </c>
      <c r="D336" t="s">
        <v>1750</v>
      </c>
      <c r="E336" t="s">
        <v>3825</v>
      </c>
      <c r="F336" s="23">
        <v>44770</v>
      </c>
      <c r="G336" s="1">
        <v>9090</v>
      </c>
    </row>
    <row r="337" spans="1:7">
      <c r="A337" t="s">
        <v>5708</v>
      </c>
      <c r="B337" t="s">
        <v>546</v>
      </c>
      <c r="C337" t="s">
        <v>545</v>
      </c>
      <c r="D337" t="s">
        <v>544</v>
      </c>
      <c r="E337" t="s">
        <v>3826</v>
      </c>
      <c r="F337" s="23">
        <v>44346</v>
      </c>
      <c r="G337" s="1">
        <v>17243</v>
      </c>
    </row>
    <row r="338" spans="1:7">
      <c r="A338" t="s">
        <v>5708</v>
      </c>
      <c r="B338" t="s">
        <v>37</v>
      </c>
      <c r="C338" t="s">
        <v>198</v>
      </c>
      <c r="D338" t="s">
        <v>197</v>
      </c>
      <c r="E338" t="s">
        <v>3827</v>
      </c>
      <c r="F338" s="23">
        <v>44979</v>
      </c>
      <c r="G338" s="1">
        <v>7702</v>
      </c>
    </row>
    <row r="339" spans="1:7">
      <c r="A339" t="s">
        <v>5708</v>
      </c>
      <c r="B339" t="s">
        <v>311</v>
      </c>
      <c r="C339" t="s">
        <v>378</v>
      </c>
      <c r="D339" t="s">
        <v>377</v>
      </c>
      <c r="E339" t="s">
        <v>3828</v>
      </c>
      <c r="F339" s="23">
        <v>44346</v>
      </c>
      <c r="G339" s="1">
        <v>7299</v>
      </c>
    </row>
    <row r="340" spans="1:7">
      <c r="A340" t="s">
        <v>5708</v>
      </c>
      <c r="B340" t="s">
        <v>97</v>
      </c>
      <c r="C340" t="s">
        <v>627</v>
      </c>
      <c r="D340" t="s">
        <v>5531</v>
      </c>
      <c r="E340" t="s">
        <v>3829</v>
      </c>
      <c r="F340" s="23">
        <v>44346</v>
      </c>
      <c r="G340" s="1">
        <v>12939</v>
      </c>
    </row>
    <row r="341" spans="1:7">
      <c r="A341" t="s">
        <v>5708</v>
      </c>
      <c r="B341" t="s">
        <v>94</v>
      </c>
      <c r="C341" t="s">
        <v>3486</v>
      </c>
      <c r="D341" t="s">
        <v>1715</v>
      </c>
      <c r="E341" t="s">
        <v>3830</v>
      </c>
      <c r="F341" s="23">
        <v>44346</v>
      </c>
      <c r="G341" s="1">
        <v>13057</v>
      </c>
    </row>
    <row r="342" spans="1:7">
      <c r="A342" t="s">
        <v>5708</v>
      </c>
      <c r="B342" t="s">
        <v>298</v>
      </c>
      <c r="C342" t="s">
        <v>2824</v>
      </c>
      <c r="D342" t="s">
        <v>3034</v>
      </c>
      <c r="E342" t="s">
        <v>3831</v>
      </c>
      <c r="F342" s="23">
        <v>44346</v>
      </c>
      <c r="G342" s="1">
        <v>13672</v>
      </c>
    </row>
    <row r="343" spans="1:7">
      <c r="A343" t="s">
        <v>5708</v>
      </c>
      <c r="B343" t="s">
        <v>156</v>
      </c>
      <c r="C343" t="s">
        <v>155</v>
      </c>
      <c r="D343" t="s">
        <v>154</v>
      </c>
      <c r="E343" t="s">
        <v>3832</v>
      </c>
      <c r="F343" s="23">
        <v>44415</v>
      </c>
      <c r="G343" s="1">
        <v>4547</v>
      </c>
    </row>
    <row r="344" spans="1:7">
      <c r="A344" t="s">
        <v>5708</v>
      </c>
      <c r="B344" t="s">
        <v>298</v>
      </c>
      <c r="C344" t="s">
        <v>317</v>
      </c>
      <c r="D344" t="s">
        <v>2555</v>
      </c>
      <c r="E344" t="s">
        <v>3833</v>
      </c>
      <c r="F344" s="23">
        <v>44508</v>
      </c>
      <c r="G344" s="1">
        <v>6366</v>
      </c>
    </row>
    <row r="345" spans="1:7">
      <c r="A345" t="s">
        <v>5708</v>
      </c>
      <c r="B345" t="s">
        <v>94</v>
      </c>
      <c r="C345" t="s">
        <v>3487</v>
      </c>
      <c r="D345" t="s">
        <v>1630</v>
      </c>
      <c r="E345" t="s">
        <v>3834</v>
      </c>
      <c r="F345" s="23">
        <v>44346</v>
      </c>
      <c r="G345" s="1">
        <v>19529</v>
      </c>
    </row>
    <row r="346" spans="1:7">
      <c r="A346" t="s">
        <v>5708</v>
      </c>
      <c r="B346" t="s">
        <v>94</v>
      </c>
      <c r="C346" t="s">
        <v>3243</v>
      </c>
      <c r="D346" t="s">
        <v>3242</v>
      </c>
      <c r="E346" t="s">
        <v>3835</v>
      </c>
      <c r="F346" s="23">
        <v>44346</v>
      </c>
      <c r="G346" s="1">
        <v>18931</v>
      </c>
    </row>
    <row r="347" spans="1:7">
      <c r="A347" t="s">
        <v>5708</v>
      </c>
      <c r="B347" t="s">
        <v>311</v>
      </c>
      <c r="C347" t="s">
        <v>2649</v>
      </c>
      <c r="D347" t="s">
        <v>2648</v>
      </c>
      <c r="E347" t="s">
        <v>3836</v>
      </c>
      <c r="F347" s="23">
        <v>44792</v>
      </c>
      <c r="G347" s="1">
        <v>11591</v>
      </c>
    </row>
    <row r="348" spans="1:7">
      <c r="A348" t="s">
        <v>5708</v>
      </c>
      <c r="B348" t="s">
        <v>94</v>
      </c>
      <c r="D348" t="s">
        <v>2019</v>
      </c>
      <c r="E348" t="s">
        <v>3837</v>
      </c>
      <c r="F348" s="23">
        <v>44801</v>
      </c>
      <c r="G348" s="1">
        <v>2883</v>
      </c>
    </row>
    <row r="349" spans="1:7">
      <c r="A349" t="s">
        <v>5708</v>
      </c>
      <c r="B349" t="s">
        <v>85</v>
      </c>
      <c r="C349" t="s">
        <v>990</v>
      </c>
      <c r="D349" t="s">
        <v>989</v>
      </c>
      <c r="E349" t="s">
        <v>3838</v>
      </c>
      <c r="F349" s="23">
        <v>44941</v>
      </c>
      <c r="G349" s="1">
        <v>11729</v>
      </c>
    </row>
    <row r="350" spans="1:7">
      <c r="A350" t="s">
        <v>5708</v>
      </c>
      <c r="B350" t="s">
        <v>1006</v>
      </c>
      <c r="C350" t="s">
        <v>1570</v>
      </c>
      <c r="D350" t="s">
        <v>1569</v>
      </c>
      <c r="E350" t="s">
        <v>3839</v>
      </c>
      <c r="F350" s="23">
        <v>44346</v>
      </c>
      <c r="G350" s="1">
        <v>19011</v>
      </c>
    </row>
    <row r="351" spans="1:7">
      <c r="A351" t="s">
        <v>5708</v>
      </c>
      <c r="B351" t="s">
        <v>37</v>
      </c>
      <c r="C351" t="s">
        <v>1048</v>
      </c>
      <c r="D351" t="s">
        <v>5532</v>
      </c>
      <c r="E351" t="s">
        <v>3840</v>
      </c>
      <c r="F351" s="23">
        <v>44666</v>
      </c>
      <c r="G351" s="1">
        <v>6707</v>
      </c>
    </row>
    <row r="352" spans="1:7">
      <c r="A352" t="s">
        <v>5708</v>
      </c>
      <c r="B352" t="s">
        <v>40</v>
      </c>
      <c r="C352" t="s">
        <v>39</v>
      </c>
      <c r="D352" t="s">
        <v>38</v>
      </c>
      <c r="E352" t="s">
        <v>3841</v>
      </c>
      <c r="F352" s="23">
        <v>44399</v>
      </c>
      <c r="G352" s="1">
        <v>4665</v>
      </c>
    </row>
    <row r="353" spans="1:7">
      <c r="A353" t="s">
        <v>5709</v>
      </c>
      <c r="B353" t="s">
        <v>97</v>
      </c>
      <c r="C353" t="s">
        <v>928</v>
      </c>
      <c r="D353" t="s">
        <v>5533</v>
      </c>
      <c r="E353" t="s">
        <v>3842</v>
      </c>
      <c r="F353" s="23">
        <v>44346</v>
      </c>
      <c r="G353" s="1">
        <v>16124</v>
      </c>
    </row>
    <row r="354" spans="1:7">
      <c r="A354" t="s">
        <v>5709</v>
      </c>
      <c r="B354" t="s">
        <v>208</v>
      </c>
      <c r="C354" t="s">
        <v>750</v>
      </c>
      <c r="D354" t="s">
        <v>749</v>
      </c>
      <c r="E354" t="s">
        <v>3843</v>
      </c>
      <c r="F354" s="23">
        <v>44346</v>
      </c>
      <c r="G354" s="1">
        <v>15553</v>
      </c>
    </row>
    <row r="355" spans="1:7">
      <c r="A355" t="s">
        <v>5709</v>
      </c>
      <c r="B355" t="s">
        <v>106</v>
      </c>
      <c r="C355" t="s">
        <v>3048</v>
      </c>
      <c r="D355" t="s">
        <v>3047</v>
      </c>
      <c r="E355" t="s">
        <v>3844</v>
      </c>
      <c r="F355" s="23">
        <v>44346</v>
      </c>
      <c r="G355" s="1">
        <v>7146</v>
      </c>
    </row>
    <row r="356" spans="1:7">
      <c r="A356" t="s">
        <v>5709</v>
      </c>
      <c r="B356" t="s">
        <v>208</v>
      </c>
      <c r="C356" t="s">
        <v>1258</v>
      </c>
      <c r="D356" t="s">
        <v>1257</v>
      </c>
      <c r="E356" t="s">
        <v>3845</v>
      </c>
      <c r="F356" s="23">
        <v>44364</v>
      </c>
      <c r="G356" s="1">
        <v>1609</v>
      </c>
    </row>
    <row r="357" spans="1:7">
      <c r="A357" t="s">
        <v>5709</v>
      </c>
      <c r="B357" t="s">
        <v>202</v>
      </c>
      <c r="C357" t="s">
        <v>1033</v>
      </c>
      <c r="D357" t="s">
        <v>1032</v>
      </c>
      <c r="E357" t="s">
        <v>3846</v>
      </c>
      <c r="F357" s="23">
        <v>44346</v>
      </c>
      <c r="G357" s="1">
        <v>14715</v>
      </c>
    </row>
    <row r="358" spans="1:7">
      <c r="A358" t="s">
        <v>5709</v>
      </c>
      <c r="B358" t="s">
        <v>208</v>
      </c>
      <c r="C358" t="s">
        <v>662</v>
      </c>
      <c r="D358" t="s">
        <v>661</v>
      </c>
      <c r="E358" t="s">
        <v>3847</v>
      </c>
      <c r="F358" s="23">
        <v>44928</v>
      </c>
      <c r="G358" s="1">
        <v>4541</v>
      </c>
    </row>
    <row r="359" spans="1:7">
      <c r="A359" t="s">
        <v>5709</v>
      </c>
      <c r="B359" t="s">
        <v>233</v>
      </c>
      <c r="C359" t="s">
        <v>2982</v>
      </c>
      <c r="D359" t="s">
        <v>2981</v>
      </c>
      <c r="E359" t="s">
        <v>3848</v>
      </c>
      <c r="F359" s="23">
        <v>44346</v>
      </c>
      <c r="G359" s="1">
        <v>6043</v>
      </c>
    </row>
    <row r="360" spans="1:7">
      <c r="A360" t="s">
        <v>5709</v>
      </c>
      <c r="B360" t="s">
        <v>94</v>
      </c>
      <c r="C360" t="s">
        <v>3486</v>
      </c>
      <c r="D360" t="s">
        <v>1358</v>
      </c>
      <c r="E360" t="s">
        <v>3849</v>
      </c>
      <c r="F360" s="23">
        <v>44643</v>
      </c>
      <c r="G360" s="1">
        <v>4669</v>
      </c>
    </row>
    <row r="361" spans="1:7">
      <c r="A361" t="s">
        <v>5709</v>
      </c>
      <c r="B361" t="s">
        <v>298</v>
      </c>
      <c r="C361" t="s">
        <v>365</v>
      </c>
      <c r="D361" t="s">
        <v>2071</v>
      </c>
      <c r="E361" t="s">
        <v>3850</v>
      </c>
      <c r="F361" s="23">
        <v>44743</v>
      </c>
      <c r="G361" s="1">
        <v>2975</v>
      </c>
    </row>
    <row r="362" spans="1:7">
      <c r="A362" t="s">
        <v>5709</v>
      </c>
      <c r="B362" t="s">
        <v>94</v>
      </c>
      <c r="D362" t="s">
        <v>2864</v>
      </c>
      <c r="E362" t="s">
        <v>3851</v>
      </c>
      <c r="F362" s="23">
        <v>44346</v>
      </c>
      <c r="G362" s="1">
        <v>1480</v>
      </c>
    </row>
    <row r="363" spans="1:7">
      <c r="A363" t="s">
        <v>5709</v>
      </c>
      <c r="B363" t="s">
        <v>779</v>
      </c>
      <c r="C363" t="s">
        <v>778</v>
      </c>
      <c r="D363" t="s">
        <v>777</v>
      </c>
      <c r="E363" t="s">
        <v>3852</v>
      </c>
      <c r="F363" s="23">
        <v>44916</v>
      </c>
      <c r="G363" s="1">
        <v>7313</v>
      </c>
    </row>
    <row r="364" spans="1:7">
      <c r="A364" t="s">
        <v>5709</v>
      </c>
      <c r="B364" t="s">
        <v>135</v>
      </c>
      <c r="C364" t="s">
        <v>1165</v>
      </c>
      <c r="D364" t="s">
        <v>5534</v>
      </c>
      <c r="E364" t="s">
        <v>3853</v>
      </c>
      <c r="F364" s="23">
        <v>44504</v>
      </c>
      <c r="G364" s="1">
        <v>3639</v>
      </c>
    </row>
    <row r="365" spans="1:7">
      <c r="A365" t="s">
        <v>5709</v>
      </c>
      <c r="B365" t="s">
        <v>233</v>
      </c>
      <c r="C365" t="s">
        <v>1922</v>
      </c>
      <c r="D365" t="s">
        <v>3405</v>
      </c>
      <c r="E365" t="s">
        <v>3854</v>
      </c>
      <c r="F365" s="23">
        <v>44589</v>
      </c>
      <c r="G365" s="1">
        <v>11292</v>
      </c>
    </row>
    <row r="366" spans="1:7">
      <c r="A366" t="s">
        <v>5709</v>
      </c>
      <c r="B366" t="s">
        <v>233</v>
      </c>
      <c r="C366" t="s">
        <v>880</v>
      </c>
      <c r="D366" t="s">
        <v>3310</v>
      </c>
      <c r="E366" t="s">
        <v>3855</v>
      </c>
      <c r="F366" s="23">
        <v>44346</v>
      </c>
      <c r="G366" s="1">
        <v>15003</v>
      </c>
    </row>
    <row r="367" spans="1:7">
      <c r="A367" t="s">
        <v>5709</v>
      </c>
      <c r="B367" t="s">
        <v>298</v>
      </c>
      <c r="C367" t="s">
        <v>2210</v>
      </c>
      <c r="D367" t="s">
        <v>2209</v>
      </c>
      <c r="E367" t="s">
        <v>3856</v>
      </c>
      <c r="F367" s="23">
        <v>44346</v>
      </c>
      <c r="G367" s="1">
        <v>12508</v>
      </c>
    </row>
    <row r="368" spans="1:7">
      <c r="A368" t="s">
        <v>5709</v>
      </c>
      <c r="B368" t="s">
        <v>94</v>
      </c>
      <c r="C368" t="s">
        <v>3352</v>
      </c>
      <c r="D368" t="s">
        <v>3351</v>
      </c>
      <c r="E368" t="s">
        <v>3857</v>
      </c>
      <c r="F368" s="23">
        <v>44346</v>
      </c>
      <c r="G368" s="1">
        <v>5518</v>
      </c>
    </row>
    <row r="369" spans="1:7">
      <c r="A369" t="s">
        <v>5709</v>
      </c>
      <c r="B369" t="s">
        <v>149</v>
      </c>
      <c r="C369" t="s">
        <v>1059</v>
      </c>
      <c r="D369" t="s">
        <v>1058</v>
      </c>
      <c r="E369" t="s">
        <v>3858</v>
      </c>
      <c r="F369" s="23">
        <v>44346</v>
      </c>
      <c r="G369" s="1">
        <v>12673</v>
      </c>
    </row>
    <row r="370" spans="1:7">
      <c r="A370" t="s">
        <v>5709</v>
      </c>
      <c r="B370" t="s">
        <v>94</v>
      </c>
      <c r="C370" t="s">
        <v>3486</v>
      </c>
      <c r="D370" t="s">
        <v>725</v>
      </c>
      <c r="E370" t="s">
        <v>3859</v>
      </c>
      <c r="F370" s="23">
        <v>44437</v>
      </c>
      <c r="G370" s="1">
        <v>5206</v>
      </c>
    </row>
    <row r="371" spans="1:7">
      <c r="A371" t="s">
        <v>5709</v>
      </c>
      <c r="B371" t="s">
        <v>94</v>
      </c>
      <c r="D371" t="s">
        <v>2496</v>
      </c>
      <c r="E371" t="s">
        <v>3860</v>
      </c>
      <c r="F371" s="23">
        <v>44346</v>
      </c>
      <c r="G371" s="1">
        <v>18991</v>
      </c>
    </row>
    <row r="372" spans="1:7">
      <c r="A372" t="s">
        <v>5709</v>
      </c>
      <c r="B372" t="s">
        <v>135</v>
      </c>
      <c r="C372" t="s">
        <v>772</v>
      </c>
      <c r="D372" t="s">
        <v>771</v>
      </c>
      <c r="E372" t="s">
        <v>3861</v>
      </c>
      <c r="F372" s="23">
        <v>44888</v>
      </c>
      <c r="G372" s="1">
        <v>6035</v>
      </c>
    </row>
    <row r="373" spans="1:7">
      <c r="A373" t="s">
        <v>5709</v>
      </c>
      <c r="B373" t="s">
        <v>311</v>
      </c>
      <c r="C373" t="s">
        <v>3285</v>
      </c>
      <c r="D373" t="s">
        <v>3284</v>
      </c>
      <c r="E373" t="s">
        <v>3862</v>
      </c>
      <c r="F373" s="23">
        <v>45064</v>
      </c>
      <c r="G373" s="1">
        <v>1262</v>
      </c>
    </row>
    <row r="374" spans="1:7">
      <c r="A374" t="s">
        <v>5709</v>
      </c>
      <c r="B374" t="s">
        <v>94</v>
      </c>
      <c r="C374" t="s">
        <v>3487</v>
      </c>
      <c r="D374" t="s">
        <v>1435</v>
      </c>
      <c r="E374" t="s">
        <v>3863</v>
      </c>
      <c r="F374" s="23">
        <v>44346</v>
      </c>
      <c r="G374" s="1">
        <v>12486</v>
      </c>
    </row>
    <row r="375" spans="1:7">
      <c r="A375" t="s">
        <v>5709</v>
      </c>
      <c r="B375" t="s">
        <v>233</v>
      </c>
      <c r="C375" t="s">
        <v>3239</v>
      </c>
      <c r="D375" t="s">
        <v>3238</v>
      </c>
      <c r="E375" t="s">
        <v>3864</v>
      </c>
      <c r="F375" s="23">
        <v>44929</v>
      </c>
      <c r="G375" s="1">
        <v>7990</v>
      </c>
    </row>
    <row r="376" spans="1:7">
      <c r="A376" t="s">
        <v>5709</v>
      </c>
      <c r="B376" t="s">
        <v>106</v>
      </c>
      <c r="C376" t="s">
        <v>2704</v>
      </c>
      <c r="D376" t="s">
        <v>2703</v>
      </c>
      <c r="E376" t="s">
        <v>3865</v>
      </c>
      <c r="F376" s="23">
        <v>44346</v>
      </c>
      <c r="G376" s="1">
        <v>12534</v>
      </c>
    </row>
    <row r="377" spans="1:7">
      <c r="A377" t="s">
        <v>5709</v>
      </c>
      <c r="B377" t="s">
        <v>94</v>
      </c>
      <c r="C377" t="s">
        <v>3486</v>
      </c>
      <c r="D377" t="s">
        <v>5535</v>
      </c>
      <c r="E377" t="s">
        <v>3866</v>
      </c>
      <c r="F377" s="23">
        <v>44804</v>
      </c>
      <c r="G377" s="1">
        <v>5494</v>
      </c>
    </row>
    <row r="378" spans="1:7">
      <c r="A378" t="s">
        <v>5709</v>
      </c>
      <c r="B378" t="s">
        <v>298</v>
      </c>
      <c r="C378" t="s">
        <v>2042</v>
      </c>
      <c r="D378" t="s">
        <v>2286</v>
      </c>
      <c r="E378" t="s">
        <v>3867</v>
      </c>
      <c r="F378" s="23">
        <v>44346</v>
      </c>
      <c r="G378" s="1">
        <v>12602</v>
      </c>
    </row>
    <row r="379" spans="1:7">
      <c r="A379" t="s">
        <v>5709</v>
      </c>
      <c r="B379" t="s">
        <v>106</v>
      </c>
      <c r="C379" t="s">
        <v>2974</v>
      </c>
      <c r="D379" t="s">
        <v>2973</v>
      </c>
      <c r="E379" t="s">
        <v>3868</v>
      </c>
      <c r="F379" s="23">
        <v>44457</v>
      </c>
      <c r="G379" s="1">
        <v>11677</v>
      </c>
    </row>
    <row r="380" spans="1:7">
      <c r="A380" t="s">
        <v>5709</v>
      </c>
      <c r="B380" t="s">
        <v>106</v>
      </c>
      <c r="C380" t="s">
        <v>2651</v>
      </c>
      <c r="D380" t="s">
        <v>2675</v>
      </c>
      <c r="E380" t="s">
        <v>3869</v>
      </c>
      <c r="F380" s="23">
        <v>44775</v>
      </c>
      <c r="G380" s="1">
        <v>11758</v>
      </c>
    </row>
    <row r="381" spans="1:7">
      <c r="A381" t="s">
        <v>5709</v>
      </c>
      <c r="B381" t="s">
        <v>37</v>
      </c>
      <c r="C381" t="s">
        <v>1017</v>
      </c>
      <c r="D381" t="s">
        <v>1016</v>
      </c>
      <c r="E381" t="s">
        <v>3870</v>
      </c>
      <c r="F381" s="23">
        <v>44452</v>
      </c>
      <c r="G381" s="1">
        <v>6229</v>
      </c>
    </row>
    <row r="382" spans="1:7">
      <c r="A382" t="s">
        <v>5710</v>
      </c>
      <c r="B382" t="s">
        <v>208</v>
      </c>
      <c r="C382" t="s">
        <v>617</v>
      </c>
      <c r="D382" t="s">
        <v>616</v>
      </c>
      <c r="E382" t="s">
        <v>3871</v>
      </c>
      <c r="F382" s="23">
        <v>44346</v>
      </c>
      <c r="G382" s="1">
        <v>16296</v>
      </c>
    </row>
    <row r="383" spans="1:7">
      <c r="A383" t="s">
        <v>5710</v>
      </c>
      <c r="B383" t="s">
        <v>94</v>
      </c>
      <c r="C383" t="s">
        <v>3404</v>
      </c>
      <c r="D383" t="s">
        <v>3403</v>
      </c>
      <c r="E383" t="s">
        <v>3872</v>
      </c>
      <c r="F383" s="23">
        <v>44346</v>
      </c>
      <c r="G383" s="1">
        <v>12286</v>
      </c>
    </row>
    <row r="384" spans="1:7">
      <c r="A384" t="s">
        <v>5710</v>
      </c>
      <c r="B384" t="s">
        <v>94</v>
      </c>
      <c r="C384" t="s">
        <v>277</v>
      </c>
      <c r="D384" t="s">
        <v>276</v>
      </c>
      <c r="E384" t="s">
        <v>3873</v>
      </c>
      <c r="F384" s="23">
        <v>44414</v>
      </c>
      <c r="G384" s="1">
        <v>11551</v>
      </c>
    </row>
    <row r="385" spans="1:7">
      <c r="A385" t="s">
        <v>5710</v>
      </c>
      <c r="B385" t="s">
        <v>298</v>
      </c>
      <c r="C385" t="s">
        <v>2720</v>
      </c>
      <c r="D385" t="s">
        <v>2719</v>
      </c>
      <c r="E385" t="s">
        <v>3874</v>
      </c>
      <c r="F385" s="23">
        <v>44579</v>
      </c>
      <c r="G385" s="1">
        <v>9191</v>
      </c>
    </row>
    <row r="386" spans="1:7">
      <c r="A386" t="s">
        <v>5710</v>
      </c>
      <c r="B386" t="s">
        <v>106</v>
      </c>
      <c r="C386" t="s">
        <v>3359</v>
      </c>
      <c r="D386" t="s">
        <v>3358</v>
      </c>
      <c r="E386" t="s">
        <v>3875</v>
      </c>
      <c r="F386" s="23">
        <v>44825</v>
      </c>
      <c r="G386" s="1">
        <v>6601</v>
      </c>
    </row>
    <row r="387" spans="1:7">
      <c r="A387" t="s">
        <v>5710</v>
      </c>
      <c r="B387" t="s">
        <v>233</v>
      </c>
      <c r="C387" t="s">
        <v>2086</v>
      </c>
      <c r="D387" t="s">
        <v>2085</v>
      </c>
      <c r="E387" t="s">
        <v>3876</v>
      </c>
      <c r="F387" s="23">
        <v>44346</v>
      </c>
      <c r="G387" s="1">
        <v>2085</v>
      </c>
    </row>
    <row r="388" spans="1:7">
      <c r="A388" t="s">
        <v>5710</v>
      </c>
      <c r="B388" t="s">
        <v>37</v>
      </c>
      <c r="C388" t="s">
        <v>1478</v>
      </c>
      <c r="D388" t="s">
        <v>1477</v>
      </c>
      <c r="E388" t="s">
        <v>3877</v>
      </c>
      <c r="F388" s="23">
        <v>44835</v>
      </c>
      <c r="G388" s="1">
        <v>11797</v>
      </c>
    </row>
    <row r="389" spans="1:7">
      <c r="A389" t="s">
        <v>5710</v>
      </c>
      <c r="B389" t="s">
        <v>298</v>
      </c>
      <c r="C389" t="s">
        <v>2117</v>
      </c>
      <c r="D389" t="s">
        <v>3098</v>
      </c>
      <c r="E389" t="s">
        <v>3878</v>
      </c>
      <c r="F389" s="23">
        <v>44346</v>
      </c>
      <c r="G389" s="1">
        <v>19309</v>
      </c>
    </row>
    <row r="390" spans="1:7">
      <c r="A390" t="s">
        <v>5710</v>
      </c>
      <c r="B390" t="s">
        <v>311</v>
      </c>
      <c r="D390" t="s">
        <v>2405</v>
      </c>
      <c r="E390" t="s">
        <v>3879</v>
      </c>
      <c r="F390" s="23">
        <v>44346</v>
      </c>
      <c r="G390" s="1">
        <v>15062</v>
      </c>
    </row>
    <row r="391" spans="1:7">
      <c r="A391" t="s">
        <v>5710</v>
      </c>
      <c r="B391" t="s">
        <v>106</v>
      </c>
      <c r="C391" t="s">
        <v>2095</v>
      </c>
      <c r="D391" t="s">
        <v>2094</v>
      </c>
      <c r="E391" t="s">
        <v>3880</v>
      </c>
      <c r="F391" s="23">
        <v>44346</v>
      </c>
      <c r="G391" s="1">
        <v>15407</v>
      </c>
    </row>
    <row r="392" spans="1:7">
      <c r="A392" t="s">
        <v>5710</v>
      </c>
      <c r="B392" t="s">
        <v>106</v>
      </c>
      <c r="C392" t="s">
        <v>1927</v>
      </c>
      <c r="D392" t="s">
        <v>1926</v>
      </c>
      <c r="E392" t="s">
        <v>3881</v>
      </c>
      <c r="F392" s="23">
        <v>44346</v>
      </c>
      <c r="G392" s="1">
        <v>12659</v>
      </c>
    </row>
    <row r="393" spans="1:7">
      <c r="A393" t="s">
        <v>5710</v>
      </c>
      <c r="B393" t="s">
        <v>311</v>
      </c>
      <c r="C393" t="s">
        <v>2113</v>
      </c>
      <c r="D393" t="s">
        <v>3425</v>
      </c>
      <c r="E393" t="s">
        <v>3882</v>
      </c>
      <c r="F393" s="23">
        <v>44346</v>
      </c>
      <c r="G393" s="1">
        <v>12387</v>
      </c>
    </row>
    <row r="394" spans="1:7">
      <c r="A394" t="s">
        <v>5710</v>
      </c>
      <c r="B394" t="s">
        <v>94</v>
      </c>
      <c r="C394" t="s">
        <v>3487</v>
      </c>
      <c r="D394" t="s">
        <v>803</v>
      </c>
      <c r="E394" t="s">
        <v>3883</v>
      </c>
      <c r="F394" s="23">
        <v>44346</v>
      </c>
      <c r="G394" s="1">
        <v>15428</v>
      </c>
    </row>
    <row r="395" spans="1:7">
      <c r="A395" t="s">
        <v>5710</v>
      </c>
      <c r="B395" t="s">
        <v>174</v>
      </c>
      <c r="C395" t="s">
        <v>806</v>
      </c>
      <c r="D395" t="s">
        <v>5536</v>
      </c>
      <c r="E395" t="s">
        <v>3884</v>
      </c>
      <c r="F395" s="23">
        <v>44936</v>
      </c>
      <c r="G395" s="1">
        <v>4415</v>
      </c>
    </row>
    <row r="396" spans="1:7">
      <c r="A396" t="s">
        <v>5710</v>
      </c>
      <c r="B396" t="s">
        <v>106</v>
      </c>
      <c r="C396" t="s">
        <v>2666</v>
      </c>
      <c r="D396" t="s">
        <v>2665</v>
      </c>
      <c r="E396" t="s">
        <v>3885</v>
      </c>
      <c r="F396" s="23">
        <v>44484</v>
      </c>
      <c r="G396" s="1">
        <v>3218</v>
      </c>
    </row>
    <row r="397" spans="1:7">
      <c r="A397" t="s">
        <v>5710</v>
      </c>
      <c r="B397" t="s">
        <v>311</v>
      </c>
      <c r="C397" t="s">
        <v>2228</v>
      </c>
      <c r="D397" t="s">
        <v>2227</v>
      </c>
      <c r="E397" t="s">
        <v>3886</v>
      </c>
      <c r="F397" s="23">
        <v>44346</v>
      </c>
      <c r="G397" s="1">
        <v>2140</v>
      </c>
    </row>
    <row r="398" spans="1:7">
      <c r="A398" t="s">
        <v>5710</v>
      </c>
      <c r="B398" t="s">
        <v>233</v>
      </c>
      <c r="C398" t="s">
        <v>2765</v>
      </c>
      <c r="D398" t="s">
        <v>2764</v>
      </c>
      <c r="E398" t="s">
        <v>3887</v>
      </c>
      <c r="F398" s="23">
        <v>44406</v>
      </c>
      <c r="G398" s="1">
        <v>2899</v>
      </c>
    </row>
    <row r="399" spans="1:7">
      <c r="A399" t="s">
        <v>5710</v>
      </c>
      <c r="B399" t="s">
        <v>94</v>
      </c>
      <c r="C399" t="s">
        <v>2461</v>
      </c>
      <c r="D399" t="s">
        <v>5537</v>
      </c>
      <c r="E399" t="s">
        <v>3888</v>
      </c>
      <c r="F399" s="23">
        <v>44417</v>
      </c>
      <c r="G399" s="1">
        <v>10705</v>
      </c>
    </row>
    <row r="400" spans="1:7">
      <c r="A400" t="s">
        <v>5710</v>
      </c>
      <c r="B400" t="s">
        <v>1407</v>
      </c>
      <c r="C400" t="s">
        <v>1406</v>
      </c>
      <c r="D400" t="s">
        <v>1405</v>
      </c>
      <c r="E400" t="s">
        <v>3889</v>
      </c>
      <c r="F400" s="23">
        <v>44834</v>
      </c>
      <c r="G400" s="1">
        <v>4687</v>
      </c>
    </row>
    <row r="401" spans="1:7">
      <c r="A401" t="s">
        <v>5710</v>
      </c>
      <c r="B401" t="s">
        <v>94</v>
      </c>
      <c r="C401" t="s">
        <v>1632</v>
      </c>
      <c r="D401" t="s">
        <v>1631</v>
      </c>
      <c r="E401" t="s">
        <v>3890</v>
      </c>
      <c r="F401" s="23">
        <v>44346</v>
      </c>
      <c r="G401" s="1">
        <v>16381</v>
      </c>
    </row>
    <row r="402" spans="1:7">
      <c r="A402" t="s">
        <v>5710</v>
      </c>
      <c r="B402" t="s">
        <v>46</v>
      </c>
      <c r="C402" t="s">
        <v>542</v>
      </c>
      <c r="D402" t="s">
        <v>541</v>
      </c>
      <c r="E402" t="s">
        <v>3891</v>
      </c>
      <c r="F402" s="23">
        <v>44346</v>
      </c>
      <c r="G402" s="1">
        <v>2674</v>
      </c>
    </row>
    <row r="403" spans="1:7">
      <c r="A403" t="s">
        <v>5710</v>
      </c>
      <c r="B403" t="s">
        <v>298</v>
      </c>
      <c r="C403" t="s">
        <v>2210</v>
      </c>
      <c r="D403" t="s">
        <v>3357</v>
      </c>
      <c r="E403" t="s">
        <v>3892</v>
      </c>
      <c r="F403" s="23">
        <v>44519</v>
      </c>
      <c r="G403" s="1">
        <v>7394</v>
      </c>
    </row>
    <row r="404" spans="1:7">
      <c r="A404" t="s">
        <v>5710</v>
      </c>
      <c r="B404" t="s">
        <v>94</v>
      </c>
      <c r="C404" t="s">
        <v>3486</v>
      </c>
      <c r="D404" t="s">
        <v>1504</v>
      </c>
      <c r="E404" t="s">
        <v>3893</v>
      </c>
      <c r="F404" s="23">
        <v>44346</v>
      </c>
      <c r="G404" s="1">
        <v>14305</v>
      </c>
    </row>
    <row r="405" spans="1:7">
      <c r="A405" t="s">
        <v>5710</v>
      </c>
      <c r="B405" t="s">
        <v>1149</v>
      </c>
      <c r="C405" t="s">
        <v>1374</v>
      </c>
      <c r="D405" t="s">
        <v>1373</v>
      </c>
      <c r="E405" t="s">
        <v>3894</v>
      </c>
      <c r="F405" s="23">
        <v>44346</v>
      </c>
      <c r="G405" s="1">
        <v>11533</v>
      </c>
    </row>
    <row r="406" spans="1:7">
      <c r="A406" t="s">
        <v>5710</v>
      </c>
      <c r="B406" t="s">
        <v>94</v>
      </c>
      <c r="C406" t="s">
        <v>3086</v>
      </c>
      <c r="D406" t="s">
        <v>3085</v>
      </c>
      <c r="E406" t="s">
        <v>3895</v>
      </c>
      <c r="F406" s="23">
        <v>44724</v>
      </c>
      <c r="G406" s="1">
        <v>5946</v>
      </c>
    </row>
    <row r="407" spans="1:7">
      <c r="A407" t="s">
        <v>5710</v>
      </c>
      <c r="B407" t="s">
        <v>426</v>
      </c>
      <c r="C407" t="s">
        <v>1403</v>
      </c>
      <c r="D407" t="s">
        <v>5538</v>
      </c>
      <c r="E407" t="s">
        <v>3896</v>
      </c>
      <c r="F407" s="23">
        <v>44346</v>
      </c>
      <c r="G407" s="1">
        <v>15580</v>
      </c>
    </row>
    <row r="408" spans="1:7">
      <c r="A408" t="s">
        <v>5710</v>
      </c>
      <c r="B408" t="s">
        <v>94</v>
      </c>
      <c r="C408" t="s">
        <v>1948</v>
      </c>
      <c r="D408" t="s">
        <v>1947</v>
      </c>
      <c r="E408" t="s">
        <v>3897</v>
      </c>
      <c r="F408" s="23">
        <v>45068</v>
      </c>
      <c r="G408" s="1">
        <v>11107</v>
      </c>
    </row>
    <row r="409" spans="1:7">
      <c r="A409" t="s">
        <v>5710</v>
      </c>
      <c r="B409" t="s">
        <v>43</v>
      </c>
      <c r="C409" t="s">
        <v>300</v>
      </c>
      <c r="D409" t="s">
        <v>299</v>
      </c>
      <c r="E409" t="s">
        <v>3898</v>
      </c>
      <c r="F409" s="23">
        <v>44971</v>
      </c>
      <c r="G409" s="1">
        <v>3386</v>
      </c>
    </row>
    <row r="410" spans="1:7">
      <c r="A410" t="s">
        <v>5710</v>
      </c>
      <c r="B410" t="s">
        <v>37</v>
      </c>
      <c r="C410" t="s">
        <v>559</v>
      </c>
      <c r="D410" t="s">
        <v>558</v>
      </c>
      <c r="E410" t="s">
        <v>3899</v>
      </c>
      <c r="F410" s="23">
        <v>44346</v>
      </c>
      <c r="G410" s="1">
        <v>17722</v>
      </c>
    </row>
    <row r="411" spans="1:7">
      <c r="A411" t="s">
        <v>5710</v>
      </c>
      <c r="B411" t="s">
        <v>72</v>
      </c>
      <c r="C411" t="s">
        <v>1822</v>
      </c>
      <c r="D411" t="s">
        <v>1821</v>
      </c>
      <c r="E411" t="s">
        <v>3900</v>
      </c>
      <c r="F411" s="23">
        <v>44346</v>
      </c>
      <c r="G411" s="1">
        <v>19687</v>
      </c>
    </row>
    <row r="412" spans="1:7">
      <c r="A412" t="s">
        <v>5710</v>
      </c>
      <c r="B412" t="s">
        <v>122</v>
      </c>
      <c r="C412" t="s">
        <v>359</v>
      </c>
      <c r="D412" t="s">
        <v>358</v>
      </c>
      <c r="E412" t="s">
        <v>3901</v>
      </c>
      <c r="F412" s="23">
        <v>44724</v>
      </c>
      <c r="G412" s="1">
        <v>6481</v>
      </c>
    </row>
    <row r="413" spans="1:7">
      <c r="A413" t="s">
        <v>5710</v>
      </c>
      <c r="B413" t="s">
        <v>311</v>
      </c>
      <c r="C413" t="s">
        <v>2515</v>
      </c>
      <c r="D413" t="s">
        <v>3320</v>
      </c>
      <c r="E413" t="s">
        <v>3902</v>
      </c>
      <c r="F413" s="23">
        <v>44698</v>
      </c>
      <c r="G413" s="1">
        <v>11491</v>
      </c>
    </row>
    <row r="414" spans="1:7">
      <c r="A414" t="s">
        <v>5710</v>
      </c>
      <c r="B414" t="s">
        <v>37</v>
      </c>
      <c r="C414" t="s">
        <v>436</v>
      </c>
      <c r="D414" t="s">
        <v>435</v>
      </c>
      <c r="E414" t="s">
        <v>3903</v>
      </c>
      <c r="F414" s="23">
        <v>44346</v>
      </c>
      <c r="G414" s="1">
        <v>14831</v>
      </c>
    </row>
    <row r="415" spans="1:7">
      <c r="A415" t="s">
        <v>5710</v>
      </c>
      <c r="B415" t="s">
        <v>101</v>
      </c>
      <c r="C415" t="s">
        <v>1304</v>
      </c>
      <c r="D415" t="s">
        <v>1303</v>
      </c>
      <c r="E415" t="s">
        <v>3904</v>
      </c>
      <c r="F415" s="23">
        <v>44346</v>
      </c>
      <c r="G415" s="1">
        <v>11876</v>
      </c>
    </row>
    <row r="416" spans="1:7">
      <c r="A416" t="s">
        <v>5710</v>
      </c>
      <c r="B416" t="s">
        <v>311</v>
      </c>
      <c r="C416" t="s">
        <v>2281</v>
      </c>
      <c r="D416" t="s">
        <v>2795</v>
      </c>
      <c r="E416" t="s">
        <v>3905</v>
      </c>
      <c r="F416" s="23">
        <v>44980</v>
      </c>
      <c r="G416" s="1">
        <v>1200</v>
      </c>
    </row>
    <row r="417" spans="1:7">
      <c r="A417" t="s">
        <v>5710</v>
      </c>
      <c r="B417" t="s">
        <v>101</v>
      </c>
      <c r="C417" t="s">
        <v>1430</v>
      </c>
      <c r="D417" t="s">
        <v>1429</v>
      </c>
      <c r="E417" t="s">
        <v>3906</v>
      </c>
      <c r="F417" s="23">
        <v>44346</v>
      </c>
      <c r="G417" s="1">
        <v>18297</v>
      </c>
    </row>
    <row r="418" spans="1:7">
      <c r="A418" t="s">
        <v>5710</v>
      </c>
      <c r="B418" t="s">
        <v>94</v>
      </c>
      <c r="C418" t="s">
        <v>3487</v>
      </c>
      <c r="D418" t="s">
        <v>1731</v>
      </c>
      <c r="E418" t="s">
        <v>3907</v>
      </c>
      <c r="F418" s="23">
        <v>44346</v>
      </c>
      <c r="G418" s="1">
        <v>19253</v>
      </c>
    </row>
    <row r="419" spans="1:7">
      <c r="A419" t="s">
        <v>5710</v>
      </c>
      <c r="B419" t="s">
        <v>106</v>
      </c>
      <c r="C419" t="s">
        <v>3137</v>
      </c>
      <c r="D419" t="s">
        <v>3136</v>
      </c>
      <c r="E419" t="s">
        <v>3908</v>
      </c>
      <c r="F419" s="23">
        <v>44346</v>
      </c>
      <c r="G419" s="1">
        <v>12008</v>
      </c>
    </row>
    <row r="420" spans="1:7">
      <c r="A420" t="s">
        <v>5710</v>
      </c>
      <c r="B420" t="s">
        <v>106</v>
      </c>
      <c r="C420" t="s">
        <v>829</v>
      </c>
      <c r="D420" t="s">
        <v>828</v>
      </c>
      <c r="E420" t="s">
        <v>3909</v>
      </c>
      <c r="F420" s="23">
        <v>44346</v>
      </c>
      <c r="G420" s="1">
        <v>11673</v>
      </c>
    </row>
    <row r="421" spans="1:7">
      <c r="A421" t="s">
        <v>5710</v>
      </c>
      <c r="B421" t="s">
        <v>106</v>
      </c>
      <c r="D421" t="s">
        <v>3296</v>
      </c>
      <c r="E421" t="s">
        <v>3910</v>
      </c>
      <c r="F421" s="23">
        <v>44715</v>
      </c>
      <c r="G421" s="1">
        <v>5876</v>
      </c>
    </row>
    <row r="422" spans="1:7">
      <c r="A422" t="s">
        <v>5710</v>
      </c>
      <c r="B422" t="s">
        <v>149</v>
      </c>
      <c r="C422" t="s">
        <v>982</v>
      </c>
      <c r="D422" t="s">
        <v>981</v>
      </c>
      <c r="E422" t="s">
        <v>3911</v>
      </c>
      <c r="F422" s="23">
        <v>45030</v>
      </c>
      <c r="G422" s="1">
        <v>2521</v>
      </c>
    </row>
    <row r="423" spans="1:7">
      <c r="A423" t="s">
        <v>5710</v>
      </c>
      <c r="B423" t="s">
        <v>149</v>
      </c>
      <c r="C423" t="s">
        <v>703</v>
      </c>
      <c r="D423" t="s">
        <v>702</v>
      </c>
      <c r="E423" t="s">
        <v>3912</v>
      </c>
      <c r="F423" s="23">
        <v>44582</v>
      </c>
      <c r="G423" s="1">
        <v>1526</v>
      </c>
    </row>
    <row r="424" spans="1:7">
      <c r="A424" t="s">
        <v>5710</v>
      </c>
      <c r="B424" t="s">
        <v>106</v>
      </c>
      <c r="C424" t="s">
        <v>2892</v>
      </c>
      <c r="D424" t="s">
        <v>2891</v>
      </c>
      <c r="E424" t="s">
        <v>3913</v>
      </c>
      <c r="F424" s="23">
        <v>44467</v>
      </c>
      <c r="G424" s="1">
        <v>10385</v>
      </c>
    </row>
    <row r="425" spans="1:7">
      <c r="A425" t="s">
        <v>5710</v>
      </c>
      <c r="B425" t="s">
        <v>311</v>
      </c>
      <c r="C425" t="s">
        <v>2261</v>
      </c>
      <c r="D425" t="s">
        <v>2260</v>
      </c>
      <c r="E425" t="s">
        <v>3914</v>
      </c>
      <c r="F425" s="23">
        <v>44346</v>
      </c>
      <c r="G425" s="1">
        <v>16642</v>
      </c>
    </row>
    <row r="426" spans="1:7">
      <c r="A426" t="s">
        <v>5710</v>
      </c>
      <c r="B426" t="s">
        <v>298</v>
      </c>
      <c r="C426" t="s">
        <v>297</v>
      </c>
      <c r="D426" t="s">
        <v>1901</v>
      </c>
      <c r="E426" t="s">
        <v>3915</v>
      </c>
      <c r="F426" s="23">
        <v>44346</v>
      </c>
      <c r="G426" s="1">
        <v>13733</v>
      </c>
    </row>
    <row r="427" spans="1:7">
      <c r="A427" t="s">
        <v>5710</v>
      </c>
      <c r="B427" t="s">
        <v>1029</v>
      </c>
      <c r="C427" t="s">
        <v>1040</v>
      </c>
      <c r="D427" t="s">
        <v>5539</v>
      </c>
      <c r="E427" t="s">
        <v>3916</v>
      </c>
      <c r="F427" s="23">
        <v>44346</v>
      </c>
      <c r="G427" s="1">
        <v>583</v>
      </c>
    </row>
    <row r="428" spans="1:7">
      <c r="A428" t="s">
        <v>5710</v>
      </c>
      <c r="B428" t="s">
        <v>94</v>
      </c>
      <c r="C428" t="s">
        <v>1884</v>
      </c>
      <c r="D428" t="s">
        <v>5540</v>
      </c>
      <c r="E428" t="s">
        <v>3917</v>
      </c>
      <c r="F428" s="23">
        <v>44915</v>
      </c>
      <c r="G428" s="1">
        <v>3324</v>
      </c>
    </row>
    <row r="429" spans="1:7">
      <c r="A429" t="s">
        <v>5710</v>
      </c>
      <c r="B429" t="s">
        <v>68</v>
      </c>
      <c r="C429" t="s">
        <v>647</v>
      </c>
      <c r="D429" t="s">
        <v>646</v>
      </c>
      <c r="E429" t="s">
        <v>3918</v>
      </c>
      <c r="F429" s="23">
        <v>45001</v>
      </c>
      <c r="G429" s="1">
        <v>9740</v>
      </c>
    </row>
    <row r="430" spans="1:7">
      <c r="A430" t="s">
        <v>5711</v>
      </c>
      <c r="B430" t="s">
        <v>94</v>
      </c>
      <c r="C430" t="s">
        <v>598</v>
      </c>
      <c r="D430" t="s">
        <v>1355</v>
      </c>
      <c r="E430" t="s">
        <v>3919</v>
      </c>
      <c r="F430" s="23">
        <v>44346</v>
      </c>
      <c r="G430" s="1">
        <v>13051</v>
      </c>
    </row>
    <row r="431" spans="1:7">
      <c r="A431" t="s">
        <v>5711</v>
      </c>
      <c r="B431" t="s">
        <v>140</v>
      </c>
      <c r="C431" t="s">
        <v>139</v>
      </c>
      <c r="D431" t="s">
        <v>138</v>
      </c>
      <c r="E431" t="s">
        <v>3920</v>
      </c>
      <c r="F431" s="23">
        <v>44346</v>
      </c>
      <c r="G431" s="1">
        <v>19269</v>
      </c>
    </row>
    <row r="432" spans="1:7">
      <c r="A432" t="s">
        <v>5711</v>
      </c>
      <c r="B432" t="s">
        <v>78</v>
      </c>
      <c r="C432" t="s">
        <v>798</v>
      </c>
      <c r="D432" t="s">
        <v>797</v>
      </c>
      <c r="E432" t="s">
        <v>3921</v>
      </c>
      <c r="F432" s="23">
        <v>44796</v>
      </c>
      <c r="G432" s="1">
        <v>6639</v>
      </c>
    </row>
    <row r="433" spans="1:7">
      <c r="A433" t="s">
        <v>5711</v>
      </c>
      <c r="B433" t="s">
        <v>94</v>
      </c>
      <c r="C433" t="s">
        <v>3067</v>
      </c>
      <c r="D433" t="s">
        <v>5541</v>
      </c>
      <c r="E433" t="s">
        <v>3922</v>
      </c>
      <c r="F433" s="23">
        <v>44426</v>
      </c>
      <c r="G433" s="1">
        <v>10933</v>
      </c>
    </row>
    <row r="434" spans="1:7">
      <c r="A434" t="s">
        <v>5711</v>
      </c>
      <c r="B434" t="s">
        <v>676</v>
      </c>
      <c r="C434" t="s">
        <v>675</v>
      </c>
      <c r="D434" t="s">
        <v>674</v>
      </c>
      <c r="E434" t="s">
        <v>3923</v>
      </c>
      <c r="F434" s="23">
        <v>44346</v>
      </c>
      <c r="G434" s="1">
        <v>13595</v>
      </c>
    </row>
    <row r="435" spans="1:7">
      <c r="A435" t="s">
        <v>5711</v>
      </c>
      <c r="B435" t="s">
        <v>94</v>
      </c>
      <c r="C435" t="s">
        <v>3490</v>
      </c>
      <c r="D435" t="s">
        <v>643</v>
      </c>
      <c r="E435" t="s">
        <v>3924</v>
      </c>
      <c r="F435" s="23">
        <v>44346</v>
      </c>
      <c r="G435" s="1">
        <v>17283</v>
      </c>
    </row>
    <row r="436" spans="1:7">
      <c r="A436" t="s">
        <v>5711</v>
      </c>
      <c r="B436" t="s">
        <v>94</v>
      </c>
      <c r="C436" t="s">
        <v>2519</v>
      </c>
      <c r="D436" t="s">
        <v>2518</v>
      </c>
      <c r="E436" t="s">
        <v>3925</v>
      </c>
      <c r="F436" s="23">
        <v>44346</v>
      </c>
      <c r="G436" s="1">
        <v>15100</v>
      </c>
    </row>
    <row r="437" spans="1:7">
      <c r="A437" t="s">
        <v>5711</v>
      </c>
      <c r="B437" t="s">
        <v>94</v>
      </c>
      <c r="C437" t="s">
        <v>2264</v>
      </c>
      <c r="D437" t="s">
        <v>2263</v>
      </c>
      <c r="E437" t="s">
        <v>3926</v>
      </c>
      <c r="F437" s="23">
        <v>44572</v>
      </c>
      <c r="G437" s="1">
        <v>6173</v>
      </c>
    </row>
    <row r="438" spans="1:7">
      <c r="A438" t="s">
        <v>5711</v>
      </c>
      <c r="B438" t="s">
        <v>114</v>
      </c>
      <c r="C438" t="s">
        <v>572</v>
      </c>
      <c r="D438" t="s">
        <v>571</v>
      </c>
      <c r="E438" t="s">
        <v>3927</v>
      </c>
      <c r="F438" s="23">
        <v>44346</v>
      </c>
      <c r="G438" s="1">
        <v>16021</v>
      </c>
    </row>
    <row r="439" spans="1:7">
      <c r="A439" t="s">
        <v>5711</v>
      </c>
      <c r="B439" t="s">
        <v>298</v>
      </c>
      <c r="C439" t="s">
        <v>820</v>
      </c>
      <c r="D439" t="s">
        <v>2182</v>
      </c>
      <c r="E439" t="s">
        <v>3928</v>
      </c>
      <c r="F439" s="23">
        <v>44346</v>
      </c>
      <c r="G439" s="1">
        <v>5948</v>
      </c>
    </row>
    <row r="440" spans="1:7">
      <c r="A440" t="s">
        <v>5711</v>
      </c>
      <c r="B440" t="s">
        <v>94</v>
      </c>
      <c r="C440" t="s">
        <v>2277</v>
      </c>
      <c r="D440" t="s">
        <v>2276</v>
      </c>
      <c r="E440" t="s">
        <v>3929</v>
      </c>
      <c r="F440" s="23">
        <v>44346</v>
      </c>
      <c r="G440" s="1">
        <v>11462</v>
      </c>
    </row>
    <row r="441" spans="1:7">
      <c r="A441" t="s">
        <v>5711</v>
      </c>
      <c r="B441" t="s">
        <v>311</v>
      </c>
      <c r="C441" t="s">
        <v>3076</v>
      </c>
      <c r="D441" t="s">
        <v>3075</v>
      </c>
      <c r="E441" t="s">
        <v>3930</v>
      </c>
      <c r="F441" s="23">
        <v>44670</v>
      </c>
      <c r="G441" s="1">
        <v>1818</v>
      </c>
    </row>
    <row r="442" spans="1:7">
      <c r="A442" t="s">
        <v>5711</v>
      </c>
      <c r="B442" t="s">
        <v>106</v>
      </c>
      <c r="C442" t="s">
        <v>1950</v>
      </c>
      <c r="D442" t="s">
        <v>1949</v>
      </c>
      <c r="E442" t="s">
        <v>3931</v>
      </c>
      <c r="F442" s="23">
        <v>44346</v>
      </c>
      <c r="G442" s="1">
        <v>13094</v>
      </c>
    </row>
    <row r="443" spans="1:7">
      <c r="A443" t="s">
        <v>5711</v>
      </c>
      <c r="B443" t="s">
        <v>94</v>
      </c>
      <c r="C443" t="s">
        <v>2111</v>
      </c>
      <c r="D443" t="s">
        <v>2110</v>
      </c>
      <c r="E443" t="s">
        <v>3932</v>
      </c>
      <c r="F443" s="23">
        <v>44346</v>
      </c>
      <c r="G443" s="1">
        <v>12227</v>
      </c>
    </row>
    <row r="444" spans="1:7">
      <c r="A444" t="s">
        <v>5711</v>
      </c>
      <c r="B444" t="s">
        <v>1223</v>
      </c>
      <c r="C444" t="s">
        <v>2028</v>
      </c>
      <c r="D444" t="s">
        <v>2027</v>
      </c>
      <c r="E444" t="s">
        <v>3933</v>
      </c>
      <c r="F444" s="23">
        <v>44346</v>
      </c>
      <c r="G444" s="1">
        <v>8888</v>
      </c>
    </row>
    <row r="445" spans="1:7">
      <c r="A445" t="s">
        <v>5711</v>
      </c>
      <c r="B445" t="s">
        <v>106</v>
      </c>
      <c r="C445" t="s">
        <v>2099</v>
      </c>
      <c r="D445" t="s">
        <v>2098</v>
      </c>
      <c r="E445" t="s">
        <v>3934</v>
      </c>
      <c r="F445" s="23">
        <v>44346</v>
      </c>
      <c r="G445" s="1">
        <v>16084</v>
      </c>
    </row>
    <row r="446" spans="1:7">
      <c r="A446" t="s">
        <v>5711</v>
      </c>
      <c r="B446" t="s">
        <v>94</v>
      </c>
      <c r="C446" t="s">
        <v>3486</v>
      </c>
      <c r="D446" t="s">
        <v>129</v>
      </c>
      <c r="E446" t="s">
        <v>3935</v>
      </c>
      <c r="F446" s="23">
        <v>44346</v>
      </c>
      <c r="G446" s="1">
        <v>11735</v>
      </c>
    </row>
    <row r="447" spans="1:7">
      <c r="A447" t="s">
        <v>5711</v>
      </c>
      <c r="B447" t="s">
        <v>72</v>
      </c>
      <c r="C447" t="s">
        <v>319</v>
      </c>
      <c r="D447" t="s">
        <v>318</v>
      </c>
      <c r="E447" t="s">
        <v>3936</v>
      </c>
      <c r="F447" s="23">
        <v>45023</v>
      </c>
      <c r="G447" s="1">
        <v>1618</v>
      </c>
    </row>
    <row r="448" spans="1:7">
      <c r="A448" t="s">
        <v>5711</v>
      </c>
      <c r="B448" t="s">
        <v>94</v>
      </c>
      <c r="C448" t="s">
        <v>3486</v>
      </c>
      <c r="D448" t="s">
        <v>5542</v>
      </c>
      <c r="E448" t="s">
        <v>3937</v>
      </c>
      <c r="F448" s="23">
        <v>44346</v>
      </c>
      <c r="G448" s="1">
        <v>18622</v>
      </c>
    </row>
    <row r="449" spans="1:7">
      <c r="A449" t="s">
        <v>5711</v>
      </c>
      <c r="B449" t="s">
        <v>188</v>
      </c>
      <c r="C449" t="s">
        <v>1683</v>
      </c>
      <c r="D449" t="s">
        <v>1682</v>
      </c>
      <c r="E449" t="s">
        <v>3938</v>
      </c>
      <c r="F449" s="23">
        <v>44346</v>
      </c>
      <c r="G449" s="1">
        <v>14494</v>
      </c>
    </row>
    <row r="450" spans="1:7">
      <c r="A450" t="s">
        <v>5711</v>
      </c>
      <c r="B450" t="s">
        <v>94</v>
      </c>
      <c r="C450" t="s">
        <v>3486</v>
      </c>
      <c r="D450" t="s">
        <v>432</v>
      </c>
      <c r="E450" t="s">
        <v>3939</v>
      </c>
      <c r="F450" s="23">
        <v>44661</v>
      </c>
      <c r="G450" s="1">
        <v>6539</v>
      </c>
    </row>
    <row r="451" spans="1:7">
      <c r="A451" t="s">
        <v>5711</v>
      </c>
      <c r="B451" t="s">
        <v>311</v>
      </c>
      <c r="C451" t="s">
        <v>2113</v>
      </c>
      <c r="D451" t="s">
        <v>3064</v>
      </c>
      <c r="E451" t="s">
        <v>3940</v>
      </c>
      <c r="F451" s="23">
        <v>44719</v>
      </c>
      <c r="G451" s="1">
        <v>4355</v>
      </c>
    </row>
    <row r="452" spans="1:7">
      <c r="A452" t="s">
        <v>5711</v>
      </c>
      <c r="B452" t="s">
        <v>311</v>
      </c>
      <c r="C452" t="s">
        <v>3389</v>
      </c>
      <c r="D452" t="s">
        <v>3388</v>
      </c>
      <c r="E452" t="s">
        <v>3941</v>
      </c>
      <c r="F452" s="23">
        <v>44409</v>
      </c>
      <c r="G452" s="1">
        <v>3354</v>
      </c>
    </row>
    <row r="453" spans="1:7">
      <c r="A453" t="s">
        <v>5711</v>
      </c>
      <c r="B453" t="s">
        <v>106</v>
      </c>
      <c r="C453" t="s">
        <v>1911</v>
      </c>
      <c r="D453" t="s">
        <v>1910</v>
      </c>
      <c r="E453" t="s">
        <v>3942</v>
      </c>
      <c r="F453" s="23">
        <v>44346</v>
      </c>
      <c r="G453" s="1">
        <v>17297</v>
      </c>
    </row>
    <row r="454" spans="1:7">
      <c r="A454" t="s">
        <v>5711</v>
      </c>
      <c r="B454" t="s">
        <v>106</v>
      </c>
      <c r="C454" t="s">
        <v>3449</v>
      </c>
      <c r="D454" t="s">
        <v>3448</v>
      </c>
      <c r="E454" t="s">
        <v>3943</v>
      </c>
      <c r="F454" s="23">
        <v>44346</v>
      </c>
      <c r="G454" s="1">
        <v>13734</v>
      </c>
    </row>
    <row r="455" spans="1:7">
      <c r="A455" t="s">
        <v>5711</v>
      </c>
      <c r="B455" t="s">
        <v>37</v>
      </c>
      <c r="C455" t="s">
        <v>1003</v>
      </c>
      <c r="D455" t="s">
        <v>5543</v>
      </c>
      <c r="E455" t="s">
        <v>3944</v>
      </c>
      <c r="F455" s="23">
        <v>44346</v>
      </c>
      <c r="G455" s="1">
        <v>9373</v>
      </c>
    </row>
    <row r="456" spans="1:7">
      <c r="A456" t="s">
        <v>5711</v>
      </c>
      <c r="B456" t="s">
        <v>311</v>
      </c>
      <c r="C456" t="s">
        <v>2247</v>
      </c>
      <c r="D456" t="s">
        <v>5544</v>
      </c>
      <c r="E456" t="s">
        <v>3945</v>
      </c>
      <c r="F456" s="23">
        <v>44346</v>
      </c>
      <c r="G456" s="1">
        <v>16677</v>
      </c>
    </row>
    <row r="457" spans="1:7">
      <c r="A457" t="s">
        <v>5711</v>
      </c>
      <c r="B457" t="s">
        <v>106</v>
      </c>
      <c r="C457" t="s">
        <v>2789</v>
      </c>
      <c r="D457" t="s">
        <v>3409</v>
      </c>
      <c r="E457" t="s">
        <v>3946</v>
      </c>
      <c r="F457" s="23">
        <v>44346</v>
      </c>
      <c r="G457" s="1">
        <v>16382</v>
      </c>
    </row>
    <row r="458" spans="1:7">
      <c r="A458" t="s">
        <v>5711</v>
      </c>
      <c r="B458" t="s">
        <v>94</v>
      </c>
      <c r="C458" t="s">
        <v>3482</v>
      </c>
      <c r="D458" t="s">
        <v>3481</v>
      </c>
      <c r="E458" t="s">
        <v>3947</v>
      </c>
      <c r="F458" s="23">
        <v>45046</v>
      </c>
      <c r="G458" s="1">
        <v>11109</v>
      </c>
    </row>
    <row r="459" spans="1:7">
      <c r="A459" t="s">
        <v>5711</v>
      </c>
      <c r="B459" t="s">
        <v>311</v>
      </c>
      <c r="C459" t="s">
        <v>2068</v>
      </c>
      <c r="D459" t="s">
        <v>2524</v>
      </c>
      <c r="E459" t="s">
        <v>3948</v>
      </c>
      <c r="F459" s="23">
        <v>44346</v>
      </c>
      <c r="G459" s="1">
        <v>15689</v>
      </c>
    </row>
    <row r="460" spans="1:7">
      <c r="A460" t="s">
        <v>5711</v>
      </c>
      <c r="B460" t="s">
        <v>94</v>
      </c>
      <c r="C460" t="s">
        <v>2722</v>
      </c>
      <c r="D460" t="s">
        <v>2721</v>
      </c>
      <c r="E460" t="s">
        <v>3949</v>
      </c>
      <c r="F460" s="23">
        <v>44491</v>
      </c>
      <c r="G460" s="1">
        <v>3080</v>
      </c>
    </row>
    <row r="461" spans="1:7">
      <c r="A461" t="s">
        <v>5711</v>
      </c>
      <c r="B461" t="s">
        <v>46</v>
      </c>
      <c r="C461" t="s">
        <v>1597</v>
      </c>
      <c r="D461" t="s">
        <v>1596</v>
      </c>
      <c r="E461" t="s">
        <v>3950</v>
      </c>
      <c r="F461" s="23">
        <v>44346</v>
      </c>
      <c r="G461" s="1">
        <v>14929</v>
      </c>
    </row>
    <row r="462" spans="1:7">
      <c r="A462" t="s">
        <v>5711</v>
      </c>
      <c r="B462" t="s">
        <v>85</v>
      </c>
      <c r="C462" t="s">
        <v>673</v>
      </c>
      <c r="D462" t="s">
        <v>672</v>
      </c>
      <c r="E462" t="s">
        <v>3951</v>
      </c>
      <c r="F462" s="23">
        <v>44484</v>
      </c>
      <c r="G462" s="1">
        <v>7379</v>
      </c>
    </row>
    <row r="463" spans="1:7">
      <c r="A463" t="s">
        <v>5711</v>
      </c>
      <c r="B463" t="s">
        <v>106</v>
      </c>
      <c r="C463" t="s">
        <v>2168</v>
      </c>
      <c r="D463" t="s">
        <v>2167</v>
      </c>
      <c r="E463" t="s">
        <v>3952</v>
      </c>
      <c r="F463" s="23">
        <v>44346</v>
      </c>
      <c r="G463" s="1">
        <v>15072</v>
      </c>
    </row>
    <row r="464" spans="1:7">
      <c r="A464" t="s">
        <v>5711</v>
      </c>
      <c r="B464" t="s">
        <v>298</v>
      </c>
      <c r="C464" t="s">
        <v>2465</v>
      </c>
      <c r="D464" t="s">
        <v>2464</v>
      </c>
      <c r="E464" t="s">
        <v>3953</v>
      </c>
      <c r="F464" s="23">
        <v>44346</v>
      </c>
      <c r="G464" s="1">
        <v>19763</v>
      </c>
    </row>
    <row r="465" spans="1:7">
      <c r="A465" t="s">
        <v>5711</v>
      </c>
      <c r="B465" t="s">
        <v>94</v>
      </c>
      <c r="C465" t="s">
        <v>2707</v>
      </c>
      <c r="D465" t="s">
        <v>2706</v>
      </c>
      <c r="E465" t="s">
        <v>3954</v>
      </c>
      <c r="F465" s="23">
        <v>44346</v>
      </c>
      <c r="G465" s="1">
        <v>16732</v>
      </c>
    </row>
    <row r="466" spans="1:7">
      <c r="A466" t="s">
        <v>5711</v>
      </c>
      <c r="B466" t="s">
        <v>97</v>
      </c>
      <c r="C466" t="s">
        <v>499</v>
      </c>
      <c r="D466" t="s">
        <v>498</v>
      </c>
      <c r="E466" t="s">
        <v>3955</v>
      </c>
      <c r="F466" s="23">
        <v>44936</v>
      </c>
      <c r="G466" s="1">
        <v>816</v>
      </c>
    </row>
    <row r="467" spans="1:7">
      <c r="A467" t="s">
        <v>5711</v>
      </c>
      <c r="B467" t="s">
        <v>91</v>
      </c>
      <c r="C467" t="s">
        <v>707</v>
      </c>
      <c r="D467" t="s">
        <v>706</v>
      </c>
      <c r="E467" t="s">
        <v>3956</v>
      </c>
      <c r="F467" s="23">
        <v>44349</v>
      </c>
      <c r="G467" s="1">
        <v>9483</v>
      </c>
    </row>
    <row r="468" spans="1:7">
      <c r="A468" t="s">
        <v>5711</v>
      </c>
      <c r="B468" t="s">
        <v>37</v>
      </c>
      <c r="C468" t="s">
        <v>1831</v>
      </c>
      <c r="D468" t="s">
        <v>1830</v>
      </c>
      <c r="E468" t="s">
        <v>3957</v>
      </c>
      <c r="F468" s="23">
        <v>44346</v>
      </c>
      <c r="G468" s="1">
        <v>14048</v>
      </c>
    </row>
    <row r="469" spans="1:7">
      <c r="A469" t="s">
        <v>5711</v>
      </c>
      <c r="B469" t="s">
        <v>896</v>
      </c>
      <c r="C469" t="s">
        <v>1814</v>
      </c>
      <c r="D469" t="s">
        <v>5545</v>
      </c>
      <c r="E469" t="s">
        <v>3958</v>
      </c>
      <c r="F469" s="23">
        <v>44514</v>
      </c>
      <c r="G469" s="1">
        <v>8295</v>
      </c>
    </row>
    <row r="470" spans="1:7">
      <c r="A470" t="s">
        <v>5711</v>
      </c>
      <c r="B470" t="s">
        <v>298</v>
      </c>
      <c r="C470" t="s">
        <v>2506</v>
      </c>
      <c r="D470" t="s">
        <v>2505</v>
      </c>
      <c r="E470" t="s">
        <v>3959</v>
      </c>
      <c r="F470" s="23">
        <v>44346</v>
      </c>
      <c r="G470" s="1">
        <v>4867</v>
      </c>
    </row>
    <row r="471" spans="1:7">
      <c r="A471" t="s">
        <v>5711</v>
      </c>
      <c r="B471" t="s">
        <v>94</v>
      </c>
      <c r="C471" t="s">
        <v>2759</v>
      </c>
      <c r="D471" t="s">
        <v>2758</v>
      </c>
      <c r="E471" t="s">
        <v>3960</v>
      </c>
      <c r="F471" s="23">
        <v>44373</v>
      </c>
      <c r="G471" s="1">
        <v>6892</v>
      </c>
    </row>
    <row r="472" spans="1:7">
      <c r="A472" t="s">
        <v>5711</v>
      </c>
      <c r="B472" t="s">
        <v>94</v>
      </c>
      <c r="C472" t="s">
        <v>3411</v>
      </c>
      <c r="D472" t="s">
        <v>5546</v>
      </c>
      <c r="E472" t="s">
        <v>3961</v>
      </c>
      <c r="F472" s="23">
        <v>44866</v>
      </c>
      <c r="G472" s="1">
        <v>11578</v>
      </c>
    </row>
    <row r="473" spans="1:7">
      <c r="A473" t="s">
        <v>5711</v>
      </c>
      <c r="B473" t="s">
        <v>94</v>
      </c>
      <c r="C473" t="s">
        <v>2741</v>
      </c>
      <c r="D473" t="s">
        <v>2740</v>
      </c>
      <c r="E473" t="s">
        <v>3962</v>
      </c>
      <c r="F473" s="23">
        <v>44684</v>
      </c>
      <c r="G473" s="1">
        <v>1687</v>
      </c>
    </row>
    <row r="474" spans="1:7">
      <c r="A474" t="s">
        <v>5711</v>
      </c>
      <c r="B474" t="s">
        <v>94</v>
      </c>
      <c r="C474" t="s">
        <v>2152</v>
      </c>
      <c r="D474" t="s">
        <v>5547</v>
      </c>
      <c r="E474" t="s">
        <v>3963</v>
      </c>
      <c r="F474" s="23">
        <v>44346</v>
      </c>
      <c r="G474" s="1">
        <v>15225</v>
      </c>
    </row>
    <row r="475" spans="1:7">
      <c r="A475" t="s">
        <v>5711</v>
      </c>
      <c r="B475" t="s">
        <v>247</v>
      </c>
      <c r="C475" t="s">
        <v>557</v>
      </c>
      <c r="D475" t="s">
        <v>556</v>
      </c>
      <c r="E475" t="s">
        <v>3964</v>
      </c>
      <c r="F475" s="23">
        <v>44346</v>
      </c>
      <c r="G475" s="1">
        <v>18443</v>
      </c>
    </row>
    <row r="476" spans="1:7">
      <c r="A476" t="s">
        <v>5711</v>
      </c>
      <c r="B476" t="s">
        <v>106</v>
      </c>
      <c r="C476" t="s">
        <v>1842</v>
      </c>
      <c r="D476" t="s">
        <v>1841</v>
      </c>
      <c r="E476" t="s">
        <v>3965</v>
      </c>
      <c r="F476" s="23">
        <v>44346</v>
      </c>
      <c r="G476" s="1">
        <v>19884</v>
      </c>
    </row>
    <row r="477" spans="1:7">
      <c r="A477" t="s">
        <v>5711</v>
      </c>
      <c r="B477" t="s">
        <v>78</v>
      </c>
      <c r="C477" t="s">
        <v>1393</v>
      </c>
      <c r="D477" t="s">
        <v>1392</v>
      </c>
      <c r="E477" t="s">
        <v>3966</v>
      </c>
      <c r="F477" s="23">
        <v>44346</v>
      </c>
      <c r="G477" s="1">
        <v>10225</v>
      </c>
    </row>
    <row r="478" spans="1:7">
      <c r="A478" t="s">
        <v>5711</v>
      </c>
      <c r="B478" t="s">
        <v>149</v>
      </c>
      <c r="C478" t="s">
        <v>287</v>
      </c>
      <c r="D478" t="s">
        <v>286</v>
      </c>
      <c r="E478" t="s">
        <v>3967</v>
      </c>
      <c r="F478" s="23">
        <v>44346</v>
      </c>
      <c r="G478" s="1">
        <v>15835</v>
      </c>
    </row>
    <row r="479" spans="1:7">
      <c r="A479" t="s">
        <v>5711</v>
      </c>
      <c r="B479" t="s">
        <v>106</v>
      </c>
      <c r="C479" t="s">
        <v>2735</v>
      </c>
      <c r="D479" t="s">
        <v>2734</v>
      </c>
      <c r="E479" t="s">
        <v>3968</v>
      </c>
      <c r="F479" s="23">
        <v>44687</v>
      </c>
      <c r="G479" s="1">
        <v>1494</v>
      </c>
    </row>
    <row r="480" spans="1:7">
      <c r="A480" t="s">
        <v>5711</v>
      </c>
      <c r="B480" t="s">
        <v>106</v>
      </c>
      <c r="C480" t="s">
        <v>2912</v>
      </c>
      <c r="D480" t="s">
        <v>2911</v>
      </c>
      <c r="E480" t="s">
        <v>3969</v>
      </c>
      <c r="F480" s="23">
        <v>44712</v>
      </c>
      <c r="G480" s="1">
        <v>6508</v>
      </c>
    </row>
    <row r="481" spans="1:7">
      <c r="A481" t="s">
        <v>5711</v>
      </c>
      <c r="B481" t="s">
        <v>303</v>
      </c>
      <c r="C481" t="s">
        <v>352</v>
      </c>
      <c r="D481" t="s">
        <v>351</v>
      </c>
      <c r="E481" t="s">
        <v>3970</v>
      </c>
      <c r="F481" s="23">
        <v>44346</v>
      </c>
      <c r="G481" s="1">
        <v>4917</v>
      </c>
    </row>
    <row r="482" spans="1:7">
      <c r="A482" t="s">
        <v>5711</v>
      </c>
      <c r="B482" t="s">
        <v>37</v>
      </c>
      <c r="C482" t="s">
        <v>524</v>
      </c>
      <c r="D482" t="s">
        <v>523</v>
      </c>
      <c r="E482" t="s">
        <v>3971</v>
      </c>
      <c r="F482" s="23">
        <v>44346</v>
      </c>
      <c r="G482" s="1">
        <v>3309</v>
      </c>
    </row>
    <row r="483" spans="1:7">
      <c r="A483" t="s">
        <v>5711</v>
      </c>
      <c r="B483" t="s">
        <v>1422</v>
      </c>
      <c r="C483" t="s">
        <v>1421</v>
      </c>
      <c r="D483" t="s">
        <v>5548</v>
      </c>
      <c r="E483" t="s">
        <v>3972</v>
      </c>
      <c r="F483" s="23">
        <v>44346</v>
      </c>
      <c r="G483" s="1">
        <v>12371</v>
      </c>
    </row>
    <row r="484" spans="1:7">
      <c r="A484" t="s">
        <v>5711</v>
      </c>
      <c r="B484" t="s">
        <v>106</v>
      </c>
      <c r="C484" t="s">
        <v>1923</v>
      </c>
      <c r="D484" t="s">
        <v>5549</v>
      </c>
      <c r="E484" t="s">
        <v>3973</v>
      </c>
      <c r="F484" s="23">
        <v>44560</v>
      </c>
      <c r="G484" s="1">
        <v>6299</v>
      </c>
    </row>
    <row r="485" spans="1:7">
      <c r="A485" t="s">
        <v>5711</v>
      </c>
      <c r="B485" t="s">
        <v>196</v>
      </c>
      <c r="C485" t="s">
        <v>1833</v>
      </c>
      <c r="D485" t="s">
        <v>1832</v>
      </c>
      <c r="E485" t="s">
        <v>3974</v>
      </c>
      <c r="F485" s="23">
        <v>44902</v>
      </c>
      <c r="G485" s="1">
        <v>10275</v>
      </c>
    </row>
    <row r="486" spans="1:7">
      <c r="A486" t="s">
        <v>5711</v>
      </c>
      <c r="B486" t="s">
        <v>1560</v>
      </c>
      <c r="C486" t="s">
        <v>1559</v>
      </c>
      <c r="D486" t="s">
        <v>1558</v>
      </c>
      <c r="E486" t="s">
        <v>3975</v>
      </c>
      <c r="F486" s="23">
        <v>44552</v>
      </c>
      <c r="G486" s="1">
        <v>2251</v>
      </c>
    </row>
    <row r="487" spans="1:7">
      <c r="A487" t="s">
        <v>5711</v>
      </c>
      <c r="B487" t="s">
        <v>94</v>
      </c>
      <c r="C487" t="s">
        <v>1998</v>
      </c>
      <c r="D487" t="s">
        <v>1997</v>
      </c>
      <c r="E487" t="s">
        <v>3976</v>
      </c>
      <c r="F487" s="23">
        <v>44379</v>
      </c>
      <c r="G487" s="1">
        <v>5272</v>
      </c>
    </row>
    <row r="488" spans="1:7">
      <c r="A488" t="s">
        <v>5711</v>
      </c>
      <c r="B488" t="s">
        <v>233</v>
      </c>
      <c r="C488" t="s">
        <v>2730</v>
      </c>
      <c r="D488" t="s">
        <v>2729</v>
      </c>
      <c r="E488" t="s">
        <v>3977</v>
      </c>
      <c r="F488" s="23">
        <v>44355</v>
      </c>
      <c r="G488" s="1">
        <v>4625</v>
      </c>
    </row>
    <row r="489" spans="1:7">
      <c r="A489" t="s">
        <v>5711</v>
      </c>
      <c r="B489" t="s">
        <v>94</v>
      </c>
      <c r="C489" t="s">
        <v>3413</v>
      </c>
      <c r="D489" t="s">
        <v>3412</v>
      </c>
      <c r="E489" t="s">
        <v>3978</v>
      </c>
      <c r="F489" s="23">
        <v>44346</v>
      </c>
      <c r="G489" s="1">
        <v>18921</v>
      </c>
    </row>
    <row r="490" spans="1:7">
      <c r="A490" t="s">
        <v>5711</v>
      </c>
      <c r="B490" t="s">
        <v>106</v>
      </c>
      <c r="C490" t="s">
        <v>2937</v>
      </c>
      <c r="D490" t="s">
        <v>2936</v>
      </c>
      <c r="E490" t="s">
        <v>3979</v>
      </c>
      <c r="F490" s="23">
        <v>44806</v>
      </c>
      <c r="G490" s="1">
        <v>10456</v>
      </c>
    </row>
    <row r="491" spans="1:7">
      <c r="A491" t="s">
        <v>5711</v>
      </c>
      <c r="B491" t="s">
        <v>298</v>
      </c>
      <c r="C491" t="s">
        <v>974</v>
      </c>
      <c r="D491" t="s">
        <v>972</v>
      </c>
      <c r="E491" t="s">
        <v>3980</v>
      </c>
      <c r="F491" s="23">
        <v>44520</v>
      </c>
      <c r="G491" s="1">
        <v>7931</v>
      </c>
    </row>
    <row r="492" spans="1:7">
      <c r="A492" t="s">
        <v>5711</v>
      </c>
      <c r="B492" t="s">
        <v>132</v>
      </c>
      <c r="C492" t="s">
        <v>1336</v>
      </c>
      <c r="D492" t="s">
        <v>1335</v>
      </c>
      <c r="E492" t="s">
        <v>3981</v>
      </c>
      <c r="F492" s="23">
        <v>44978</v>
      </c>
      <c r="G492" s="1">
        <v>9930</v>
      </c>
    </row>
    <row r="493" spans="1:7">
      <c r="A493" t="s">
        <v>5711</v>
      </c>
      <c r="B493" t="s">
        <v>106</v>
      </c>
      <c r="C493" t="s">
        <v>3162</v>
      </c>
      <c r="D493" t="s">
        <v>3161</v>
      </c>
      <c r="E493" t="s">
        <v>3982</v>
      </c>
      <c r="F493" s="23">
        <v>44528</v>
      </c>
      <c r="G493" s="1">
        <v>9396</v>
      </c>
    </row>
    <row r="494" spans="1:7">
      <c r="A494" t="s">
        <v>5711</v>
      </c>
      <c r="B494" t="s">
        <v>94</v>
      </c>
      <c r="D494" t="s">
        <v>2055</v>
      </c>
      <c r="E494" t="s">
        <v>3983</v>
      </c>
      <c r="F494" s="23">
        <v>44722</v>
      </c>
      <c r="G494" s="1">
        <v>663</v>
      </c>
    </row>
    <row r="495" spans="1:7">
      <c r="A495" t="s">
        <v>5711</v>
      </c>
      <c r="B495" t="s">
        <v>94</v>
      </c>
      <c r="C495" t="s">
        <v>3489</v>
      </c>
      <c r="D495" t="s">
        <v>730</v>
      </c>
      <c r="E495" t="s">
        <v>3984</v>
      </c>
      <c r="F495" s="23">
        <v>44432</v>
      </c>
      <c r="G495" s="1">
        <v>3088</v>
      </c>
    </row>
    <row r="496" spans="1:7">
      <c r="A496" t="s">
        <v>5711</v>
      </c>
      <c r="B496" t="s">
        <v>106</v>
      </c>
      <c r="C496" t="s">
        <v>3051</v>
      </c>
      <c r="D496" t="s">
        <v>3050</v>
      </c>
      <c r="E496" t="s">
        <v>3985</v>
      </c>
      <c r="F496" s="23">
        <v>44346</v>
      </c>
      <c r="G496" s="1">
        <v>10352</v>
      </c>
    </row>
    <row r="497" spans="1:7">
      <c r="A497" t="s">
        <v>5711</v>
      </c>
      <c r="B497" t="s">
        <v>233</v>
      </c>
      <c r="C497" t="s">
        <v>2240</v>
      </c>
      <c r="D497" t="s">
        <v>2239</v>
      </c>
      <c r="E497" t="s">
        <v>3986</v>
      </c>
      <c r="F497" s="23">
        <v>44346</v>
      </c>
      <c r="G497" s="1">
        <v>15386</v>
      </c>
    </row>
    <row r="498" spans="1:7">
      <c r="A498" t="s">
        <v>5711</v>
      </c>
      <c r="B498" t="s">
        <v>78</v>
      </c>
      <c r="C498" t="s">
        <v>1801</v>
      </c>
      <c r="D498" t="s">
        <v>1800</v>
      </c>
      <c r="E498" t="s">
        <v>3987</v>
      </c>
      <c r="F498" s="23">
        <v>44812</v>
      </c>
      <c r="G498" s="1">
        <v>1345</v>
      </c>
    </row>
    <row r="499" spans="1:7">
      <c r="A499" t="s">
        <v>5711</v>
      </c>
      <c r="B499" t="s">
        <v>43</v>
      </c>
      <c r="C499" t="s">
        <v>649</v>
      </c>
      <c r="D499" t="s">
        <v>648</v>
      </c>
      <c r="E499" t="s">
        <v>3988</v>
      </c>
      <c r="F499" s="23">
        <v>44346</v>
      </c>
      <c r="G499" s="1">
        <v>17017</v>
      </c>
    </row>
    <row r="500" spans="1:7">
      <c r="A500" t="s">
        <v>5711</v>
      </c>
      <c r="B500" t="s">
        <v>94</v>
      </c>
      <c r="C500" t="s">
        <v>1989</v>
      </c>
      <c r="D500" t="s">
        <v>1988</v>
      </c>
      <c r="E500" t="s">
        <v>3989</v>
      </c>
      <c r="F500" s="23">
        <v>44346</v>
      </c>
      <c r="G500" s="1">
        <v>13389</v>
      </c>
    </row>
    <row r="501" spans="1:7">
      <c r="A501" t="s">
        <v>5711</v>
      </c>
      <c r="B501" t="s">
        <v>106</v>
      </c>
      <c r="C501" t="s">
        <v>1907</v>
      </c>
      <c r="D501" t="s">
        <v>1906</v>
      </c>
      <c r="E501" t="s">
        <v>3990</v>
      </c>
      <c r="F501" s="23">
        <v>44402</v>
      </c>
      <c r="G501" s="1">
        <v>8330</v>
      </c>
    </row>
    <row r="502" spans="1:7">
      <c r="A502" t="s">
        <v>5711</v>
      </c>
      <c r="B502" t="s">
        <v>94</v>
      </c>
      <c r="C502" t="s">
        <v>2003</v>
      </c>
      <c r="D502" t="s">
        <v>2002</v>
      </c>
      <c r="E502" t="s">
        <v>3991</v>
      </c>
      <c r="F502" s="23">
        <v>44346</v>
      </c>
      <c r="G502" s="1">
        <v>18222</v>
      </c>
    </row>
    <row r="503" spans="1:7">
      <c r="A503" t="s">
        <v>5711</v>
      </c>
      <c r="B503" t="s">
        <v>298</v>
      </c>
      <c r="C503" t="s">
        <v>973</v>
      </c>
      <c r="D503" t="s">
        <v>2031</v>
      </c>
      <c r="E503" t="s">
        <v>3992</v>
      </c>
      <c r="F503" s="23">
        <v>44346</v>
      </c>
      <c r="G503" s="1">
        <v>5726</v>
      </c>
    </row>
    <row r="504" spans="1:7">
      <c r="A504" t="s">
        <v>5711</v>
      </c>
      <c r="B504" t="s">
        <v>298</v>
      </c>
      <c r="C504" t="s">
        <v>317</v>
      </c>
      <c r="D504" t="s">
        <v>316</v>
      </c>
      <c r="E504" t="s">
        <v>3993</v>
      </c>
      <c r="F504" s="23">
        <v>44346</v>
      </c>
      <c r="G504" s="1">
        <v>4052</v>
      </c>
    </row>
    <row r="505" spans="1:7">
      <c r="A505" t="s">
        <v>5711</v>
      </c>
      <c r="B505" t="s">
        <v>140</v>
      </c>
      <c r="C505" t="s">
        <v>1178</v>
      </c>
      <c r="D505" t="s">
        <v>1177</v>
      </c>
      <c r="E505" t="s">
        <v>3994</v>
      </c>
      <c r="F505" s="23">
        <v>44639</v>
      </c>
      <c r="G505" s="1">
        <v>2516</v>
      </c>
    </row>
    <row r="506" spans="1:7">
      <c r="A506" t="s">
        <v>5711</v>
      </c>
      <c r="B506" t="s">
        <v>94</v>
      </c>
      <c r="C506" t="s">
        <v>2513</v>
      </c>
      <c r="D506" t="s">
        <v>5550</v>
      </c>
      <c r="E506" t="s">
        <v>3995</v>
      </c>
      <c r="F506" s="23">
        <v>44346</v>
      </c>
      <c r="G506" s="1">
        <v>19247</v>
      </c>
    </row>
    <row r="507" spans="1:7">
      <c r="A507" t="s">
        <v>5711</v>
      </c>
      <c r="B507" t="s">
        <v>2062</v>
      </c>
      <c r="C507" t="s">
        <v>3251</v>
      </c>
      <c r="D507" t="s">
        <v>3250</v>
      </c>
      <c r="E507" t="s">
        <v>3996</v>
      </c>
      <c r="F507" s="23">
        <v>44639</v>
      </c>
      <c r="G507" s="1">
        <v>1321</v>
      </c>
    </row>
    <row r="508" spans="1:7">
      <c r="A508" t="s">
        <v>5711</v>
      </c>
      <c r="B508" t="s">
        <v>367</v>
      </c>
      <c r="C508" t="s">
        <v>366</v>
      </c>
      <c r="D508" t="s">
        <v>5551</v>
      </c>
      <c r="E508" t="s">
        <v>3997</v>
      </c>
      <c r="F508" s="23">
        <v>44346</v>
      </c>
      <c r="G508" s="1">
        <v>14763</v>
      </c>
    </row>
    <row r="509" spans="1:7">
      <c r="A509" t="s">
        <v>5711</v>
      </c>
      <c r="B509" t="s">
        <v>233</v>
      </c>
      <c r="C509" t="s">
        <v>3333</v>
      </c>
      <c r="D509" t="s">
        <v>3332</v>
      </c>
      <c r="E509" t="s">
        <v>3998</v>
      </c>
      <c r="F509" s="23">
        <v>44346</v>
      </c>
      <c r="G509" s="1">
        <v>14828</v>
      </c>
    </row>
    <row r="510" spans="1:7">
      <c r="A510" t="s">
        <v>5711</v>
      </c>
      <c r="B510" t="s">
        <v>298</v>
      </c>
      <c r="C510" t="s">
        <v>3329</v>
      </c>
      <c r="D510" t="s">
        <v>3328</v>
      </c>
      <c r="E510" t="s">
        <v>3999</v>
      </c>
      <c r="F510" s="23">
        <v>44346</v>
      </c>
      <c r="G510" s="1">
        <v>14130</v>
      </c>
    </row>
    <row r="511" spans="1:7">
      <c r="A511" t="s">
        <v>5711</v>
      </c>
      <c r="B511" t="s">
        <v>94</v>
      </c>
      <c r="C511" t="s">
        <v>3003</v>
      </c>
      <c r="D511" t="s">
        <v>3002</v>
      </c>
      <c r="E511" t="s">
        <v>4000</v>
      </c>
      <c r="F511" s="23">
        <v>44346</v>
      </c>
      <c r="G511" s="1">
        <v>16874</v>
      </c>
    </row>
    <row r="512" spans="1:7">
      <c r="A512" t="s">
        <v>5711</v>
      </c>
      <c r="B512" t="s">
        <v>94</v>
      </c>
      <c r="C512" t="s">
        <v>2329</v>
      </c>
      <c r="D512" t="s">
        <v>2328</v>
      </c>
      <c r="E512" t="s">
        <v>4001</v>
      </c>
      <c r="F512" s="23">
        <v>44902</v>
      </c>
      <c r="G512" s="1">
        <v>2825</v>
      </c>
    </row>
    <row r="513" spans="1:7">
      <c r="A513" t="s">
        <v>5711</v>
      </c>
      <c r="B513" t="s">
        <v>642</v>
      </c>
      <c r="C513" t="s">
        <v>641</v>
      </c>
      <c r="D513" t="s">
        <v>640</v>
      </c>
      <c r="E513" t="s">
        <v>4002</v>
      </c>
      <c r="F513" s="23">
        <v>44820</v>
      </c>
      <c r="G513" s="1">
        <v>1441</v>
      </c>
    </row>
    <row r="514" spans="1:7">
      <c r="A514" t="s">
        <v>5711</v>
      </c>
      <c r="B514" t="s">
        <v>106</v>
      </c>
      <c r="C514" t="s">
        <v>3152</v>
      </c>
      <c r="D514" t="s">
        <v>3151</v>
      </c>
      <c r="E514" t="s">
        <v>4003</v>
      </c>
      <c r="F514" s="23">
        <v>44899</v>
      </c>
      <c r="G514" s="1">
        <v>10552</v>
      </c>
    </row>
    <row r="515" spans="1:7">
      <c r="A515" t="s">
        <v>5711</v>
      </c>
      <c r="B515" t="s">
        <v>94</v>
      </c>
      <c r="C515" t="s">
        <v>3487</v>
      </c>
      <c r="D515" t="s">
        <v>1613</v>
      </c>
      <c r="E515" t="s">
        <v>4004</v>
      </c>
      <c r="F515" s="23">
        <v>44346</v>
      </c>
      <c r="G515" s="1">
        <v>18764</v>
      </c>
    </row>
    <row r="516" spans="1:7">
      <c r="A516" t="s">
        <v>5711</v>
      </c>
      <c r="B516" t="s">
        <v>37</v>
      </c>
      <c r="C516" t="s">
        <v>576</v>
      </c>
      <c r="D516" t="s">
        <v>575</v>
      </c>
      <c r="E516" t="s">
        <v>4005</v>
      </c>
      <c r="F516" s="23">
        <v>44495</v>
      </c>
      <c r="G516" s="1">
        <v>10417</v>
      </c>
    </row>
    <row r="517" spans="1:7">
      <c r="A517" t="s">
        <v>5711</v>
      </c>
      <c r="B517" t="s">
        <v>106</v>
      </c>
      <c r="C517" t="s">
        <v>2696</v>
      </c>
      <c r="D517" t="s">
        <v>2695</v>
      </c>
      <c r="E517" t="s">
        <v>4006</v>
      </c>
      <c r="F517" s="23">
        <v>44440</v>
      </c>
      <c r="G517" s="1">
        <v>4439</v>
      </c>
    </row>
    <row r="518" spans="1:7">
      <c r="A518" t="s">
        <v>5711</v>
      </c>
      <c r="B518" t="s">
        <v>106</v>
      </c>
      <c r="C518" t="s">
        <v>2142</v>
      </c>
      <c r="D518" t="s">
        <v>2141</v>
      </c>
      <c r="E518" t="s">
        <v>4007</v>
      </c>
      <c r="F518" s="23">
        <v>44346</v>
      </c>
      <c r="G518" s="1">
        <v>17782</v>
      </c>
    </row>
    <row r="519" spans="1:7">
      <c r="A519" t="s">
        <v>5711</v>
      </c>
      <c r="B519" t="s">
        <v>106</v>
      </c>
      <c r="C519" t="s">
        <v>3190</v>
      </c>
      <c r="D519" t="s">
        <v>3189</v>
      </c>
      <c r="E519" t="s">
        <v>4008</v>
      </c>
      <c r="F519" s="23">
        <v>44346</v>
      </c>
      <c r="G519" s="1">
        <v>5612</v>
      </c>
    </row>
    <row r="520" spans="1:7">
      <c r="A520" t="s">
        <v>5711</v>
      </c>
      <c r="B520" t="s">
        <v>68</v>
      </c>
      <c r="C520" t="s">
        <v>340</v>
      </c>
      <c r="D520" t="s">
        <v>339</v>
      </c>
      <c r="E520" t="s">
        <v>4009</v>
      </c>
      <c r="F520" s="23">
        <v>44346</v>
      </c>
      <c r="G520" s="1">
        <v>10976</v>
      </c>
    </row>
    <row r="521" spans="1:7">
      <c r="A521" t="s">
        <v>5711</v>
      </c>
      <c r="B521" t="s">
        <v>1474</v>
      </c>
      <c r="C521" t="s">
        <v>1473</v>
      </c>
      <c r="D521" t="s">
        <v>1472</v>
      </c>
      <c r="E521" t="s">
        <v>4010</v>
      </c>
      <c r="F521" s="23">
        <v>44346</v>
      </c>
      <c r="G521" s="1">
        <v>17479</v>
      </c>
    </row>
    <row r="522" spans="1:7">
      <c r="A522" t="s">
        <v>5711</v>
      </c>
      <c r="B522" t="s">
        <v>311</v>
      </c>
      <c r="C522" t="s">
        <v>2064</v>
      </c>
      <c r="D522" t="s">
        <v>2126</v>
      </c>
      <c r="E522" t="s">
        <v>4011</v>
      </c>
      <c r="F522" s="23">
        <v>44346</v>
      </c>
      <c r="G522" s="1">
        <v>17487</v>
      </c>
    </row>
    <row r="523" spans="1:7">
      <c r="A523" t="s">
        <v>5711</v>
      </c>
      <c r="B523" t="s">
        <v>94</v>
      </c>
      <c r="C523" t="s">
        <v>3489</v>
      </c>
      <c r="D523" t="s">
        <v>1763</v>
      </c>
      <c r="E523" t="s">
        <v>4012</v>
      </c>
      <c r="F523" s="23">
        <v>44462</v>
      </c>
      <c r="G523" s="1">
        <v>9430</v>
      </c>
    </row>
    <row r="524" spans="1:7">
      <c r="A524" t="s">
        <v>5711</v>
      </c>
      <c r="B524" t="s">
        <v>298</v>
      </c>
      <c r="C524" t="s">
        <v>2660</v>
      </c>
      <c r="D524" t="s">
        <v>5552</v>
      </c>
      <c r="E524" t="s">
        <v>4013</v>
      </c>
      <c r="F524" s="23">
        <v>44346</v>
      </c>
      <c r="G524" s="1">
        <v>16423</v>
      </c>
    </row>
    <row r="525" spans="1:7">
      <c r="A525" t="s">
        <v>5711</v>
      </c>
      <c r="B525" t="s">
        <v>94</v>
      </c>
      <c r="C525" t="s">
        <v>2543</v>
      </c>
      <c r="D525" t="s">
        <v>2542</v>
      </c>
      <c r="E525" t="s">
        <v>4014</v>
      </c>
      <c r="F525" s="23">
        <v>44915</v>
      </c>
      <c r="G525" s="1">
        <v>8074</v>
      </c>
    </row>
    <row r="526" spans="1:7">
      <c r="A526" t="s">
        <v>5711</v>
      </c>
      <c r="B526" t="s">
        <v>94</v>
      </c>
      <c r="C526" t="s">
        <v>2033</v>
      </c>
      <c r="D526" t="s">
        <v>2032</v>
      </c>
      <c r="E526" t="s">
        <v>4015</v>
      </c>
      <c r="F526" s="23">
        <v>45003</v>
      </c>
      <c r="G526" s="1">
        <v>6875</v>
      </c>
    </row>
    <row r="527" spans="1:7">
      <c r="A527" t="s">
        <v>5711</v>
      </c>
      <c r="B527" t="s">
        <v>106</v>
      </c>
      <c r="C527" t="s">
        <v>1905</v>
      </c>
      <c r="D527" t="s">
        <v>1904</v>
      </c>
      <c r="E527" t="s">
        <v>4016</v>
      </c>
      <c r="F527" s="23">
        <v>44346</v>
      </c>
      <c r="G527" s="1">
        <v>15100</v>
      </c>
    </row>
    <row r="528" spans="1:7">
      <c r="A528" t="s">
        <v>5711</v>
      </c>
      <c r="B528" t="s">
        <v>298</v>
      </c>
      <c r="C528" t="s">
        <v>1854</v>
      </c>
      <c r="D528" t="s">
        <v>2164</v>
      </c>
      <c r="E528" t="s">
        <v>4017</v>
      </c>
      <c r="F528" s="23">
        <v>44346</v>
      </c>
      <c r="G528" s="1">
        <v>11824</v>
      </c>
    </row>
    <row r="529" spans="1:7">
      <c r="A529" t="s">
        <v>5711</v>
      </c>
      <c r="B529" t="s">
        <v>233</v>
      </c>
      <c r="C529" t="s">
        <v>2716</v>
      </c>
      <c r="D529" t="s">
        <v>2715</v>
      </c>
      <c r="E529" t="s">
        <v>4018</v>
      </c>
      <c r="F529" s="23">
        <v>44455</v>
      </c>
      <c r="G529" s="1">
        <v>6632</v>
      </c>
    </row>
    <row r="530" spans="1:7">
      <c r="A530" t="s">
        <v>5711</v>
      </c>
      <c r="B530" t="s">
        <v>37</v>
      </c>
      <c r="C530" t="s">
        <v>1753</v>
      </c>
      <c r="D530" t="s">
        <v>1752</v>
      </c>
      <c r="E530" t="s">
        <v>4019</v>
      </c>
      <c r="F530" s="23">
        <v>44805</v>
      </c>
      <c r="G530" s="1">
        <v>7625</v>
      </c>
    </row>
    <row r="531" spans="1:7">
      <c r="A531" t="s">
        <v>5711</v>
      </c>
      <c r="B531" t="s">
        <v>94</v>
      </c>
      <c r="C531" t="s">
        <v>2838</v>
      </c>
      <c r="D531" t="s">
        <v>2837</v>
      </c>
      <c r="E531" t="s">
        <v>4020</v>
      </c>
      <c r="F531" s="23">
        <v>44346</v>
      </c>
      <c r="G531" s="1">
        <v>12074</v>
      </c>
    </row>
    <row r="532" spans="1:7">
      <c r="A532" t="s">
        <v>5711</v>
      </c>
      <c r="B532" t="s">
        <v>106</v>
      </c>
      <c r="C532" t="s">
        <v>3385</v>
      </c>
      <c r="D532" t="s">
        <v>3384</v>
      </c>
      <c r="E532" t="s">
        <v>4021</v>
      </c>
      <c r="F532" s="23">
        <v>44346</v>
      </c>
      <c r="G532" s="1">
        <v>18759</v>
      </c>
    </row>
    <row r="533" spans="1:7">
      <c r="A533" t="s">
        <v>5711</v>
      </c>
      <c r="B533" t="s">
        <v>1345</v>
      </c>
      <c r="C533" t="s">
        <v>1493</v>
      </c>
      <c r="D533" t="s">
        <v>1492</v>
      </c>
      <c r="E533" t="s">
        <v>4022</v>
      </c>
      <c r="F533" s="23">
        <v>44370</v>
      </c>
      <c r="G533" s="1">
        <v>3891</v>
      </c>
    </row>
    <row r="534" spans="1:7">
      <c r="A534" t="s">
        <v>5711</v>
      </c>
      <c r="B534" t="s">
        <v>106</v>
      </c>
      <c r="C534" t="s">
        <v>3017</v>
      </c>
      <c r="D534" t="s">
        <v>3016</v>
      </c>
      <c r="E534" t="s">
        <v>4023</v>
      </c>
      <c r="F534" s="23">
        <v>44346</v>
      </c>
      <c r="G534" s="1">
        <v>12144</v>
      </c>
    </row>
    <row r="535" spans="1:7">
      <c r="A535" t="s">
        <v>5711</v>
      </c>
      <c r="B535" t="s">
        <v>94</v>
      </c>
      <c r="C535" t="s">
        <v>1063</v>
      </c>
      <c r="D535" t="s">
        <v>1062</v>
      </c>
      <c r="E535" t="s">
        <v>4024</v>
      </c>
      <c r="F535" s="23">
        <v>44549</v>
      </c>
      <c r="G535" s="1">
        <v>1805</v>
      </c>
    </row>
    <row r="536" spans="1:7">
      <c r="A536" t="s">
        <v>5711</v>
      </c>
      <c r="B536" t="s">
        <v>311</v>
      </c>
      <c r="C536" t="s">
        <v>2261</v>
      </c>
      <c r="D536" t="s">
        <v>2942</v>
      </c>
      <c r="E536" t="s">
        <v>4025</v>
      </c>
      <c r="F536" s="23">
        <v>44626</v>
      </c>
      <c r="G536" s="1">
        <v>10720</v>
      </c>
    </row>
    <row r="537" spans="1:7">
      <c r="A537" t="s">
        <v>5711</v>
      </c>
      <c r="B537" t="s">
        <v>140</v>
      </c>
      <c r="C537" t="s">
        <v>1497</v>
      </c>
      <c r="D537" t="s">
        <v>1496</v>
      </c>
      <c r="E537" t="s">
        <v>4026</v>
      </c>
      <c r="F537" s="23">
        <v>44346</v>
      </c>
      <c r="G537" s="1">
        <v>19650</v>
      </c>
    </row>
    <row r="538" spans="1:7">
      <c r="A538" t="s">
        <v>5711</v>
      </c>
      <c r="B538" t="s">
        <v>94</v>
      </c>
      <c r="C538" t="s">
        <v>3485</v>
      </c>
      <c r="D538" t="s">
        <v>1793</v>
      </c>
      <c r="E538" t="s">
        <v>4027</v>
      </c>
      <c r="F538" s="23">
        <v>44346</v>
      </c>
      <c r="G538" s="1">
        <v>11340</v>
      </c>
    </row>
    <row r="539" spans="1:7">
      <c r="A539" t="s">
        <v>5711</v>
      </c>
      <c r="B539" t="s">
        <v>106</v>
      </c>
      <c r="C539" t="s">
        <v>2216</v>
      </c>
      <c r="D539" t="s">
        <v>2215</v>
      </c>
      <c r="E539" t="s">
        <v>4028</v>
      </c>
      <c r="F539" s="23">
        <v>44346</v>
      </c>
      <c r="G539" s="1">
        <v>9602</v>
      </c>
    </row>
    <row r="540" spans="1:7">
      <c r="A540" t="s">
        <v>5711</v>
      </c>
      <c r="B540" t="s">
        <v>46</v>
      </c>
      <c r="C540" t="s">
        <v>1340</v>
      </c>
      <c r="D540" t="s">
        <v>1339</v>
      </c>
      <c r="E540" t="s">
        <v>4029</v>
      </c>
      <c r="F540" s="23">
        <v>44346</v>
      </c>
      <c r="G540" s="1">
        <v>11162</v>
      </c>
    </row>
    <row r="541" spans="1:7">
      <c r="A541" t="s">
        <v>5711</v>
      </c>
      <c r="B541" t="s">
        <v>37</v>
      </c>
      <c r="C541" t="s">
        <v>1640</v>
      </c>
      <c r="D541" t="s">
        <v>1639</v>
      </c>
      <c r="E541" t="s">
        <v>4030</v>
      </c>
      <c r="F541" s="23">
        <v>44346</v>
      </c>
      <c r="G541" s="1">
        <v>19962</v>
      </c>
    </row>
    <row r="542" spans="1:7">
      <c r="A542" t="s">
        <v>5711</v>
      </c>
      <c r="B542" t="s">
        <v>298</v>
      </c>
      <c r="C542" t="s">
        <v>2855</v>
      </c>
      <c r="D542" t="s">
        <v>2854</v>
      </c>
      <c r="E542" t="s">
        <v>4031</v>
      </c>
      <c r="F542" s="23">
        <v>44346</v>
      </c>
      <c r="G542" s="1">
        <v>14749</v>
      </c>
    </row>
    <row r="543" spans="1:7">
      <c r="A543" t="s">
        <v>5711</v>
      </c>
      <c r="B543" t="s">
        <v>208</v>
      </c>
      <c r="C543" t="s">
        <v>1011</v>
      </c>
      <c r="D543" t="s">
        <v>1010</v>
      </c>
      <c r="E543" t="s">
        <v>4032</v>
      </c>
      <c r="F543" s="23">
        <v>44346</v>
      </c>
      <c r="G543" s="1">
        <v>1100</v>
      </c>
    </row>
    <row r="544" spans="1:7">
      <c r="A544" t="s">
        <v>5711</v>
      </c>
      <c r="B544" t="s">
        <v>1345</v>
      </c>
      <c r="C544" t="s">
        <v>1404</v>
      </c>
      <c r="D544" t="s">
        <v>5553</v>
      </c>
      <c r="E544" t="s">
        <v>4033</v>
      </c>
      <c r="F544" s="23">
        <v>44346</v>
      </c>
      <c r="G544" s="1">
        <v>17729</v>
      </c>
    </row>
    <row r="545" spans="1:7">
      <c r="A545" t="s">
        <v>5711</v>
      </c>
      <c r="B545" t="s">
        <v>311</v>
      </c>
      <c r="C545" t="s">
        <v>2859</v>
      </c>
      <c r="D545" t="s">
        <v>5554</v>
      </c>
      <c r="E545" t="s">
        <v>4034</v>
      </c>
      <c r="F545" s="23">
        <v>44346</v>
      </c>
      <c r="G545" s="1">
        <v>19286</v>
      </c>
    </row>
    <row r="546" spans="1:7">
      <c r="A546" t="s">
        <v>5711</v>
      </c>
      <c r="B546" t="s">
        <v>106</v>
      </c>
      <c r="C546" t="s">
        <v>2073</v>
      </c>
      <c r="D546" t="s">
        <v>2072</v>
      </c>
      <c r="E546" t="s">
        <v>4035</v>
      </c>
      <c r="F546" s="23">
        <v>44346</v>
      </c>
      <c r="G546" s="1">
        <v>797</v>
      </c>
    </row>
    <row r="547" spans="1:7">
      <c r="A547" t="s">
        <v>5711</v>
      </c>
      <c r="B547" t="s">
        <v>311</v>
      </c>
      <c r="C547" t="s">
        <v>2468</v>
      </c>
      <c r="D547" t="s">
        <v>2467</v>
      </c>
      <c r="E547" t="s">
        <v>4036</v>
      </c>
      <c r="F547" s="23">
        <v>44346</v>
      </c>
      <c r="G547" s="1">
        <v>7086</v>
      </c>
    </row>
    <row r="548" spans="1:7">
      <c r="A548" t="s">
        <v>5711</v>
      </c>
      <c r="B548" t="s">
        <v>106</v>
      </c>
      <c r="C548" t="s">
        <v>2905</v>
      </c>
      <c r="D548" t="s">
        <v>5555</v>
      </c>
      <c r="E548" t="s">
        <v>4037</v>
      </c>
      <c r="F548" s="23">
        <v>44745</v>
      </c>
      <c r="G548" s="1">
        <v>8320</v>
      </c>
    </row>
    <row r="549" spans="1:7">
      <c r="A549" t="s">
        <v>5711</v>
      </c>
      <c r="B549" t="s">
        <v>37</v>
      </c>
      <c r="C549" t="s">
        <v>548</v>
      </c>
      <c r="D549" t="s">
        <v>547</v>
      </c>
      <c r="E549" t="s">
        <v>4038</v>
      </c>
      <c r="F549" s="23">
        <v>44346</v>
      </c>
      <c r="G549" s="1">
        <v>19268</v>
      </c>
    </row>
    <row r="550" spans="1:7">
      <c r="A550" t="s">
        <v>5711</v>
      </c>
      <c r="B550" t="s">
        <v>281</v>
      </c>
      <c r="C550" t="s">
        <v>462</v>
      </c>
      <c r="D550" t="s">
        <v>461</v>
      </c>
      <c r="E550" t="s">
        <v>4039</v>
      </c>
      <c r="F550" s="23">
        <v>44742</v>
      </c>
      <c r="G550" s="1">
        <v>2809</v>
      </c>
    </row>
    <row r="551" spans="1:7">
      <c r="A551" t="s">
        <v>5711</v>
      </c>
      <c r="B551" t="s">
        <v>233</v>
      </c>
      <c r="D551" t="s">
        <v>3097</v>
      </c>
      <c r="E551" t="s">
        <v>4040</v>
      </c>
      <c r="F551" s="23">
        <v>44346</v>
      </c>
      <c r="G551" s="1">
        <v>3839</v>
      </c>
    </row>
    <row r="552" spans="1:7">
      <c r="A552" t="s">
        <v>5711</v>
      </c>
      <c r="B552" t="s">
        <v>132</v>
      </c>
      <c r="C552" t="s">
        <v>415</v>
      </c>
      <c r="D552" t="s">
        <v>414</v>
      </c>
      <c r="E552" t="s">
        <v>4041</v>
      </c>
      <c r="F552" s="23">
        <v>44575</v>
      </c>
      <c r="G552" s="1">
        <v>10296</v>
      </c>
    </row>
    <row r="553" spans="1:7">
      <c r="A553" t="s">
        <v>5711</v>
      </c>
      <c r="B553" t="s">
        <v>94</v>
      </c>
      <c r="C553" t="s">
        <v>1350</v>
      </c>
      <c r="D553" t="s">
        <v>5556</v>
      </c>
      <c r="E553" t="s">
        <v>4042</v>
      </c>
      <c r="F553" s="23">
        <v>44606</v>
      </c>
      <c r="G553" s="1">
        <v>4954</v>
      </c>
    </row>
    <row r="554" spans="1:7">
      <c r="A554" t="s">
        <v>5711</v>
      </c>
      <c r="B554" t="s">
        <v>298</v>
      </c>
      <c r="C554" t="s">
        <v>3013</v>
      </c>
      <c r="D554" t="s">
        <v>3012</v>
      </c>
      <c r="E554" t="s">
        <v>4043</v>
      </c>
      <c r="F554" s="23">
        <v>44615</v>
      </c>
      <c r="G554" s="1">
        <v>4893</v>
      </c>
    </row>
    <row r="555" spans="1:7">
      <c r="A555" t="s">
        <v>5711</v>
      </c>
      <c r="B555" t="s">
        <v>75</v>
      </c>
      <c r="C555" t="s">
        <v>1532</v>
      </c>
      <c r="D555" t="s">
        <v>1531</v>
      </c>
      <c r="E555" t="s">
        <v>4044</v>
      </c>
      <c r="F555" s="23">
        <v>44346</v>
      </c>
      <c r="G555" s="1">
        <v>18052</v>
      </c>
    </row>
    <row r="556" spans="1:7">
      <c r="A556" t="s">
        <v>5711</v>
      </c>
      <c r="B556" t="s">
        <v>43</v>
      </c>
      <c r="C556" t="s">
        <v>978</v>
      </c>
      <c r="D556" t="s">
        <v>977</v>
      </c>
      <c r="E556" t="s">
        <v>4045</v>
      </c>
      <c r="F556" s="23">
        <v>44417</v>
      </c>
      <c r="G556" s="1">
        <v>5069</v>
      </c>
    </row>
    <row r="557" spans="1:7">
      <c r="A557" t="s">
        <v>5711</v>
      </c>
      <c r="B557" t="s">
        <v>311</v>
      </c>
      <c r="C557" t="s">
        <v>2294</v>
      </c>
      <c r="D557" t="s">
        <v>2708</v>
      </c>
      <c r="E557" t="s">
        <v>4046</v>
      </c>
      <c r="F557" s="23">
        <v>44821</v>
      </c>
      <c r="G557" s="1">
        <v>7687</v>
      </c>
    </row>
    <row r="558" spans="1:7">
      <c r="A558" t="s">
        <v>5711</v>
      </c>
      <c r="B558" t="s">
        <v>94</v>
      </c>
      <c r="C558" t="s">
        <v>2894</v>
      </c>
      <c r="D558" t="s">
        <v>2893</v>
      </c>
      <c r="E558" t="s">
        <v>4047</v>
      </c>
      <c r="F558" s="23">
        <v>45025</v>
      </c>
      <c r="G558" s="1">
        <v>941</v>
      </c>
    </row>
    <row r="559" spans="1:7">
      <c r="A559" t="s">
        <v>5711</v>
      </c>
      <c r="B559" t="s">
        <v>94</v>
      </c>
      <c r="C559" t="s">
        <v>3259</v>
      </c>
      <c r="D559" t="s">
        <v>3258</v>
      </c>
      <c r="E559" t="s">
        <v>4048</v>
      </c>
      <c r="F559" s="23">
        <v>44346</v>
      </c>
      <c r="G559" s="1">
        <v>16569</v>
      </c>
    </row>
    <row r="560" spans="1:7">
      <c r="A560" t="s">
        <v>5711</v>
      </c>
      <c r="B560" t="s">
        <v>400</v>
      </c>
      <c r="C560" t="s">
        <v>1524</v>
      </c>
      <c r="D560" t="s">
        <v>1523</v>
      </c>
      <c r="E560" t="s">
        <v>4049</v>
      </c>
      <c r="F560" s="23">
        <v>44710</v>
      </c>
      <c r="G560" s="1">
        <v>11184</v>
      </c>
    </row>
    <row r="561" spans="1:7">
      <c r="A561" t="s">
        <v>5711</v>
      </c>
      <c r="B561" t="s">
        <v>68</v>
      </c>
      <c r="C561" t="s">
        <v>1113</v>
      </c>
      <c r="D561" t="s">
        <v>1112</v>
      </c>
      <c r="E561" t="s">
        <v>4050</v>
      </c>
      <c r="F561" s="23">
        <v>44346</v>
      </c>
      <c r="G561" s="1">
        <v>8444</v>
      </c>
    </row>
    <row r="562" spans="1:7">
      <c r="A562" t="s">
        <v>5711</v>
      </c>
      <c r="B562" t="s">
        <v>106</v>
      </c>
      <c r="C562" t="s">
        <v>2362</v>
      </c>
      <c r="D562" t="s">
        <v>2361</v>
      </c>
      <c r="E562" t="s">
        <v>4051</v>
      </c>
      <c r="F562" s="23">
        <v>44346</v>
      </c>
      <c r="G562" s="1">
        <v>12844</v>
      </c>
    </row>
    <row r="563" spans="1:7">
      <c r="A563" t="s">
        <v>5711</v>
      </c>
      <c r="B563" t="s">
        <v>311</v>
      </c>
      <c r="C563" t="s">
        <v>335</v>
      </c>
      <c r="D563" t="s">
        <v>334</v>
      </c>
      <c r="E563" t="s">
        <v>4052</v>
      </c>
      <c r="F563" s="23">
        <v>44346</v>
      </c>
      <c r="G563" s="1">
        <v>10192</v>
      </c>
    </row>
    <row r="564" spans="1:7">
      <c r="A564" t="s">
        <v>5711</v>
      </c>
      <c r="B564" t="s">
        <v>94</v>
      </c>
      <c r="C564" t="s">
        <v>2485</v>
      </c>
      <c r="D564" t="s">
        <v>2484</v>
      </c>
      <c r="E564" t="s">
        <v>4053</v>
      </c>
      <c r="F564" s="23">
        <v>44346</v>
      </c>
      <c r="G564" s="1">
        <v>13917</v>
      </c>
    </row>
    <row r="565" spans="1:7">
      <c r="A565" t="s">
        <v>5711</v>
      </c>
      <c r="B565" t="s">
        <v>58</v>
      </c>
      <c r="C565" t="s">
        <v>57</v>
      </c>
      <c r="D565" t="s">
        <v>56</v>
      </c>
      <c r="E565" t="s">
        <v>4054</v>
      </c>
      <c r="F565" s="23">
        <v>44743</v>
      </c>
      <c r="G565" s="1">
        <v>1781</v>
      </c>
    </row>
    <row r="566" spans="1:7">
      <c r="A566" t="s">
        <v>5711</v>
      </c>
      <c r="B566" t="s">
        <v>311</v>
      </c>
      <c r="C566" t="s">
        <v>794</v>
      </c>
      <c r="D566" t="s">
        <v>3043</v>
      </c>
      <c r="E566" t="s">
        <v>4055</v>
      </c>
      <c r="F566" s="23">
        <v>44346</v>
      </c>
      <c r="G566" s="1">
        <v>14296</v>
      </c>
    </row>
    <row r="567" spans="1:7">
      <c r="A567" t="s">
        <v>5711</v>
      </c>
      <c r="B567" t="s">
        <v>298</v>
      </c>
      <c r="C567" t="s">
        <v>1337</v>
      </c>
      <c r="D567" t="s">
        <v>5557</v>
      </c>
      <c r="E567" t="s">
        <v>4056</v>
      </c>
      <c r="F567" s="23">
        <v>44346</v>
      </c>
      <c r="G567" s="1">
        <v>12102</v>
      </c>
    </row>
    <row r="568" spans="1:7">
      <c r="A568" t="s">
        <v>5711</v>
      </c>
      <c r="B568" t="s">
        <v>106</v>
      </c>
      <c r="C568" t="s">
        <v>2638</v>
      </c>
      <c r="D568" t="s">
        <v>5558</v>
      </c>
      <c r="E568" t="s">
        <v>4057</v>
      </c>
      <c r="F568" s="23">
        <v>44509</v>
      </c>
      <c r="G568" s="1">
        <v>6240</v>
      </c>
    </row>
    <row r="569" spans="1:7">
      <c r="A569" t="s">
        <v>5711</v>
      </c>
      <c r="B569" t="s">
        <v>68</v>
      </c>
      <c r="C569" t="s">
        <v>252</v>
      </c>
      <c r="D569" t="s">
        <v>251</v>
      </c>
      <c r="E569" t="s">
        <v>4058</v>
      </c>
      <c r="F569" s="23">
        <v>44624</v>
      </c>
      <c r="G569" s="1">
        <v>8985</v>
      </c>
    </row>
    <row r="570" spans="1:7">
      <c r="A570" t="s">
        <v>5711</v>
      </c>
      <c r="B570" t="s">
        <v>298</v>
      </c>
      <c r="C570" t="s">
        <v>2504</v>
      </c>
      <c r="D570" t="s">
        <v>5559</v>
      </c>
      <c r="E570" t="s">
        <v>4059</v>
      </c>
      <c r="F570" s="23">
        <v>44346</v>
      </c>
      <c r="G570" s="1">
        <v>18987</v>
      </c>
    </row>
    <row r="571" spans="1:7">
      <c r="A571" t="s">
        <v>5711</v>
      </c>
      <c r="B571" t="s">
        <v>281</v>
      </c>
      <c r="C571" t="s">
        <v>280</v>
      </c>
      <c r="D571" t="s">
        <v>5560</v>
      </c>
      <c r="E571" t="s">
        <v>4060</v>
      </c>
      <c r="F571" s="23">
        <v>44346</v>
      </c>
      <c r="G571" s="1">
        <v>2876</v>
      </c>
    </row>
    <row r="572" spans="1:7">
      <c r="A572" t="s">
        <v>5711</v>
      </c>
      <c r="B572" t="s">
        <v>106</v>
      </c>
      <c r="C572" t="s">
        <v>423</v>
      </c>
      <c r="D572" t="s">
        <v>422</v>
      </c>
      <c r="E572" t="s">
        <v>4061</v>
      </c>
      <c r="F572" s="23">
        <v>44346</v>
      </c>
      <c r="G572" s="1">
        <v>12086</v>
      </c>
    </row>
    <row r="573" spans="1:7">
      <c r="A573" t="s">
        <v>5711</v>
      </c>
      <c r="B573" t="s">
        <v>94</v>
      </c>
      <c r="C573" t="s">
        <v>3487</v>
      </c>
      <c r="D573" t="s">
        <v>1771</v>
      </c>
      <c r="E573" t="s">
        <v>4062</v>
      </c>
      <c r="F573" s="23">
        <v>44346</v>
      </c>
      <c r="G573" s="1">
        <v>15872</v>
      </c>
    </row>
    <row r="574" spans="1:7">
      <c r="A574" t="s">
        <v>5711</v>
      </c>
      <c r="B574" t="s">
        <v>298</v>
      </c>
      <c r="C574" t="s">
        <v>2491</v>
      </c>
      <c r="D574" t="s">
        <v>2490</v>
      </c>
      <c r="E574" t="s">
        <v>4063</v>
      </c>
      <c r="F574" s="23">
        <v>44346</v>
      </c>
      <c r="G574" s="1">
        <v>9578</v>
      </c>
    </row>
    <row r="575" spans="1:7">
      <c r="A575" t="s">
        <v>5711</v>
      </c>
      <c r="B575" t="s">
        <v>208</v>
      </c>
      <c r="C575" t="s">
        <v>555</v>
      </c>
      <c r="D575" t="s">
        <v>554</v>
      </c>
      <c r="E575" t="s">
        <v>4064</v>
      </c>
      <c r="F575" s="23">
        <v>44346</v>
      </c>
      <c r="G575" s="1">
        <v>17610</v>
      </c>
    </row>
    <row r="576" spans="1:7">
      <c r="A576" t="s">
        <v>5711</v>
      </c>
      <c r="B576" t="s">
        <v>298</v>
      </c>
      <c r="C576" t="s">
        <v>872</v>
      </c>
      <c r="D576" t="s">
        <v>5561</v>
      </c>
      <c r="E576" t="s">
        <v>4065</v>
      </c>
      <c r="F576" s="23">
        <v>44346</v>
      </c>
      <c r="G576" s="1">
        <v>11904</v>
      </c>
    </row>
    <row r="577" spans="1:7">
      <c r="A577" t="s">
        <v>5711</v>
      </c>
      <c r="B577" t="s">
        <v>298</v>
      </c>
      <c r="C577" t="s">
        <v>2491</v>
      </c>
      <c r="D577" t="s">
        <v>3478</v>
      </c>
      <c r="E577" t="s">
        <v>4066</v>
      </c>
      <c r="F577" s="23">
        <v>44346</v>
      </c>
      <c r="G577" s="1">
        <v>4000</v>
      </c>
    </row>
    <row r="578" spans="1:7">
      <c r="A578" t="s">
        <v>5711</v>
      </c>
      <c r="B578" t="s">
        <v>46</v>
      </c>
      <c r="C578" t="s">
        <v>483</v>
      </c>
      <c r="D578" t="s">
        <v>482</v>
      </c>
      <c r="E578" t="s">
        <v>4067</v>
      </c>
      <c r="F578" s="23">
        <v>44346</v>
      </c>
      <c r="G578" s="1">
        <v>7783</v>
      </c>
    </row>
    <row r="579" spans="1:7">
      <c r="A579" t="s">
        <v>5711</v>
      </c>
      <c r="B579" t="s">
        <v>106</v>
      </c>
      <c r="C579" t="s">
        <v>2686</v>
      </c>
      <c r="D579" t="s">
        <v>2829</v>
      </c>
      <c r="E579" t="s">
        <v>4068</v>
      </c>
      <c r="F579" s="23">
        <v>44346</v>
      </c>
      <c r="G579" s="1">
        <v>14976</v>
      </c>
    </row>
    <row r="580" spans="1:7">
      <c r="A580" t="s">
        <v>5711</v>
      </c>
      <c r="B580" t="s">
        <v>233</v>
      </c>
      <c r="C580" t="s">
        <v>295</v>
      </c>
      <c r="D580" t="s">
        <v>294</v>
      </c>
      <c r="E580" t="s">
        <v>4069</v>
      </c>
      <c r="F580" s="23">
        <v>44346</v>
      </c>
      <c r="G580" s="1">
        <v>7468</v>
      </c>
    </row>
    <row r="581" spans="1:7">
      <c r="A581" t="s">
        <v>5711</v>
      </c>
      <c r="B581" t="s">
        <v>106</v>
      </c>
      <c r="C581" t="s">
        <v>2244</v>
      </c>
      <c r="D581" t="s">
        <v>2243</v>
      </c>
      <c r="E581" t="s">
        <v>4070</v>
      </c>
      <c r="F581" s="23">
        <v>44346</v>
      </c>
      <c r="G581" s="1">
        <v>16951</v>
      </c>
    </row>
    <row r="582" spans="1:7">
      <c r="A582" t="s">
        <v>5711</v>
      </c>
      <c r="B582" t="s">
        <v>236</v>
      </c>
      <c r="C582" t="s">
        <v>235</v>
      </c>
      <c r="D582" t="s">
        <v>234</v>
      </c>
      <c r="E582" t="s">
        <v>4071</v>
      </c>
      <c r="F582" s="23">
        <v>44346</v>
      </c>
      <c r="G582" s="1">
        <v>19791</v>
      </c>
    </row>
    <row r="583" spans="1:7">
      <c r="A583" t="s">
        <v>5711</v>
      </c>
      <c r="B583" t="s">
        <v>94</v>
      </c>
      <c r="C583" t="s">
        <v>1262</v>
      </c>
      <c r="D583" t="s">
        <v>1261</v>
      </c>
      <c r="E583" t="s">
        <v>4072</v>
      </c>
      <c r="F583" s="23">
        <v>44346</v>
      </c>
      <c r="G583" s="1">
        <v>7086</v>
      </c>
    </row>
    <row r="584" spans="1:7">
      <c r="A584" t="s">
        <v>5711</v>
      </c>
      <c r="B584" t="s">
        <v>233</v>
      </c>
      <c r="C584" t="s">
        <v>2907</v>
      </c>
      <c r="D584" t="s">
        <v>2906</v>
      </c>
      <c r="E584" t="s">
        <v>4073</v>
      </c>
      <c r="F584" s="23">
        <v>44781</v>
      </c>
      <c r="G584" s="1">
        <v>4930</v>
      </c>
    </row>
    <row r="585" spans="1:7">
      <c r="A585" t="s">
        <v>5711</v>
      </c>
      <c r="B585" t="s">
        <v>94</v>
      </c>
      <c r="C585" t="s">
        <v>3490</v>
      </c>
      <c r="D585" t="s">
        <v>1635</v>
      </c>
      <c r="E585" t="s">
        <v>4074</v>
      </c>
      <c r="F585" s="23">
        <v>44961</v>
      </c>
      <c r="G585" s="1">
        <v>9075</v>
      </c>
    </row>
    <row r="586" spans="1:7">
      <c r="A586" t="s">
        <v>5711</v>
      </c>
      <c r="B586" t="s">
        <v>37</v>
      </c>
      <c r="C586" t="s">
        <v>323</v>
      </c>
      <c r="D586" t="s">
        <v>1595</v>
      </c>
      <c r="E586" t="s">
        <v>4075</v>
      </c>
      <c r="F586" s="23">
        <v>44346</v>
      </c>
      <c r="G586" s="1">
        <v>10009</v>
      </c>
    </row>
    <row r="587" spans="1:7">
      <c r="A587" t="s">
        <v>5711</v>
      </c>
      <c r="B587" t="s">
        <v>43</v>
      </c>
      <c r="C587" t="s">
        <v>1278</v>
      </c>
      <c r="D587" t="s">
        <v>1277</v>
      </c>
      <c r="E587" t="s">
        <v>4076</v>
      </c>
      <c r="F587" s="23">
        <v>44794</v>
      </c>
      <c r="G587" s="1">
        <v>1388</v>
      </c>
    </row>
    <row r="588" spans="1:7">
      <c r="A588" t="s">
        <v>5711</v>
      </c>
      <c r="B588" t="s">
        <v>97</v>
      </c>
      <c r="C588" t="s">
        <v>696</v>
      </c>
      <c r="D588" t="s">
        <v>695</v>
      </c>
      <c r="E588" t="s">
        <v>4077</v>
      </c>
      <c r="F588" s="23">
        <v>44346</v>
      </c>
      <c r="G588" s="1">
        <v>12823</v>
      </c>
    </row>
    <row r="589" spans="1:7">
      <c r="A589" t="s">
        <v>5711</v>
      </c>
      <c r="B589" t="s">
        <v>94</v>
      </c>
      <c r="C589" t="s">
        <v>2517</v>
      </c>
      <c r="D589" t="s">
        <v>5562</v>
      </c>
      <c r="E589" t="s">
        <v>4078</v>
      </c>
      <c r="F589" s="23">
        <v>44346</v>
      </c>
      <c r="G589" s="1">
        <v>18347</v>
      </c>
    </row>
    <row r="590" spans="1:7">
      <c r="A590" t="s">
        <v>5711</v>
      </c>
      <c r="B590" t="s">
        <v>106</v>
      </c>
      <c r="C590" t="s">
        <v>3102</v>
      </c>
      <c r="D590" t="s">
        <v>3101</v>
      </c>
      <c r="E590" t="s">
        <v>4079</v>
      </c>
      <c r="F590" s="23">
        <v>44538</v>
      </c>
      <c r="G590" s="1">
        <v>1952</v>
      </c>
    </row>
    <row r="591" spans="1:7">
      <c r="A591" t="s">
        <v>5711</v>
      </c>
      <c r="B591" t="s">
        <v>298</v>
      </c>
      <c r="C591" t="s">
        <v>317</v>
      </c>
      <c r="D591" t="s">
        <v>3317</v>
      </c>
      <c r="E591" t="s">
        <v>4080</v>
      </c>
      <c r="F591" s="23">
        <v>44346</v>
      </c>
      <c r="G591" s="1">
        <v>9677</v>
      </c>
    </row>
    <row r="592" spans="1:7">
      <c r="A592" t="s">
        <v>5711</v>
      </c>
      <c r="B592" t="s">
        <v>233</v>
      </c>
      <c r="C592" t="s">
        <v>2266</v>
      </c>
      <c r="D592" t="s">
        <v>2647</v>
      </c>
      <c r="E592" t="s">
        <v>4081</v>
      </c>
      <c r="F592" s="23">
        <v>44346</v>
      </c>
      <c r="G592" s="1">
        <v>9270</v>
      </c>
    </row>
    <row r="593" spans="1:7">
      <c r="A593" t="s">
        <v>5711</v>
      </c>
      <c r="B593" t="s">
        <v>43</v>
      </c>
      <c r="C593" t="s">
        <v>1499</v>
      </c>
      <c r="D593" t="s">
        <v>1498</v>
      </c>
      <c r="E593" t="s">
        <v>4082</v>
      </c>
      <c r="F593" s="23">
        <v>44346</v>
      </c>
      <c r="G593" s="1">
        <v>17449</v>
      </c>
    </row>
    <row r="594" spans="1:7">
      <c r="A594" t="s">
        <v>5711</v>
      </c>
      <c r="B594" t="s">
        <v>311</v>
      </c>
      <c r="C594" t="s">
        <v>3150</v>
      </c>
      <c r="D594" t="s">
        <v>3149</v>
      </c>
      <c r="E594" t="s">
        <v>4083</v>
      </c>
      <c r="F594" s="23">
        <v>44892</v>
      </c>
      <c r="G594" s="1">
        <v>7137</v>
      </c>
    </row>
    <row r="595" spans="1:7">
      <c r="A595" t="s">
        <v>5711</v>
      </c>
      <c r="B595" t="s">
        <v>298</v>
      </c>
      <c r="C595" t="s">
        <v>3005</v>
      </c>
      <c r="D595" t="s">
        <v>3004</v>
      </c>
      <c r="E595" t="s">
        <v>4084</v>
      </c>
      <c r="F595" s="23">
        <v>44346</v>
      </c>
      <c r="G595" s="1">
        <v>14118</v>
      </c>
    </row>
    <row r="596" spans="1:7">
      <c r="A596" t="s">
        <v>5711</v>
      </c>
      <c r="B596" t="s">
        <v>298</v>
      </c>
      <c r="C596" t="s">
        <v>2672</v>
      </c>
      <c r="D596" t="s">
        <v>2671</v>
      </c>
      <c r="E596" t="s">
        <v>4085</v>
      </c>
      <c r="F596" s="23">
        <v>44486</v>
      </c>
      <c r="G596" s="1">
        <v>11877</v>
      </c>
    </row>
    <row r="597" spans="1:7">
      <c r="A597" t="s">
        <v>5711</v>
      </c>
      <c r="B597" t="s">
        <v>37</v>
      </c>
      <c r="C597" t="s">
        <v>323</v>
      </c>
      <c r="D597" t="s">
        <v>322</v>
      </c>
      <c r="E597" t="s">
        <v>4086</v>
      </c>
      <c r="F597" s="23">
        <v>44346</v>
      </c>
      <c r="G597" s="1">
        <v>7465</v>
      </c>
    </row>
    <row r="598" spans="1:7">
      <c r="A598" t="s">
        <v>5711</v>
      </c>
      <c r="B598" t="s">
        <v>233</v>
      </c>
      <c r="C598" t="s">
        <v>593</v>
      </c>
      <c r="D598" t="s">
        <v>592</v>
      </c>
      <c r="E598" t="s">
        <v>4087</v>
      </c>
      <c r="F598" s="23">
        <v>44346</v>
      </c>
      <c r="G598" s="1">
        <v>12735</v>
      </c>
    </row>
    <row r="599" spans="1:7">
      <c r="A599" t="s">
        <v>5711</v>
      </c>
      <c r="B599" t="s">
        <v>1223</v>
      </c>
      <c r="C599" t="s">
        <v>2818</v>
      </c>
      <c r="D599" t="s">
        <v>5563</v>
      </c>
      <c r="E599" t="s">
        <v>4088</v>
      </c>
      <c r="F599" s="23">
        <v>44541</v>
      </c>
      <c r="G599" s="1">
        <v>5332</v>
      </c>
    </row>
    <row r="600" spans="1:7">
      <c r="A600" t="s">
        <v>5711</v>
      </c>
      <c r="B600" t="s">
        <v>94</v>
      </c>
      <c r="C600" t="s">
        <v>3265</v>
      </c>
      <c r="D600" t="s">
        <v>330</v>
      </c>
      <c r="E600" t="s">
        <v>4089</v>
      </c>
      <c r="F600" s="23">
        <v>44346</v>
      </c>
      <c r="G600" s="1">
        <v>12616</v>
      </c>
    </row>
    <row r="601" spans="1:7">
      <c r="A601" t="s">
        <v>5711</v>
      </c>
      <c r="B601" t="s">
        <v>106</v>
      </c>
      <c r="C601" t="s">
        <v>2463</v>
      </c>
      <c r="D601" t="s">
        <v>2462</v>
      </c>
      <c r="E601" t="s">
        <v>4090</v>
      </c>
      <c r="F601" s="23">
        <v>44346</v>
      </c>
      <c r="G601" s="1">
        <v>19007</v>
      </c>
    </row>
    <row r="602" spans="1:7">
      <c r="A602" t="s">
        <v>5711</v>
      </c>
      <c r="B602" t="s">
        <v>298</v>
      </c>
      <c r="C602" t="s">
        <v>295</v>
      </c>
      <c r="D602" t="s">
        <v>2606</v>
      </c>
      <c r="E602" t="s">
        <v>4091</v>
      </c>
      <c r="F602" s="23">
        <v>44964</v>
      </c>
      <c r="G602" s="1">
        <v>8779</v>
      </c>
    </row>
    <row r="603" spans="1:7">
      <c r="A603" t="s">
        <v>5711</v>
      </c>
      <c r="B603" t="s">
        <v>94</v>
      </c>
      <c r="C603" t="s">
        <v>2309</v>
      </c>
      <c r="D603" t="s">
        <v>2308</v>
      </c>
      <c r="E603" t="s">
        <v>4092</v>
      </c>
      <c r="F603" s="23">
        <v>44346</v>
      </c>
      <c r="G603" s="1">
        <v>15514</v>
      </c>
    </row>
    <row r="604" spans="1:7">
      <c r="A604" t="s">
        <v>5711</v>
      </c>
      <c r="B604" t="s">
        <v>106</v>
      </c>
      <c r="C604" t="s">
        <v>3339</v>
      </c>
      <c r="D604" t="s">
        <v>3338</v>
      </c>
      <c r="E604" t="s">
        <v>4093</v>
      </c>
      <c r="F604" s="23">
        <v>44346</v>
      </c>
      <c r="G604" s="1">
        <v>3852</v>
      </c>
    </row>
    <row r="605" spans="1:7">
      <c r="A605" t="s">
        <v>5711</v>
      </c>
      <c r="B605" t="s">
        <v>37</v>
      </c>
      <c r="C605" t="s">
        <v>51</v>
      </c>
      <c r="D605" t="s">
        <v>50</v>
      </c>
      <c r="E605" t="s">
        <v>4094</v>
      </c>
      <c r="F605" s="23">
        <v>44346</v>
      </c>
      <c r="G605" s="1">
        <v>16042</v>
      </c>
    </row>
    <row r="606" spans="1:7">
      <c r="A606" t="s">
        <v>5711</v>
      </c>
      <c r="B606" t="s">
        <v>676</v>
      </c>
      <c r="C606" t="s">
        <v>1085</v>
      </c>
      <c r="D606" t="s">
        <v>1084</v>
      </c>
      <c r="E606" t="s">
        <v>4095</v>
      </c>
      <c r="F606" s="23">
        <v>44346</v>
      </c>
      <c r="G606" s="1">
        <v>4356</v>
      </c>
    </row>
    <row r="607" spans="1:7">
      <c r="A607" t="s">
        <v>5711</v>
      </c>
      <c r="B607" t="s">
        <v>101</v>
      </c>
      <c r="C607" t="s">
        <v>193</v>
      </c>
      <c r="D607" t="s">
        <v>192</v>
      </c>
      <c r="E607" t="s">
        <v>4096</v>
      </c>
      <c r="F607" s="23">
        <v>44346</v>
      </c>
      <c r="G607" s="1">
        <v>13245</v>
      </c>
    </row>
    <row r="608" spans="1:7">
      <c r="A608" t="s">
        <v>5711</v>
      </c>
      <c r="B608" t="s">
        <v>94</v>
      </c>
      <c r="C608" t="s">
        <v>3114</v>
      </c>
      <c r="D608" t="s">
        <v>3113</v>
      </c>
      <c r="E608" t="s">
        <v>4097</v>
      </c>
      <c r="F608" s="23">
        <v>44346</v>
      </c>
      <c r="G608" s="1">
        <v>12041</v>
      </c>
    </row>
    <row r="609" spans="1:7">
      <c r="A609" t="s">
        <v>5711</v>
      </c>
      <c r="B609" t="s">
        <v>208</v>
      </c>
      <c r="C609" t="s">
        <v>729</v>
      </c>
      <c r="D609" t="s">
        <v>728</v>
      </c>
      <c r="E609" t="s">
        <v>4098</v>
      </c>
      <c r="F609" s="23">
        <v>44346</v>
      </c>
      <c r="G609" s="1">
        <v>1559</v>
      </c>
    </row>
    <row r="610" spans="1:7">
      <c r="A610" t="s">
        <v>5711</v>
      </c>
      <c r="B610" t="s">
        <v>94</v>
      </c>
      <c r="C610" t="s">
        <v>3431</v>
      </c>
      <c r="D610" t="s">
        <v>3430</v>
      </c>
      <c r="E610" t="s">
        <v>4099</v>
      </c>
      <c r="F610" s="23">
        <v>44346</v>
      </c>
      <c r="G610" s="1">
        <v>19591</v>
      </c>
    </row>
    <row r="611" spans="1:7">
      <c r="A611" t="s">
        <v>5711</v>
      </c>
      <c r="B611" t="s">
        <v>311</v>
      </c>
      <c r="C611" t="s">
        <v>2884</v>
      </c>
      <c r="D611" t="s">
        <v>2883</v>
      </c>
      <c r="E611" t="s">
        <v>4100</v>
      </c>
      <c r="F611" s="23">
        <v>44346</v>
      </c>
      <c r="G611" s="1">
        <v>8885</v>
      </c>
    </row>
    <row r="612" spans="1:7">
      <c r="A612" t="s">
        <v>5711</v>
      </c>
      <c r="B612" t="s">
        <v>94</v>
      </c>
      <c r="C612" t="s">
        <v>2580</v>
      </c>
      <c r="D612" t="s">
        <v>2579</v>
      </c>
      <c r="E612" t="s">
        <v>4101</v>
      </c>
      <c r="F612" s="23">
        <v>44933</v>
      </c>
      <c r="G612" s="1">
        <v>890</v>
      </c>
    </row>
    <row r="613" spans="1:7">
      <c r="A613" t="s">
        <v>5711</v>
      </c>
      <c r="B613" t="s">
        <v>94</v>
      </c>
      <c r="C613" t="s">
        <v>3485</v>
      </c>
      <c r="D613" t="s">
        <v>539</v>
      </c>
      <c r="E613" t="s">
        <v>4102</v>
      </c>
      <c r="F613" s="23">
        <v>44346</v>
      </c>
      <c r="G613" s="1">
        <v>14279</v>
      </c>
    </row>
    <row r="614" spans="1:7">
      <c r="A614" t="s">
        <v>5711</v>
      </c>
      <c r="B614" t="s">
        <v>94</v>
      </c>
      <c r="C614" t="s">
        <v>2449</v>
      </c>
      <c r="D614" t="s">
        <v>2448</v>
      </c>
      <c r="E614" t="s">
        <v>4103</v>
      </c>
      <c r="F614" s="23">
        <v>44346</v>
      </c>
      <c r="G614" s="1">
        <v>17990</v>
      </c>
    </row>
    <row r="615" spans="1:7">
      <c r="A615" t="s">
        <v>5711</v>
      </c>
      <c r="B615" t="s">
        <v>106</v>
      </c>
      <c r="C615" t="s">
        <v>2904</v>
      </c>
      <c r="D615" t="s">
        <v>2903</v>
      </c>
      <c r="E615" t="s">
        <v>4104</v>
      </c>
      <c r="F615" s="23">
        <v>44346</v>
      </c>
      <c r="G615" s="1">
        <v>16544</v>
      </c>
    </row>
    <row r="616" spans="1:7">
      <c r="A616" t="s">
        <v>5711</v>
      </c>
      <c r="B616" t="s">
        <v>233</v>
      </c>
      <c r="C616" t="s">
        <v>2866</v>
      </c>
      <c r="D616" t="s">
        <v>2865</v>
      </c>
      <c r="E616" t="s">
        <v>4105</v>
      </c>
      <c r="F616" s="23">
        <v>44681</v>
      </c>
      <c r="G616" s="1">
        <v>7166</v>
      </c>
    </row>
    <row r="617" spans="1:7">
      <c r="A617" t="s">
        <v>5711</v>
      </c>
      <c r="B617" t="s">
        <v>208</v>
      </c>
      <c r="C617" t="s">
        <v>1039</v>
      </c>
      <c r="D617" t="s">
        <v>1038</v>
      </c>
      <c r="E617" t="s">
        <v>4106</v>
      </c>
      <c r="F617" s="23">
        <v>44346</v>
      </c>
      <c r="G617" s="1">
        <v>17751</v>
      </c>
    </row>
    <row r="618" spans="1:7">
      <c r="A618" t="s">
        <v>5711</v>
      </c>
      <c r="B618" t="s">
        <v>311</v>
      </c>
      <c r="C618" t="s">
        <v>2189</v>
      </c>
      <c r="D618" t="s">
        <v>2188</v>
      </c>
      <c r="E618" t="s">
        <v>4107</v>
      </c>
      <c r="F618" s="23">
        <v>44346</v>
      </c>
      <c r="G618" s="1">
        <v>19074</v>
      </c>
    </row>
    <row r="619" spans="1:7">
      <c r="A619" t="s">
        <v>5711</v>
      </c>
      <c r="B619" t="s">
        <v>72</v>
      </c>
      <c r="C619" t="s">
        <v>151</v>
      </c>
      <c r="D619" t="s">
        <v>150</v>
      </c>
      <c r="E619" t="s">
        <v>4108</v>
      </c>
      <c r="F619" s="23">
        <v>44346</v>
      </c>
      <c r="G619" s="1">
        <v>16443</v>
      </c>
    </row>
    <row r="620" spans="1:7">
      <c r="A620" t="s">
        <v>5711</v>
      </c>
      <c r="B620" t="s">
        <v>94</v>
      </c>
      <c r="C620" t="s">
        <v>1463</v>
      </c>
      <c r="D620" t="s">
        <v>1462</v>
      </c>
      <c r="E620" t="s">
        <v>4109</v>
      </c>
      <c r="F620" s="23">
        <v>44457</v>
      </c>
      <c r="G620" s="1">
        <v>6974</v>
      </c>
    </row>
    <row r="621" spans="1:7">
      <c r="A621" t="s">
        <v>5711</v>
      </c>
      <c r="B621" t="s">
        <v>65</v>
      </c>
      <c r="C621" t="s">
        <v>64</v>
      </c>
      <c r="D621" t="s">
        <v>63</v>
      </c>
      <c r="E621" t="s">
        <v>4110</v>
      </c>
      <c r="F621" s="23">
        <v>44346</v>
      </c>
      <c r="G621" s="1">
        <v>7995</v>
      </c>
    </row>
    <row r="622" spans="1:7">
      <c r="A622" t="s">
        <v>5711</v>
      </c>
      <c r="B622" t="s">
        <v>94</v>
      </c>
      <c r="C622" t="s">
        <v>2489</v>
      </c>
      <c r="D622" t="s">
        <v>2488</v>
      </c>
      <c r="E622" t="s">
        <v>4111</v>
      </c>
      <c r="F622" s="23">
        <v>44346</v>
      </c>
      <c r="G622" s="1">
        <v>15968</v>
      </c>
    </row>
    <row r="623" spans="1:7">
      <c r="A623" t="s">
        <v>5711</v>
      </c>
      <c r="B623" t="s">
        <v>37</v>
      </c>
      <c r="C623" t="s">
        <v>526</v>
      </c>
      <c r="D623" t="s">
        <v>525</v>
      </c>
      <c r="E623" t="s">
        <v>4112</v>
      </c>
      <c r="F623" s="23">
        <v>44346</v>
      </c>
      <c r="G623" s="1">
        <v>19115</v>
      </c>
    </row>
    <row r="624" spans="1:7">
      <c r="A624" t="s">
        <v>5711</v>
      </c>
      <c r="B624" t="s">
        <v>94</v>
      </c>
      <c r="C624" t="s">
        <v>3489</v>
      </c>
      <c r="D624" t="s">
        <v>652</v>
      </c>
      <c r="E624" t="s">
        <v>4113</v>
      </c>
      <c r="F624" s="23">
        <v>44346</v>
      </c>
      <c r="G624" s="1">
        <v>13483</v>
      </c>
    </row>
    <row r="625" spans="1:7">
      <c r="A625" t="s">
        <v>5711</v>
      </c>
      <c r="B625" t="s">
        <v>94</v>
      </c>
      <c r="C625" t="s">
        <v>3489</v>
      </c>
      <c r="D625" t="s">
        <v>1765</v>
      </c>
      <c r="E625" t="s">
        <v>4114</v>
      </c>
      <c r="F625" s="23">
        <v>44346</v>
      </c>
      <c r="G625" s="1">
        <v>10474</v>
      </c>
    </row>
    <row r="626" spans="1:7">
      <c r="A626" t="s">
        <v>5711</v>
      </c>
      <c r="B626" t="s">
        <v>94</v>
      </c>
      <c r="C626" t="s">
        <v>2382</v>
      </c>
      <c r="D626" t="s">
        <v>5564</v>
      </c>
      <c r="E626" t="s">
        <v>4115</v>
      </c>
      <c r="F626" s="23">
        <v>44993</v>
      </c>
      <c r="G626" s="1">
        <v>753</v>
      </c>
    </row>
    <row r="627" spans="1:7">
      <c r="A627" t="s">
        <v>5711</v>
      </c>
      <c r="B627" t="s">
        <v>298</v>
      </c>
      <c r="C627" t="s">
        <v>2125</v>
      </c>
      <c r="D627" t="s">
        <v>2384</v>
      </c>
      <c r="E627" t="s">
        <v>4116</v>
      </c>
      <c r="F627" s="23">
        <v>44627</v>
      </c>
      <c r="G627" s="1">
        <v>5934</v>
      </c>
    </row>
    <row r="628" spans="1:7">
      <c r="A628" t="s">
        <v>5711</v>
      </c>
      <c r="B628" t="s">
        <v>426</v>
      </c>
      <c r="C628" t="s">
        <v>425</v>
      </c>
      <c r="D628" t="s">
        <v>424</v>
      </c>
      <c r="E628" t="s">
        <v>4117</v>
      </c>
      <c r="F628" s="23">
        <v>44346</v>
      </c>
      <c r="G628" s="1">
        <v>15981</v>
      </c>
    </row>
    <row r="629" spans="1:7">
      <c r="A629" t="s">
        <v>5711</v>
      </c>
      <c r="B629" t="s">
        <v>78</v>
      </c>
      <c r="C629" t="s">
        <v>77</v>
      </c>
      <c r="D629" t="s">
        <v>76</v>
      </c>
      <c r="E629" t="s">
        <v>4118</v>
      </c>
      <c r="F629" s="23">
        <v>44872</v>
      </c>
      <c r="G629" s="1">
        <v>3539</v>
      </c>
    </row>
    <row r="630" spans="1:7">
      <c r="A630" t="s">
        <v>5711</v>
      </c>
      <c r="B630" t="s">
        <v>311</v>
      </c>
      <c r="C630" t="s">
        <v>140</v>
      </c>
      <c r="D630" t="s">
        <v>2093</v>
      </c>
      <c r="E630" t="s">
        <v>4119</v>
      </c>
      <c r="F630" s="23">
        <v>44346</v>
      </c>
      <c r="G630" s="1">
        <v>6234</v>
      </c>
    </row>
    <row r="631" spans="1:7">
      <c r="A631" t="s">
        <v>5711</v>
      </c>
      <c r="B631" t="s">
        <v>202</v>
      </c>
      <c r="C631" t="s">
        <v>995</v>
      </c>
      <c r="D631" t="s">
        <v>994</v>
      </c>
      <c r="E631" t="s">
        <v>4120</v>
      </c>
      <c r="F631" s="23">
        <v>44749</v>
      </c>
      <c r="G631" s="1">
        <v>2338</v>
      </c>
    </row>
    <row r="632" spans="1:7">
      <c r="A632" t="s">
        <v>5711</v>
      </c>
      <c r="B632" t="s">
        <v>94</v>
      </c>
      <c r="C632" t="s">
        <v>3486</v>
      </c>
      <c r="D632" t="s">
        <v>501</v>
      </c>
      <c r="E632" t="s">
        <v>4121</v>
      </c>
      <c r="F632" s="23">
        <v>44346</v>
      </c>
      <c r="G632" s="1">
        <v>17844</v>
      </c>
    </row>
    <row r="633" spans="1:7">
      <c r="A633" t="s">
        <v>5711</v>
      </c>
      <c r="B633" t="s">
        <v>298</v>
      </c>
      <c r="C633" t="s">
        <v>2395</v>
      </c>
      <c r="D633" t="s">
        <v>2394</v>
      </c>
      <c r="E633" t="s">
        <v>4122</v>
      </c>
      <c r="F633" s="23">
        <v>44346</v>
      </c>
      <c r="G633" s="1">
        <v>17969</v>
      </c>
    </row>
    <row r="634" spans="1:7">
      <c r="A634" t="s">
        <v>5711</v>
      </c>
      <c r="B634" t="s">
        <v>101</v>
      </c>
      <c r="C634" t="s">
        <v>1705</v>
      </c>
      <c r="D634" t="s">
        <v>1704</v>
      </c>
      <c r="E634" t="s">
        <v>4123</v>
      </c>
      <c r="F634" s="23">
        <v>44346</v>
      </c>
      <c r="G634" s="1">
        <v>13912</v>
      </c>
    </row>
    <row r="635" spans="1:7">
      <c r="A635" t="s">
        <v>5711</v>
      </c>
      <c r="B635" t="s">
        <v>298</v>
      </c>
      <c r="C635" t="s">
        <v>1896</v>
      </c>
      <c r="D635" t="s">
        <v>3166</v>
      </c>
      <c r="E635" t="s">
        <v>4124</v>
      </c>
      <c r="F635" s="23">
        <v>45061</v>
      </c>
      <c r="G635" s="1">
        <v>10220</v>
      </c>
    </row>
    <row r="636" spans="1:7">
      <c r="A636" t="s">
        <v>5711</v>
      </c>
      <c r="B636" t="s">
        <v>94</v>
      </c>
      <c r="C636" t="s">
        <v>3489</v>
      </c>
      <c r="D636" t="s">
        <v>715</v>
      </c>
      <c r="E636" t="s">
        <v>4125</v>
      </c>
      <c r="F636" s="23">
        <v>44346</v>
      </c>
      <c r="G636" s="1">
        <v>10565</v>
      </c>
    </row>
    <row r="637" spans="1:7">
      <c r="A637" t="s">
        <v>5711</v>
      </c>
      <c r="B637" t="s">
        <v>106</v>
      </c>
      <c r="C637" t="s">
        <v>2231</v>
      </c>
      <c r="D637" t="s">
        <v>2885</v>
      </c>
      <c r="E637" t="s">
        <v>4126</v>
      </c>
      <c r="F637" s="23">
        <v>44806</v>
      </c>
      <c r="G637" s="1">
        <v>6098</v>
      </c>
    </row>
    <row r="638" spans="1:7">
      <c r="A638" t="s">
        <v>5711</v>
      </c>
      <c r="B638" t="s">
        <v>2062</v>
      </c>
      <c r="C638" t="s">
        <v>2547</v>
      </c>
      <c r="D638" t="s">
        <v>2546</v>
      </c>
      <c r="E638" t="s">
        <v>4127</v>
      </c>
      <c r="F638" s="23">
        <v>44346</v>
      </c>
      <c r="G638" s="1">
        <v>3917</v>
      </c>
    </row>
    <row r="639" spans="1:7">
      <c r="A639" t="s">
        <v>5711</v>
      </c>
      <c r="B639" t="s">
        <v>202</v>
      </c>
      <c r="C639" t="s">
        <v>201</v>
      </c>
      <c r="D639" t="s">
        <v>200</v>
      </c>
      <c r="E639" t="s">
        <v>4128</v>
      </c>
      <c r="F639" s="23">
        <v>44346</v>
      </c>
      <c r="G639" s="1">
        <v>6480</v>
      </c>
    </row>
    <row r="640" spans="1:7">
      <c r="A640" t="s">
        <v>5711</v>
      </c>
      <c r="B640" t="s">
        <v>106</v>
      </c>
      <c r="C640" t="s">
        <v>3199</v>
      </c>
      <c r="D640" t="s">
        <v>3198</v>
      </c>
      <c r="E640" t="s">
        <v>4129</v>
      </c>
      <c r="F640" s="23">
        <v>44913</v>
      </c>
      <c r="G640" s="1">
        <v>4153</v>
      </c>
    </row>
    <row r="641" spans="1:7">
      <c r="A641" t="s">
        <v>5711</v>
      </c>
      <c r="B641" t="s">
        <v>94</v>
      </c>
      <c r="C641" t="s">
        <v>2670</v>
      </c>
      <c r="D641" t="s">
        <v>5565</v>
      </c>
      <c r="E641" t="s">
        <v>4130</v>
      </c>
      <c r="F641" s="23">
        <v>44346</v>
      </c>
      <c r="G641" s="1">
        <v>16864</v>
      </c>
    </row>
    <row r="642" spans="1:7">
      <c r="A642" t="s">
        <v>5711</v>
      </c>
      <c r="B642" t="s">
        <v>94</v>
      </c>
      <c r="C642" t="s">
        <v>93</v>
      </c>
      <c r="D642" t="s">
        <v>92</v>
      </c>
      <c r="E642" t="s">
        <v>4131</v>
      </c>
      <c r="F642" s="23">
        <v>44756</v>
      </c>
      <c r="G642" s="1">
        <v>11797</v>
      </c>
    </row>
    <row r="643" spans="1:7">
      <c r="A643" t="s">
        <v>5711</v>
      </c>
      <c r="B643" t="s">
        <v>311</v>
      </c>
      <c r="C643" t="s">
        <v>2075</v>
      </c>
      <c r="D643" t="s">
        <v>2074</v>
      </c>
      <c r="E643" t="s">
        <v>4132</v>
      </c>
      <c r="F643" s="23">
        <v>44346</v>
      </c>
      <c r="G643" s="1">
        <v>17552</v>
      </c>
    </row>
    <row r="644" spans="1:7">
      <c r="A644" t="s">
        <v>5711</v>
      </c>
      <c r="B644" t="s">
        <v>298</v>
      </c>
      <c r="C644" t="s">
        <v>1881</v>
      </c>
      <c r="D644" t="s">
        <v>1880</v>
      </c>
      <c r="E644" t="s">
        <v>4133</v>
      </c>
      <c r="F644" s="23">
        <v>44346</v>
      </c>
      <c r="G644" s="1">
        <v>15843</v>
      </c>
    </row>
    <row r="645" spans="1:7">
      <c r="A645" t="s">
        <v>5711</v>
      </c>
      <c r="B645" t="s">
        <v>298</v>
      </c>
      <c r="C645" t="s">
        <v>2553</v>
      </c>
      <c r="D645" t="s">
        <v>2552</v>
      </c>
      <c r="E645" t="s">
        <v>4134</v>
      </c>
      <c r="F645" s="23">
        <v>44922</v>
      </c>
      <c r="G645" s="1">
        <v>7079</v>
      </c>
    </row>
    <row r="646" spans="1:7">
      <c r="A646" t="s">
        <v>5711</v>
      </c>
      <c r="B646" t="s">
        <v>97</v>
      </c>
      <c r="C646" t="s">
        <v>223</v>
      </c>
      <c r="D646" t="s">
        <v>222</v>
      </c>
      <c r="E646" t="s">
        <v>4135</v>
      </c>
      <c r="F646" s="23">
        <v>44346</v>
      </c>
      <c r="G646" s="1">
        <v>12237</v>
      </c>
    </row>
    <row r="647" spans="1:7">
      <c r="A647" t="s">
        <v>5711</v>
      </c>
      <c r="B647" t="s">
        <v>94</v>
      </c>
      <c r="C647" t="s">
        <v>3485</v>
      </c>
      <c r="D647" t="s">
        <v>5566</v>
      </c>
      <c r="E647" t="s">
        <v>4136</v>
      </c>
      <c r="F647" s="23">
        <v>44346</v>
      </c>
      <c r="G647" s="1">
        <v>18684</v>
      </c>
    </row>
    <row r="648" spans="1:7">
      <c r="A648" t="s">
        <v>5711</v>
      </c>
      <c r="B648" t="s">
        <v>94</v>
      </c>
      <c r="C648" t="s">
        <v>2533</v>
      </c>
      <c r="D648" t="s">
        <v>2532</v>
      </c>
      <c r="E648" t="s">
        <v>4137</v>
      </c>
      <c r="F648" s="23">
        <v>44635</v>
      </c>
      <c r="G648" s="1">
        <v>8593</v>
      </c>
    </row>
    <row r="649" spans="1:7">
      <c r="A649" t="s">
        <v>5711</v>
      </c>
      <c r="B649" t="s">
        <v>94</v>
      </c>
      <c r="C649" t="s">
        <v>2838</v>
      </c>
      <c r="D649" t="s">
        <v>3163</v>
      </c>
      <c r="E649" t="s">
        <v>4138</v>
      </c>
      <c r="F649" s="23">
        <v>44346</v>
      </c>
      <c r="G649" s="1">
        <v>8639</v>
      </c>
    </row>
    <row r="650" spans="1:7">
      <c r="A650" t="s">
        <v>5711</v>
      </c>
      <c r="B650" t="s">
        <v>94</v>
      </c>
      <c r="C650" t="s">
        <v>3370</v>
      </c>
      <c r="D650" t="s">
        <v>3369</v>
      </c>
      <c r="E650" t="s">
        <v>4139</v>
      </c>
      <c r="F650" s="23">
        <v>44674</v>
      </c>
      <c r="G650" s="1">
        <v>3697</v>
      </c>
    </row>
    <row r="651" spans="1:7">
      <c r="A651" t="s">
        <v>5711</v>
      </c>
      <c r="B651" t="s">
        <v>94</v>
      </c>
      <c r="C651" t="s">
        <v>3490</v>
      </c>
      <c r="D651" t="s">
        <v>540</v>
      </c>
      <c r="E651" t="s">
        <v>4140</v>
      </c>
      <c r="F651" s="23">
        <v>44606</v>
      </c>
      <c r="G651" s="1">
        <v>7107</v>
      </c>
    </row>
    <row r="652" spans="1:7">
      <c r="A652" t="s">
        <v>5711</v>
      </c>
      <c r="B652" t="s">
        <v>37</v>
      </c>
      <c r="C652" t="s">
        <v>1622</v>
      </c>
      <c r="D652" t="s">
        <v>1621</v>
      </c>
      <c r="E652" t="s">
        <v>4141</v>
      </c>
      <c r="F652" s="23">
        <v>44962</v>
      </c>
      <c r="G652" s="1">
        <v>5067</v>
      </c>
    </row>
    <row r="653" spans="1:7">
      <c r="A653" t="s">
        <v>5711</v>
      </c>
      <c r="B653" t="s">
        <v>106</v>
      </c>
      <c r="C653" t="s">
        <v>1367</v>
      </c>
      <c r="D653" t="s">
        <v>5567</v>
      </c>
      <c r="E653" t="s">
        <v>4142</v>
      </c>
      <c r="F653" s="23">
        <v>44346</v>
      </c>
      <c r="G653" s="1">
        <v>16713</v>
      </c>
    </row>
    <row r="654" spans="1:7">
      <c r="A654" t="s">
        <v>5711</v>
      </c>
      <c r="B654" t="s">
        <v>101</v>
      </c>
      <c r="C654" t="s">
        <v>1629</v>
      </c>
      <c r="D654" t="s">
        <v>1628</v>
      </c>
      <c r="E654" t="s">
        <v>4143</v>
      </c>
      <c r="F654" s="23">
        <v>44346</v>
      </c>
      <c r="G654" s="1">
        <v>12300</v>
      </c>
    </row>
    <row r="655" spans="1:7">
      <c r="A655" t="s">
        <v>5711</v>
      </c>
      <c r="B655" t="s">
        <v>94</v>
      </c>
      <c r="C655" t="s">
        <v>2428</v>
      </c>
      <c r="D655" t="s">
        <v>5568</v>
      </c>
      <c r="E655" t="s">
        <v>4144</v>
      </c>
      <c r="F655" s="23">
        <v>44489</v>
      </c>
      <c r="G655" s="1">
        <v>3272</v>
      </c>
    </row>
    <row r="656" spans="1:7">
      <c r="A656" t="s">
        <v>5711</v>
      </c>
      <c r="B656" t="s">
        <v>233</v>
      </c>
      <c r="C656" t="s">
        <v>579</v>
      </c>
      <c r="D656" t="s">
        <v>578</v>
      </c>
      <c r="E656" t="s">
        <v>4145</v>
      </c>
      <c r="F656" s="23">
        <v>44346</v>
      </c>
      <c r="G656" s="1">
        <v>7072</v>
      </c>
    </row>
    <row r="657" spans="1:7">
      <c r="A657" t="s">
        <v>5711</v>
      </c>
      <c r="B657" t="s">
        <v>311</v>
      </c>
      <c r="C657" t="s">
        <v>745</v>
      </c>
      <c r="D657" t="s">
        <v>744</v>
      </c>
      <c r="E657" t="s">
        <v>4146</v>
      </c>
      <c r="F657" s="23">
        <v>44346</v>
      </c>
      <c r="G657" s="1">
        <v>15297</v>
      </c>
    </row>
    <row r="658" spans="1:7">
      <c r="A658" t="s">
        <v>5711</v>
      </c>
      <c r="B658" t="s">
        <v>106</v>
      </c>
      <c r="C658" t="s">
        <v>2641</v>
      </c>
      <c r="D658" t="s">
        <v>2640</v>
      </c>
      <c r="E658" t="s">
        <v>4147</v>
      </c>
      <c r="F658" s="23">
        <v>44346</v>
      </c>
      <c r="G658" s="1">
        <v>1590</v>
      </c>
    </row>
    <row r="659" spans="1:7">
      <c r="A659" t="s">
        <v>5711</v>
      </c>
      <c r="B659" t="s">
        <v>737</v>
      </c>
      <c r="C659" t="s">
        <v>736</v>
      </c>
      <c r="D659" t="s">
        <v>735</v>
      </c>
      <c r="E659" t="s">
        <v>4148</v>
      </c>
      <c r="F659" s="23">
        <v>44346</v>
      </c>
      <c r="G659" s="1">
        <v>16584</v>
      </c>
    </row>
    <row r="660" spans="1:7">
      <c r="A660" t="s">
        <v>5711</v>
      </c>
      <c r="B660" t="s">
        <v>94</v>
      </c>
      <c r="C660" t="s">
        <v>2521</v>
      </c>
      <c r="D660" t="s">
        <v>2520</v>
      </c>
      <c r="E660" t="s">
        <v>4149</v>
      </c>
      <c r="F660" s="23">
        <v>44346</v>
      </c>
      <c r="G660" s="1">
        <v>19772</v>
      </c>
    </row>
    <row r="661" spans="1:7">
      <c r="A661" t="s">
        <v>5711</v>
      </c>
      <c r="B661" t="s">
        <v>94</v>
      </c>
      <c r="C661" t="s">
        <v>2432</v>
      </c>
      <c r="D661" t="s">
        <v>2431</v>
      </c>
      <c r="E661" t="s">
        <v>4150</v>
      </c>
      <c r="F661" s="23">
        <v>44346</v>
      </c>
      <c r="G661" s="1">
        <v>13774</v>
      </c>
    </row>
    <row r="662" spans="1:7">
      <c r="A662" t="s">
        <v>5711</v>
      </c>
      <c r="B662" t="s">
        <v>106</v>
      </c>
      <c r="C662" t="s">
        <v>2059</v>
      </c>
      <c r="D662" t="s">
        <v>2058</v>
      </c>
      <c r="E662" t="s">
        <v>4151</v>
      </c>
      <c r="F662" s="23">
        <v>44730</v>
      </c>
      <c r="G662" s="1">
        <v>7731</v>
      </c>
    </row>
    <row r="663" spans="1:7">
      <c r="A663" t="s">
        <v>5711</v>
      </c>
      <c r="B663" t="s">
        <v>106</v>
      </c>
      <c r="C663" t="s">
        <v>2767</v>
      </c>
      <c r="D663" t="s">
        <v>2875</v>
      </c>
      <c r="E663" t="s">
        <v>4152</v>
      </c>
      <c r="F663" s="23">
        <v>44346</v>
      </c>
      <c r="G663" s="1">
        <v>18386</v>
      </c>
    </row>
    <row r="664" spans="1:7">
      <c r="A664" t="s">
        <v>5711</v>
      </c>
      <c r="B664" t="s">
        <v>94</v>
      </c>
      <c r="C664" t="s">
        <v>2313</v>
      </c>
      <c r="D664" t="s">
        <v>2312</v>
      </c>
      <c r="E664" t="s">
        <v>4153</v>
      </c>
      <c r="F664" s="23">
        <v>44346</v>
      </c>
      <c r="G664" s="1">
        <v>17190</v>
      </c>
    </row>
    <row r="665" spans="1:7">
      <c r="A665" t="s">
        <v>5711</v>
      </c>
      <c r="B665" t="s">
        <v>94</v>
      </c>
      <c r="C665" t="s">
        <v>2273</v>
      </c>
      <c r="D665" t="s">
        <v>2272</v>
      </c>
      <c r="E665" t="s">
        <v>4154</v>
      </c>
      <c r="F665" s="23">
        <v>44346</v>
      </c>
      <c r="G665" s="1">
        <v>17843</v>
      </c>
    </row>
    <row r="666" spans="1:7">
      <c r="A666" t="s">
        <v>5711</v>
      </c>
      <c r="B666" t="s">
        <v>311</v>
      </c>
      <c r="C666" t="s">
        <v>2323</v>
      </c>
      <c r="D666" t="s">
        <v>2322</v>
      </c>
      <c r="E666" t="s">
        <v>4155</v>
      </c>
      <c r="F666" s="23">
        <v>44469</v>
      </c>
      <c r="G666" s="1">
        <v>7871</v>
      </c>
    </row>
    <row r="667" spans="1:7">
      <c r="A667" t="s">
        <v>5711</v>
      </c>
      <c r="B667" t="s">
        <v>94</v>
      </c>
      <c r="C667" t="s">
        <v>2251</v>
      </c>
      <c r="D667" t="s">
        <v>5569</v>
      </c>
      <c r="E667" t="s">
        <v>4156</v>
      </c>
      <c r="F667" s="23">
        <v>44346</v>
      </c>
      <c r="G667" s="1">
        <v>5435</v>
      </c>
    </row>
    <row r="668" spans="1:7">
      <c r="A668" t="s">
        <v>5711</v>
      </c>
      <c r="B668" t="s">
        <v>298</v>
      </c>
      <c r="C668" t="s">
        <v>3309</v>
      </c>
      <c r="D668" t="s">
        <v>3308</v>
      </c>
      <c r="E668" t="s">
        <v>4157</v>
      </c>
      <c r="F668" s="23">
        <v>44346</v>
      </c>
      <c r="G668" s="1">
        <v>14732</v>
      </c>
    </row>
    <row r="669" spans="1:7">
      <c r="A669" t="s">
        <v>5711</v>
      </c>
      <c r="B669" t="s">
        <v>94</v>
      </c>
      <c r="C669" t="s">
        <v>2285</v>
      </c>
      <c r="D669" t="s">
        <v>2284</v>
      </c>
      <c r="E669" t="s">
        <v>4158</v>
      </c>
      <c r="F669" s="23">
        <v>44869</v>
      </c>
      <c r="G669" s="1">
        <v>10403</v>
      </c>
    </row>
    <row r="670" spans="1:7">
      <c r="A670" t="s">
        <v>5711</v>
      </c>
      <c r="B670" t="s">
        <v>94</v>
      </c>
      <c r="C670" t="s">
        <v>2533</v>
      </c>
      <c r="D670" t="s">
        <v>2787</v>
      </c>
      <c r="E670" t="s">
        <v>4159</v>
      </c>
      <c r="F670" s="23">
        <v>44346</v>
      </c>
      <c r="G670" s="1">
        <v>9072</v>
      </c>
    </row>
    <row r="671" spans="1:7">
      <c r="A671" t="s">
        <v>5711</v>
      </c>
      <c r="B671" t="s">
        <v>94</v>
      </c>
      <c r="C671" t="s">
        <v>386</v>
      </c>
      <c r="D671" t="s">
        <v>385</v>
      </c>
      <c r="E671" t="s">
        <v>4160</v>
      </c>
      <c r="F671" s="23">
        <v>44346</v>
      </c>
      <c r="G671" s="1">
        <v>19628</v>
      </c>
    </row>
    <row r="672" spans="1:7">
      <c r="A672" t="s">
        <v>5711</v>
      </c>
      <c r="B672" t="s">
        <v>106</v>
      </c>
      <c r="C672" t="s">
        <v>1357</v>
      </c>
      <c r="D672" t="s">
        <v>1356</v>
      </c>
      <c r="E672" t="s">
        <v>4161</v>
      </c>
      <c r="F672" s="23">
        <v>44999</v>
      </c>
      <c r="G672" s="1">
        <v>8412</v>
      </c>
    </row>
    <row r="673" spans="1:7">
      <c r="A673" t="s">
        <v>5711</v>
      </c>
      <c r="B673" t="s">
        <v>94</v>
      </c>
      <c r="C673" t="s">
        <v>3265</v>
      </c>
      <c r="D673" t="s">
        <v>3264</v>
      </c>
      <c r="E673" t="s">
        <v>4162</v>
      </c>
      <c r="F673" s="23">
        <v>44346</v>
      </c>
      <c r="G673" s="1">
        <v>14196</v>
      </c>
    </row>
    <row r="674" spans="1:7">
      <c r="A674" t="s">
        <v>5711</v>
      </c>
      <c r="B674" t="s">
        <v>1223</v>
      </c>
      <c r="C674" t="s">
        <v>3035</v>
      </c>
      <c r="D674" t="s">
        <v>5570</v>
      </c>
      <c r="E674" t="s">
        <v>4163</v>
      </c>
      <c r="F674" s="23">
        <v>44837</v>
      </c>
      <c r="G674" s="1">
        <v>10231</v>
      </c>
    </row>
    <row r="675" spans="1:7">
      <c r="A675" t="s">
        <v>5711</v>
      </c>
      <c r="B675" t="s">
        <v>106</v>
      </c>
      <c r="C675" t="s">
        <v>2204</v>
      </c>
      <c r="D675" t="s">
        <v>2203</v>
      </c>
      <c r="E675" t="s">
        <v>4164</v>
      </c>
      <c r="F675" s="23">
        <v>44346</v>
      </c>
      <c r="G675" s="1">
        <v>7311</v>
      </c>
    </row>
    <row r="676" spans="1:7">
      <c r="A676" t="s">
        <v>5711</v>
      </c>
      <c r="B676" t="s">
        <v>94</v>
      </c>
      <c r="C676" t="s">
        <v>3487</v>
      </c>
      <c r="D676" t="s">
        <v>1782</v>
      </c>
      <c r="E676" t="s">
        <v>4165</v>
      </c>
      <c r="F676" s="23">
        <v>44346</v>
      </c>
      <c r="G676" s="1">
        <v>16562</v>
      </c>
    </row>
    <row r="677" spans="1:7">
      <c r="A677" t="s">
        <v>5711</v>
      </c>
      <c r="B677" t="s">
        <v>106</v>
      </c>
      <c r="C677" t="s">
        <v>2179</v>
      </c>
      <c r="D677" t="s">
        <v>2178</v>
      </c>
      <c r="E677" t="s">
        <v>4166</v>
      </c>
      <c r="F677" s="23">
        <v>44369</v>
      </c>
      <c r="G677" s="1">
        <v>1914</v>
      </c>
    </row>
    <row r="678" spans="1:7">
      <c r="A678" t="s">
        <v>5711</v>
      </c>
      <c r="B678" t="s">
        <v>37</v>
      </c>
      <c r="C678" t="s">
        <v>785</v>
      </c>
      <c r="D678" t="s">
        <v>784</v>
      </c>
      <c r="E678" t="s">
        <v>4167</v>
      </c>
      <c r="F678" s="23">
        <v>44346</v>
      </c>
      <c r="G678" s="1">
        <v>13517</v>
      </c>
    </row>
    <row r="679" spans="1:7">
      <c r="A679" t="s">
        <v>5711</v>
      </c>
      <c r="B679" t="s">
        <v>122</v>
      </c>
      <c r="C679" t="s">
        <v>121</v>
      </c>
      <c r="D679" t="s">
        <v>120</v>
      </c>
      <c r="E679" t="s">
        <v>4168</v>
      </c>
      <c r="F679" s="23">
        <v>44901</v>
      </c>
      <c r="G679" s="1">
        <v>7533</v>
      </c>
    </row>
    <row r="680" spans="1:7">
      <c r="A680" t="s">
        <v>5711</v>
      </c>
      <c r="B680" t="s">
        <v>311</v>
      </c>
      <c r="C680" t="s">
        <v>3144</v>
      </c>
      <c r="D680" t="s">
        <v>3143</v>
      </c>
      <c r="E680" t="s">
        <v>4169</v>
      </c>
      <c r="F680" s="23">
        <v>44595</v>
      </c>
      <c r="G680" s="1">
        <v>1936</v>
      </c>
    </row>
    <row r="681" spans="1:7">
      <c r="A681" t="s">
        <v>5711</v>
      </c>
      <c r="B681" t="s">
        <v>106</v>
      </c>
      <c r="C681" t="s">
        <v>2226</v>
      </c>
      <c r="D681" t="s">
        <v>3313</v>
      </c>
      <c r="E681" t="s">
        <v>4170</v>
      </c>
      <c r="F681" s="23">
        <v>44823</v>
      </c>
      <c r="G681" s="1">
        <v>1298</v>
      </c>
    </row>
    <row r="682" spans="1:7">
      <c r="A682" t="s">
        <v>5711</v>
      </c>
      <c r="B682" t="s">
        <v>43</v>
      </c>
      <c r="C682" t="s">
        <v>1675</v>
      </c>
      <c r="D682" t="s">
        <v>1673</v>
      </c>
      <c r="E682" t="s">
        <v>4171</v>
      </c>
      <c r="F682" s="23">
        <v>45026</v>
      </c>
      <c r="G682" s="1">
        <v>9860</v>
      </c>
    </row>
    <row r="683" spans="1:7">
      <c r="A683" t="s">
        <v>5711</v>
      </c>
      <c r="B683" t="s">
        <v>233</v>
      </c>
      <c r="C683" t="s">
        <v>921</v>
      </c>
      <c r="D683" t="s">
        <v>920</v>
      </c>
      <c r="E683" t="s">
        <v>4172</v>
      </c>
      <c r="F683" s="23">
        <v>44346</v>
      </c>
      <c r="G683" s="1">
        <v>17818</v>
      </c>
    </row>
    <row r="684" spans="1:7">
      <c r="A684" t="s">
        <v>5711</v>
      </c>
      <c r="B684" t="s">
        <v>94</v>
      </c>
      <c r="C684" t="s">
        <v>2728</v>
      </c>
      <c r="D684" t="s">
        <v>2727</v>
      </c>
      <c r="E684" t="s">
        <v>4173</v>
      </c>
      <c r="F684" s="23">
        <v>44346</v>
      </c>
      <c r="G684" s="1">
        <v>7259</v>
      </c>
    </row>
    <row r="685" spans="1:7">
      <c r="A685" t="s">
        <v>5711</v>
      </c>
      <c r="B685" t="s">
        <v>375</v>
      </c>
      <c r="C685" t="s">
        <v>1282</v>
      </c>
      <c r="D685" t="s">
        <v>1281</v>
      </c>
      <c r="E685" t="s">
        <v>4174</v>
      </c>
      <c r="F685" s="23">
        <v>44582</v>
      </c>
      <c r="G685" s="1">
        <v>5964</v>
      </c>
    </row>
    <row r="686" spans="1:7">
      <c r="A686" t="s">
        <v>5711</v>
      </c>
      <c r="B686" t="s">
        <v>94</v>
      </c>
      <c r="C686" t="s">
        <v>3126</v>
      </c>
      <c r="D686" t="s">
        <v>3125</v>
      </c>
      <c r="E686" t="s">
        <v>4175</v>
      </c>
      <c r="F686" s="23">
        <v>44346</v>
      </c>
      <c r="G686" s="1">
        <v>15882</v>
      </c>
    </row>
    <row r="687" spans="1:7">
      <c r="A687" t="s">
        <v>5711</v>
      </c>
      <c r="B687" t="s">
        <v>480</v>
      </c>
      <c r="C687" t="s">
        <v>931</v>
      </c>
      <c r="D687" t="s">
        <v>5571</v>
      </c>
      <c r="E687" t="s">
        <v>4176</v>
      </c>
      <c r="F687" s="23">
        <v>44346</v>
      </c>
      <c r="G687" s="1">
        <v>2032</v>
      </c>
    </row>
    <row r="688" spans="1:7">
      <c r="A688" t="s">
        <v>5711</v>
      </c>
      <c r="B688" t="s">
        <v>94</v>
      </c>
      <c r="C688" t="s">
        <v>2313</v>
      </c>
      <c r="D688" t="s">
        <v>2997</v>
      </c>
      <c r="E688" t="s">
        <v>4177</v>
      </c>
      <c r="F688" s="23">
        <v>44437</v>
      </c>
      <c r="G688" s="1">
        <v>3197</v>
      </c>
    </row>
    <row r="689" spans="1:7">
      <c r="A689" t="s">
        <v>5711</v>
      </c>
      <c r="B689" t="s">
        <v>1223</v>
      </c>
      <c r="C689" t="s">
        <v>1946</v>
      </c>
      <c r="D689" t="s">
        <v>1945</v>
      </c>
      <c r="E689" t="s">
        <v>4178</v>
      </c>
      <c r="F689" s="23">
        <v>44346</v>
      </c>
      <c r="G689" s="1">
        <v>8841</v>
      </c>
    </row>
    <row r="690" spans="1:7">
      <c r="A690" t="s">
        <v>5711</v>
      </c>
      <c r="B690" t="s">
        <v>298</v>
      </c>
      <c r="C690" t="s">
        <v>2591</v>
      </c>
      <c r="D690" t="s">
        <v>2590</v>
      </c>
      <c r="E690" t="s">
        <v>4179</v>
      </c>
      <c r="F690" s="23">
        <v>44924</v>
      </c>
      <c r="G690" s="1">
        <v>11364</v>
      </c>
    </row>
    <row r="691" spans="1:7">
      <c r="A691" t="s">
        <v>5711</v>
      </c>
      <c r="B691" t="s">
        <v>298</v>
      </c>
      <c r="C691" t="s">
        <v>2503</v>
      </c>
      <c r="D691" t="s">
        <v>2502</v>
      </c>
      <c r="E691" t="s">
        <v>4180</v>
      </c>
      <c r="F691" s="23">
        <v>44346</v>
      </c>
      <c r="G691" s="1">
        <v>5375</v>
      </c>
    </row>
    <row r="692" spans="1:7">
      <c r="A692" t="s">
        <v>5711</v>
      </c>
      <c r="B692" t="s">
        <v>298</v>
      </c>
      <c r="C692" t="s">
        <v>2400</v>
      </c>
      <c r="D692" t="s">
        <v>2399</v>
      </c>
      <c r="E692" t="s">
        <v>4181</v>
      </c>
      <c r="F692" s="23">
        <v>45053</v>
      </c>
      <c r="G692" s="1">
        <v>1877</v>
      </c>
    </row>
    <row r="693" spans="1:7">
      <c r="A693" t="s">
        <v>5711</v>
      </c>
      <c r="B693" t="s">
        <v>106</v>
      </c>
      <c r="C693" t="s">
        <v>861</v>
      </c>
      <c r="D693" t="s">
        <v>860</v>
      </c>
      <c r="E693" t="s">
        <v>4182</v>
      </c>
      <c r="F693" s="23">
        <v>44346</v>
      </c>
      <c r="G693" s="1">
        <v>12711</v>
      </c>
    </row>
    <row r="694" spans="1:7">
      <c r="A694" t="s">
        <v>5711</v>
      </c>
      <c r="B694" t="s">
        <v>122</v>
      </c>
      <c r="C694" t="s">
        <v>1812</v>
      </c>
      <c r="D694" t="s">
        <v>1811</v>
      </c>
      <c r="E694" t="s">
        <v>4183</v>
      </c>
      <c r="F694" s="23">
        <v>44346</v>
      </c>
      <c r="G694" s="1">
        <v>9453</v>
      </c>
    </row>
    <row r="695" spans="1:7">
      <c r="A695" t="s">
        <v>5711</v>
      </c>
      <c r="B695" t="s">
        <v>367</v>
      </c>
      <c r="C695" t="s">
        <v>1053</v>
      </c>
      <c r="D695" t="s">
        <v>5572</v>
      </c>
      <c r="E695" t="s">
        <v>4184</v>
      </c>
      <c r="F695" s="23">
        <v>44898</v>
      </c>
      <c r="G695" s="1">
        <v>11342</v>
      </c>
    </row>
    <row r="696" spans="1:7">
      <c r="A696" t="s">
        <v>5711</v>
      </c>
      <c r="B696" t="s">
        <v>1223</v>
      </c>
      <c r="C696" t="s">
        <v>1222</v>
      </c>
      <c r="D696" t="s">
        <v>1221</v>
      </c>
      <c r="E696" t="s">
        <v>4185</v>
      </c>
      <c r="F696" s="23">
        <v>44346</v>
      </c>
      <c r="G696" s="1">
        <v>10988</v>
      </c>
    </row>
    <row r="697" spans="1:7">
      <c r="A697" t="s">
        <v>5711</v>
      </c>
      <c r="B697" t="s">
        <v>233</v>
      </c>
      <c r="C697" t="s">
        <v>2373</v>
      </c>
      <c r="D697" t="s">
        <v>2372</v>
      </c>
      <c r="E697" t="s">
        <v>4186</v>
      </c>
      <c r="F697" s="23">
        <v>44346</v>
      </c>
      <c r="G697" s="1">
        <v>5436</v>
      </c>
    </row>
    <row r="698" spans="1:7">
      <c r="A698" t="s">
        <v>5711</v>
      </c>
      <c r="B698" t="s">
        <v>298</v>
      </c>
      <c r="C698" t="s">
        <v>1987</v>
      </c>
      <c r="D698" t="s">
        <v>2525</v>
      </c>
      <c r="E698" t="s">
        <v>4187</v>
      </c>
      <c r="F698" s="23">
        <v>44346</v>
      </c>
      <c r="G698" s="1">
        <v>17881</v>
      </c>
    </row>
    <row r="699" spans="1:7">
      <c r="A699" t="s">
        <v>5711</v>
      </c>
      <c r="B699" t="s">
        <v>106</v>
      </c>
      <c r="C699" t="s">
        <v>1982</v>
      </c>
      <c r="D699" t="s">
        <v>1981</v>
      </c>
      <c r="E699" t="s">
        <v>4188</v>
      </c>
      <c r="F699" s="23">
        <v>44346</v>
      </c>
      <c r="G699" s="1">
        <v>19253</v>
      </c>
    </row>
    <row r="700" spans="1:7">
      <c r="A700" t="s">
        <v>5711</v>
      </c>
      <c r="B700" t="s">
        <v>78</v>
      </c>
      <c r="C700" t="s">
        <v>1719</v>
      </c>
      <c r="D700" t="s">
        <v>1718</v>
      </c>
      <c r="E700" t="s">
        <v>4189</v>
      </c>
      <c r="F700" s="23">
        <v>44346</v>
      </c>
      <c r="G700" s="1">
        <v>14551</v>
      </c>
    </row>
    <row r="701" spans="1:7">
      <c r="A701" t="s">
        <v>5711</v>
      </c>
      <c r="B701" t="s">
        <v>106</v>
      </c>
      <c r="C701" t="s">
        <v>2482</v>
      </c>
      <c r="D701" t="s">
        <v>2481</v>
      </c>
      <c r="E701" t="s">
        <v>4190</v>
      </c>
      <c r="F701" s="23">
        <v>44592</v>
      </c>
      <c r="G701" s="1">
        <v>9794</v>
      </c>
    </row>
    <row r="702" spans="1:7">
      <c r="A702" t="s">
        <v>5711</v>
      </c>
      <c r="B702" t="s">
        <v>311</v>
      </c>
      <c r="C702" t="s">
        <v>694</v>
      </c>
      <c r="D702" t="s">
        <v>5573</v>
      </c>
      <c r="E702" t="s">
        <v>4191</v>
      </c>
      <c r="F702" s="23">
        <v>45038</v>
      </c>
      <c r="G702" s="1">
        <v>8952</v>
      </c>
    </row>
    <row r="703" spans="1:7">
      <c r="A703" t="s">
        <v>5711</v>
      </c>
      <c r="B703" t="s">
        <v>94</v>
      </c>
      <c r="C703" t="s">
        <v>2487</v>
      </c>
      <c r="D703" t="s">
        <v>2895</v>
      </c>
      <c r="E703" t="s">
        <v>4192</v>
      </c>
      <c r="F703" s="23">
        <v>44989</v>
      </c>
      <c r="G703" s="1">
        <v>2526</v>
      </c>
    </row>
    <row r="704" spans="1:7">
      <c r="A704" t="s">
        <v>5711</v>
      </c>
      <c r="B704" t="s">
        <v>68</v>
      </c>
      <c r="C704" t="s">
        <v>669</v>
      </c>
      <c r="D704" t="s">
        <v>668</v>
      </c>
      <c r="E704" t="s">
        <v>4193</v>
      </c>
      <c r="F704" s="23">
        <v>44892</v>
      </c>
      <c r="G704" s="1">
        <v>11708</v>
      </c>
    </row>
    <row r="705" spans="1:7">
      <c r="A705" t="s">
        <v>5711</v>
      </c>
      <c r="B705" t="s">
        <v>106</v>
      </c>
      <c r="C705" t="s">
        <v>1448</v>
      </c>
      <c r="D705" t="s">
        <v>1447</v>
      </c>
      <c r="E705" t="s">
        <v>4194</v>
      </c>
      <c r="F705" s="23">
        <v>44498</v>
      </c>
      <c r="G705" s="1">
        <v>1252</v>
      </c>
    </row>
    <row r="706" spans="1:7">
      <c r="A706" t="s">
        <v>5711</v>
      </c>
      <c r="B706" t="s">
        <v>94</v>
      </c>
      <c r="C706" t="s">
        <v>1920</v>
      </c>
      <c r="D706" t="s">
        <v>3277</v>
      </c>
      <c r="E706" t="s">
        <v>4195</v>
      </c>
      <c r="F706" s="23">
        <v>44346</v>
      </c>
      <c r="G706" s="1">
        <v>18195</v>
      </c>
    </row>
    <row r="707" spans="1:7">
      <c r="A707" t="s">
        <v>5711</v>
      </c>
      <c r="B707" t="s">
        <v>135</v>
      </c>
      <c r="C707" t="s">
        <v>1296</v>
      </c>
      <c r="D707" t="s">
        <v>1295</v>
      </c>
      <c r="E707" t="s">
        <v>4196</v>
      </c>
      <c r="F707" s="23">
        <v>44975</v>
      </c>
      <c r="G707" s="1">
        <v>7824</v>
      </c>
    </row>
    <row r="708" spans="1:7">
      <c r="A708" t="s">
        <v>5711</v>
      </c>
      <c r="B708" t="s">
        <v>106</v>
      </c>
      <c r="C708" t="s">
        <v>1872</v>
      </c>
      <c r="D708" t="s">
        <v>2971</v>
      </c>
      <c r="E708" t="s">
        <v>4197</v>
      </c>
      <c r="F708" s="23">
        <v>44646</v>
      </c>
      <c r="G708" s="1">
        <v>2202</v>
      </c>
    </row>
    <row r="709" spans="1:7">
      <c r="A709" t="s">
        <v>5711</v>
      </c>
      <c r="B709" t="s">
        <v>94</v>
      </c>
      <c r="C709" t="s">
        <v>2779</v>
      </c>
      <c r="D709" t="s">
        <v>2778</v>
      </c>
      <c r="E709" t="s">
        <v>4198</v>
      </c>
      <c r="F709" s="23">
        <v>44346</v>
      </c>
      <c r="G709" s="1">
        <v>16562</v>
      </c>
    </row>
    <row r="710" spans="1:7">
      <c r="A710" t="s">
        <v>5711</v>
      </c>
      <c r="B710" t="s">
        <v>233</v>
      </c>
      <c r="C710" t="s">
        <v>2668</v>
      </c>
      <c r="D710" t="s">
        <v>2667</v>
      </c>
      <c r="E710" t="s">
        <v>4199</v>
      </c>
      <c r="F710" s="23">
        <v>44709</v>
      </c>
      <c r="G710" s="1">
        <v>1563</v>
      </c>
    </row>
    <row r="711" spans="1:7">
      <c r="A711" t="s">
        <v>5711</v>
      </c>
      <c r="B711" t="s">
        <v>94</v>
      </c>
      <c r="C711" t="s">
        <v>3486</v>
      </c>
      <c r="D711" t="s">
        <v>141</v>
      </c>
      <c r="E711" t="s">
        <v>4200</v>
      </c>
      <c r="F711" s="23">
        <v>44604</v>
      </c>
      <c r="G711" s="1">
        <v>9784</v>
      </c>
    </row>
    <row r="712" spans="1:7">
      <c r="A712" t="s">
        <v>5711</v>
      </c>
      <c r="B712" t="s">
        <v>97</v>
      </c>
      <c r="C712" t="s">
        <v>1755</v>
      </c>
      <c r="D712" t="s">
        <v>1754</v>
      </c>
      <c r="E712" t="s">
        <v>4201</v>
      </c>
      <c r="F712" s="23">
        <v>44821</v>
      </c>
      <c r="G712" s="1">
        <v>11303</v>
      </c>
    </row>
    <row r="713" spans="1:7">
      <c r="A713" t="s">
        <v>5711</v>
      </c>
      <c r="B713" t="s">
        <v>37</v>
      </c>
      <c r="C713" t="s">
        <v>587</v>
      </c>
      <c r="D713" t="s">
        <v>5574</v>
      </c>
      <c r="E713" t="s">
        <v>4202</v>
      </c>
      <c r="F713" s="23">
        <v>44346</v>
      </c>
      <c r="G713" s="1">
        <v>7588</v>
      </c>
    </row>
    <row r="714" spans="1:7">
      <c r="A714" t="s">
        <v>5711</v>
      </c>
      <c r="B714" t="s">
        <v>106</v>
      </c>
      <c r="C714" t="s">
        <v>2250</v>
      </c>
      <c r="D714" t="s">
        <v>2249</v>
      </c>
      <c r="E714" t="s">
        <v>4203</v>
      </c>
      <c r="F714" s="23">
        <v>44346</v>
      </c>
      <c r="G714" s="1">
        <v>3499</v>
      </c>
    </row>
    <row r="715" spans="1:7">
      <c r="A715" t="s">
        <v>5711</v>
      </c>
      <c r="B715" t="s">
        <v>233</v>
      </c>
      <c r="C715" t="s">
        <v>2799</v>
      </c>
      <c r="D715" t="s">
        <v>2798</v>
      </c>
      <c r="E715" t="s">
        <v>4204</v>
      </c>
      <c r="F715" s="23">
        <v>44346</v>
      </c>
      <c r="G715" s="1">
        <v>17809</v>
      </c>
    </row>
    <row r="716" spans="1:7">
      <c r="A716" t="s">
        <v>5711</v>
      </c>
      <c r="B716" t="s">
        <v>94</v>
      </c>
      <c r="C716" t="s">
        <v>3486</v>
      </c>
      <c r="D716" t="s">
        <v>123</v>
      </c>
      <c r="E716" t="s">
        <v>4205</v>
      </c>
      <c r="F716" s="23">
        <v>44346</v>
      </c>
      <c r="G716" s="1">
        <v>10163</v>
      </c>
    </row>
    <row r="717" spans="1:7">
      <c r="A717" t="s">
        <v>5711</v>
      </c>
      <c r="B717" t="s">
        <v>298</v>
      </c>
      <c r="C717" t="s">
        <v>1854</v>
      </c>
      <c r="D717" t="s">
        <v>1853</v>
      </c>
      <c r="E717" t="s">
        <v>4206</v>
      </c>
      <c r="F717" s="23">
        <v>44346</v>
      </c>
      <c r="G717" s="1">
        <v>5344</v>
      </c>
    </row>
    <row r="718" spans="1:7">
      <c r="A718" t="s">
        <v>5711</v>
      </c>
      <c r="B718" t="s">
        <v>101</v>
      </c>
      <c r="C718" t="s">
        <v>626</v>
      </c>
      <c r="D718" t="s">
        <v>625</v>
      </c>
      <c r="E718" t="s">
        <v>4207</v>
      </c>
      <c r="F718" s="23">
        <v>44346</v>
      </c>
      <c r="G718" s="1">
        <v>19372</v>
      </c>
    </row>
    <row r="719" spans="1:7">
      <c r="A719" t="s">
        <v>5711</v>
      </c>
      <c r="B719" t="s">
        <v>106</v>
      </c>
      <c r="C719" t="s">
        <v>658</v>
      </c>
      <c r="D719" t="s">
        <v>657</v>
      </c>
      <c r="E719" t="s">
        <v>4208</v>
      </c>
      <c r="F719" s="23">
        <v>44346</v>
      </c>
      <c r="G719" s="1">
        <v>15697</v>
      </c>
    </row>
    <row r="720" spans="1:7">
      <c r="A720" t="s">
        <v>5711</v>
      </c>
      <c r="B720" t="s">
        <v>106</v>
      </c>
      <c r="C720" t="s">
        <v>2767</v>
      </c>
      <c r="D720" t="s">
        <v>2808</v>
      </c>
      <c r="E720" t="s">
        <v>4209</v>
      </c>
      <c r="F720" s="23">
        <v>44346</v>
      </c>
      <c r="G720" s="1">
        <v>12586</v>
      </c>
    </row>
    <row r="721" spans="1:7">
      <c r="A721" t="s">
        <v>5711</v>
      </c>
      <c r="B721" t="s">
        <v>97</v>
      </c>
      <c r="C721" t="s">
        <v>1666</v>
      </c>
      <c r="D721" t="s">
        <v>1665</v>
      </c>
      <c r="E721" t="s">
        <v>4210</v>
      </c>
      <c r="F721" s="23">
        <v>44812</v>
      </c>
      <c r="G721" s="1">
        <v>7513</v>
      </c>
    </row>
    <row r="722" spans="1:7">
      <c r="A722" t="s">
        <v>5711</v>
      </c>
      <c r="B722" t="s">
        <v>94</v>
      </c>
      <c r="C722" t="s">
        <v>3486</v>
      </c>
      <c r="D722" t="s">
        <v>1835</v>
      </c>
      <c r="E722" t="s">
        <v>4211</v>
      </c>
      <c r="F722" s="23">
        <v>44346</v>
      </c>
      <c r="G722" s="1">
        <v>8571</v>
      </c>
    </row>
    <row r="723" spans="1:7">
      <c r="A723" t="s">
        <v>5711</v>
      </c>
      <c r="B723" t="s">
        <v>94</v>
      </c>
      <c r="C723" t="s">
        <v>3489</v>
      </c>
      <c r="D723" t="s">
        <v>1308</v>
      </c>
      <c r="E723" t="s">
        <v>4212</v>
      </c>
      <c r="F723" s="23">
        <v>44346</v>
      </c>
      <c r="G723" s="1">
        <v>15032</v>
      </c>
    </row>
    <row r="724" spans="1:7">
      <c r="A724" t="s">
        <v>5711</v>
      </c>
      <c r="B724" t="s">
        <v>37</v>
      </c>
      <c r="C724" t="s">
        <v>1352</v>
      </c>
      <c r="D724" t="s">
        <v>1351</v>
      </c>
      <c r="E724" t="s">
        <v>4213</v>
      </c>
      <c r="F724" s="23">
        <v>44346</v>
      </c>
      <c r="G724" s="1">
        <v>12547</v>
      </c>
    </row>
    <row r="725" spans="1:7">
      <c r="A725" t="s">
        <v>5711</v>
      </c>
      <c r="B725" t="s">
        <v>114</v>
      </c>
      <c r="C725" t="s">
        <v>113</v>
      </c>
      <c r="D725" t="s">
        <v>112</v>
      </c>
      <c r="E725" t="s">
        <v>4214</v>
      </c>
      <c r="F725" s="23">
        <v>44346</v>
      </c>
      <c r="G725" s="1">
        <v>14777</v>
      </c>
    </row>
    <row r="726" spans="1:7">
      <c r="A726" t="s">
        <v>5711</v>
      </c>
      <c r="B726" t="s">
        <v>106</v>
      </c>
      <c r="C726" t="s">
        <v>2246</v>
      </c>
      <c r="D726" t="s">
        <v>2245</v>
      </c>
      <c r="E726" t="s">
        <v>4215</v>
      </c>
      <c r="F726" s="23">
        <v>44346</v>
      </c>
      <c r="G726" s="1">
        <v>18984</v>
      </c>
    </row>
    <row r="727" spans="1:7">
      <c r="A727" t="s">
        <v>5711</v>
      </c>
      <c r="B727" t="s">
        <v>106</v>
      </c>
      <c r="C727" t="s">
        <v>2257</v>
      </c>
      <c r="D727" t="s">
        <v>2256</v>
      </c>
      <c r="E727" t="s">
        <v>4216</v>
      </c>
      <c r="F727" s="23">
        <v>44613</v>
      </c>
      <c r="G727" s="1">
        <v>775</v>
      </c>
    </row>
    <row r="728" spans="1:7">
      <c r="A728" t="s">
        <v>5711</v>
      </c>
      <c r="B728" t="s">
        <v>233</v>
      </c>
      <c r="C728" t="s">
        <v>1276</v>
      </c>
      <c r="D728" t="s">
        <v>1275</v>
      </c>
      <c r="E728" t="s">
        <v>4217</v>
      </c>
      <c r="F728" s="23">
        <v>44346</v>
      </c>
      <c r="G728" s="1">
        <v>18234</v>
      </c>
    </row>
    <row r="729" spans="1:7">
      <c r="A729" t="s">
        <v>5711</v>
      </c>
      <c r="B729" t="s">
        <v>896</v>
      </c>
      <c r="C729" t="s">
        <v>895</v>
      </c>
      <c r="D729" t="s">
        <v>894</v>
      </c>
      <c r="E729" t="s">
        <v>4218</v>
      </c>
      <c r="F729" s="23">
        <v>44346</v>
      </c>
      <c r="G729" s="1">
        <v>13646</v>
      </c>
    </row>
    <row r="730" spans="1:7">
      <c r="A730" t="s">
        <v>5711</v>
      </c>
      <c r="B730" t="s">
        <v>233</v>
      </c>
      <c r="C730" t="s">
        <v>3100</v>
      </c>
      <c r="D730" t="s">
        <v>3099</v>
      </c>
      <c r="E730" t="s">
        <v>4219</v>
      </c>
      <c r="F730" s="23">
        <v>44396</v>
      </c>
      <c r="G730" s="1">
        <v>10265</v>
      </c>
    </row>
    <row r="731" spans="1:7">
      <c r="A731" t="s">
        <v>5711</v>
      </c>
      <c r="B731" t="s">
        <v>298</v>
      </c>
      <c r="C731" t="s">
        <v>297</v>
      </c>
      <c r="D731" t="s">
        <v>296</v>
      </c>
      <c r="E731" t="s">
        <v>4220</v>
      </c>
      <c r="F731" s="23">
        <v>44346</v>
      </c>
      <c r="G731" s="1">
        <v>6727</v>
      </c>
    </row>
    <row r="732" spans="1:7">
      <c r="A732" t="s">
        <v>5711</v>
      </c>
      <c r="B732" t="s">
        <v>106</v>
      </c>
      <c r="C732" t="s">
        <v>2923</v>
      </c>
      <c r="D732" t="s">
        <v>2922</v>
      </c>
      <c r="E732" t="s">
        <v>4221</v>
      </c>
      <c r="F732" s="23">
        <v>44346</v>
      </c>
      <c r="G732" s="1">
        <v>15820</v>
      </c>
    </row>
    <row r="733" spans="1:7">
      <c r="A733" t="s">
        <v>5711</v>
      </c>
      <c r="B733" t="s">
        <v>106</v>
      </c>
      <c r="C733" t="s">
        <v>2151</v>
      </c>
      <c r="D733" t="s">
        <v>2150</v>
      </c>
      <c r="E733" t="s">
        <v>4222</v>
      </c>
      <c r="F733" s="23">
        <v>44719</v>
      </c>
      <c r="G733" s="1">
        <v>985</v>
      </c>
    </row>
    <row r="734" spans="1:7">
      <c r="A734" t="s">
        <v>5711</v>
      </c>
      <c r="B734" t="s">
        <v>78</v>
      </c>
      <c r="C734" t="s">
        <v>1021</v>
      </c>
      <c r="D734" t="s">
        <v>1020</v>
      </c>
      <c r="E734" t="s">
        <v>4223</v>
      </c>
      <c r="F734" s="23">
        <v>44841</v>
      </c>
      <c r="G734" s="1">
        <v>7138</v>
      </c>
    </row>
    <row r="735" spans="1:7">
      <c r="A735" t="s">
        <v>5711</v>
      </c>
      <c r="B735" t="s">
        <v>46</v>
      </c>
      <c r="C735" t="s">
        <v>1534</v>
      </c>
      <c r="D735" t="s">
        <v>1533</v>
      </c>
      <c r="E735" t="s">
        <v>4224</v>
      </c>
      <c r="F735" s="23">
        <v>44346</v>
      </c>
      <c r="G735" s="1">
        <v>16276</v>
      </c>
    </row>
    <row r="736" spans="1:7">
      <c r="A736" t="s">
        <v>5711</v>
      </c>
      <c r="B736" t="s">
        <v>94</v>
      </c>
      <c r="C736" t="s">
        <v>2016</v>
      </c>
      <c r="D736" t="s">
        <v>2015</v>
      </c>
      <c r="E736" t="s">
        <v>4225</v>
      </c>
      <c r="F736" s="23">
        <v>44346</v>
      </c>
      <c r="G736" s="1">
        <v>17595</v>
      </c>
    </row>
    <row r="737" spans="1:7">
      <c r="A737" t="s">
        <v>5711</v>
      </c>
      <c r="B737" t="s">
        <v>37</v>
      </c>
      <c r="C737" t="s">
        <v>1517</v>
      </c>
      <c r="D737" t="s">
        <v>1516</v>
      </c>
      <c r="E737" t="s">
        <v>4226</v>
      </c>
      <c r="F737" s="23">
        <v>44346</v>
      </c>
      <c r="G737" s="1">
        <v>18143</v>
      </c>
    </row>
    <row r="738" spans="1:7">
      <c r="A738" t="s">
        <v>5711</v>
      </c>
      <c r="B738" t="s">
        <v>298</v>
      </c>
      <c r="C738" t="s">
        <v>3306</v>
      </c>
      <c r="D738" t="s">
        <v>3305</v>
      </c>
      <c r="E738" t="s">
        <v>4227</v>
      </c>
      <c r="F738" s="23">
        <v>44496</v>
      </c>
      <c r="G738" s="1">
        <v>3745</v>
      </c>
    </row>
    <row r="739" spans="1:7">
      <c r="A739" t="s">
        <v>5711</v>
      </c>
      <c r="B739" t="s">
        <v>208</v>
      </c>
      <c r="C739" t="s">
        <v>552</v>
      </c>
      <c r="D739" t="s">
        <v>551</v>
      </c>
      <c r="E739" t="s">
        <v>4228</v>
      </c>
      <c r="F739" s="23">
        <v>44593</v>
      </c>
      <c r="G739" s="1">
        <v>2541</v>
      </c>
    </row>
    <row r="740" spans="1:7">
      <c r="A740" t="s">
        <v>5711</v>
      </c>
      <c r="B740" t="s">
        <v>298</v>
      </c>
      <c r="C740" t="s">
        <v>2395</v>
      </c>
      <c r="D740" t="s">
        <v>3293</v>
      </c>
      <c r="E740" t="s">
        <v>4229</v>
      </c>
      <c r="F740" s="23">
        <v>44346</v>
      </c>
      <c r="G740" s="1">
        <v>16462</v>
      </c>
    </row>
    <row r="741" spans="1:7">
      <c r="A741" t="s">
        <v>5711</v>
      </c>
      <c r="B741" t="s">
        <v>263</v>
      </c>
      <c r="C741" t="s">
        <v>382</v>
      </c>
      <c r="D741" t="s">
        <v>381</v>
      </c>
      <c r="E741" t="s">
        <v>4230</v>
      </c>
      <c r="F741" s="23">
        <v>44546</v>
      </c>
      <c r="G741" s="1">
        <v>3117</v>
      </c>
    </row>
    <row r="742" spans="1:7">
      <c r="A742" t="s">
        <v>5711</v>
      </c>
      <c r="B742" t="s">
        <v>400</v>
      </c>
      <c r="C742" t="s">
        <v>399</v>
      </c>
      <c r="D742" t="s">
        <v>398</v>
      </c>
      <c r="E742" t="s">
        <v>4231</v>
      </c>
      <c r="F742" s="23">
        <v>44346</v>
      </c>
      <c r="G742" s="1">
        <v>15528</v>
      </c>
    </row>
    <row r="743" spans="1:7">
      <c r="A743" t="s">
        <v>5711</v>
      </c>
      <c r="B743" t="s">
        <v>1072</v>
      </c>
      <c r="C743" t="s">
        <v>1071</v>
      </c>
      <c r="D743" t="s">
        <v>1070</v>
      </c>
      <c r="E743" t="s">
        <v>4232</v>
      </c>
      <c r="F743" s="23">
        <v>44346</v>
      </c>
      <c r="G743" s="1">
        <v>18656</v>
      </c>
    </row>
    <row r="744" spans="1:7">
      <c r="A744" t="s">
        <v>5711</v>
      </c>
      <c r="B744" t="s">
        <v>101</v>
      </c>
      <c r="C744" t="s">
        <v>930</v>
      </c>
      <c r="D744" t="s">
        <v>929</v>
      </c>
      <c r="E744" t="s">
        <v>4233</v>
      </c>
      <c r="F744" s="23">
        <v>44346</v>
      </c>
      <c r="G744" s="1">
        <v>16659</v>
      </c>
    </row>
    <row r="745" spans="1:7">
      <c r="A745" t="s">
        <v>5711</v>
      </c>
      <c r="B745" t="s">
        <v>311</v>
      </c>
      <c r="C745" t="s">
        <v>3156</v>
      </c>
      <c r="D745" t="s">
        <v>3155</v>
      </c>
      <c r="E745" t="s">
        <v>4234</v>
      </c>
      <c r="F745" s="23">
        <v>44346</v>
      </c>
      <c r="G745" s="1">
        <v>14554</v>
      </c>
    </row>
    <row r="746" spans="1:7">
      <c r="A746" t="s">
        <v>5711</v>
      </c>
      <c r="B746" t="s">
        <v>1078</v>
      </c>
      <c r="C746" t="s">
        <v>1077</v>
      </c>
      <c r="D746" t="s">
        <v>1076</v>
      </c>
      <c r="E746" t="s">
        <v>4235</v>
      </c>
      <c r="F746" s="23">
        <v>44346</v>
      </c>
      <c r="G746" s="1">
        <v>1800</v>
      </c>
    </row>
    <row r="747" spans="1:7">
      <c r="A747" t="s">
        <v>5711</v>
      </c>
      <c r="B747" t="s">
        <v>106</v>
      </c>
      <c r="C747" t="s">
        <v>614</v>
      </c>
      <c r="D747" t="s">
        <v>2354</v>
      </c>
      <c r="E747" t="s">
        <v>4236</v>
      </c>
      <c r="F747" s="23">
        <v>44346</v>
      </c>
      <c r="G747" s="1">
        <v>7765</v>
      </c>
    </row>
    <row r="748" spans="1:7">
      <c r="A748" t="s">
        <v>5711</v>
      </c>
      <c r="B748" t="s">
        <v>106</v>
      </c>
      <c r="C748" t="s">
        <v>1872</v>
      </c>
      <c r="D748" t="s">
        <v>1871</v>
      </c>
      <c r="E748" t="s">
        <v>4237</v>
      </c>
      <c r="F748" s="23">
        <v>44346</v>
      </c>
      <c r="G748" s="1">
        <v>14905</v>
      </c>
    </row>
    <row r="749" spans="1:7">
      <c r="A749" t="s">
        <v>5711</v>
      </c>
      <c r="B749" t="s">
        <v>106</v>
      </c>
      <c r="C749" t="s">
        <v>3078</v>
      </c>
      <c r="D749" t="s">
        <v>3077</v>
      </c>
      <c r="E749" t="s">
        <v>4238</v>
      </c>
      <c r="F749" s="23">
        <v>44346</v>
      </c>
      <c r="G749" s="1">
        <v>13764</v>
      </c>
    </row>
    <row r="750" spans="1:7">
      <c r="A750" t="s">
        <v>5711</v>
      </c>
      <c r="B750" t="s">
        <v>311</v>
      </c>
      <c r="C750" t="s">
        <v>1721</v>
      </c>
      <c r="D750" t="s">
        <v>1720</v>
      </c>
      <c r="E750" t="s">
        <v>4239</v>
      </c>
      <c r="F750" s="23">
        <v>45030</v>
      </c>
      <c r="G750" s="1">
        <v>1109</v>
      </c>
    </row>
    <row r="751" spans="1:7">
      <c r="A751" t="s">
        <v>5711</v>
      </c>
      <c r="B751" t="s">
        <v>78</v>
      </c>
      <c r="C751" t="s">
        <v>514</v>
      </c>
      <c r="D751" t="s">
        <v>5575</v>
      </c>
      <c r="E751" t="s">
        <v>4240</v>
      </c>
      <c r="F751" s="23">
        <v>44346</v>
      </c>
      <c r="G751" s="1">
        <v>13248</v>
      </c>
    </row>
    <row r="752" spans="1:7">
      <c r="A752" t="s">
        <v>5711</v>
      </c>
      <c r="B752" t="s">
        <v>311</v>
      </c>
      <c r="C752" t="s">
        <v>3058</v>
      </c>
      <c r="D752" t="s">
        <v>3057</v>
      </c>
      <c r="E752" t="s">
        <v>4241</v>
      </c>
      <c r="F752" s="23">
        <v>44346</v>
      </c>
      <c r="G752" s="1">
        <v>12962</v>
      </c>
    </row>
    <row r="753" spans="1:7">
      <c r="A753" t="s">
        <v>5711</v>
      </c>
      <c r="B753" t="s">
        <v>94</v>
      </c>
      <c r="C753" t="s">
        <v>3489</v>
      </c>
      <c r="D753" t="s">
        <v>1573</v>
      </c>
      <c r="E753" t="s">
        <v>4242</v>
      </c>
      <c r="F753" s="23">
        <v>44346</v>
      </c>
      <c r="G753" s="1">
        <v>16912</v>
      </c>
    </row>
    <row r="754" spans="1:7">
      <c r="A754" t="s">
        <v>5711</v>
      </c>
      <c r="B754" t="s">
        <v>101</v>
      </c>
      <c r="C754" t="s">
        <v>1186</v>
      </c>
      <c r="D754" t="s">
        <v>1185</v>
      </c>
      <c r="E754" t="s">
        <v>4243</v>
      </c>
      <c r="F754" s="23">
        <v>44346</v>
      </c>
      <c r="G754" s="1">
        <v>18225</v>
      </c>
    </row>
    <row r="755" spans="1:7">
      <c r="A755" t="s">
        <v>5711</v>
      </c>
      <c r="B755" t="s">
        <v>91</v>
      </c>
      <c r="C755" t="s">
        <v>1745</v>
      </c>
      <c r="D755" t="s">
        <v>1744</v>
      </c>
      <c r="E755" t="s">
        <v>4244</v>
      </c>
      <c r="F755" s="23">
        <v>44346</v>
      </c>
      <c r="G755" s="1">
        <v>10768</v>
      </c>
    </row>
    <row r="756" spans="1:7">
      <c r="A756" t="s">
        <v>5711</v>
      </c>
      <c r="B756" t="s">
        <v>37</v>
      </c>
      <c r="C756" t="s">
        <v>1216</v>
      </c>
      <c r="D756" t="s">
        <v>1215</v>
      </c>
      <c r="E756" t="s">
        <v>4245</v>
      </c>
      <c r="F756" s="23">
        <v>44346</v>
      </c>
      <c r="G756" s="1">
        <v>16509</v>
      </c>
    </row>
    <row r="757" spans="1:7">
      <c r="A757" t="s">
        <v>5711</v>
      </c>
      <c r="B757" t="s">
        <v>298</v>
      </c>
      <c r="C757" t="s">
        <v>2040</v>
      </c>
      <c r="D757" t="s">
        <v>2039</v>
      </c>
      <c r="E757" t="s">
        <v>4246</v>
      </c>
      <c r="F757" s="23">
        <v>44350</v>
      </c>
      <c r="G757" s="1">
        <v>5505</v>
      </c>
    </row>
    <row r="758" spans="1:7">
      <c r="A758" t="s">
        <v>5711</v>
      </c>
      <c r="B758" t="s">
        <v>298</v>
      </c>
      <c r="C758" t="s">
        <v>1337</v>
      </c>
      <c r="D758" t="s">
        <v>2945</v>
      </c>
      <c r="E758" t="s">
        <v>4247</v>
      </c>
      <c r="F758" s="23">
        <v>44489</v>
      </c>
      <c r="G758" s="1">
        <v>4341</v>
      </c>
    </row>
    <row r="759" spans="1:7">
      <c r="A759" t="s">
        <v>5711</v>
      </c>
      <c r="B759" t="s">
        <v>94</v>
      </c>
      <c r="C759" t="s">
        <v>3487</v>
      </c>
      <c r="D759" t="s">
        <v>1703</v>
      </c>
      <c r="E759" t="s">
        <v>4248</v>
      </c>
      <c r="F759" s="23">
        <v>44346</v>
      </c>
      <c r="G759" s="1">
        <v>2396</v>
      </c>
    </row>
    <row r="760" spans="1:7">
      <c r="A760" t="s">
        <v>5711</v>
      </c>
      <c r="B760" t="s">
        <v>43</v>
      </c>
      <c r="C760" t="s">
        <v>859</v>
      </c>
      <c r="D760" t="s">
        <v>5576</v>
      </c>
      <c r="E760" t="s">
        <v>4249</v>
      </c>
      <c r="F760" s="23">
        <v>44346</v>
      </c>
      <c r="G760" s="1">
        <v>12303</v>
      </c>
    </row>
    <row r="761" spans="1:7">
      <c r="A761" t="s">
        <v>5711</v>
      </c>
      <c r="B761" t="s">
        <v>94</v>
      </c>
      <c r="C761" t="s">
        <v>3489</v>
      </c>
      <c r="D761" t="s">
        <v>943</v>
      </c>
      <c r="E761" t="s">
        <v>4250</v>
      </c>
      <c r="F761" s="23">
        <v>44864</v>
      </c>
      <c r="G761" s="1">
        <v>6729</v>
      </c>
    </row>
    <row r="762" spans="1:7">
      <c r="A762" t="s">
        <v>5711</v>
      </c>
      <c r="B762" t="s">
        <v>37</v>
      </c>
      <c r="C762" t="s">
        <v>1803</v>
      </c>
      <c r="D762" t="s">
        <v>1802</v>
      </c>
      <c r="E762" t="s">
        <v>4251</v>
      </c>
      <c r="F762" s="23">
        <v>45070</v>
      </c>
      <c r="G762" s="1">
        <v>7503</v>
      </c>
    </row>
    <row r="763" spans="1:7">
      <c r="A763" t="s">
        <v>5711</v>
      </c>
      <c r="B763" t="s">
        <v>94</v>
      </c>
      <c r="C763" t="s">
        <v>3486</v>
      </c>
      <c r="D763" t="s">
        <v>5577</v>
      </c>
      <c r="E763" t="s">
        <v>4252</v>
      </c>
      <c r="F763" s="23">
        <v>44715</v>
      </c>
      <c r="G763" s="1">
        <v>10735</v>
      </c>
    </row>
    <row r="764" spans="1:7">
      <c r="A764" t="s">
        <v>5711</v>
      </c>
      <c r="B764" t="s">
        <v>106</v>
      </c>
      <c r="C764" t="s">
        <v>2163</v>
      </c>
      <c r="D764" t="s">
        <v>2162</v>
      </c>
      <c r="E764" t="s">
        <v>4253</v>
      </c>
      <c r="F764" s="23">
        <v>44346</v>
      </c>
      <c r="G764" s="1">
        <v>6188</v>
      </c>
    </row>
    <row r="765" spans="1:7">
      <c r="A765" t="s">
        <v>5711</v>
      </c>
      <c r="B765" t="s">
        <v>298</v>
      </c>
      <c r="C765" t="s">
        <v>2320</v>
      </c>
      <c r="D765" t="s">
        <v>2319</v>
      </c>
      <c r="E765" t="s">
        <v>4254</v>
      </c>
      <c r="F765" s="23">
        <v>44346</v>
      </c>
      <c r="G765" s="1">
        <v>6310</v>
      </c>
    </row>
    <row r="766" spans="1:7">
      <c r="A766" t="s">
        <v>5711</v>
      </c>
      <c r="B766" t="s">
        <v>311</v>
      </c>
      <c r="C766" t="s">
        <v>2452</v>
      </c>
      <c r="D766" t="s">
        <v>2451</v>
      </c>
      <c r="E766" t="s">
        <v>4255</v>
      </c>
      <c r="F766" s="23">
        <v>44410</v>
      </c>
      <c r="G766" s="1">
        <v>5027</v>
      </c>
    </row>
    <row r="767" spans="1:7">
      <c r="A767" t="s">
        <v>5711</v>
      </c>
      <c r="B767" t="s">
        <v>298</v>
      </c>
      <c r="C767" t="s">
        <v>126</v>
      </c>
      <c r="D767" t="s">
        <v>1938</v>
      </c>
      <c r="E767" t="s">
        <v>4256</v>
      </c>
      <c r="F767" s="23">
        <v>44548</v>
      </c>
      <c r="G767" s="1">
        <v>3258</v>
      </c>
    </row>
    <row r="768" spans="1:7">
      <c r="A768" t="s">
        <v>5711</v>
      </c>
      <c r="B768" t="s">
        <v>94</v>
      </c>
      <c r="C768" t="s">
        <v>3487</v>
      </c>
      <c r="D768" t="s">
        <v>1232</v>
      </c>
      <c r="E768" t="s">
        <v>4257</v>
      </c>
      <c r="F768" s="23">
        <v>44346</v>
      </c>
      <c r="G768" s="1">
        <v>13856</v>
      </c>
    </row>
    <row r="769" spans="1:7">
      <c r="A769" t="s">
        <v>5711</v>
      </c>
      <c r="B769" t="s">
        <v>298</v>
      </c>
      <c r="C769" t="s">
        <v>2125</v>
      </c>
      <c r="D769" t="s">
        <v>2844</v>
      </c>
      <c r="E769" t="s">
        <v>4258</v>
      </c>
      <c r="F769" s="23">
        <v>44812</v>
      </c>
      <c r="G769" s="1">
        <v>5187</v>
      </c>
    </row>
    <row r="770" spans="1:7">
      <c r="A770" t="s">
        <v>5711</v>
      </c>
      <c r="B770" t="s">
        <v>101</v>
      </c>
      <c r="C770" t="s">
        <v>475</v>
      </c>
      <c r="D770" t="s">
        <v>474</v>
      </c>
      <c r="E770" t="s">
        <v>4259</v>
      </c>
      <c r="F770" s="23">
        <v>44368</v>
      </c>
      <c r="G770" s="1">
        <v>7088</v>
      </c>
    </row>
    <row r="771" spans="1:7">
      <c r="A771" t="s">
        <v>5711</v>
      </c>
      <c r="B771" t="s">
        <v>72</v>
      </c>
      <c r="C771" t="s">
        <v>1423</v>
      </c>
      <c r="D771" t="s">
        <v>5578</v>
      </c>
      <c r="E771" t="s">
        <v>4260</v>
      </c>
      <c r="F771" s="23">
        <v>44346</v>
      </c>
      <c r="G771" s="1">
        <v>15012</v>
      </c>
    </row>
    <row r="772" spans="1:7">
      <c r="A772" t="s">
        <v>5711</v>
      </c>
      <c r="B772" t="s">
        <v>1047</v>
      </c>
      <c r="C772" t="s">
        <v>1082</v>
      </c>
      <c r="D772" t="s">
        <v>1081</v>
      </c>
      <c r="E772" t="s">
        <v>4261</v>
      </c>
      <c r="F772" s="23">
        <v>44824</v>
      </c>
      <c r="G772" s="1">
        <v>4099</v>
      </c>
    </row>
    <row r="773" spans="1:7">
      <c r="A773" t="s">
        <v>5711</v>
      </c>
      <c r="B773" t="s">
        <v>94</v>
      </c>
      <c r="C773" t="s">
        <v>3485</v>
      </c>
      <c r="D773" t="s">
        <v>756</v>
      </c>
      <c r="E773" t="s">
        <v>4262</v>
      </c>
      <c r="F773" s="23">
        <v>44346</v>
      </c>
      <c r="G773" s="1">
        <v>16169</v>
      </c>
    </row>
    <row r="774" spans="1:7">
      <c r="A774" t="s">
        <v>5711</v>
      </c>
      <c r="B774" t="s">
        <v>72</v>
      </c>
      <c r="C774" t="s">
        <v>71</v>
      </c>
      <c r="D774" t="s">
        <v>70</v>
      </c>
      <c r="E774" t="s">
        <v>4263</v>
      </c>
      <c r="F774" s="23">
        <v>44346</v>
      </c>
      <c r="G774" s="1">
        <v>19187</v>
      </c>
    </row>
    <row r="775" spans="1:7">
      <c r="A775" t="s">
        <v>5711</v>
      </c>
      <c r="B775" t="s">
        <v>94</v>
      </c>
      <c r="C775" t="s">
        <v>1298</v>
      </c>
      <c r="D775" t="s">
        <v>1297</v>
      </c>
      <c r="E775" t="s">
        <v>4264</v>
      </c>
      <c r="F775" s="23">
        <v>44346</v>
      </c>
      <c r="G775" s="1">
        <v>14717</v>
      </c>
    </row>
    <row r="776" spans="1:7">
      <c r="A776" t="s">
        <v>5711</v>
      </c>
      <c r="B776" t="s">
        <v>1690</v>
      </c>
      <c r="C776" t="s">
        <v>1689</v>
      </c>
      <c r="D776" t="s">
        <v>1688</v>
      </c>
      <c r="E776" t="s">
        <v>4265</v>
      </c>
      <c r="F776" s="23">
        <v>44346</v>
      </c>
      <c r="G776" s="1">
        <v>15462</v>
      </c>
    </row>
    <row r="777" spans="1:7">
      <c r="A777" t="s">
        <v>5711</v>
      </c>
      <c r="B777" t="s">
        <v>94</v>
      </c>
      <c r="C777" t="s">
        <v>3485</v>
      </c>
      <c r="D777" t="s">
        <v>395</v>
      </c>
      <c r="E777" t="s">
        <v>4266</v>
      </c>
      <c r="F777" s="23">
        <v>44346</v>
      </c>
      <c r="G777" s="1">
        <v>16509</v>
      </c>
    </row>
    <row r="778" spans="1:7">
      <c r="A778" t="s">
        <v>5711</v>
      </c>
      <c r="B778" t="s">
        <v>37</v>
      </c>
      <c r="C778" t="s">
        <v>494</v>
      </c>
      <c r="D778" t="s">
        <v>493</v>
      </c>
      <c r="E778" t="s">
        <v>4267</v>
      </c>
      <c r="F778" s="23">
        <v>44820</v>
      </c>
      <c r="G778" s="1">
        <v>865</v>
      </c>
    </row>
    <row r="779" spans="1:7">
      <c r="A779" t="s">
        <v>5711</v>
      </c>
      <c r="B779" t="s">
        <v>426</v>
      </c>
      <c r="C779" t="s">
        <v>564</v>
      </c>
      <c r="D779" t="s">
        <v>563</v>
      </c>
      <c r="E779" t="s">
        <v>4268</v>
      </c>
      <c r="F779" s="23">
        <v>44346</v>
      </c>
      <c r="G779" s="1">
        <v>17535</v>
      </c>
    </row>
    <row r="780" spans="1:7">
      <c r="A780" t="s">
        <v>5711</v>
      </c>
      <c r="B780" t="s">
        <v>94</v>
      </c>
      <c r="C780" t="s">
        <v>3490</v>
      </c>
      <c r="D780" t="s">
        <v>5579</v>
      </c>
      <c r="E780" t="s">
        <v>4269</v>
      </c>
      <c r="F780" s="23">
        <v>44346</v>
      </c>
      <c r="G780" s="1">
        <v>15351</v>
      </c>
    </row>
    <row r="781" spans="1:7">
      <c r="A781" t="s">
        <v>5711</v>
      </c>
      <c r="B781" t="s">
        <v>263</v>
      </c>
      <c r="C781" t="s">
        <v>262</v>
      </c>
      <c r="D781" t="s">
        <v>261</v>
      </c>
      <c r="E781" t="s">
        <v>4270</v>
      </c>
      <c r="F781" s="23">
        <v>44346</v>
      </c>
      <c r="G781" s="1">
        <v>2026</v>
      </c>
    </row>
    <row r="782" spans="1:7">
      <c r="A782" t="s">
        <v>5711</v>
      </c>
      <c r="B782" t="s">
        <v>298</v>
      </c>
      <c r="C782" t="s">
        <v>973</v>
      </c>
      <c r="D782" t="s">
        <v>3127</v>
      </c>
      <c r="E782" t="s">
        <v>4271</v>
      </c>
      <c r="F782" s="23">
        <v>44346</v>
      </c>
      <c r="G782" s="1">
        <v>9071</v>
      </c>
    </row>
    <row r="783" spans="1:7">
      <c r="A783" t="s">
        <v>5711</v>
      </c>
      <c r="B783" t="s">
        <v>94</v>
      </c>
      <c r="C783" t="s">
        <v>3302</v>
      </c>
      <c r="D783" t="s">
        <v>3301</v>
      </c>
      <c r="E783" t="s">
        <v>4272</v>
      </c>
      <c r="F783" s="23">
        <v>44346</v>
      </c>
      <c r="G783" s="1">
        <v>18491</v>
      </c>
    </row>
    <row r="784" spans="1:7">
      <c r="A784" t="s">
        <v>5711</v>
      </c>
      <c r="B784" t="s">
        <v>228</v>
      </c>
      <c r="C784" t="s">
        <v>967</v>
      </c>
      <c r="D784" t="s">
        <v>966</v>
      </c>
      <c r="E784" t="s">
        <v>4273</v>
      </c>
      <c r="F784" s="23">
        <v>44767</v>
      </c>
      <c r="G784" s="1">
        <v>2854</v>
      </c>
    </row>
    <row r="785" spans="1:7">
      <c r="A785" t="s">
        <v>5711</v>
      </c>
      <c r="B785" t="s">
        <v>94</v>
      </c>
      <c r="C785" t="s">
        <v>1862</v>
      </c>
      <c r="D785" t="s">
        <v>1861</v>
      </c>
      <c r="E785" t="s">
        <v>4274</v>
      </c>
      <c r="F785" s="23">
        <v>44629</v>
      </c>
      <c r="G785" s="1">
        <v>4359</v>
      </c>
    </row>
    <row r="786" spans="1:7">
      <c r="A786" t="s">
        <v>5711</v>
      </c>
      <c r="B786" t="s">
        <v>37</v>
      </c>
      <c r="C786" t="s">
        <v>698</v>
      </c>
      <c r="D786" t="s">
        <v>697</v>
      </c>
      <c r="E786" t="s">
        <v>4275</v>
      </c>
      <c r="F786" s="23">
        <v>44827</v>
      </c>
      <c r="G786" s="1">
        <v>11923</v>
      </c>
    </row>
    <row r="787" spans="1:7">
      <c r="A787" t="s">
        <v>5711</v>
      </c>
      <c r="B787" t="s">
        <v>94</v>
      </c>
      <c r="C787" t="s">
        <v>2119</v>
      </c>
      <c r="D787" t="s">
        <v>2118</v>
      </c>
      <c r="E787" t="s">
        <v>4276</v>
      </c>
      <c r="F787" s="23">
        <v>44530</v>
      </c>
      <c r="G787" s="1">
        <v>3717</v>
      </c>
    </row>
    <row r="788" spans="1:7">
      <c r="A788" t="s">
        <v>5711</v>
      </c>
      <c r="B788" t="s">
        <v>37</v>
      </c>
      <c r="C788" t="s">
        <v>1761</v>
      </c>
      <c r="D788" t="s">
        <v>1760</v>
      </c>
      <c r="E788" t="s">
        <v>4277</v>
      </c>
      <c r="F788" s="23">
        <v>44346</v>
      </c>
      <c r="G788" s="1">
        <v>10261</v>
      </c>
    </row>
    <row r="789" spans="1:7">
      <c r="A789" t="s">
        <v>5711</v>
      </c>
      <c r="B789" t="s">
        <v>94</v>
      </c>
      <c r="C789" t="s">
        <v>205</v>
      </c>
      <c r="D789" t="s">
        <v>5580</v>
      </c>
      <c r="E789" t="s">
        <v>4278</v>
      </c>
      <c r="F789" s="23">
        <v>45041</v>
      </c>
      <c r="G789" s="1">
        <v>3844</v>
      </c>
    </row>
    <row r="790" spans="1:7">
      <c r="A790" t="s">
        <v>5711</v>
      </c>
      <c r="B790" t="s">
        <v>94</v>
      </c>
      <c r="C790" t="s">
        <v>561</v>
      </c>
      <c r="D790" t="s">
        <v>1693</v>
      </c>
      <c r="E790" t="s">
        <v>4279</v>
      </c>
      <c r="F790" s="23">
        <v>44443</v>
      </c>
      <c r="G790" s="1">
        <v>10829</v>
      </c>
    </row>
    <row r="791" spans="1:7">
      <c r="A791" t="s">
        <v>5711</v>
      </c>
      <c r="B791" t="s">
        <v>94</v>
      </c>
      <c r="C791" t="s">
        <v>2585</v>
      </c>
      <c r="D791" t="s">
        <v>2584</v>
      </c>
      <c r="E791" t="s">
        <v>4280</v>
      </c>
      <c r="F791" s="23">
        <v>44346</v>
      </c>
      <c r="G791" s="1">
        <v>2304</v>
      </c>
    </row>
    <row r="792" spans="1:7">
      <c r="A792" t="s">
        <v>5711</v>
      </c>
      <c r="B792" t="s">
        <v>311</v>
      </c>
      <c r="C792" t="s">
        <v>3224</v>
      </c>
      <c r="D792" t="s">
        <v>3223</v>
      </c>
      <c r="E792" t="s">
        <v>4281</v>
      </c>
      <c r="F792" s="23">
        <v>45016</v>
      </c>
      <c r="G792" s="1">
        <v>560</v>
      </c>
    </row>
    <row r="793" spans="1:7">
      <c r="A793" t="s">
        <v>5711</v>
      </c>
      <c r="B793" t="s">
        <v>106</v>
      </c>
      <c r="C793" t="s">
        <v>1883</v>
      </c>
      <c r="D793" t="s">
        <v>1882</v>
      </c>
      <c r="E793" t="s">
        <v>4282</v>
      </c>
      <c r="F793" s="23">
        <v>44528</v>
      </c>
      <c r="G793" s="1">
        <v>10250</v>
      </c>
    </row>
    <row r="794" spans="1:7">
      <c r="A794" t="s">
        <v>5711</v>
      </c>
      <c r="B794" t="s">
        <v>106</v>
      </c>
      <c r="C794" t="s">
        <v>225</v>
      </c>
      <c r="D794" t="s">
        <v>224</v>
      </c>
      <c r="E794" t="s">
        <v>4283</v>
      </c>
      <c r="F794" s="23">
        <v>44486</v>
      </c>
      <c r="G794" s="1">
        <v>8779</v>
      </c>
    </row>
    <row r="795" spans="1:7">
      <c r="A795" t="s">
        <v>5711</v>
      </c>
      <c r="B795" t="s">
        <v>94</v>
      </c>
      <c r="C795" t="s">
        <v>581</v>
      </c>
      <c r="D795" t="s">
        <v>580</v>
      </c>
      <c r="E795" t="s">
        <v>4284</v>
      </c>
      <c r="F795" s="23">
        <v>44346</v>
      </c>
      <c r="G795" s="1">
        <v>3832</v>
      </c>
    </row>
    <row r="796" spans="1:7">
      <c r="A796" t="s">
        <v>5711</v>
      </c>
      <c r="B796" t="s">
        <v>106</v>
      </c>
      <c r="C796" t="s">
        <v>2987</v>
      </c>
      <c r="D796" t="s">
        <v>2986</v>
      </c>
      <c r="E796" t="s">
        <v>4285</v>
      </c>
      <c r="F796" s="23">
        <v>44820</v>
      </c>
      <c r="G796" s="1">
        <v>4805</v>
      </c>
    </row>
    <row r="797" spans="1:7">
      <c r="A797" t="s">
        <v>5711</v>
      </c>
      <c r="B797" t="s">
        <v>37</v>
      </c>
      <c r="C797" t="s">
        <v>308</v>
      </c>
      <c r="D797" t="s">
        <v>307</v>
      </c>
      <c r="E797" t="s">
        <v>4286</v>
      </c>
      <c r="F797" s="23">
        <v>44346</v>
      </c>
      <c r="G797" s="1">
        <v>1297</v>
      </c>
    </row>
    <row r="798" spans="1:7">
      <c r="A798" t="s">
        <v>5711</v>
      </c>
      <c r="B798" t="s">
        <v>1223</v>
      </c>
      <c r="C798" t="s">
        <v>2351</v>
      </c>
      <c r="D798" t="s">
        <v>2858</v>
      </c>
      <c r="E798" t="s">
        <v>4287</v>
      </c>
      <c r="F798" s="23">
        <v>44861</v>
      </c>
      <c r="G798" s="1">
        <v>11654</v>
      </c>
    </row>
    <row r="799" spans="1:7">
      <c r="A799" t="s">
        <v>5711</v>
      </c>
      <c r="B799" t="s">
        <v>1243</v>
      </c>
      <c r="C799" t="s">
        <v>1242</v>
      </c>
      <c r="D799" t="s">
        <v>1241</v>
      </c>
      <c r="E799" t="s">
        <v>4288</v>
      </c>
      <c r="F799" s="23">
        <v>44510</v>
      </c>
      <c r="G799" s="1">
        <v>7904</v>
      </c>
    </row>
    <row r="800" spans="1:7">
      <c r="A800" t="s">
        <v>5711</v>
      </c>
      <c r="B800" t="s">
        <v>106</v>
      </c>
      <c r="C800" t="s">
        <v>3261</v>
      </c>
      <c r="D800" t="s">
        <v>3260</v>
      </c>
      <c r="E800" t="s">
        <v>4289</v>
      </c>
      <c r="F800" s="23">
        <v>44721</v>
      </c>
      <c r="G800" s="1">
        <v>559</v>
      </c>
    </row>
    <row r="801" spans="1:7">
      <c r="A801" t="s">
        <v>5711</v>
      </c>
      <c r="B801" t="s">
        <v>833</v>
      </c>
      <c r="C801" t="s">
        <v>1725</v>
      </c>
      <c r="D801" t="s">
        <v>1724</v>
      </c>
      <c r="E801" t="s">
        <v>4290</v>
      </c>
      <c r="F801" s="23">
        <v>44346</v>
      </c>
      <c r="G801" s="1">
        <v>10602</v>
      </c>
    </row>
    <row r="802" spans="1:7">
      <c r="A802" t="s">
        <v>5711</v>
      </c>
      <c r="B802" t="s">
        <v>298</v>
      </c>
      <c r="C802" t="s">
        <v>1485</v>
      </c>
      <c r="D802" t="s">
        <v>1484</v>
      </c>
      <c r="E802" t="s">
        <v>4291</v>
      </c>
      <c r="F802" s="23">
        <v>44493</v>
      </c>
      <c r="G802" s="1">
        <v>1767</v>
      </c>
    </row>
    <row r="803" spans="1:7">
      <c r="A803" t="s">
        <v>5711</v>
      </c>
      <c r="B803" t="s">
        <v>37</v>
      </c>
      <c r="C803" t="s">
        <v>1480</v>
      </c>
      <c r="D803" t="s">
        <v>1479</v>
      </c>
      <c r="E803" t="s">
        <v>4292</v>
      </c>
      <c r="F803" s="23">
        <v>44346</v>
      </c>
      <c r="G803" s="1">
        <v>9666</v>
      </c>
    </row>
    <row r="804" spans="1:7">
      <c r="A804" t="s">
        <v>5711</v>
      </c>
      <c r="B804" t="s">
        <v>94</v>
      </c>
      <c r="C804" t="s">
        <v>1463</v>
      </c>
      <c r="D804" t="s">
        <v>3139</v>
      </c>
      <c r="E804" t="s">
        <v>4293</v>
      </c>
      <c r="F804" s="23">
        <v>44346</v>
      </c>
      <c r="G804" s="1">
        <v>13123</v>
      </c>
    </row>
    <row r="805" spans="1:7">
      <c r="A805" t="s">
        <v>5711</v>
      </c>
      <c r="B805" t="s">
        <v>72</v>
      </c>
      <c r="C805" t="s">
        <v>512</v>
      </c>
      <c r="D805" t="s">
        <v>5581</v>
      </c>
      <c r="E805" t="s">
        <v>4294</v>
      </c>
      <c r="F805" s="23">
        <v>44346</v>
      </c>
      <c r="G805" s="1">
        <v>13155</v>
      </c>
    </row>
    <row r="806" spans="1:7">
      <c r="A806" t="s">
        <v>5711</v>
      </c>
      <c r="B806" t="s">
        <v>233</v>
      </c>
      <c r="C806" t="s">
        <v>593</v>
      </c>
      <c r="D806" t="s">
        <v>2822</v>
      </c>
      <c r="E806" t="s">
        <v>4295</v>
      </c>
      <c r="F806" s="23">
        <v>44346</v>
      </c>
      <c r="G806" s="1">
        <v>7470</v>
      </c>
    </row>
    <row r="807" spans="1:7">
      <c r="A807" t="s">
        <v>5711</v>
      </c>
      <c r="B807" t="s">
        <v>106</v>
      </c>
      <c r="C807" t="s">
        <v>1866</v>
      </c>
      <c r="D807" t="s">
        <v>5582</v>
      </c>
      <c r="E807" t="s">
        <v>4296</v>
      </c>
      <c r="F807" s="23">
        <v>44346</v>
      </c>
      <c r="G807" s="1">
        <v>14645</v>
      </c>
    </row>
    <row r="808" spans="1:7">
      <c r="A808" t="s">
        <v>5711</v>
      </c>
      <c r="B808" t="s">
        <v>149</v>
      </c>
      <c r="C808" t="s">
        <v>438</v>
      </c>
      <c r="D808" t="s">
        <v>437</v>
      </c>
      <c r="E808" t="s">
        <v>4297</v>
      </c>
      <c r="F808" s="23">
        <v>44346</v>
      </c>
      <c r="G808" s="1">
        <v>17213</v>
      </c>
    </row>
    <row r="809" spans="1:7">
      <c r="A809" t="s">
        <v>5711</v>
      </c>
      <c r="B809" t="s">
        <v>94</v>
      </c>
      <c r="C809" t="s">
        <v>3255</v>
      </c>
      <c r="D809" t="s">
        <v>3254</v>
      </c>
      <c r="E809" t="s">
        <v>4298</v>
      </c>
      <c r="F809" s="23">
        <v>44346</v>
      </c>
      <c r="G809" s="1">
        <v>15892</v>
      </c>
    </row>
    <row r="810" spans="1:7">
      <c r="A810" t="s">
        <v>5711</v>
      </c>
      <c r="B810" t="s">
        <v>94</v>
      </c>
      <c r="C810" t="s">
        <v>266</v>
      </c>
      <c r="D810" t="s">
        <v>2194</v>
      </c>
      <c r="E810" t="s">
        <v>4299</v>
      </c>
      <c r="F810" s="23">
        <v>44735</v>
      </c>
      <c r="G810" s="1">
        <v>1935</v>
      </c>
    </row>
    <row r="811" spans="1:7">
      <c r="A811" t="s">
        <v>5711</v>
      </c>
      <c r="B811" t="s">
        <v>1072</v>
      </c>
      <c r="C811" t="s">
        <v>1410</v>
      </c>
      <c r="D811" t="s">
        <v>1409</v>
      </c>
      <c r="E811" t="s">
        <v>4300</v>
      </c>
      <c r="F811" s="23">
        <v>44346</v>
      </c>
      <c r="G811" s="1">
        <v>12126</v>
      </c>
    </row>
    <row r="812" spans="1:7">
      <c r="A812" t="s">
        <v>5711</v>
      </c>
      <c r="B812" t="s">
        <v>298</v>
      </c>
      <c r="D812" t="s">
        <v>5583</v>
      </c>
      <c r="E812" t="s">
        <v>4301</v>
      </c>
      <c r="F812" s="23">
        <v>44346</v>
      </c>
      <c r="G812" s="1">
        <v>9282</v>
      </c>
    </row>
    <row r="813" spans="1:7">
      <c r="A813" t="s">
        <v>5711</v>
      </c>
      <c r="B813" t="s">
        <v>122</v>
      </c>
      <c r="C813" t="s">
        <v>370</v>
      </c>
      <c r="D813" t="s">
        <v>369</v>
      </c>
      <c r="E813" t="s">
        <v>4302</v>
      </c>
      <c r="F813" s="23">
        <v>44346</v>
      </c>
      <c r="G813" s="1">
        <v>3482</v>
      </c>
    </row>
    <row r="814" spans="1:7">
      <c r="A814" t="s">
        <v>5711</v>
      </c>
      <c r="B814" t="s">
        <v>375</v>
      </c>
      <c r="C814" t="s">
        <v>1578</v>
      </c>
      <c r="D814" t="s">
        <v>1577</v>
      </c>
      <c r="E814" t="s">
        <v>4303</v>
      </c>
      <c r="F814" s="23">
        <v>45012</v>
      </c>
      <c r="G814" s="1">
        <v>1006</v>
      </c>
    </row>
    <row r="815" spans="1:7">
      <c r="A815" t="s">
        <v>5711</v>
      </c>
      <c r="B815" t="s">
        <v>58</v>
      </c>
      <c r="C815" t="s">
        <v>1318</v>
      </c>
      <c r="D815" t="s">
        <v>1738</v>
      </c>
      <c r="E815" t="s">
        <v>4304</v>
      </c>
      <c r="F815" s="23">
        <v>44346</v>
      </c>
      <c r="G815" s="1">
        <v>10463</v>
      </c>
    </row>
    <row r="816" spans="1:7">
      <c r="A816" t="s">
        <v>5711</v>
      </c>
      <c r="B816" t="s">
        <v>311</v>
      </c>
      <c r="C816" t="s">
        <v>3096</v>
      </c>
      <c r="D816" t="s">
        <v>3095</v>
      </c>
      <c r="E816" t="s">
        <v>4305</v>
      </c>
      <c r="F816" s="23">
        <v>44460</v>
      </c>
      <c r="G816" s="1">
        <v>7109</v>
      </c>
    </row>
    <row r="817" spans="1:7">
      <c r="A817" t="s">
        <v>5711</v>
      </c>
      <c r="B817" t="s">
        <v>94</v>
      </c>
      <c r="C817" t="s">
        <v>3488</v>
      </c>
      <c r="D817" t="s">
        <v>508</v>
      </c>
      <c r="E817" t="s">
        <v>4306</v>
      </c>
      <c r="F817" s="23">
        <v>45061</v>
      </c>
      <c r="G817" s="1">
        <v>3739</v>
      </c>
    </row>
    <row r="818" spans="1:7">
      <c r="A818" t="s">
        <v>5711</v>
      </c>
      <c r="B818" t="s">
        <v>106</v>
      </c>
      <c r="C818" t="s">
        <v>2604</v>
      </c>
      <c r="D818" t="s">
        <v>2603</v>
      </c>
      <c r="E818" t="s">
        <v>4307</v>
      </c>
      <c r="F818" s="23">
        <v>44346</v>
      </c>
      <c r="G818" s="1">
        <v>13453</v>
      </c>
    </row>
    <row r="819" spans="1:7">
      <c r="A819" t="s">
        <v>5711</v>
      </c>
      <c r="B819" t="s">
        <v>37</v>
      </c>
      <c r="C819" t="s">
        <v>548</v>
      </c>
      <c r="D819" t="s">
        <v>651</v>
      </c>
      <c r="E819" t="s">
        <v>4308</v>
      </c>
      <c r="F819" s="23">
        <v>44346</v>
      </c>
      <c r="G819" s="1">
        <v>13078</v>
      </c>
    </row>
    <row r="820" spans="1:7">
      <c r="A820" t="s">
        <v>5711</v>
      </c>
      <c r="B820" t="s">
        <v>37</v>
      </c>
      <c r="C820" t="s">
        <v>518</v>
      </c>
      <c r="D820" t="s">
        <v>517</v>
      </c>
      <c r="E820" t="s">
        <v>4309</v>
      </c>
      <c r="F820" s="23">
        <v>44346</v>
      </c>
      <c r="G820" s="1">
        <v>19643</v>
      </c>
    </row>
    <row r="821" spans="1:7">
      <c r="A821" t="s">
        <v>5711</v>
      </c>
      <c r="B821" t="s">
        <v>94</v>
      </c>
      <c r="D821" t="s">
        <v>2229</v>
      </c>
      <c r="E821" t="s">
        <v>4310</v>
      </c>
      <c r="F821" s="23">
        <v>44346</v>
      </c>
      <c r="G821" s="1">
        <v>18214</v>
      </c>
    </row>
    <row r="822" spans="1:7">
      <c r="A822" t="s">
        <v>5711</v>
      </c>
      <c r="B822" t="s">
        <v>37</v>
      </c>
      <c r="C822" t="s">
        <v>49</v>
      </c>
      <c r="D822" t="s">
        <v>48</v>
      </c>
      <c r="E822" t="s">
        <v>4311</v>
      </c>
      <c r="F822" s="23">
        <v>44776</v>
      </c>
      <c r="G822" s="1">
        <v>7005</v>
      </c>
    </row>
    <row r="823" spans="1:7">
      <c r="A823" t="s">
        <v>5711</v>
      </c>
      <c r="B823" t="s">
        <v>281</v>
      </c>
      <c r="C823" t="s">
        <v>1338</v>
      </c>
      <c r="D823" t="s">
        <v>5584</v>
      </c>
      <c r="E823" t="s">
        <v>4312</v>
      </c>
      <c r="F823" s="23">
        <v>44346</v>
      </c>
      <c r="G823" s="1">
        <v>11693</v>
      </c>
    </row>
    <row r="824" spans="1:7">
      <c r="A824" t="s">
        <v>5711</v>
      </c>
      <c r="B824" t="s">
        <v>72</v>
      </c>
      <c r="C824" t="s">
        <v>1668</v>
      </c>
      <c r="D824" t="s">
        <v>1667</v>
      </c>
      <c r="E824" t="s">
        <v>4313</v>
      </c>
      <c r="F824" s="23">
        <v>45055</v>
      </c>
      <c r="G824" s="1">
        <v>11937</v>
      </c>
    </row>
    <row r="825" spans="1:7">
      <c r="A825" t="s">
        <v>5711</v>
      </c>
      <c r="B825" t="s">
        <v>106</v>
      </c>
      <c r="C825" t="s">
        <v>2147</v>
      </c>
      <c r="D825" t="s">
        <v>2146</v>
      </c>
      <c r="E825" t="s">
        <v>4314</v>
      </c>
      <c r="F825" s="23">
        <v>44346</v>
      </c>
      <c r="G825" s="1">
        <v>4081</v>
      </c>
    </row>
    <row r="826" spans="1:7">
      <c r="A826" t="s">
        <v>5711</v>
      </c>
      <c r="B826" t="s">
        <v>311</v>
      </c>
      <c r="D826" t="s">
        <v>3483</v>
      </c>
      <c r="E826" t="s">
        <v>4315</v>
      </c>
      <c r="F826" s="23">
        <v>44346</v>
      </c>
      <c r="G826" s="1">
        <v>15556</v>
      </c>
    </row>
    <row r="827" spans="1:7">
      <c r="A827" t="s">
        <v>5711</v>
      </c>
      <c r="B827" t="s">
        <v>311</v>
      </c>
      <c r="C827" t="s">
        <v>2749</v>
      </c>
      <c r="D827" t="s">
        <v>2748</v>
      </c>
      <c r="E827" t="s">
        <v>4316</v>
      </c>
      <c r="F827" s="23">
        <v>44630</v>
      </c>
      <c r="G827" s="1">
        <v>5979</v>
      </c>
    </row>
    <row r="828" spans="1:7">
      <c r="A828" t="s">
        <v>5711</v>
      </c>
      <c r="B828" t="s">
        <v>94</v>
      </c>
      <c r="C828" t="s">
        <v>3133</v>
      </c>
      <c r="D828" t="s">
        <v>3132</v>
      </c>
      <c r="E828" t="s">
        <v>4317</v>
      </c>
      <c r="F828" s="23">
        <v>44346</v>
      </c>
      <c r="G828" s="1">
        <v>15848</v>
      </c>
    </row>
    <row r="829" spans="1:7">
      <c r="A829" t="s">
        <v>5711</v>
      </c>
      <c r="B829" t="s">
        <v>233</v>
      </c>
      <c r="C829" t="s">
        <v>880</v>
      </c>
      <c r="D829" t="s">
        <v>5585</v>
      </c>
      <c r="E829" t="s">
        <v>4318</v>
      </c>
      <c r="F829" s="23">
        <v>44346</v>
      </c>
      <c r="G829" s="1">
        <v>19051</v>
      </c>
    </row>
    <row r="830" spans="1:7">
      <c r="A830" t="s">
        <v>5711</v>
      </c>
      <c r="B830" t="s">
        <v>311</v>
      </c>
      <c r="C830" t="s">
        <v>3356</v>
      </c>
      <c r="D830" t="s">
        <v>3355</v>
      </c>
      <c r="E830" t="s">
        <v>4319</v>
      </c>
      <c r="F830" s="23">
        <v>44346</v>
      </c>
      <c r="G830" s="1">
        <v>16386</v>
      </c>
    </row>
    <row r="831" spans="1:7">
      <c r="A831" t="s">
        <v>5711</v>
      </c>
      <c r="B831" t="s">
        <v>94</v>
      </c>
      <c r="C831" t="s">
        <v>2298</v>
      </c>
      <c r="D831" t="s">
        <v>2297</v>
      </c>
      <c r="E831" t="s">
        <v>4320</v>
      </c>
      <c r="F831" s="23">
        <v>44346</v>
      </c>
      <c r="G831" s="1">
        <v>16215</v>
      </c>
    </row>
    <row r="832" spans="1:7">
      <c r="A832" t="s">
        <v>5711</v>
      </c>
      <c r="B832" t="s">
        <v>233</v>
      </c>
      <c r="C832" t="s">
        <v>2283</v>
      </c>
      <c r="D832" t="s">
        <v>2282</v>
      </c>
      <c r="E832" t="s">
        <v>4321</v>
      </c>
      <c r="F832" s="23">
        <v>44358</v>
      </c>
      <c r="G832" s="1">
        <v>507</v>
      </c>
    </row>
    <row r="833" spans="1:7">
      <c r="A833" t="s">
        <v>5711</v>
      </c>
      <c r="B833" t="s">
        <v>106</v>
      </c>
      <c r="C833" t="s">
        <v>1530</v>
      </c>
      <c r="D833" t="s">
        <v>1529</v>
      </c>
      <c r="E833" t="s">
        <v>4322</v>
      </c>
      <c r="F833" s="23">
        <v>44346</v>
      </c>
      <c r="G833" s="1">
        <v>15212</v>
      </c>
    </row>
    <row r="834" spans="1:7">
      <c r="A834" t="s">
        <v>5711</v>
      </c>
      <c r="B834" t="s">
        <v>101</v>
      </c>
      <c r="C834" t="s">
        <v>153</v>
      </c>
      <c r="D834" t="s">
        <v>152</v>
      </c>
      <c r="E834" t="s">
        <v>4323</v>
      </c>
      <c r="F834" s="23">
        <v>44346</v>
      </c>
      <c r="G834" s="1">
        <v>19052</v>
      </c>
    </row>
    <row r="835" spans="1:7">
      <c r="A835" t="s">
        <v>5711</v>
      </c>
      <c r="B835" t="s">
        <v>37</v>
      </c>
      <c r="C835" t="s">
        <v>1037</v>
      </c>
      <c r="D835" t="s">
        <v>1036</v>
      </c>
      <c r="E835" t="s">
        <v>4324</v>
      </c>
      <c r="F835" s="23">
        <v>44346</v>
      </c>
      <c r="G835" s="1">
        <v>18609</v>
      </c>
    </row>
    <row r="836" spans="1:7">
      <c r="A836" t="s">
        <v>5711</v>
      </c>
      <c r="B836" t="s">
        <v>94</v>
      </c>
      <c r="C836" t="s">
        <v>3460</v>
      </c>
      <c r="D836" t="s">
        <v>3459</v>
      </c>
      <c r="E836" t="s">
        <v>4325</v>
      </c>
      <c r="F836" s="23">
        <v>44346</v>
      </c>
      <c r="G836" s="1">
        <v>6970</v>
      </c>
    </row>
    <row r="837" spans="1:7">
      <c r="A837" t="s">
        <v>5711</v>
      </c>
      <c r="B837" t="s">
        <v>311</v>
      </c>
      <c r="C837" t="s">
        <v>2691</v>
      </c>
      <c r="D837" t="s">
        <v>2690</v>
      </c>
      <c r="E837" t="s">
        <v>4326</v>
      </c>
      <c r="F837" s="23">
        <v>44346</v>
      </c>
      <c r="G837" s="1">
        <v>18023</v>
      </c>
    </row>
    <row r="838" spans="1:7">
      <c r="A838" t="s">
        <v>5711</v>
      </c>
      <c r="B838" t="s">
        <v>68</v>
      </c>
      <c r="C838" t="s">
        <v>1001</v>
      </c>
      <c r="D838" t="s">
        <v>1130</v>
      </c>
      <c r="E838" t="s">
        <v>4327</v>
      </c>
      <c r="F838" s="23">
        <v>44346</v>
      </c>
      <c r="G838" s="1">
        <v>16528</v>
      </c>
    </row>
    <row r="839" spans="1:7">
      <c r="A839" t="s">
        <v>5711</v>
      </c>
      <c r="B839" t="s">
        <v>106</v>
      </c>
      <c r="C839" t="s">
        <v>1929</v>
      </c>
      <c r="D839" t="s">
        <v>1928</v>
      </c>
      <c r="E839" t="s">
        <v>4328</v>
      </c>
      <c r="F839" s="23">
        <v>44346</v>
      </c>
      <c r="G839" s="1">
        <v>13668</v>
      </c>
    </row>
    <row r="840" spans="1:7">
      <c r="A840" t="s">
        <v>5711</v>
      </c>
      <c r="B840" t="s">
        <v>298</v>
      </c>
      <c r="C840" t="s">
        <v>361</v>
      </c>
      <c r="D840" t="s">
        <v>3145</v>
      </c>
      <c r="E840" t="s">
        <v>4329</v>
      </c>
      <c r="F840" s="23">
        <v>44346</v>
      </c>
      <c r="G840" s="1">
        <v>12144</v>
      </c>
    </row>
    <row r="841" spans="1:7">
      <c r="A841" t="s">
        <v>5711</v>
      </c>
      <c r="B841" t="s">
        <v>233</v>
      </c>
      <c r="C841" t="s">
        <v>2283</v>
      </c>
      <c r="D841" t="s">
        <v>2483</v>
      </c>
      <c r="E841" t="s">
        <v>4330</v>
      </c>
      <c r="F841" s="23">
        <v>44346</v>
      </c>
      <c r="G841" s="1">
        <v>2370</v>
      </c>
    </row>
    <row r="842" spans="1:7">
      <c r="A842" t="s">
        <v>5711</v>
      </c>
      <c r="B842" t="s">
        <v>298</v>
      </c>
      <c r="C842" t="s">
        <v>2082</v>
      </c>
      <c r="D842" t="s">
        <v>5586</v>
      </c>
      <c r="E842" t="s">
        <v>4331</v>
      </c>
      <c r="F842" s="23">
        <v>44346</v>
      </c>
      <c r="G842" s="1">
        <v>16722</v>
      </c>
    </row>
    <row r="843" spans="1:7">
      <c r="A843" t="s">
        <v>5711</v>
      </c>
      <c r="B843" t="s">
        <v>106</v>
      </c>
      <c r="C843" t="s">
        <v>2226</v>
      </c>
      <c r="D843" t="s">
        <v>2225</v>
      </c>
      <c r="E843" t="s">
        <v>4332</v>
      </c>
      <c r="F843" s="23">
        <v>44346</v>
      </c>
      <c r="G843" s="1">
        <v>18451</v>
      </c>
    </row>
    <row r="844" spans="1:7">
      <c r="A844" t="s">
        <v>5711</v>
      </c>
      <c r="B844" t="s">
        <v>298</v>
      </c>
      <c r="C844" t="s">
        <v>1896</v>
      </c>
      <c r="D844" t="s">
        <v>1895</v>
      </c>
      <c r="E844" t="s">
        <v>4333</v>
      </c>
      <c r="F844" s="23">
        <v>44346</v>
      </c>
      <c r="G844" s="1">
        <v>2394</v>
      </c>
    </row>
    <row r="845" spans="1:7">
      <c r="A845" t="s">
        <v>5711</v>
      </c>
      <c r="B845" t="s">
        <v>94</v>
      </c>
      <c r="C845" t="s">
        <v>2408</v>
      </c>
      <c r="D845" t="s">
        <v>2407</v>
      </c>
      <c r="E845" t="s">
        <v>4334</v>
      </c>
      <c r="F845" s="23">
        <v>44346</v>
      </c>
      <c r="G845" s="1">
        <v>19941</v>
      </c>
    </row>
    <row r="846" spans="1:7">
      <c r="A846" t="s">
        <v>5711</v>
      </c>
      <c r="B846" t="s">
        <v>43</v>
      </c>
      <c r="C846" t="s">
        <v>1398</v>
      </c>
      <c r="D846" t="s">
        <v>1397</v>
      </c>
      <c r="E846" t="s">
        <v>4335</v>
      </c>
      <c r="F846" s="23">
        <v>44346</v>
      </c>
      <c r="G846" s="1">
        <v>14696</v>
      </c>
    </row>
    <row r="847" spans="1:7">
      <c r="A847" t="s">
        <v>5711</v>
      </c>
      <c r="B847" t="s">
        <v>106</v>
      </c>
      <c r="C847" t="s">
        <v>3253</v>
      </c>
      <c r="D847" t="s">
        <v>3252</v>
      </c>
      <c r="E847" t="s">
        <v>4336</v>
      </c>
      <c r="F847" s="23">
        <v>44346</v>
      </c>
      <c r="G847" s="1">
        <v>16906</v>
      </c>
    </row>
    <row r="848" spans="1:7">
      <c r="A848" t="s">
        <v>5711</v>
      </c>
      <c r="B848" t="s">
        <v>230</v>
      </c>
      <c r="C848" t="s">
        <v>1026</v>
      </c>
      <c r="D848" t="s">
        <v>1025</v>
      </c>
      <c r="E848" t="s">
        <v>4337</v>
      </c>
      <c r="F848" s="23">
        <v>44346</v>
      </c>
      <c r="G848" s="1">
        <v>14178</v>
      </c>
    </row>
    <row r="849" spans="1:7">
      <c r="A849" t="s">
        <v>5711</v>
      </c>
      <c r="B849" t="s">
        <v>106</v>
      </c>
      <c r="C849" t="s">
        <v>3148</v>
      </c>
      <c r="D849" t="s">
        <v>3147</v>
      </c>
      <c r="E849" t="s">
        <v>4338</v>
      </c>
      <c r="F849" s="23">
        <v>45064</v>
      </c>
      <c r="G849" s="1">
        <v>1648</v>
      </c>
    </row>
    <row r="850" spans="1:7">
      <c r="A850" t="s">
        <v>5711</v>
      </c>
      <c r="B850" t="s">
        <v>94</v>
      </c>
      <c r="C850" t="s">
        <v>940</v>
      </c>
      <c r="D850" t="s">
        <v>939</v>
      </c>
      <c r="E850" t="s">
        <v>4339</v>
      </c>
      <c r="F850" s="23">
        <v>44346</v>
      </c>
      <c r="G850" s="1">
        <v>15111</v>
      </c>
    </row>
    <row r="851" spans="1:7">
      <c r="A851" t="s">
        <v>5711</v>
      </c>
      <c r="B851" t="s">
        <v>1149</v>
      </c>
      <c r="C851" t="s">
        <v>1574</v>
      </c>
      <c r="D851" t="s">
        <v>5587</v>
      </c>
      <c r="E851" t="s">
        <v>4340</v>
      </c>
      <c r="F851" s="23">
        <v>44346</v>
      </c>
      <c r="G851" s="1">
        <v>12799</v>
      </c>
    </row>
    <row r="852" spans="1:7">
      <c r="A852" t="s">
        <v>5711</v>
      </c>
      <c r="B852" t="s">
        <v>311</v>
      </c>
      <c r="C852" t="s">
        <v>1889</v>
      </c>
      <c r="D852" t="s">
        <v>1888</v>
      </c>
      <c r="E852" t="s">
        <v>4341</v>
      </c>
      <c r="F852" s="23">
        <v>44918</v>
      </c>
      <c r="G852" s="1">
        <v>6690</v>
      </c>
    </row>
    <row r="853" spans="1:7">
      <c r="A853" t="s">
        <v>5711</v>
      </c>
      <c r="B853" t="s">
        <v>37</v>
      </c>
      <c r="C853" t="s">
        <v>279</v>
      </c>
      <c r="D853" t="s">
        <v>278</v>
      </c>
      <c r="E853" t="s">
        <v>4342</v>
      </c>
      <c r="F853" s="23">
        <v>44346</v>
      </c>
      <c r="G853" s="1">
        <v>16276</v>
      </c>
    </row>
    <row r="854" spans="1:7">
      <c r="A854" t="s">
        <v>5711</v>
      </c>
      <c r="B854" t="s">
        <v>94</v>
      </c>
      <c r="C854" t="s">
        <v>2414</v>
      </c>
      <c r="D854" t="s">
        <v>5588</v>
      </c>
      <c r="E854" t="s">
        <v>4343</v>
      </c>
      <c r="F854" s="23">
        <v>44346</v>
      </c>
      <c r="G854" s="1">
        <v>5988</v>
      </c>
    </row>
    <row r="855" spans="1:7">
      <c r="A855" t="s">
        <v>5711</v>
      </c>
      <c r="B855" t="s">
        <v>400</v>
      </c>
      <c r="C855" t="s">
        <v>1247</v>
      </c>
      <c r="D855" t="s">
        <v>5589</v>
      </c>
      <c r="E855" t="s">
        <v>4344</v>
      </c>
      <c r="F855" s="23">
        <v>44895</v>
      </c>
      <c r="G855" s="1">
        <v>567</v>
      </c>
    </row>
    <row r="856" spans="1:7">
      <c r="A856" t="s">
        <v>5711</v>
      </c>
      <c r="B856" t="s">
        <v>94</v>
      </c>
      <c r="C856" t="s">
        <v>3485</v>
      </c>
      <c r="D856" t="s">
        <v>885</v>
      </c>
      <c r="E856" t="s">
        <v>4345</v>
      </c>
      <c r="F856" s="23">
        <v>45051</v>
      </c>
      <c r="G856" s="1">
        <v>4331</v>
      </c>
    </row>
    <row r="857" spans="1:7">
      <c r="A857" t="s">
        <v>5711</v>
      </c>
      <c r="B857" t="s">
        <v>101</v>
      </c>
      <c r="C857" t="s">
        <v>1710</v>
      </c>
      <c r="D857" t="s">
        <v>1709</v>
      </c>
      <c r="E857" t="s">
        <v>4346</v>
      </c>
      <c r="F857" s="23">
        <v>44517</v>
      </c>
      <c r="G857" s="1">
        <v>1196</v>
      </c>
    </row>
    <row r="858" spans="1:7">
      <c r="A858" t="s">
        <v>5711</v>
      </c>
      <c r="B858" t="s">
        <v>132</v>
      </c>
      <c r="C858" t="s">
        <v>1599</v>
      </c>
      <c r="D858" t="s">
        <v>1598</v>
      </c>
      <c r="E858" t="s">
        <v>4347</v>
      </c>
      <c r="F858" s="23">
        <v>44346</v>
      </c>
      <c r="G858" s="1">
        <v>9553</v>
      </c>
    </row>
    <row r="859" spans="1:7">
      <c r="A859" t="s">
        <v>5711</v>
      </c>
      <c r="B859" t="s">
        <v>298</v>
      </c>
      <c r="C859" t="s">
        <v>153</v>
      </c>
      <c r="D859" t="s">
        <v>2731</v>
      </c>
      <c r="E859" t="s">
        <v>4348</v>
      </c>
      <c r="F859" s="23">
        <v>44488</v>
      </c>
      <c r="G859" s="1">
        <v>8848</v>
      </c>
    </row>
    <row r="860" spans="1:7">
      <c r="A860" t="s">
        <v>5711</v>
      </c>
      <c r="B860" t="s">
        <v>106</v>
      </c>
      <c r="C860" t="s">
        <v>2566</v>
      </c>
      <c r="D860" t="s">
        <v>2565</v>
      </c>
      <c r="E860" t="s">
        <v>4349</v>
      </c>
      <c r="F860" s="23">
        <v>44346</v>
      </c>
      <c r="G860" s="1">
        <v>7514</v>
      </c>
    </row>
    <row r="861" spans="1:7">
      <c r="A861" t="s">
        <v>5711</v>
      </c>
      <c r="B861" t="s">
        <v>298</v>
      </c>
      <c r="C861" t="s">
        <v>2653</v>
      </c>
      <c r="D861" t="s">
        <v>2652</v>
      </c>
      <c r="E861" t="s">
        <v>4350</v>
      </c>
      <c r="F861" s="23">
        <v>44346</v>
      </c>
      <c r="G861" s="1">
        <v>18740</v>
      </c>
    </row>
    <row r="862" spans="1:7">
      <c r="A862" t="s">
        <v>5711</v>
      </c>
      <c r="B862" t="s">
        <v>208</v>
      </c>
      <c r="C862" t="s">
        <v>1111</v>
      </c>
      <c r="D862" t="s">
        <v>1110</v>
      </c>
      <c r="E862" t="s">
        <v>4351</v>
      </c>
      <c r="F862" s="23">
        <v>44346</v>
      </c>
      <c r="G862" s="1">
        <v>5098</v>
      </c>
    </row>
    <row r="863" spans="1:7">
      <c r="A863" t="s">
        <v>5711</v>
      </c>
      <c r="B863" t="s">
        <v>149</v>
      </c>
      <c r="C863" t="s">
        <v>1747</v>
      </c>
      <c r="D863" t="s">
        <v>1746</v>
      </c>
      <c r="E863" t="s">
        <v>4352</v>
      </c>
      <c r="F863" s="23">
        <v>44346</v>
      </c>
      <c r="G863" s="1">
        <v>18798</v>
      </c>
    </row>
    <row r="864" spans="1:7">
      <c r="A864" t="s">
        <v>5711</v>
      </c>
      <c r="B864" t="s">
        <v>94</v>
      </c>
      <c r="C864" t="s">
        <v>2460</v>
      </c>
      <c r="D864" t="s">
        <v>2459</v>
      </c>
      <c r="E864" t="s">
        <v>4353</v>
      </c>
      <c r="F864" s="23">
        <v>44346</v>
      </c>
      <c r="G864" s="1">
        <v>16121</v>
      </c>
    </row>
    <row r="865" spans="1:7">
      <c r="A865" t="s">
        <v>5711</v>
      </c>
      <c r="B865" t="s">
        <v>94</v>
      </c>
      <c r="C865" t="s">
        <v>2501</v>
      </c>
      <c r="D865" t="s">
        <v>5590</v>
      </c>
      <c r="E865" t="s">
        <v>4354</v>
      </c>
      <c r="F865" s="23">
        <v>44346</v>
      </c>
      <c r="G865" s="1">
        <v>18119</v>
      </c>
    </row>
    <row r="866" spans="1:7">
      <c r="A866" t="s">
        <v>5711</v>
      </c>
      <c r="B866" t="s">
        <v>233</v>
      </c>
      <c r="C866" t="s">
        <v>3361</v>
      </c>
      <c r="D866" t="s">
        <v>3360</v>
      </c>
      <c r="E866" t="s">
        <v>4355</v>
      </c>
      <c r="F866" s="23">
        <v>44346</v>
      </c>
      <c r="G866" s="1">
        <v>19802</v>
      </c>
    </row>
    <row r="867" spans="1:7">
      <c r="A867" t="s">
        <v>5711</v>
      </c>
      <c r="B867" t="s">
        <v>101</v>
      </c>
      <c r="C867" t="s">
        <v>514</v>
      </c>
      <c r="D867" t="s">
        <v>513</v>
      </c>
      <c r="E867" t="s">
        <v>4356</v>
      </c>
      <c r="F867" s="23">
        <v>44346</v>
      </c>
      <c r="G867" s="1">
        <v>14533</v>
      </c>
    </row>
    <row r="868" spans="1:7">
      <c r="A868" t="s">
        <v>5711</v>
      </c>
      <c r="B868" t="s">
        <v>106</v>
      </c>
      <c r="C868" t="s">
        <v>1126</v>
      </c>
      <c r="D868" t="s">
        <v>1125</v>
      </c>
      <c r="E868" t="s">
        <v>4357</v>
      </c>
      <c r="F868" s="23">
        <v>44491</v>
      </c>
      <c r="G868" s="1">
        <v>11842</v>
      </c>
    </row>
    <row r="869" spans="1:7">
      <c r="A869" t="s">
        <v>5711</v>
      </c>
      <c r="B869" t="s">
        <v>101</v>
      </c>
      <c r="C869" t="s">
        <v>1151</v>
      </c>
      <c r="D869" t="s">
        <v>5591</v>
      </c>
      <c r="E869" t="s">
        <v>4358</v>
      </c>
      <c r="F869" s="23">
        <v>44346</v>
      </c>
      <c r="G869" s="1">
        <v>3619</v>
      </c>
    </row>
    <row r="870" spans="1:7">
      <c r="A870" t="s">
        <v>5711</v>
      </c>
      <c r="B870" t="s">
        <v>91</v>
      </c>
      <c r="C870" t="s">
        <v>1106</v>
      </c>
      <c r="D870" t="s">
        <v>1105</v>
      </c>
      <c r="E870" t="s">
        <v>4359</v>
      </c>
      <c r="F870" s="23">
        <v>44346</v>
      </c>
      <c r="G870" s="1">
        <v>4074</v>
      </c>
    </row>
    <row r="871" spans="1:7">
      <c r="A871" t="s">
        <v>5711</v>
      </c>
      <c r="B871" t="s">
        <v>298</v>
      </c>
      <c r="C871" t="s">
        <v>1876</v>
      </c>
      <c r="D871" t="s">
        <v>1875</v>
      </c>
      <c r="E871" t="s">
        <v>4360</v>
      </c>
      <c r="F871" s="23">
        <v>44698</v>
      </c>
      <c r="G871" s="1">
        <v>9440</v>
      </c>
    </row>
    <row r="872" spans="1:7">
      <c r="A872" t="s">
        <v>5711</v>
      </c>
      <c r="B872" t="s">
        <v>94</v>
      </c>
      <c r="C872" t="s">
        <v>2423</v>
      </c>
      <c r="D872" t="s">
        <v>2422</v>
      </c>
      <c r="E872" t="s">
        <v>4361</v>
      </c>
      <c r="F872" s="23">
        <v>45072</v>
      </c>
      <c r="G872" s="1">
        <v>7847</v>
      </c>
    </row>
    <row r="873" spans="1:7">
      <c r="A873" t="s">
        <v>5711</v>
      </c>
      <c r="B873" t="s">
        <v>676</v>
      </c>
      <c r="C873" t="s">
        <v>1252</v>
      </c>
      <c r="D873" t="s">
        <v>1251</v>
      </c>
      <c r="E873" t="s">
        <v>4362</v>
      </c>
      <c r="F873" s="23">
        <v>44726</v>
      </c>
      <c r="G873" s="1">
        <v>10654</v>
      </c>
    </row>
    <row r="874" spans="1:7">
      <c r="A874" t="s">
        <v>5711</v>
      </c>
      <c r="B874" t="s">
        <v>94</v>
      </c>
      <c r="C874" t="s">
        <v>3489</v>
      </c>
      <c r="D874" t="s">
        <v>1500</v>
      </c>
      <c r="E874" t="s">
        <v>4363</v>
      </c>
      <c r="F874" s="23">
        <v>44346</v>
      </c>
      <c r="G874" s="1">
        <v>14233</v>
      </c>
    </row>
    <row r="875" spans="1:7">
      <c r="A875" t="s">
        <v>5711</v>
      </c>
      <c r="B875" t="s">
        <v>311</v>
      </c>
      <c r="C875" t="s">
        <v>2261</v>
      </c>
      <c r="D875" t="s">
        <v>2303</v>
      </c>
      <c r="E875" t="s">
        <v>4364</v>
      </c>
      <c r="F875" s="23">
        <v>44346</v>
      </c>
      <c r="G875" s="1">
        <v>17810</v>
      </c>
    </row>
    <row r="876" spans="1:7">
      <c r="A876" t="s">
        <v>5711</v>
      </c>
      <c r="B876" t="s">
        <v>298</v>
      </c>
      <c r="C876" t="s">
        <v>2070</v>
      </c>
      <c r="D876" t="s">
        <v>2069</v>
      </c>
      <c r="E876" t="s">
        <v>4365</v>
      </c>
      <c r="F876" s="23">
        <v>44346</v>
      </c>
      <c r="G876" s="1">
        <v>13023</v>
      </c>
    </row>
    <row r="877" spans="1:7">
      <c r="A877" t="s">
        <v>5711</v>
      </c>
      <c r="B877" t="s">
        <v>94</v>
      </c>
      <c r="C877" t="s">
        <v>2259</v>
      </c>
      <c r="D877" t="s">
        <v>2258</v>
      </c>
      <c r="E877" t="s">
        <v>4366</v>
      </c>
      <c r="F877" s="23">
        <v>44346</v>
      </c>
      <c r="G877" s="1">
        <v>6091</v>
      </c>
    </row>
    <row r="878" spans="1:7">
      <c r="A878" t="s">
        <v>5711</v>
      </c>
      <c r="B878" t="s">
        <v>106</v>
      </c>
      <c r="C878" t="s">
        <v>3466</v>
      </c>
      <c r="D878" t="s">
        <v>3465</v>
      </c>
      <c r="E878" t="s">
        <v>4367</v>
      </c>
      <c r="F878" s="23">
        <v>45008</v>
      </c>
      <c r="G878" s="1">
        <v>9904</v>
      </c>
    </row>
    <row r="879" spans="1:7">
      <c r="A879" t="s">
        <v>5711</v>
      </c>
      <c r="B879" t="s">
        <v>233</v>
      </c>
      <c r="C879" t="s">
        <v>2931</v>
      </c>
      <c r="D879" t="s">
        <v>2930</v>
      </c>
      <c r="E879" t="s">
        <v>4368</v>
      </c>
      <c r="F879" s="23">
        <v>44346</v>
      </c>
      <c r="G879" s="1">
        <v>19584</v>
      </c>
    </row>
    <row r="880" spans="1:7">
      <c r="A880" t="s">
        <v>5711</v>
      </c>
      <c r="B880" t="s">
        <v>233</v>
      </c>
      <c r="C880" t="s">
        <v>3071</v>
      </c>
      <c r="D880" t="s">
        <v>3070</v>
      </c>
      <c r="E880" t="s">
        <v>4369</v>
      </c>
      <c r="F880" s="23">
        <v>44346</v>
      </c>
      <c r="G880" s="1">
        <v>13537</v>
      </c>
    </row>
    <row r="881" spans="1:7">
      <c r="A881" t="s">
        <v>5711</v>
      </c>
      <c r="B881" t="s">
        <v>72</v>
      </c>
      <c r="C881" t="s">
        <v>809</v>
      </c>
      <c r="D881" t="s">
        <v>808</v>
      </c>
      <c r="E881" t="s">
        <v>4370</v>
      </c>
      <c r="F881" s="23">
        <v>44346</v>
      </c>
      <c r="G881" s="1">
        <v>18201</v>
      </c>
    </row>
    <row r="882" spans="1:7">
      <c r="A882" t="s">
        <v>5711</v>
      </c>
      <c r="B882" t="s">
        <v>311</v>
      </c>
      <c r="C882" t="s">
        <v>1918</v>
      </c>
      <c r="D882" t="s">
        <v>1917</v>
      </c>
      <c r="E882" t="s">
        <v>4371</v>
      </c>
      <c r="F882" s="23">
        <v>44346</v>
      </c>
      <c r="G882" s="1">
        <v>16448</v>
      </c>
    </row>
    <row r="883" spans="1:7">
      <c r="A883" t="s">
        <v>5711</v>
      </c>
      <c r="B883" t="s">
        <v>109</v>
      </c>
      <c r="C883" t="s">
        <v>108</v>
      </c>
      <c r="D883" t="s">
        <v>107</v>
      </c>
      <c r="E883" t="s">
        <v>4372</v>
      </c>
      <c r="F883" s="23">
        <v>44346</v>
      </c>
      <c r="G883" s="1">
        <v>14406</v>
      </c>
    </row>
    <row r="884" spans="1:7">
      <c r="A884" t="s">
        <v>5711</v>
      </c>
      <c r="B884" t="s">
        <v>106</v>
      </c>
      <c r="C884" t="s">
        <v>1097</v>
      </c>
      <c r="D884" t="s">
        <v>5592</v>
      </c>
      <c r="E884" t="s">
        <v>4373</v>
      </c>
      <c r="F884" s="23">
        <v>44346</v>
      </c>
      <c r="G884" s="1">
        <v>1116</v>
      </c>
    </row>
    <row r="885" spans="1:7">
      <c r="A885" t="s">
        <v>5711</v>
      </c>
      <c r="B885" t="s">
        <v>233</v>
      </c>
      <c r="C885" t="s">
        <v>2208</v>
      </c>
      <c r="D885" t="s">
        <v>2207</v>
      </c>
      <c r="E885" t="s">
        <v>4374</v>
      </c>
      <c r="F885" s="23">
        <v>44346</v>
      </c>
      <c r="G885" s="1">
        <v>18906</v>
      </c>
    </row>
    <row r="886" spans="1:7">
      <c r="A886" t="s">
        <v>5711</v>
      </c>
      <c r="B886" t="s">
        <v>208</v>
      </c>
      <c r="C886" t="s">
        <v>701</v>
      </c>
      <c r="D886" t="s">
        <v>700</v>
      </c>
      <c r="E886" t="s">
        <v>4375</v>
      </c>
      <c r="F886" s="23">
        <v>44346</v>
      </c>
      <c r="G886" s="1">
        <v>18634</v>
      </c>
    </row>
    <row r="887" spans="1:7">
      <c r="A887" t="s">
        <v>5711</v>
      </c>
      <c r="B887" t="s">
        <v>106</v>
      </c>
      <c r="C887" t="s">
        <v>1024</v>
      </c>
      <c r="D887" t="s">
        <v>1023</v>
      </c>
      <c r="E887" t="s">
        <v>4376</v>
      </c>
      <c r="F887" s="23">
        <v>44712</v>
      </c>
      <c r="G887" s="1">
        <v>4332</v>
      </c>
    </row>
    <row r="888" spans="1:7">
      <c r="A888" t="s">
        <v>5711</v>
      </c>
      <c r="B888" t="s">
        <v>37</v>
      </c>
      <c r="C888" t="s">
        <v>1446</v>
      </c>
      <c r="D888" t="s">
        <v>1445</v>
      </c>
      <c r="E888" t="s">
        <v>4377</v>
      </c>
      <c r="F888" s="23">
        <v>44346</v>
      </c>
      <c r="G888" s="1">
        <v>11875</v>
      </c>
    </row>
    <row r="889" spans="1:7">
      <c r="A889" t="s">
        <v>5711</v>
      </c>
      <c r="B889" t="s">
        <v>94</v>
      </c>
      <c r="C889" t="s">
        <v>3487</v>
      </c>
      <c r="D889" t="s">
        <v>965</v>
      </c>
      <c r="E889" t="s">
        <v>4378</v>
      </c>
      <c r="F889" s="23">
        <v>44346</v>
      </c>
      <c r="G889" s="1">
        <v>15663</v>
      </c>
    </row>
    <row r="890" spans="1:7">
      <c r="A890" t="s">
        <v>5711</v>
      </c>
      <c r="B890" t="s">
        <v>37</v>
      </c>
      <c r="C890" t="s">
        <v>357</v>
      </c>
      <c r="D890" t="s">
        <v>356</v>
      </c>
      <c r="E890" t="s">
        <v>4379</v>
      </c>
      <c r="F890" s="23">
        <v>44424</v>
      </c>
      <c r="G890" s="1">
        <v>8788</v>
      </c>
    </row>
    <row r="891" spans="1:7">
      <c r="A891" t="s">
        <v>5711</v>
      </c>
      <c r="B891" t="s">
        <v>91</v>
      </c>
      <c r="C891" t="s">
        <v>955</v>
      </c>
      <c r="D891" t="s">
        <v>954</v>
      </c>
      <c r="E891" t="s">
        <v>4380</v>
      </c>
      <c r="F891" s="23">
        <v>44346</v>
      </c>
      <c r="G891" s="1">
        <v>15952</v>
      </c>
    </row>
    <row r="892" spans="1:7">
      <c r="A892" t="s">
        <v>5711</v>
      </c>
      <c r="B892" t="s">
        <v>88</v>
      </c>
      <c r="C892" t="s">
        <v>1757</v>
      </c>
      <c r="D892" t="s">
        <v>1756</v>
      </c>
      <c r="E892" t="s">
        <v>4381</v>
      </c>
      <c r="F892" s="23">
        <v>44346</v>
      </c>
      <c r="G892" s="1">
        <v>13235</v>
      </c>
    </row>
    <row r="893" spans="1:7">
      <c r="A893" t="s">
        <v>5711</v>
      </c>
      <c r="B893" t="s">
        <v>37</v>
      </c>
      <c r="C893" t="s">
        <v>1274</v>
      </c>
      <c r="D893" t="s">
        <v>1273</v>
      </c>
      <c r="E893" t="s">
        <v>4382</v>
      </c>
      <c r="F893" s="23">
        <v>44813</v>
      </c>
      <c r="G893" s="1">
        <v>7682</v>
      </c>
    </row>
    <row r="894" spans="1:7">
      <c r="A894" t="s">
        <v>5711</v>
      </c>
      <c r="B894" t="s">
        <v>106</v>
      </c>
      <c r="C894" t="s">
        <v>2638</v>
      </c>
      <c r="D894" t="s">
        <v>3052</v>
      </c>
      <c r="E894" t="s">
        <v>4383</v>
      </c>
      <c r="F894" s="23">
        <v>44346</v>
      </c>
      <c r="G894" s="1">
        <v>19024</v>
      </c>
    </row>
    <row r="895" spans="1:7">
      <c r="A895" t="s">
        <v>5711</v>
      </c>
      <c r="B895" t="s">
        <v>122</v>
      </c>
      <c r="C895" t="s">
        <v>1483</v>
      </c>
      <c r="D895" t="s">
        <v>1482</v>
      </c>
      <c r="E895" t="s">
        <v>4384</v>
      </c>
      <c r="F895" s="23">
        <v>44928</v>
      </c>
      <c r="G895" s="1">
        <v>6540</v>
      </c>
    </row>
    <row r="896" spans="1:7">
      <c r="A896" t="s">
        <v>5711</v>
      </c>
      <c r="B896" t="s">
        <v>68</v>
      </c>
      <c r="C896" t="s">
        <v>1055</v>
      </c>
      <c r="D896" t="s">
        <v>1054</v>
      </c>
      <c r="E896" t="s">
        <v>4385</v>
      </c>
      <c r="F896" s="23">
        <v>44787</v>
      </c>
      <c r="G896" s="1">
        <v>4585</v>
      </c>
    </row>
    <row r="897" spans="1:7">
      <c r="A897" t="s">
        <v>5711</v>
      </c>
      <c r="B897" t="s">
        <v>298</v>
      </c>
      <c r="C897" t="s">
        <v>365</v>
      </c>
      <c r="D897" t="s">
        <v>5593</v>
      </c>
      <c r="E897" t="s">
        <v>4386</v>
      </c>
      <c r="F897" s="23">
        <v>44812</v>
      </c>
      <c r="G897" s="1">
        <v>3202</v>
      </c>
    </row>
    <row r="898" spans="1:7">
      <c r="A898" t="s">
        <v>5711</v>
      </c>
      <c r="B898" t="s">
        <v>94</v>
      </c>
      <c r="C898" t="s">
        <v>1349</v>
      </c>
      <c r="D898" t="s">
        <v>3435</v>
      </c>
      <c r="E898" t="s">
        <v>4387</v>
      </c>
      <c r="F898" s="23">
        <v>44346</v>
      </c>
      <c r="G898" s="1">
        <v>15864</v>
      </c>
    </row>
    <row r="899" spans="1:7">
      <c r="A899" t="s">
        <v>5711</v>
      </c>
      <c r="B899" t="s">
        <v>174</v>
      </c>
      <c r="C899" t="s">
        <v>1539</v>
      </c>
      <c r="D899" t="s">
        <v>1538</v>
      </c>
      <c r="E899" t="s">
        <v>4388</v>
      </c>
      <c r="F899" s="23">
        <v>44346</v>
      </c>
      <c r="G899" s="1">
        <v>19520</v>
      </c>
    </row>
    <row r="900" spans="1:7">
      <c r="A900" t="s">
        <v>5711</v>
      </c>
      <c r="B900" t="s">
        <v>233</v>
      </c>
      <c r="C900" t="s">
        <v>1975</v>
      </c>
      <c r="D900" t="s">
        <v>1974</v>
      </c>
      <c r="E900" t="s">
        <v>4389</v>
      </c>
      <c r="F900" s="23">
        <v>44346</v>
      </c>
      <c r="G900" s="1">
        <v>19001</v>
      </c>
    </row>
    <row r="901" spans="1:7">
      <c r="A901" t="s">
        <v>5711</v>
      </c>
      <c r="B901" t="s">
        <v>233</v>
      </c>
      <c r="C901" t="s">
        <v>2296</v>
      </c>
      <c r="D901" t="s">
        <v>2295</v>
      </c>
      <c r="E901" t="s">
        <v>4390</v>
      </c>
      <c r="F901" s="23">
        <v>44346</v>
      </c>
      <c r="G901" s="1">
        <v>18040</v>
      </c>
    </row>
    <row r="902" spans="1:7">
      <c r="A902" t="s">
        <v>5711</v>
      </c>
      <c r="B902" t="s">
        <v>97</v>
      </c>
      <c r="C902" t="s">
        <v>938</v>
      </c>
      <c r="D902" t="s">
        <v>937</v>
      </c>
      <c r="E902" t="s">
        <v>4391</v>
      </c>
      <c r="F902" s="23">
        <v>44458</v>
      </c>
      <c r="G902" s="1">
        <v>7270</v>
      </c>
    </row>
    <row r="903" spans="1:7">
      <c r="A903" t="s">
        <v>5711</v>
      </c>
      <c r="B903" t="s">
        <v>426</v>
      </c>
      <c r="C903" t="s">
        <v>1572</v>
      </c>
      <c r="D903" t="s">
        <v>1571</v>
      </c>
      <c r="E903" t="s">
        <v>4392</v>
      </c>
      <c r="F903" s="23">
        <v>44346</v>
      </c>
      <c r="G903" s="1">
        <v>18896</v>
      </c>
    </row>
    <row r="904" spans="1:7">
      <c r="A904" t="s">
        <v>5711</v>
      </c>
      <c r="B904" t="s">
        <v>94</v>
      </c>
      <c r="C904" t="s">
        <v>3488</v>
      </c>
      <c r="D904" t="s">
        <v>1170</v>
      </c>
      <c r="E904" t="s">
        <v>4393</v>
      </c>
      <c r="F904" s="23">
        <v>44944</v>
      </c>
      <c r="G904" s="1">
        <v>6351</v>
      </c>
    </row>
    <row r="905" spans="1:7">
      <c r="A905" t="s">
        <v>5711</v>
      </c>
      <c r="B905" t="s">
        <v>891</v>
      </c>
      <c r="C905" t="s">
        <v>1135</v>
      </c>
      <c r="D905" t="s">
        <v>1134</v>
      </c>
      <c r="E905" t="s">
        <v>4394</v>
      </c>
      <c r="F905" s="23">
        <v>44346</v>
      </c>
      <c r="G905" s="1">
        <v>17932</v>
      </c>
    </row>
    <row r="906" spans="1:7">
      <c r="A906" t="s">
        <v>5711</v>
      </c>
      <c r="B906" t="s">
        <v>298</v>
      </c>
      <c r="C906" t="s">
        <v>2292</v>
      </c>
      <c r="D906" t="s">
        <v>2291</v>
      </c>
      <c r="E906" t="s">
        <v>4395</v>
      </c>
      <c r="F906" s="23">
        <v>44346</v>
      </c>
      <c r="G906" s="1">
        <v>17295</v>
      </c>
    </row>
    <row r="907" spans="1:7">
      <c r="A907" t="s">
        <v>5711</v>
      </c>
      <c r="B907" t="s">
        <v>94</v>
      </c>
      <c r="C907" t="s">
        <v>1864</v>
      </c>
      <c r="D907" t="s">
        <v>1863</v>
      </c>
      <c r="E907" t="s">
        <v>4396</v>
      </c>
      <c r="F907" s="23">
        <v>44722</v>
      </c>
      <c r="G907" s="1">
        <v>9682</v>
      </c>
    </row>
    <row r="908" spans="1:7">
      <c r="A908" t="s">
        <v>5711</v>
      </c>
      <c r="B908" t="s">
        <v>233</v>
      </c>
      <c r="C908" t="s">
        <v>2678</v>
      </c>
      <c r="D908" t="s">
        <v>2677</v>
      </c>
      <c r="E908" t="s">
        <v>4397</v>
      </c>
      <c r="F908" s="23">
        <v>44346</v>
      </c>
      <c r="G908" s="1">
        <v>19554</v>
      </c>
    </row>
    <row r="909" spans="1:7">
      <c r="A909" t="s">
        <v>5711</v>
      </c>
      <c r="B909" t="s">
        <v>233</v>
      </c>
      <c r="C909" t="s">
        <v>2458</v>
      </c>
      <c r="D909" t="s">
        <v>2457</v>
      </c>
      <c r="E909" t="s">
        <v>4398</v>
      </c>
      <c r="F909" s="23">
        <v>44635</v>
      </c>
      <c r="G909" s="1">
        <v>2394</v>
      </c>
    </row>
    <row r="910" spans="1:7">
      <c r="A910" t="s">
        <v>5711</v>
      </c>
      <c r="B910" t="s">
        <v>106</v>
      </c>
      <c r="C910" t="s">
        <v>2877</v>
      </c>
      <c r="D910" t="s">
        <v>2876</v>
      </c>
      <c r="E910" t="s">
        <v>4399</v>
      </c>
      <c r="F910" s="23">
        <v>44611</v>
      </c>
      <c r="G910" s="1">
        <v>2825</v>
      </c>
    </row>
    <row r="911" spans="1:7">
      <c r="A911" t="s">
        <v>5711</v>
      </c>
      <c r="B911" t="s">
        <v>174</v>
      </c>
      <c r="C911" t="s">
        <v>1605</v>
      </c>
      <c r="D911" t="s">
        <v>1604</v>
      </c>
      <c r="E911" t="s">
        <v>4400</v>
      </c>
      <c r="F911" s="23">
        <v>44346</v>
      </c>
      <c r="G911" s="1">
        <v>15156</v>
      </c>
    </row>
    <row r="912" spans="1:7">
      <c r="A912" t="s">
        <v>5711</v>
      </c>
      <c r="B912" t="s">
        <v>196</v>
      </c>
      <c r="C912" t="s">
        <v>195</v>
      </c>
      <c r="D912" t="s">
        <v>194</v>
      </c>
      <c r="E912" t="s">
        <v>4401</v>
      </c>
      <c r="F912" s="23">
        <v>44346</v>
      </c>
      <c r="G912" s="1">
        <v>17482</v>
      </c>
    </row>
    <row r="913" spans="1:7">
      <c r="A913" t="s">
        <v>5711</v>
      </c>
      <c r="B913" t="s">
        <v>94</v>
      </c>
      <c r="C913" t="s">
        <v>3141</v>
      </c>
      <c r="D913" t="s">
        <v>3140</v>
      </c>
      <c r="E913" t="s">
        <v>4402</v>
      </c>
      <c r="F913" s="23">
        <v>44967</v>
      </c>
      <c r="G913" s="1">
        <v>8984</v>
      </c>
    </row>
    <row r="914" spans="1:7">
      <c r="A914" t="s">
        <v>5711</v>
      </c>
      <c r="B914" t="s">
        <v>94</v>
      </c>
      <c r="C914" t="s">
        <v>3485</v>
      </c>
      <c r="D914" t="s">
        <v>165</v>
      </c>
      <c r="E914" t="s">
        <v>4403</v>
      </c>
      <c r="F914" s="23">
        <v>44346</v>
      </c>
      <c r="G914" s="1">
        <v>19635</v>
      </c>
    </row>
    <row r="915" spans="1:7">
      <c r="A915" t="s">
        <v>5711</v>
      </c>
      <c r="B915" t="s">
        <v>106</v>
      </c>
      <c r="C915" t="s">
        <v>2300</v>
      </c>
      <c r="D915" t="s">
        <v>2299</v>
      </c>
      <c r="E915" t="s">
        <v>4404</v>
      </c>
      <c r="F915" s="23">
        <v>44346</v>
      </c>
      <c r="G915" s="1">
        <v>12955</v>
      </c>
    </row>
    <row r="916" spans="1:7">
      <c r="A916" t="s">
        <v>5711</v>
      </c>
      <c r="B916" t="s">
        <v>88</v>
      </c>
      <c r="C916" t="s">
        <v>87</v>
      </c>
      <c r="D916" t="s">
        <v>86</v>
      </c>
      <c r="E916" t="s">
        <v>4405</v>
      </c>
      <c r="F916" s="23">
        <v>44346</v>
      </c>
      <c r="G916" s="1">
        <v>15007</v>
      </c>
    </row>
    <row r="917" spans="1:7">
      <c r="A917" t="s">
        <v>5711</v>
      </c>
      <c r="B917" t="s">
        <v>101</v>
      </c>
      <c r="C917" t="s">
        <v>665</v>
      </c>
      <c r="D917" t="s">
        <v>664</v>
      </c>
      <c r="E917" t="s">
        <v>4406</v>
      </c>
      <c r="F917" s="23">
        <v>44346</v>
      </c>
      <c r="G917" s="1">
        <v>4420</v>
      </c>
    </row>
    <row r="918" spans="1:7">
      <c r="A918" t="s">
        <v>5711</v>
      </c>
      <c r="B918" t="s">
        <v>233</v>
      </c>
      <c r="C918" t="s">
        <v>2076</v>
      </c>
      <c r="D918" t="s">
        <v>5594</v>
      </c>
      <c r="E918" t="s">
        <v>4407</v>
      </c>
      <c r="F918" s="23">
        <v>44632</v>
      </c>
      <c r="G918" s="1">
        <v>8858</v>
      </c>
    </row>
    <row r="919" spans="1:7">
      <c r="A919" t="s">
        <v>5711</v>
      </c>
      <c r="B919" t="s">
        <v>106</v>
      </c>
      <c r="C919" t="s">
        <v>2775</v>
      </c>
      <c r="D919" t="s">
        <v>2817</v>
      </c>
      <c r="E919" t="s">
        <v>4408</v>
      </c>
      <c r="F919" s="23">
        <v>44346</v>
      </c>
      <c r="G919" s="1">
        <v>12340</v>
      </c>
    </row>
    <row r="920" spans="1:7">
      <c r="A920" t="s">
        <v>5711</v>
      </c>
      <c r="B920" t="s">
        <v>106</v>
      </c>
      <c r="C920" t="s">
        <v>2674</v>
      </c>
      <c r="D920" t="s">
        <v>2673</v>
      </c>
      <c r="E920" t="s">
        <v>4409</v>
      </c>
      <c r="F920" s="23">
        <v>45046</v>
      </c>
      <c r="G920" s="1">
        <v>2244</v>
      </c>
    </row>
    <row r="921" spans="1:7">
      <c r="A921" t="s">
        <v>5711</v>
      </c>
      <c r="B921" t="s">
        <v>106</v>
      </c>
      <c r="C921" t="s">
        <v>2366</v>
      </c>
      <c r="D921" t="s">
        <v>2365</v>
      </c>
      <c r="E921" t="s">
        <v>4410</v>
      </c>
      <c r="F921" s="23">
        <v>44346</v>
      </c>
      <c r="G921" s="1">
        <v>666</v>
      </c>
    </row>
    <row r="922" spans="1:7">
      <c r="A922" t="s">
        <v>5711</v>
      </c>
      <c r="B922" t="s">
        <v>68</v>
      </c>
      <c r="C922" t="s">
        <v>1607</v>
      </c>
      <c r="D922" t="s">
        <v>1606</v>
      </c>
      <c r="E922" t="s">
        <v>4411</v>
      </c>
      <c r="F922" s="23">
        <v>44459</v>
      </c>
      <c r="G922" s="1">
        <v>7125</v>
      </c>
    </row>
    <row r="923" spans="1:7">
      <c r="A923" t="s">
        <v>5711</v>
      </c>
      <c r="B923" t="s">
        <v>94</v>
      </c>
      <c r="C923" t="s">
        <v>3486</v>
      </c>
      <c r="D923" t="s">
        <v>5595</v>
      </c>
      <c r="E923" t="s">
        <v>4412</v>
      </c>
      <c r="F923" s="23">
        <v>44346</v>
      </c>
      <c r="G923" s="1">
        <v>18446</v>
      </c>
    </row>
    <row r="924" spans="1:7">
      <c r="A924" t="s">
        <v>5711</v>
      </c>
      <c r="B924" t="s">
        <v>94</v>
      </c>
      <c r="C924" t="s">
        <v>3486</v>
      </c>
      <c r="D924" t="s">
        <v>562</v>
      </c>
      <c r="E924" t="s">
        <v>4413</v>
      </c>
      <c r="F924" s="23">
        <v>44346</v>
      </c>
      <c r="G924" s="1">
        <v>18780</v>
      </c>
    </row>
    <row r="925" spans="1:7">
      <c r="A925" t="s">
        <v>5711</v>
      </c>
      <c r="B925" t="s">
        <v>94</v>
      </c>
      <c r="C925" t="s">
        <v>3490</v>
      </c>
      <c r="D925" t="s">
        <v>582</v>
      </c>
      <c r="E925" t="s">
        <v>4414</v>
      </c>
      <c r="F925" s="23">
        <v>44397</v>
      </c>
      <c r="G925" s="1">
        <v>959</v>
      </c>
    </row>
    <row r="926" spans="1:7">
      <c r="A926" t="s">
        <v>5711</v>
      </c>
      <c r="B926" t="s">
        <v>94</v>
      </c>
      <c r="C926" t="s">
        <v>2142</v>
      </c>
      <c r="D926" t="s">
        <v>5596</v>
      </c>
      <c r="E926" t="s">
        <v>4415</v>
      </c>
      <c r="F926" s="23">
        <v>44346</v>
      </c>
      <c r="G926" s="1">
        <v>15631</v>
      </c>
    </row>
    <row r="927" spans="1:7">
      <c r="A927" t="s">
        <v>5711</v>
      </c>
      <c r="B927" t="s">
        <v>94</v>
      </c>
      <c r="C927" t="s">
        <v>3489</v>
      </c>
      <c r="D927" t="s">
        <v>968</v>
      </c>
      <c r="E927" t="s">
        <v>4416</v>
      </c>
      <c r="F927" s="23">
        <v>44346</v>
      </c>
      <c r="G927" s="1">
        <v>18209</v>
      </c>
    </row>
    <row r="928" spans="1:7">
      <c r="A928" t="s">
        <v>5711</v>
      </c>
      <c r="B928" t="s">
        <v>233</v>
      </c>
      <c r="C928" t="s">
        <v>2917</v>
      </c>
      <c r="D928" t="s">
        <v>2916</v>
      </c>
      <c r="E928" t="s">
        <v>4417</v>
      </c>
      <c r="F928" s="23">
        <v>44518</v>
      </c>
      <c r="G928" s="1">
        <v>8027</v>
      </c>
    </row>
    <row r="929" spans="1:7">
      <c r="A929" t="s">
        <v>5711</v>
      </c>
      <c r="B929" t="s">
        <v>94</v>
      </c>
      <c r="C929" t="s">
        <v>3487</v>
      </c>
      <c r="D929" t="s">
        <v>353</v>
      </c>
      <c r="E929" t="s">
        <v>4418</v>
      </c>
      <c r="F929" s="23">
        <v>44738</v>
      </c>
      <c r="G929" s="1">
        <v>5888</v>
      </c>
    </row>
    <row r="930" spans="1:7">
      <c r="A930" t="s">
        <v>5711</v>
      </c>
      <c r="B930" t="s">
        <v>94</v>
      </c>
      <c r="C930" t="s">
        <v>2253</v>
      </c>
      <c r="D930" t="s">
        <v>2252</v>
      </c>
      <c r="E930" t="s">
        <v>4419</v>
      </c>
      <c r="F930" s="23">
        <v>44346</v>
      </c>
      <c r="G930" s="1">
        <v>12885</v>
      </c>
    </row>
    <row r="931" spans="1:7">
      <c r="A931" t="s">
        <v>5711</v>
      </c>
      <c r="B931" t="s">
        <v>106</v>
      </c>
      <c r="C931" t="s">
        <v>2421</v>
      </c>
      <c r="D931" t="s">
        <v>2420</v>
      </c>
      <c r="E931" t="s">
        <v>4420</v>
      </c>
      <c r="F931" s="23">
        <v>44800</v>
      </c>
      <c r="G931" s="1">
        <v>4001</v>
      </c>
    </row>
    <row r="932" spans="1:7">
      <c r="A932" t="s">
        <v>5711</v>
      </c>
      <c r="B932" t="s">
        <v>94</v>
      </c>
      <c r="C932" t="s">
        <v>2106</v>
      </c>
      <c r="D932" t="s">
        <v>2105</v>
      </c>
      <c r="E932" t="s">
        <v>4421</v>
      </c>
      <c r="F932" s="23">
        <v>44938</v>
      </c>
      <c r="G932" s="1">
        <v>10762</v>
      </c>
    </row>
    <row r="933" spans="1:7">
      <c r="A933" t="s">
        <v>5711</v>
      </c>
      <c r="B933" t="s">
        <v>311</v>
      </c>
      <c r="D933" t="s">
        <v>3480</v>
      </c>
      <c r="E933" t="s">
        <v>4422</v>
      </c>
      <c r="F933" s="23">
        <v>44425</v>
      </c>
      <c r="G933" s="1">
        <v>11782</v>
      </c>
    </row>
    <row r="934" spans="1:7">
      <c r="A934" t="s">
        <v>5711</v>
      </c>
      <c r="B934" t="s">
        <v>94</v>
      </c>
      <c r="C934" t="s">
        <v>3487</v>
      </c>
      <c r="D934" t="s">
        <v>1601</v>
      </c>
      <c r="E934" t="s">
        <v>4423</v>
      </c>
      <c r="F934" s="23">
        <v>44346</v>
      </c>
      <c r="G934" s="1">
        <v>13566</v>
      </c>
    </row>
    <row r="935" spans="1:7">
      <c r="A935" t="s">
        <v>5711</v>
      </c>
      <c r="B935" t="s">
        <v>106</v>
      </c>
      <c r="C935" t="s">
        <v>2218</v>
      </c>
      <c r="D935" t="s">
        <v>2217</v>
      </c>
      <c r="E935" t="s">
        <v>4424</v>
      </c>
      <c r="F935" s="23">
        <v>45044</v>
      </c>
      <c r="G935" s="1">
        <v>1189</v>
      </c>
    </row>
    <row r="936" spans="1:7">
      <c r="A936" t="s">
        <v>5711</v>
      </c>
      <c r="B936" t="s">
        <v>94</v>
      </c>
      <c r="C936" t="s">
        <v>3486</v>
      </c>
      <c r="D936" t="s">
        <v>1420</v>
      </c>
      <c r="E936" t="s">
        <v>4425</v>
      </c>
      <c r="F936" s="23">
        <v>44346</v>
      </c>
      <c r="G936" s="1">
        <v>13281</v>
      </c>
    </row>
    <row r="937" spans="1:7">
      <c r="A937" t="s">
        <v>5711</v>
      </c>
      <c r="B937" t="s">
        <v>106</v>
      </c>
      <c r="C937" t="s">
        <v>2861</v>
      </c>
      <c r="D937" t="s">
        <v>2860</v>
      </c>
      <c r="E937" t="s">
        <v>4426</v>
      </c>
      <c r="F937" s="23">
        <v>44768</v>
      </c>
      <c r="G937" s="1">
        <v>7529</v>
      </c>
    </row>
    <row r="938" spans="1:7">
      <c r="A938" t="s">
        <v>5711</v>
      </c>
      <c r="B938" t="s">
        <v>106</v>
      </c>
      <c r="D938" t="s">
        <v>3373</v>
      </c>
      <c r="E938" t="s">
        <v>4427</v>
      </c>
      <c r="F938" s="23">
        <v>44346</v>
      </c>
      <c r="G938" s="1">
        <v>3430</v>
      </c>
    </row>
    <row r="939" spans="1:7">
      <c r="A939" t="s">
        <v>5711</v>
      </c>
      <c r="B939" t="s">
        <v>233</v>
      </c>
      <c r="C939" t="s">
        <v>3135</v>
      </c>
      <c r="D939" t="s">
        <v>3462</v>
      </c>
      <c r="E939" t="s">
        <v>4428</v>
      </c>
      <c r="F939" s="23">
        <v>44346</v>
      </c>
      <c r="G939" s="1">
        <v>17562</v>
      </c>
    </row>
    <row r="940" spans="1:7">
      <c r="A940" t="s">
        <v>5711</v>
      </c>
      <c r="B940" t="s">
        <v>1330</v>
      </c>
      <c r="C940" t="s">
        <v>1329</v>
      </c>
      <c r="D940" t="s">
        <v>1328</v>
      </c>
      <c r="E940" t="s">
        <v>4429</v>
      </c>
      <c r="F940" s="23">
        <v>44346</v>
      </c>
      <c r="G940" s="1">
        <v>19592</v>
      </c>
    </row>
    <row r="941" spans="1:7">
      <c r="A941" t="s">
        <v>5711</v>
      </c>
      <c r="B941" t="s">
        <v>43</v>
      </c>
      <c r="C941" t="s">
        <v>1199</v>
      </c>
      <c r="D941" t="s">
        <v>1198</v>
      </c>
      <c r="E941" t="s">
        <v>4430</v>
      </c>
      <c r="F941" s="23">
        <v>44346</v>
      </c>
      <c r="G941" s="1">
        <v>15028</v>
      </c>
    </row>
    <row r="942" spans="1:7">
      <c r="A942" t="s">
        <v>5711</v>
      </c>
      <c r="B942" t="s">
        <v>101</v>
      </c>
      <c r="C942" t="s">
        <v>1080</v>
      </c>
      <c r="D942" t="s">
        <v>1624</v>
      </c>
      <c r="E942" t="s">
        <v>4431</v>
      </c>
      <c r="F942" s="23">
        <v>44411</v>
      </c>
      <c r="G942" s="1">
        <v>5009</v>
      </c>
    </row>
    <row r="943" spans="1:7">
      <c r="A943" t="s">
        <v>5711</v>
      </c>
      <c r="B943" t="s">
        <v>106</v>
      </c>
      <c r="C943" t="s">
        <v>3469</v>
      </c>
      <c r="D943" t="s">
        <v>5597</v>
      </c>
      <c r="E943" t="s">
        <v>4432</v>
      </c>
      <c r="F943" s="23">
        <v>44346</v>
      </c>
      <c r="G943" s="1">
        <v>18970</v>
      </c>
    </row>
    <row r="944" spans="1:7">
      <c r="A944" t="s">
        <v>5711</v>
      </c>
      <c r="B944" t="s">
        <v>298</v>
      </c>
      <c r="C944" t="s">
        <v>2831</v>
      </c>
      <c r="D944" t="s">
        <v>2830</v>
      </c>
      <c r="E944" t="s">
        <v>4433</v>
      </c>
      <c r="F944" s="23">
        <v>44648</v>
      </c>
      <c r="G944" s="1">
        <v>10022</v>
      </c>
    </row>
    <row r="945" spans="1:7">
      <c r="A945" t="s">
        <v>5711</v>
      </c>
      <c r="B945" t="s">
        <v>106</v>
      </c>
      <c r="C945" t="s">
        <v>2814</v>
      </c>
      <c r="D945" t="s">
        <v>2813</v>
      </c>
      <c r="E945" t="s">
        <v>4434</v>
      </c>
      <c r="F945" s="23">
        <v>44346</v>
      </c>
      <c r="G945" s="1">
        <v>17455</v>
      </c>
    </row>
    <row r="946" spans="1:7">
      <c r="A946" t="s">
        <v>5711</v>
      </c>
      <c r="B946" t="s">
        <v>37</v>
      </c>
      <c r="C946" t="s">
        <v>1562</v>
      </c>
      <c r="D946" t="s">
        <v>1561</v>
      </c>
      <c r="E946" t="s">
        <v>4435</v>
      </c>
      <c r="F946" s="23">
        <v>44346</v>
      </c>
      <c r="G946" s="1">
        <v>10383</v>
      </c>
    </row>
    <row r="947" spans="1:7">
      <c r="A947" t="s">
        <v>5711</v>
      </c>
      <c r="B947" t="s">
        <v>37</v>
      </c>
      <c r="C947" t="s">
        <v>1250</v>
      </c>
      <c r="D947" t="s">
        <v>1249</v>
      </c>
      <c r="E947" t="s">
        <v>4436</v>
      </c>
      <c r="F947" s="23">
        <v>44346</v>
      </c>
      <c r="G947" s="1">
        <v>11114</v>
      </c>
    </row>
    <row r="948" spans="1:7">
      <c r="A948" t="s">
        <v>5711</v>
      </c>
      <c r="B948" t="s">
        <v>106</v>
      </c>
      <c r="C948" t="s">
        <v>2128</v>
      </c>
      <c r="D948" t="s">
        <v>2127</v>
      </c>
      <c r="E948" t="s">
        <v>4437</v>
      </c>
      <c r="F948" s="23">
        <v>44346</v>
      </c>
      <c r="G948" s="1">
        <v>9698</v>
      </c>
    </row>
    <row r="949" spans="1:7">
      <c r="A949" t="s">
        <v>5711</v>
      </c>
      <c r="B949" t="s">
        <v>298</v>
      </c>
      <c r="D949" t="s">
        <v>3202</v>
      </c>
      <c r="E949" t="s">
        <v>4438</v>
      </c>
      <c r="F949" s="23">
        <v>44346</v>
      </c>
      <c r="G949" s="1">
        <v>1401</v>
      </c>
    </row>
    <row r="950" spans="1:7">
      <c r="A950" t="s">
        <v>5711</v>
      </c>
      <c r="B950" t="s">
        <v>298</v>
      </c>
      <c r="C950" t="s">
        <v>2816</v>
      </c>
      <c r="D950" t="s">
        <v>2815</v>
      </c>
      <c r="E950" t="s">
        <v>4439</v>
      </c>
      <c r="F950" s="23">
        <v>44465</v>
      </c>
      <c r="G950" s="1">
        <v>3171</v>
      </c>
    </row>
    <row r="951" spans="1:7">
      <c r="A951" t="s">
        <v>5711</v>
      </c>
      <c r="B951" t="s">
        <v>68</v>
      </c>
      <c r="C951" t="s">
        <v>67</v>
      </c>
      <c r="D951" t="s">
        <v>66</v>
      </c>
      <c r="E951" t="s">
        <v>4440</v>
      </c>
      <c r="F951" s="23">
        <v>44346</v>
      </c>
      <c r="G951" s="1">
        <v>14725</v>
      </c>
    </row>
    <row r="952" spans="1:7">
      <c r="A952" t="s">
        <v>5711</v>
      </c>
      <c r="B952" t="s">
        <v>230</v>
      </c>
      <c r="C952" t="s">
        <v>1291</v>
      </c>
      <c r="D952" t="s">
        <v>1290</v>
      </c>
      <c r="E952" t="s">
        <v>4441</v>
      </c>
      <c r="F952" s="23">
        <v>44668</v>
      </c>
      <c r="G952" s="1">
        <v>10028</v>
      </c>
    </row>
    <row r="953" spans="1:7">
      <c r="A953" t="s">
        <v>5711</v>
      </c>
      <c r="B953" t="s">
        <v>792</v>
      </c>
      <c r="C953" t="s">
        <v>1115</v>
      </c>
      <c r="D953" t="s">
        <v>1114</v>
      </c>
      <c r="E953" t="s">
        <v>4442</v>
      </c>
      <c r="F953" s="23">
        <v>44346</v>
      </c>
      <c r="G953" s="1">
        <v>3880</v>
      </c>
    </row>
    <row r="954" spans="1:7">
      <c r="A954" t="s">
        <v>5711</v>
      </c>
      <c r="B954" t="s">
        <v>298</v>
      </c>
      <c r="C954" t="s">
        <v>1293</v>
      </c>
      <c r="D954" t="s">
        <v>3475</v>
      </c>
      <c r="E954" t="s">
        <v>4443</v>
      </c>
      <c r="F954" s="23">
        <v>44346</v>
      </c>
      <c r="G954" s="1">
        <v>18165</v>
      </c>
    </row>
    <row r="955" spans="1:7">
      <c r="A955" t="s">
        <v>5711</v>
      </c>
      <c r="B955" t="s">
        <v>106</v>
      </c>
      <c r="C955" t="s">
        <v>3408</v>
      </c>
      <c r="D955" t="s">
        <v>3410</v>
      </c>
      <c r="E955" t="s">
        <v>4444</v>
      </c>
      <c r="F955" s="23">
        <v>44346</v>
      </c>
      <c r="G955" s="1">
        <v>1177</v>
      </c>
    </row>
    <row r="956" spans="1:7">
      <c r="A956" t="s">
        <v>5711</v>
      </c>
      <c r="B956" t="s">
        <v>298</v>
      </c>
      <c r="C956" t="s">
        <v>2959</v>
      </c>
      <c r="D956" t="s">
        <v>2958</v>
      </c>
      <c r="E956" t="s">
        <v>4445</v>
      </c>
      <c r="F956" s="23">
        <v>44346</v>
      </c>
      <c r="G956" s="1">
        <v>803</v>
      </c>
    </row>
    <row r="957" spans="1:7">
      <c r="A957" t="s">
        <v>5711</v>
      </c>
      <c r="B957" t="s">
        <v>94</v>
      </c>
      <c r="C957" t="s">
        <v>2149</v>
      </c>
      <c r="D957" t="s">
        <v>2148</v>
      </c>
      <c r="E957" t="s">
        <v>4446</v>
      </c>
      <c r="F957" s="23">
        <v>44713</v>
      </c>
      <c r="G957" s="1">
        <v>8479</v>
      </c>
    </row>
    <row r="958" spans="1:7">
      <c r="A958" t="s">
        <v>5711</v>
      </c>
      <c r="B958" t="s">
        <v>106</v>
      </c>
      <c r="C958" t="s">
        <v>2302</v>
      </c>
      <c r="D958" t="s">
        <v>2301</v>
      </c>
      <c r="E958" t="s">
        <v>4447</v>
      </c>
      <c r="F958" s="23">
        <v>44564</v>
      </c>
      <c r="G958" s="1">
        <v>5260</v>
      </c>
    </row>
    <row r="959" spans="1:7">
      <c r="A959" t="s">
        <v>5711</v>
      </c>
      <c r="B959" t="s">
        <v>233</v>
      </c>
      <c r="C959" t="s">
        <v>2417</v>
      </c>
      <c r="D959" t="s">
        <v>2416</v>
      </c>
      <c r="E959" t="s">
        <v>4448</v>
      </c>
      <c r="F959" s="23">
        <v>44346</v>
      </c>
      <c r="G959" s="1">
        <v>19491</v>
      </c>
    </row>
    <row r="960" spans="1:7">
      <c r="A960" t="s">
        <v>5711</v>
      </c>
      <c r="B960" t="s">
        <v>298</v>
      </c>
      <c r="C960" t="s">
        <v>2210</v>
      </c>
      <c r="D960" t="s">
        <v>3381</v>
      </c>
      <c r="E960" t="s">
        <v>4449</v>
      </c>
      <c r="F960" s="23">
        <v>44346</v>
      </c>
      <c r="G960" s="1">
        <v>19868</v>
      </c>
    </row>
    <row r="961" spans="1:7">
      <c r="A961" t="s">
        <v>5711</v>
      </c>
      <c r="B961" t="s">
        <v>94</v>
      </c>
      <c r="C961" t="s">
        <v>2641</v>
      </c>
      <c r="D961" t="s">
        <v>3364</v>
      </c>
      <c r="E961" t="s">
        <v>4450</v>
      </c>
      <c r="F961" s="23">
        <v>44346</v>
      </c>
      <c r="G961" s="1">
        <v>4336</v>
      </c>
    </row>
    <row r="962" spans="1:7">
      <c r="A962" t="s">
        <v>5711</v>
      </c>
      <c r="B962" t="s">
        <v>94</v>
      </c>
      <c r="C962" t="s">
        <v>3486</v>
      </c>
      <c r="D962" t="s">
        <v>650</v>
      </c>
      <c r="E962" t="s">
        <v>4451</v>
      </c>
      <c r="F962" s="23">
        <v>44346</v>
      </c>
      <c r="G962" s="1">
        <v>735</v>
      </c>
    </row>
    <row r="963" spans="1:7">
      <c r="A963" t="s">
        <v>5711</v>
      </c>
      <c r="B963" t="s">
        <v>106</v>
      </c>
      <c r="C963" t="s">
        <v>2290</v>
      </c>
      <c r="D963" t="s">
        <v>2289</v>
      </c>
      <c r="E963" t="s">
        <v>4452</v>
      </c>
      <c r="F963" s="23">
        <v>44889</v>
      </c>
      <c r="G963" s="1">
        <v>3556</v>
      </c>
    </row>
    <row r="964" spans="1:7">
      <c r="A964" t="s">
        <v>5711</v>
      </c>
      <c r="B964" t="s">
        <v>37</v>
      </c>
      <c r="C964" t="s">
        <v>36</v>
      </c>
      <c r="D964" t="s">
        <v>35</v>
      </c>
      <c r="E964" t="s">
        <v>4453</v>
      </c>
      <c r="F964" s="23">
        <v>44416</v>
      </c>
      <c r="G964" s="1">
        <v>8554</v>
      </c>
    </row>
    <row r="965" spans="1:7">
      <c r="A965" t="s">
        <v>5711</v>
      </c>
      <c r="B965" t="s">
        <v>233</v>
      </c>
      <c r="D965" t="s">
        <v>3146</v>
      </c>
      <c r="E965" t="s">
        <v>4454</v>
      </c>
      <c r="F965" s="23">
        <v>44346</v>
      </c>
      <c r="G965" s="1">
        <v>14762</v>
      </c>
    </row>
    <row r="966" spans="1:7">
      <c r="A966" t="s">
        <v>5711</v>
      </c>
      <c r="B966" t="s">
        <v>311</v>
      </c>
      <c r="C966" t="s">
        <v>1977</v>
      </c>
      <c r="D966" t="s">
        <v>1976</v>
      </c>
      <c r="E966" t="s">
        <v>4455</v>
      </c>
      <c r="F966" s="23">
        <v>45027</v>
      </c>
      <c r="G966" s="1">
        <v>518</v>
      </c>
    </row>
    <row r="967" spans="1:7">
      <c r="A967" t="s">
        <v>5711</v>
      </c>
      <c r="B967" t="s">
        <v>106</v>
      </c>
      <c r="C967" t="s">
        <v>1868</v>
      </c>
      <c r="D967" t="s">
        <v>1867</v>
      </c>
      <c r="E967" t="s">
        <v>4456</v>
      </c>
      <c r="F967" s="23">
        <v>44346</v>
      </c>
      <c r="G967" s="1">
        <v>16877</v>
      </c>
    </row>
    <row r="968" spans="1:7">
      <c r="A968" t="s">
        <v>5711</v>
      </c>
      <c r="B968" t="s">
        <v>298</v>
      </c>
      <c r="C968" t="s">
        <v>2221</v>
      </c>
      <c r="D968" t="s">
        <v>2220</v>
      </c>
      <c r="E968" t="s">
        <v>4457</v>
      </c>
      <c r="F968" s="23">
        <v>44583</v>
      </c>
      <c r="G968" s="1">
        <v>680</v>
      </c>
    </row>
    <row r="969" spans="1:7">
      <c r="A969" t="s">
        <v>5711</v>
      </c>
      <c r="B969" t="s">
        <v>94</v>
      </c>
      <c r="C969" t="s">
        <v>1913</v>
      </c>
      <c r="D969" t="s">
        <v>1912</v>
      </c>
      <c r="E969" t="s">
        <v>4458</v>
      </c>
      <c r="F969" s="23">
        <v>44346</v>
      </c>
      <c r="G969" s="1">
        <v>15290</v>
      </c>
    </row>
    <row r="970" spans="1:7">
      <c r="A970" t="s">
        <v>5711</v>
      </c>
      <c r="B970" t="s">
        <v>233</v>
      </c>
      <c r="C970" t="s">
        <v>3073</v>
      </c>
      <c r="D970" t="s">
        <v>3072</v>
      </c>
      <c r="E970" t="s">
        <v>4459</v>
      </c>
      <c r="F970" s="23">
        <v>44346</v>
      </c>
      <c r="G970" s="1">
        <v>16837</v>
      </c>
    </row>
    <row r="971" spans="1:7">
      <c r="A971" t="s">
        <v>5711</v>
      </c>
      <c r="B971" t="s">
        <v>156</v>
      </c>
      <c r="C971" t="s">
        <v>1124</v>
      </c>
      <c r="D971" t="s">
        <v>1123</v>
      </c>
      <c r="E971" t="s">
        <v>4460</v>
      </c>
      <c r="F971" s="23">
        <v>44346</v>
      </c>
      <c r="G971" s="1">
        <v>14802</v>
      </c>
    </row>
    <row r="972" spans="1:7">
      <c r="A972" t="s">
        <v>5711</v>
      </c>
      <c r="B972" t="s">
        <v>94</v>
      </c>
      <c r="C972" t="s">
        <v>2927</v>
      </c>
      <c r="D972" t="s">
        <v>2926</v>
      </c>
      <c r="E972" t="s">
        <v>4461</v>
      </c>
      <c r="F972" s="23">
        <v>44615</v>
      </c>
      <c r="G972" s="1">
        <v>2839</v>
      </c>
    </row>
    <row r="973" spans="1:7">
      <c r="A973" t="s">
        <v>5711</v>
      </c>
      <c r="B973" t="s">
        <v>43</v>
      </c>
      <c r="C973" t="s">
        <v>509</v>
      </c>
      <c r="D973" t="s">
        <v>5598</v>
      </c>
      <c r="E973" t="s">
        <v>4462</v>
      </c>
      <c r="F973" s="23">
        <v>44810</v>
      </c>
      <c r="G973" s="1">
        <v>9836</v>
      </c>
    </row>
    <row r="974" spans="1:7">
      <c r="A974" t="s">
        <v>5711</v>
      </c>
      <c r="B974" t="s">
        <v>94</v>
      </c>
      <c r="C974" t="s">
        <v>3489</v>
      </c>
      <c r="D974" t="s">
        <v>1726</v>
      </c>
      <c r="E974" t="s">
        <v>4463</v>
      </c>
      <c r="F974" s="23">
        <v>44346</v>
      </c>
      <c r="G974" s="1">
        <v>16263</v>
      </c>
    </row>
    <row r="975" spans="1:7">
      <c r="A975" t="s">
        <v>5711</v>
      </c>
      <c r="B975" t="s">
        <v>94</v>
      </c>
      <c r="C975" t="s">
        <v>1857</v>
      </c>
      <c r="D975" t="s">
        <v>2910</v>
      </c>
      <c r="E975" t="s">
        <v>4464</v>
      </c>
      <c r="F975" s="23">
        <v>44346</v>
      </c>
      <c r="G975" s="1">
        <v>19069</v>
      </c>
    </row>
    <row r="976" spans="1:7">
      <c r="A976" t="s">
        <v>5711</v>
      </c>
      <c r="B976" t="s">
        <v>94</v>
      </c>
      <c r="C976" t="s">
        <v>2088</v>
      </c>
      <c r="D976" t="s">
        <v>2087</v>
      </c>
      <c r="E976" t="s">
        <v>4465</v>
      </c>
      <c r="F976" s="23">
        <v>44346</v>
      </c>
      <c r="G976" s="1">
        <v>3568</v>
      </c>
    </row>
    <row r="977" spans="1:7">
      <c r="A977" t="s">
        <v>5711</v>
      </c>
      <c r="B977" t="s">
        <v>464</v>
      </c>
      <c r="C977" t="s">
        <v>463</v>
      </c>
      <c r="D977" t="s">
        <v>5599</v>
      </c>
      <c r="E977" t="s">
        <v>4466</v>
      </c>
      <c r="F977" s="23">
        <v>44346</v>
      </c>
      <c r="G977" s="1">
        <v>4315</v>
      </c>
    </row>
    <row r="978" spans="1:7">
      <c r="A978" t="s">
        <v>5711</v>
      </c>
      <c r="B978" t="s">
        <v>43</v>
      </c>
      <c r="C978" t="s">
        <v>1190</v>
      </c>
      <c r="D978" t="s">
        <v>1189</v>
      </c>
      <c r="E978" t="s">
        <v>4467</v>
      </c>
      <c r="F978" s="23">
        <v>44346</v>
      </c>
      <c r="G978" s="1">
        <v>13237</v>
      </c>
    </row>
    <row r="979" spans="1:7">
      <c r="A979" t="s">
        <v>5711</v>
      </c>
      <c r="B979" t="s">
        <v>37</v>
      </c>
      <c r="C979" t="s">
        <v>1805</v>
      </c>
      <c r="D979" t="s">
        <v>1804</v>
      </c>
      <c r="E979" t="s">
        <v>4468</v>
      </c>
      <c r="F979" s="23">
        <v>44346</v>
      </c>
      <c r="G979" s="1">
        <v>18363</v>
      </c>
    </row>
    <row r="980" spans="1:7">
      <c r="A980" t="s">
        <v>5711</v>
      </c>
      <c r="B980" t="s">
        <v>298</v>
      </c>
      <c r="C980" t="s">
        <v>2824</v>
      </c>
      <c r="D980" t="s">
        <v>2823</v>
      </c>
      <c r="E980" t="s">
        <v>4469</v>
      </c>
      <c r="F980" s="23">
        <v>44346</v>
      </c>
      <c r="G980" s="1">
        <v>16481</v>
      </c>
    </row>
    <row r="981" spans="1:7">
      <c r="A981" t="s">
        <v>5711</v>
      </c>
      <c r="B981" t="s">
        <v>94</v>
      </c>
      <c r="C981" t="s">
        <v>3487</v>
      </c>
      <c r="D981" t="s">
        <v>124</v>
      </c>
      <c r="E981" t="s">
        <v>4470</v>
      </c>
      <c r="F981" s="23">
        <v>44346</v>
      </c>
      <c r="G981" s="1">
        <v>19532</v>
      </c>
    </row>
    <row r="982" spans="1:7">
      <c r="A982" t="s">
        <v>5711</v>
      </c>
      <c r="B982" t="s">
        <v>135</v>
      </c>
      <c r="C982" t="s">
        <v>134</v>
      </c>
      <c r="D982" t="s">
        <v>133</v>
      </c>
      <c r="E982" t="s">
        <v>4471</v>
      </c>
      <c r="F982" s="23">
        <v>44346</v>
      </c>
      <c r="G982" s="1">
        <v>5830</v>
      </c>
    </row>
    <row r="983" spans="1:7">
      <c r="A983" t="s">
        <v>5711</v>
      </c>
      <c r="B983" t="s">
        <v>85</v>
      </c>
      <c r="C983" t="s">
        <v>84</v>
      </c>
      <c r="D983" t="s">
        <v>83</v>
      </c>
      <c r="E983" t="s">
        <v>4472</v>
      </c>
      <c r="F983" s="23">
        <v>44346</v>
      </c>
      <c r="G983" s="1">
        <v>13052</v>
      </c>
    </row>
    <row r="984" spans="1:7">
      <c r="A984" t="s">
        <v>5711</v>
      </c>
      <c r="B984" t="s">
        <v>298</v>
      </c>
      <c r="C984" t="s">
        <v>2443</v>
      </c>
      <c r="D984" t="s">
        <v>2442</v>
      </c>
      <c r="E984" t="s">
        <v>4473</v>
      </c>
      <c r="F984" s="23">
        <v>44346</v>
      </c>
      <c r="G984" s="1">
        <v>12739</v>
      </c>
    </row>
    <row r="985" spans="1:7">
      <c r="A985" t="s">
        <v>5711</v>
      </c>
      <c r="B985" t="s">
        <v>470</v>
      </c>
      <c r="C985" t="s">
        <v>469</v>
      </c>
      <c r="D985" t="s">
        <v>468</v>
      </c>
      <c r="E985" t="s">
        <v>4474</v>
      </c>
      <c r="F985" s="23">
        <v>44445</v>
      </c>
      <c r="G985" s="1">
        <v>8201</v>
      </c>
    </row>
    <row r="986" spans="1:7">
      <c r="A986" t="s">
        <v>5711</v>
      </c>
      <c r="B986" t="s">
        <v>233</v>
      </c>
      <c r="C986" t="s">
        <v>2275</v>
      </c>
      <c r="D986" t="s">
        <v>2274</v>
      </c>
      <c r="E986" t="s">
        <v>4475</v>
      </c>
      <c r="F986" s="23">
        <v>45057</v>
      </c>
      <c r="G986" s="1">
        <v>1246</v>
      </c>
    </row>
    <row r="987" spans="1:7">
      <c r="A987" t="s">
        <v>5711</v>
      </c>
      <c r="B987" t="s">
        <v>106</v>
      </c>
      <c r="C987" t="s">
        <v>3377</v>
      </c>
      <c r="D987" t="s">
        <v>3376</v>
      </c>
      <c r="E987" t="s">
        <v>4476</v>
      </c>
      <c r="F987" s="23">
        <v>45015</v>
      </c>
      <c r="G987" s="1">
        <v>8014</v>
      </c>
    </row>
    <row r="988" spans="1:7">
      <c r="A988" t="s">
        <v>5711</v>
      </c>
      <c r="B988" t="s">
        <v>258</v>
      </c>
      <c r="C988" t="s">
        <v>511</v>
      </c>
      <c r="D988" t="s">
        <v>510</v>
      </c>
      <c r="E988" t="s">
        <v>4477</v>
      </c>
      <c r="F988" s="23">
        <v>44346</v>
      </c>
      <c r="G988" s="1">
        <v>12867</v>
      </c>
    </row>
    <row r="989" spans="1:7">
      <c r="A989" t="s">
        <v>5711</v>
      </c>
      <c r="B989" t="s">
        <v>298</v>
      </c>
      <c r="C989" t="s">
        <v>365</v>
      </c>
      <c r="D989" t="s">
        <v>1914</v>
      </c>
      <c r="E989" t="s">
        <v>4478</v>
      </c>
      <c r="F989" s="23">
        <v>44966</v>
      </c>
      <c r="G989" s="1">
        <v>7685</v>
      </c>
    </row>
    <row r="990" spans="1:7">
      <c r="A990" t="s">
        <v>5711</v>
      </c>
      <c r="B990" t="s">
        <v>233</v>
      </c>
      <c r="C990" t="s">
        <v>2177</v>
      </c>
      <c r="D990" t="s">
        <v>2176</v>
      </c>
      <c r="E990" t="s">
        <v>4479</v>
      </c>
      <c r="F990" s="23">
        <v>44346</v>
      </c>
      <c r="G990" s="1">
        <v>13722</v>
      </c>
    </row>
    <row r="991" spans="1:7">
      <c r="A991" t="s">
        <v>5711</v>
      </c>
      <c r="B991" t="s">
        <v>480</v>
      </c>
      <c r="C991" t="s">
        <v>1451</v>
      </c>
      <c r="D991" t="s">
        <v>1450</v>
      </c>
      <c r="E991" t="s">
        <v>4480</v>
      </c>
      <c r="F991" s="23">
        <v>44346</v>
      </c>
      <c r="G991" s="1">
        <v>15050</v>
      </c>
    </row>
    <row r="992" spans="1:7">
      <c r="A992" t="s">
        <v>5711</v>
      </c>
      <c r="B992" t="s">
        <v>97</v>
      </c>
      <c r="C992" t="s">
        <v>446</v>
      </c>
      <c r="D992" t="s">
        <v>445</v>
      </c>
      <c r="E992" t="s">
        <v>4481</v>
      </c>
      <c r="F992" s="23">
        <v>44988</v>
      </c>
      <c r="G992" s="1">
        <v>5029</v>
      </c>
    </row>
    <row r="993" spans="1:7">
      <c r="A993" t="s">
        <v>5711</v>
      </c>
      <c r="B993" t="s">
        <v>311</v>
      </c>
      <c r="C993" t="s">
        <v>1370</v>
      </c>
      <c r="D993" t="s">
        <v>2378</v>
      </c>
      <c r="E993" t="s">
        <v>4482</v>
      </c>
      <c r="F993" s="23">
        <v>44561</v>
      </c>
      <c r="G993" s="1">
        <v>2026</v>
      </c>
    </row>
    <row r="994" spans="1:7">
      <c r="A994" t="s">
        <v>5711</v>
      </c>
      <c r="B994" t="s">
        <v>85</v>
      </c>
      <c r="C994" t="s">
        <v>1491</v>
      </c>
      <c r="D994" t="s">
        <v>1490</v>
      </c>
      <c r="E994" t="s">
        <v>4483</v>
      </c>
      <c r="F994" s="23">
        <v>44346</v>
      </c>
      <c r="G994" s="1">
        <v>11251</v>
      </c>
    </row>
    <row r="995" spans="1:7">
      <c r="A995" t="s">
        <v>5711</v>
      </c>
      <c r="B995" t="s">
        <v>94</v>
      </c>
      <c r="C995" t="s">
        <v>561</v>
      </c>
      <c r="D995" t="s">
        <v>560</v>
      </c>
      <c r="E995" t="s">
        <v>4484</v>
      </c>
      <c r="F995" s="23">
        <v>44915</v>
      </c>
      <c r="G995" s="1">
        <v>5968</v>
      </c>
    </row>
    <row r="996" spans="1:7">
      <c r="A996" t="s">
        <v>5711</v>
      </c>
      <c r="B996" t="s">
        <v>311</v>
      </c>
      <c r="C996" t="s">
        <v>3042</v>
      </c>
      <c r="D996" t="s">
        <v>3041</v>
      </c>
      <c r="E996" t="s">
        <v>4485</v>
      </c>
      <c r="F996" s="23">
        <v>44346</v>
      </c>
      <c r="G996" s="1">
        <v>19501</v>
      </c>
    </row>
    <row r="997" spans="1:7">
      <c r="A997" t="s">
        <v>5711</v>
      </c>
      <c r="B997" t="s">
        <v>97</v>
      </c>
      <c r="C997" t="s">
        <v>1316</v>
      </c>
      <c r="D997" t="s">
        <v>1315</v>
      </c>
      <c r="E997" t="s">
        <v>4486</v>
      </c>
      <c r="F997" s="23">
        <v>44485</v>
      </c>
      <c r="G997" s="1">
        <v>2771</v>
      </c>
    </row>
    <row r="998" spans="1:7">
      <c r="A998" t="s">
        <v>5711</v>
      </c>
      <c r="B998" t="s">
        <v>75</v>
      </c>
      <c r="C998" t="s">
        <v>1672</v>
      </c>
      <c r="D998" t="s">
        <v>1671</v>
      </c>
      <c r="E998" t="s">
        <v>4487</v>
      </c>
      <c r="F998" s="23">
        <v>44668</v>
      </c>
      <c r="G998" s="1">
        <v>7887</v>
      </c>
    </row>
    <row r="999" spans="1:7">
      <c r="A999" t="s">
        <v>5711</v>
      </c>
      <c r="B999" t="s">
        <v>101</v>
      </c>
      <c r="C999" t="s">
        <v>191</v>
      </c>
      <c r="D999" t="s">
        <v>190</v>
      </c>
      <c r="E999" t="s">
        <v>4488</v>
      </c>
      <c r="F999" s="23">
        <v>44985</v>
      </c>
      <c r="G999" s="1">
        <v>3725</v>
      </c>
    </row>
    <row r="1000" spans="1:7">
      <c r="A1000" t="s">
        <v>5711</v>
      </c>
      <c r="B1000" t="s">
        <v>106</v>
      </c>
      <c r="C1000" t="s">
        <v>1188</v>
      </c>
      <c r="D1000" t="s">
        <v>1187</v>
      </c>
      <c r="E1000" t="s">
        <v>4489</v>
      </c>
      <c r="F1000" s="23">
        <v>44346</v>
      </c>
      <c r="G1000" s="1">
        <v>17679</v>
      </c>
    </row>
    <row r="1001" spans="1:7">
      <c r="A1001" t="s">
        <v>5711</v>
      </c>
      <c r="B1001" t="s">
        <v>208</v>
      </c>
      <c r="C1001" t="s">
        <v>1476</v>
      </c>
      <c r="D1001" t="s">
        <v>1475</v>
      </c>
      <c r="E1001" t="s">
        <v>4490</v>
      </c>
      <c r="F1001" s="23">
        <v>44818</v>
      </c>
      <c r="G1001" s="1">
        <v>11264</v>
      </c>
    </row>
    <row r="1002" spans="1:7">
      <c r="A1002" t="s">
        <v>5711</v>
      </c>
      <c r="B1002" t="s">
        <v>94</v>
      </c>
      <c r="C1002" t="s">
        <v>3489</v>
      </c>
      <c r="D1002" t="s">
        <v>848</v>
      </c>
      <c r="E1002" t="s">
        <v>4491</v>
      </c>
      <c r="F1002" s="23">
        <v>44489</v>
      </c>
      <c r="G1002" s="1">
        <v>9917</v>
      </c>
    </row>
    <row r="1003" spans="1:7">
      <c r="A1003" t="s">
        <v>5711</v>
      </c>
      <c r="B1003" t="s">
        <v>94</v>
      </c>
      <c r="C1003" t="s">
        <v>3490</v>
      </c>
      <c r="D1003" t="s">
        <v>1788</v>
      </c>
      <c r="E1003" t="s">
        <v>4492</v>
      </c>
      <c r="F1003" s="23">
        <v>44798</v>
      </c>
      <c r="G1003" s="1">
        <v>3361</v>
      </c>
    </row>
    <row r="1004" spans="1:7">
      <c r="A1004" t="s">
        <v>5711</v>
      </c>
      <c r="B1004" t="s">
        <v>236</v>
      </c>
      <c r="C1004" t="s">
        <v>1314</v>
      </c>
      <c r="D1004" t="s">
        <v>1313</v>
      </c>
      <c r="E1004" t="s">
        <v>4493</v>
      </c>
      <c r="F1004" s="23">
        <v>44346</v>
      </c>
      <c r="G1004" s="1">
        <v>17408</v>
      </c>
    </row>
    <row r="1005" spans="1:7">
      <c r="A1005" t="s">
        <v>5711</v>
      </c>
      <c r="B1005" t="s">
        <v>94</v>
      </c>
      <c r="C1005" t="s">
        <v>2996</v>
      </c>
      <c r="D1005" t="s">
        <v>3142</v>
      </c>
      <c r="E1005" t="s">
        <v>4494</v>
      </c>
      <c r="F1005" s="23">
        <v>44346</v>
      </c>
      <c r="G1005" s="1">
        <v>7468</v>
      </c>
    </row>
    <row r="1006" spans="1:7">
      <c r="A1006" t="s">
        <v>5711</v>
      </c>
      <c r="B1006" t="s">
        <v>106</v>
      </c>
      <c r="D1006" t="s">
        <v>3273</v>
      </c>
      <c r="E1006" t="s">
        <v>4495</v>
      </c>
      <c r="F1006" s="23">
        <v>44601</v>
      </c>
      <c r="G1006" s="1">
        <v>1186</v>
      </c>
    </row>
    <row r="1007" spans="1:7">
      <c r="A1007" t="s">
        <v>5711</v>
      </c>
      <c r="B1007" t="s">
        <v>94</v>
      </c>
      <c r="C1007" t="s">
        <v>2612</v>
      </c>
      <c r="D1007" t="s">
        <v>2611</v>
      </c>
      <c r="E1007" t="s">
        <v>4496</v>
      </c>
      <c r="F1007" s="23">
        <v>44346</v>
      </c>
      <c r="G1007" s="1">
        <v>16900</v>
      </c>
    </row>
    <row r="1008" spans="1:7">
      <c r="A1008" t="s">
        <v>5711</v>
      </c>
      <c r="B1008" t="s">
        <v>94</v>
      </c>
      <c r="C1008" t="s">
        <v>305</v>
      </c>
      <c r="D1008" t="s">
        <v>304</v>
      </c>
      <c r="E1008" t="s">
        <v>4497</v>
      </c>
      <c r="F1008" s="23">
        <v>44346</v>
      </c>
      <c r="G1008" s="1">
        <v>10723</v>
      </c>
    </row>
    <row r="1009" spans="1:7">
      <c r="A1009" t="s">
        <v>5711</v>
      </c>
      <c r="B1009" t="s">
        <v>94</v>
      </c>
      <c r="C1009" t="s">
        <v>1998</v>
      </c>
      <c r="D1009" t="s">
        <v>5600</v>
      </c>
      <c r="E1009" t="s">
        <v>4498</v>
      </c>
      <c r="F1009" s="23">
        <v>44751</v>
      </c>
      <c r="G1009" s="1">
        <v>9829</v>
      </c>
    </row>
    <row r="1010" spans="1:7">
      <c r="A1010" t="s">
        <v>5711</v>
      </c>
      <c r="B1010" t="s">
        <v>233</v>
      </c>
      <c r="C1010" t="s">
        <v>2279</v>
      </c>
      <c r="D1010" t="s">
        <v>2278</v>
      </c>
      <c r="E1010" t="s">
        <v>4499</v>
      </c>
      <c r="F1010" s="23">
        <v>44346</v>
      </c>
      <c r="G1010" s="1">
        <v>16531</v>
      </c>
    </row>
    <row r="1011" spans="1:7">
      <c r="A1011" t="s">
        <v>5711</v>
      </c>
      <c r="B1011" t="s">
        <v>311</v>
      </c>
      <c r="C1011" t="s">
        <v>2113</v>
      </c>
      <c r="D1011" t="s">
        <v>2112</v>
      </c>
      <c r="E1011" t="s">
        <v>4500</v>
      </c>
      <c r="F1011" s="23">
        <v>44431</v>
      </c>
      <c r="G1011" s="1">
        <v>2979</v>
      </c>
    </row>
    <row r="1012" spans="1:7">
      <c r="A1012" t="s">
        <v>5711</v>
      </c>
      <c r="B1012" t="s">
        <v>97</v>
      </c>
      <c r="C1012" t="s">
        <v>96</v>
      </c>
      <c r="D1012" t="s">
        <v>95</v>
      </c>
      <c r="E1012" t="s">
        <v>4501</v>
      </c>
      <c r="F1012" s="23">
        <v>44346</v>
      </c>
      <c r="G1012" s="1">
        <v>19489</v>
      </c>
    </row>
    <row r="1013" spans="1:7">
      <c r="A1013" t="s">
        <v>5711</v>
      </c>
      <c r="B1013" t="s">
        <v>311</v>
      </c>
      <c r="C1013" t="s">
        <v>310</v>
      </c>
      <c r="D1013" t="s">
        <v>2398</v>
      </c>
      <c r="E1013" t="s">
        <v>4502</v>
      </c>
      <c r="F1013" s="23">
        <v>44346</v>
      </c>
      <c r="G1013" s="1">
        <v>8609</v>
      </c>
    </row>
    <row r="1014" spans="1:7">
      <c r="A1014" t="s">
        <v>5711</v>
      </c>
      <c r="B1014" t="s">
        <v>106</v>
      </c>
      <c r="C1014" t="s">
        <v>2397</v>
      </c>
      <c r="D1014" t="s">
        <v>2396</v>
      </c>
      <c r="E1014" t="s">
        <v>4503</v>
      </c>
      <c r="F1014" s="23">
        <v>44922</v>
      </c>
      <c r="G1014" s="1">
        <v>6880</v>
      </c>
    </row>
    <row r="1015" spans="1:7">
      <c r="A1015" t="s">
        <v>5711</v>
      </c>
      <c r="B1015" t="s">
        <v>94</v>
      </c>
      <c r="C1015" t="s">
        <v>3485</v>
      </c>
      <c r="D1015" t="s">
        <v>620</v>
      </c>
      <c r="E1015" t="s">
        <v>4504</v>
      </c>
      <c r="F1015" s="23">
        <v>44346</v>
      </c>
      <c r="G1015" s="1">
        <v>16215</v>
      </c>
    </row>
    <row r="1016" spans="1:7">
      <c r="A1016" t="s">
        <v>5711</v>
      </c>
      <c r="B1016" t="s">
        <v>68</v>
      </c>
      <c r="C1016" t="s">
        <v>904</v>
      </c>
      <c r="D1016" t="s">
        <v>903</v>
      </c>
      <c r="E1016" t="s">
        <v>4505</v>
      </c>
      <c r="F1016" s="23">
        <v>44472</v>
      </c>
      <c r="G1016" s="1">
        <v>7574</v>
      </c>
    </row>
    <row r="1017" spans="1:7">
      <c r="A1017" t="s">
        <v>5711</v>
      </c>
      <c r="B1017" t="s">
        <v>233</v>
      </c>
      <c r="C1017" t="s">
        <v>2391</v>
      </c>
      <c r="D1017" t="s">
        <v>2390</v>
      </c>
      <c r="E1017" t="s">
        <v>4506</v>
      </c>
      <c r="F1017" s="23">
        <v>44871</v>
      </c>
      <c r="G1017" s="1">
        <v>7705</v>
      </c>
    </row>
    <row r="1018" spans="1:7">
      <c r="A1018" t="s">
        <v>5711</v>
      </c>
      <c r="B1018" t="s">
        <v>94</v>
      </c>
      <c r="C1018" t="s">
        <v>3490</v>
      </c>
      <c r="D1018" t="s">
        <v>484</v>
      </c>
      <c r="E1018" t="s">
        <v>4507</v>
      </c>
      <c r="F1018" s="23">
        <v>44465</v>
      </c>
      <c r="G1018" s="1">
        <v>863</v>
      </c>
    </row>
    <row r="1019" spans="1:7">
      <c r="A1019" t="s">
        <v>5711</v>
      </c>
      <c r="B1019" t="s">
        <v>106</v>
      </c>
      <c r="C1019" t="s">
        <v>2170</v>
      </c>
      <c r="D1019" t="s">
        <v>2169</v>
      </c>
      <c r="E1019" t="s">
        <v>4508</v>
      </c>
      <c r="F1019" s="23">
        <v>44346</v>
      </c>
      <c r="G1019" s="1">
        <v>15144</v>
      </c>
    </row>
    <row r="1020" spans="1:7">
      <c r="A1020" t="s">
        <v>5711</v>
      </c>
      <c r="B1020" t="s">
        <v>94</v>
      </c>
      <c r="C1020" t="s">
        <v>3488</v>
      </c>
      <c r="D1020" t="s">
        <v>5601</v>
      </c>
      <c r="E1020" t="s">
        <v>4509</v>
      </c>
      <c r="F1020" s="23">
        <v>44346</v>
      </c>
      <c r="G1020" s="1">
        <v>17683</v>
      </c>
    </row>
    <row r="1021" spans="1:7">
      <c r="A1021" t="s">
        <v>5711</v>
      </c>
      <c r="B1021" t="s">
        <v>94</v>
      </c>
      <c r="C1021" t="s">
        <v>1116</v>
      </c>
      <c r="D1021" t="s">
        <v>5602</v>
      </c>
      <c r="E1021" t="s">
        <v>4510</v>
      </c>
      <c r="F1021" s="23">
        <v>44459</v>
      </c>
      <c r="G1021" s="1">
        <v>1975</v>
      </c>
    </row>
    <row r="1022" spans="1:7">
      <c r="A1022" t="s">
        <v>5711</v>
      </c>
      <c r="B1022" t="s">
        <v>97</v>
      </c>
      <c r="C1022" t="s">
        <v>667</v>
      </c>
      <c r="D1022" t="s">
        <v>666</v>
      </c>
      <c r="E1022" t="s">
        <v>4511</v>
      </c>
      <c r="F1022" s="23">
        <v>44346</v>
      </c>
      <c r="G1022" s="1">
        <v>13528</v>
      </c>
    </row>
    <row r="1023" spans="1:7">
      <c r="A1023" t="s">
        <v>5711</v>
      </c>
      <c r="B1023" t="s">
        <v>94</v>
      </c>
      <c r="C1023" t="s">
        <v>355</v>
      </c>
      <c r="D1023" t="s">
        <v>354</v>
      </c>
      <c r="E1023" t="s">
        <v>4512</v>
      </c>
      <c r="F1023" s="23">
        <v>44851</v>
      </c>
      <c r="G1023" s="1">
        <v>11737</v>
      </c>
    </row>
    <row r="1024" spans="1:7">
      <c r="A1024" t="s">
        <v>5711</v>
      </c>
      <c r="B1024" t="s">
        <v>94</v>
      </c>
      <c r="C1024" t="s">
        <v>2066</v>
      </c>
      <c r="D1024" t="s">
        <v>2065</v>
      </c>
      <c r="E1024" t="s">
        <v>4513</v>
      </c>
      <c r="F1024" s="23">
        <v>44346</v>
      </c>
      <c r="G1024" s="1">
        <v>12753</v>
      </c>
    </row>
    <row r="1025" spans="1:7">
      <c r="A1025" t="s">
        <v>5711</v>
      </c>
      <c r="B1025" t="s">
        <v>132</v>
      </c>
      <c r="C1025" t="s">
        <v>1503</v>
      </c>
      <c r="D1025" t="s">
        <v>1502</v>
      </c>
      <c r="E1025" t="s">
        <v>4514</v>
      </c>
      <c r="F1025" s="23">
        <v>44346</v>
      </c>
      <c r="G1025" s="1">
        <v>13706</v>
      </c>
    </row>
    <row r="1026" spans="1:7">
      <c r="A1026" t="s">
        <v>5711</v>
      </c>
      <c r="B1026" t="s">
        <v>78</v>
      </c>
      <c r="C1026" t="s">
        <v>636</v>
      </c>
      <c r="D1026" t="s">
        <v>635</v>
      </c>
      <c r="E1026" t="s">
        <v>4515</v>
      </c>
      <c r="F1026" s="23">
        <v>44708</v>
      </c>
      <c r="G1026" s="1">
        <v>3507</v>
      </c>
    </row>
    <row r="1027" spans="1:7">
      <c r="A1027" t="s">
        <v>5711</v>
      </c>
      <c r="B1027" t="s">
        <v>208</v>
      </c>
      <c r="C1027" t="s">
        <v>1556</v>
      </c>
      <c r="D1027" t="s">
        <v>1555</v>
      </c>
      <c r="E1027" t="s">
        <v>4516</v>
      </c>
      <c r="F1027" s="23">
        <v>44346</v>
      </c>
      <c r="G1027" s="1">
        <v>18979</v>
      </c>
    </row>
    <row r="1028" spans="1:7">
      <c r="A1028" t="s">
        <v>5711</v>
      </c>
      <c r="B1028" t="s">
        <v>94</v>
      </c>
      <c r="C1028" t="s">
        <v>1860</v>
      </c>
      <c r="D1028" t="s">
        <v>1859</v>
      </c>
      <c r="E1028" t="s">
        <v>4517</v>
      </c>
      <c r="F1028" s="23">
        <v>44346</v>
      </c>
      <c r="G1028" s="1">
        <v>13219</v>
      </c>
    </row>
    <row r="1029" spans="1:7">
      <c r="A1029" t="s">
        <v>5711</v>
      </c>
      <c r="B1029" t="s">
        <v>94</v>
      </c>
      <c r="C1029" t="s">
        <v>3488</v>
      </c>
      <c r="D1029" t="s">
        <v>371</v>
      </c>
      <c r="E1029" t="s">
        <v>4518</v>
      </c>
      <c r="F1029" s="23">
        <v>45022</v>
      </c>
      <c r="G1029" s="1">
        <v>9037</v>
      </c>
    </row>
    <row r="1030" spans="1:7">
      <c r="A1030" t="s">
        <v>5711</v>
      </c>
      <c r="B1030" t="s">
        <v>94</v>
      </c>
      <c r="C1030" t="s">
        <v>2196</v>
      </c>
      <c r="D1030" t="s">
        <v>2195</v>
      </c>
      <c r="E1030" t="s">
        <v>4519</v>
      </c>
      <c r="F1030" s="23">
        <v>44346</v>
      </c>
      <c r="G1030" s="1">
        <v>7713</v>
      </c>
    </row>
    <row r="1031" spans="1:7">
      <c r="A1031" t="s">
        <v>5711</v>
      </c>
      <c r="B1031" t="s">
        <v>68</v>
      </c>
      <c r="C1031" t="s">
        <v>947</v>
      </c>
      <c r="D1031" t="s">
        <v>946</v>
      </c>
      <c r="E1031" t="s">
        <v>4520</v>
      </c>
      <c r="F1031" s="23">
        <v>44346</v>
      </c>
      <c r="G1031" s="1">
        <v>12061</v>
      </c>
    </row>
    <row r="1032" spans="1:7">
      <c r="A1032" t="s">
        <v>5711</v>
      </c>
      <c r="B1032" t="s">
        <v>94</v>
      </c>
      <c r="C1032" t="s">
        <v>3486</v>
      </c>
      <c r="D1032" t="s">
        <v>47</v>
      </c>
      <c r="E1032" t="s">
        <v>4521</v>
      </c>
      <c r="F1032" s="23">
        <v>44346</v>
      </c>
      <c r="G1032" s="1">
        <v>5350</v>
      </c>
    </row>
    <row r="1033" spans="1:7">
      <c r="A1033" t="s">
        <v>5711</v>
      </c>
      <c r="B1033" t="s">
        <v>106</v>
      </c>
      <c r="C1033" t="s">
        <v>3015</v>
      </c>
      <c r="D1033" t="s">
        <v>3014</v>
      </c>
      <c r="E1033" t="s">
        <v>4522</v>
      </c>
      <c r="F1033" s="23">
        <v>44346</v>
      </c>
      <c r="G1033" s="1">
        <v>19113</v>
      </c>
    </row>
    <row r="1034" spans="1:7">
      <c r="A1034" t="s">
        <v>5711</v>
      </c>
      <c r="B1034" t="s">
        <v>106</v>
      </c>
      <c r="C1034" t="s">
        <v>902</v>
      </c>
      <c r="D1034" t="s">
        <v>901</v>
      </c>
      <c r="E1034" t="s">
        <v>4523</v>
      </c>
      <c r="F1034" s="23">
        <v>44346</v>
      </c>
      <c r="G1034" s="1">
        <v>14578</v>
      </c>
    </row>
    <row r="1035" spans="1:7">
      <c r="A1035" t="s">
        <v>5711</v>
      </c>
      <c r="B1035" t="s">
        <v>68</v>
      </c>
      <c r="C1035" t="s">
        <v>1164</v>
      </c>
      <c r="D1035" t="s">
        <v>1163</v>
      </c>
      <c r="E1035" t="s">
        <v>4524</v>
      </c>
      <c r="F1035" s="23">
        <v>44346</v>
      </c>
      <c r="G1035" s="1">
        <v>18691</v>
      </c>
    </row>
    <row r="1036" spans="1:7">
      <c r="A1036" t="s">
        <v>5711</v>
      </c>
      <c r="B1036" t="s">
        <v>94</v>
      </c>
      <c r="C1036" t="s">
        <v>2949</v>
      </c>
      <c r="D1036" t="s">
        <v>2948</v>
      </c>
      <c r="E1036" t="s">
        <v>4525</v>
      </c>
      <c r="F1036" s="23">
        <v>44346</v>
      </c>
      <c r="G1036" s="1">
        <v>12620</v>
      </c>
    </row>
    <row r="1037" spans="1:7">
      <c r="A1037" t="s">
        <v>5711</v>
      </c>
      <c r="B1037" t="s">
        <v>208</v>
      </c>
      <c r="C1037" t="s">
        <v>1137</v>
      </c>
      <c r="D1037" t="s">
        <v>1136</v>
      </c>
      <c r="E1037" t="s">
        <v>4526</v>
      </c>
      <c r="F1037" s="23">
        <v>44888</v>
      </c>
      <c r="G1037" s="1">
        <v>9744</v>
      </c>
    </row>
    <row r="1038" spans="1:7">
      <c r="A1038" t="s">
        <v>5711</v>
      </c>
      <c r="B1038" t="s">
        <v>106</v>
      </c>
      <c r="C1038" t="s">
        <v>1956</v>
      </c>
      <c r="D1038" t="s">
        <v>1955</v>
      </c>
      <c r="E1038" t="s">
        <v>4527</v>
      </c>
      <c r="F1038" s="23">
        <v>44346</v>
      </c>
      <c r="G1038" s="1">
        <v>15573</v>
      </c>
    </row>
    <row r="1039" spans="1:7">
      <c r="A1039" t="s">
        <v>5711</v>
      </c>
      <c r="B1039" t="s">
        <v>94</v>
      </c>
      <c r="C1039" t="s">
        <v>2582</v>
      </c>
      <c r="D1039" t="s">
        <v>2581</v>
      </c>
      <c r="E1039" t="s">
        <v>4528</v>
      </c>
      <c r="F1039" s="23">
        <v>44592</v>
      </c>
      <c r="G1039" s="1">
        <v>4904</v>
      </c>
    </row>
    <row r="1040" spans="1:7">
      <c r="A1040" t="s">
        <v>5711</v>
      </c>
      <c r="B1040" t="s">
        <v>43</v>
      </c>
      <c r="C1040" t="s">
        <v>1659</v>
      </c>
      <c r="D1040" t="s">
        <v>1658</v>
      </c>
      <c r="E1040" t="s">
        <v>4529</v>
      </c>
      <c r="F1040" s="23">
        <v>44503</v>
      </c>
      <c r="G1040" s="1">
        <v>7876</v>
      </c>
    </row>
    <row r="1041" spans="1:7">
      <c r="A1041" t="s">
        <v>5711</v>
      </c>
      <c r="B1041" t="s">
        <v>94</v>
      </c>
      <c r="C1041" t="s">
        <v>1306</v>
      </c>
      <c r="D1041" t="s">
        <v>1305</v>
      </c>
      <c r="E1041" t="s">
        <v>4530</v>
      </c>
      <c r="F1041" s="23">
        <v>44346</v>
      </c>
      <c r="G1041" s="1">
        <v>11392</v>
      </c>
    </row>
    <row r="1042" spans="1:7">
      <c r="A1042" t="s">
        <v>5711</v>
      </c>
      <c r="B1042" t="s">
        <v>1095</v>
      </c>
      <c r="C1042" t="s">
        <v>1094</v>
      </c>
      <c r="D1042" t="s">
        <v>1093</v>
      </c>
      <c r="E1042" t="s">
        <v>4531</v>
      </c>
      <c r="F1042" s="23">
        <v>44346</v>
      </c>
      <c r="G1042" s="1">
        <v>3291</v>
      </c>
    </row>
    <row r="1043" spans="1:7">
      <c r="A1043" t="s">
        <v>5711</v>
      </c>
      <c r="B1043" t="s">
        <v>37</v>
      </c>
      <c r="C1043" t="s">
        <v>634</v>
      </c>
      <c r="D1043" t="s">
        <v>633</v>
      </c>
      <c r="E1043" t="s">
        <v>4532</v>
      </c>
      <c r="F1043" s="23">
        <v>44346</v>
      </c>
      <c r="G1043" s="1">
        <v>4309</v>
      </c>
    </row>
    <row r="1044" spans="1:7">
      <c r="A1044" t="s">
        <v>5711</v>
      </c>
      <c r="B1044" t="s">
        <v>94</v>
      </c>
      <c r="C1044" t="s">
        <v>3023</v>
      </c>
      <c r="D1044" t="s">
        <v>3022</v>
      </c>
      <c r="E1044" t="s">
        <v>4533</v>
      </c>
      <c r="F1044" s="23">
        <v>44346</v>
      </c>
      <c r="G1044" s="1">
        <v>10398</v>
      </c>
    </row>
    <row r="1045" spans="1:7">
      <c r="A1045" t="s">
        <v>5711</v>
      </c>
      <c r="B1045" t="s">
        <v>94</v>
      </c>
      <c r="C1045" t="s">
        <v>2573</v>
      </c>
      <c r="D1045" t="s">
        <v>2572</v>
      </c>
      <c r="E1045" t="s">
        <v>4534</v>
      </c>
      <c r="F1045" s="23">
        <v>44346</v>
      </c>
      <c r="G1045" s="1">
        <v>3391</v>
      </c>
    </row>
    <row r="1046" spans="1:7">
      <c r="A1046" t="s">
        <v>5711</v>
      </c>
      <c r="B1046" t="s">
        <v>311</v>
      </c>
      <c r="C1046" t="s">
        <v>3069</v>
      </c>
      <c r="D1046" t="s">
        <v>3068</v>
      </c>
      <c r="E1046" t="s">
        <v>4535</v>
      </c>
      <c r="F1046" s="23">
        <v>44395</v>
      </c>
      <c r="G1046" s="1">
        <v>3358</v>
      </c>
    </row>
    <row r="1047" spans="1:7">
      <c r="A1047" t="s">
        <v>5711</v>
      </c>
      <c r="B1047" t="s">
        <v>106</v>
      </c>
      <c r="C1047" t="s">
        <v>2006</v>
      </c>
      <c r="D1047" t="s">
        <v>5603</v>
      </c>
      <c r="E1047" t="s">
        <v>4536</v>
      </c>
      <c r="F1047" s="23">
        <v>44498</v>
      </c>
      <c r="G1047" s="1">
        <v>5252</v>
      </c>
    </row>
    <row r="1048" spans="1:7">
      <c r="A1048" t="s">
        <v>5711</v>
      </c>
      <c r="B1048" t="s">
        <v>106</v>
      </c>
      <c r="C1048" t="s">
        <v>3350</v>
      </c>
      <c r="D1048" t="s">
        <v>3349</v>
      </c>
      <c r="E1048" t="s">
        <v>4537</v>
      </c>
      <c r="F1048" s="23">
        <v>44650</v>
      </c>
      <c r="G1048" s="1">
        <v>2770</v>
      </c>
    </row>
    <row r="1049" spans="1:7">
      <c r="A1049" t="s">
        <v>5711</v>
      </c>
      <c r="B1049" t="s">
        <v>94</v>
      </c>
      <c r="C1049" t="s">
        <v>3019</v>
      </c>
      <c r="D1049" t="s">
        <v>3018</v>
      </c>
      <c r="E1049" t="s">
        <v>4538</v>
      </c>
      <c r="F1049" s="23">
        <v>44544</v>
      </c>
      <c r="G1049" s="1">
        <v>3185</v>
      </c>
    </row>
    <row r="1050" spans="1:7">
      <c r="A1050" t="s">
        <v>5711</v>
      </c>
      <c r="B1050" t="s">
        <v>298</v>
      </c>
      <c r="C1050" t="s">
        <v>2358</v>
      </c>
      <c r="D1050" t="s">
        <v>2357</v>
      </c>
      <c r="E1050" t="s">
        <v>4539</v>
      </c>
      <c r="F1050" s="23">
        <v>44346</v>
      </c>
      <c r="G1050" s="1">
        <v>19827</v>
      </c>
    </row>
    <row r="1051" spans="1:7">
      <c r="A1051" t="s">
        <v>5711</v>
      </c>
      <c r="B1051" t="s">
        <v>94</v>
      </c>
      <c r="C1051" t="s">
        <v>2529</v>
      </c>
      <c r="D1051" t="s">
        <v>2528</v>
      </c>
      <c r="E1051" t="s">
        <v>4540</v>
      </c>
      <c r="F1051" s="23">
        <v>44346</v>
      </c>
      <c r="G1051" s="1">
        <v>17030</v>
      </c>
    </row>
    <row r="1052" spans="1:7">
      <c r="A1052" t="s">
        <v>5711</v>
      </c>
      <c r="B1052" t="s">
        <v>298</v>
      </c>
      <c r="C1052" t="s">
        <v>1885</v>
      </c>
      <c r="D1052" t="s">
        <v>2406</v>
      </c>
      <c r="E1052" t="s">
        <v>4541</v>
      </c>
      <c r="F1052" s="23">
        <v>44769</v>
      </c>
      <c r="G1052" s="1">
        <v>1906</v>
      </c>
    </row>
    <row r="1053" spans="1:7">
      <c r="A1053" t="s">
        <v>5711</v>
      </c>
      <c r="B1053" t="s">
        <v>1074</v>
      </c>
      <c r="C1053" t="s">
        <v>1073</v>
      </c>
      <c r="D1053" t="s">
        <v>5604</v>
      </c>
      <c r="E1053" t="s">
        <v>4542</v>
      </c>
      <c r="F1053" s="23">
        <v>44346</v>
      </c>
      <c r="G1053" s="1">
        <v>9564</v>
      </c>
    </row>
    <row r="1054" spans="1:7">
      <c r="A1054" t="s">
        <v>5711</v>
      </c>
      <c r="B1054" t="s">
        <v>298</v>
      </c>
      <c r="C1054" t="s">
        <v>365</v>
      </c>
      <c r="D1054" t="s">
        <v>2381</v>
      </c>
      <c r="E1054" t="s">
        <v>4543</v>
      </c>
      <c r="F1054" s="23">
        <v>44675</v>
      </c>
      <c r="G1054" s="1">
        <v>6349</v>
      </c>
    </row>
    <row r="1055" spans="1:7">
      <c r="A1055" t="s">
        <v>5711</v>
      </c>
      <c r="B1055" t="s">
        <v>94</v>
      </c>
      <c r="C1055" t="s">
        <v>3092</v>
      </c>
      <c r="D1055" t="s">
        <v>3091</v>
      </c>
      <c r="E1055" t="s">
        <v>4544</v>
      </c>
      <c r="F1055" s="23">
        <v>44346</v>
      </c>
      <c r="G1055" s="1">
        <v>18808</v>
      </c>
    </row>
    <row r="1056" spans="1:7">
      <c r="A1056" t="s">
        <v>5711</v>
      </c>
      <c r="B1056" t="s">
        <v>311</v>
      </c>
      <c r="C1056" t="s">
        <v>492</v>
      </c>
      <c r="D1056" t="s">
        <v>491</v>
      </c>
      <c r="E1056" t="s">
        <v>4545</v>
      </c>
      <c r="F1056" s="23">
        <v>44346</v>
      </c>
      <c r="G1056" s="1">
        <v>18483</v>
      </c>
    </row>
    <row r="1057" spans="1:7">
      <c r="A1057" t="s">
        <v>5711</v>
      </c>
      <c r="B1057" t="s">
        <v>311</v>
      </c>
      <c r="C1057" t="s">
        <v>3415</v>
      </c>
      <c r="D1057" t="s">
        <v>3414</v>
      </c>
      <c r="E1057" t="s">
        <v>4546</v>
      </c>
      <c r="F1057" s="23">
        <v>44692</v>
      </c>
      <c r="G1057" s="1">
        <v>5124</v>
      </c>
    </row>
    <row r="1058" spans="1:7">
      <c r="A1058" t="s">
        <v>5711</v>
      </c>
      <c r="B1058" t="s">
        <v>94</v>
      </c>
      <c r="C1058" t="s">
        <v>2632</v>
      </c>
      <c r="D1058" t="s">
        <v>2631</v>
      </c>
      <c r="E1058" t="s">
        <v>4547</v>
      </c>
      <c r="F1058" s="23">
        <v>44346</v>
      </c>
      <c r="G1058" s="1">
        <v>19687</v>
      </c>
    </row>
    <row r="1059" spans="1:7">
      <c r="A1059" t="s">
        <v>5711</v>
      </c>
      <c r="B1059" t="s">
        <v>1223</v>
      </c>
      <c r="C1059" t="s">
        <v>3419</v>
      </c>
      <c r="D1059" t="s">
        <v>3418</v>
      </c>
      <c r="E1059" t="s">
        <v>4548</v>
      </c>
      <c r="F1059" s="23">
        <v>44446</v>
      </c>
      <c r="G1059" s="1">
        <v>8563</v>
      </c>
    </row>
    <row r="1060" spans="1:7">
      <c r="A1060" t="s">
        <v>5711</v>
      </c>
      <c r="B1060" t="s">
        <v>106</v>
      </c>
      <c r="C1060" t="s">
        <v>2933</v>
      </c>
      <c r="D1060" t="s">
        <v>2932</v>
      </c>
      <c r="E1060" t="s">
        <v>4549</v>
      </c>
      <c r="F1060" s="23">
        <v>44346</v>
      </c>
      <c r="G1060" s="1">
        <v>6524</v>
      </c>
    </row>
    <row r="1061" spans="1:7">
      <c r="A1061" t="s">
        <v>5711</v>
      </c>
      <c r="B1061" t="s">
        <v>68</v>
      </c>
      <c r="C1061" t="s">
        <v>1506</v>
      </c>
      <c r="D1061" t="s">
        <v>1505</v>
      </c>
      <c r="E1061" t="s">
        <v>4550</v>
      </c>
      <c r="F1061" s="23">
        <v>44346</v>
      </c>
      <c r="G1061" s="1">
        <v>16279</v>
      </c>
    </row>
    <row r="1062" spans="1:7">
      <c r="A1062" t="s">
        <v>5711</v>
      </c>
      <c r="B1062" t="s">
        <v>106</v>
      </c>
      <c r="C1062" t="s">
        <v>2840</v>
      </c>
      <c r="D1062" t="s">
        <v>2839</v>
      </c>
      <c r="E1062" t="s">
        <v>4551</v>
      </c>
      <c r="F1062" s="23">
        <v>44346</v>
      </c>
      <c r="G1062" s="1">
        <v>2682</v>
      </c>
    </row>
    <row r="1063" spans="1:7">
      <c r="A1063" t="s">
        <v>5711</v>
      </c>
      <c r="B1063" t="s">
        <v>94</v>
      </c>
      <c r="C1063" t="s">
        <v>2437</v>
      </c>
      <c r="D1063" t="s">
        <v>2436</v>
      </c>
      <c r="E1063" t="s">
        <v>4552</v>
      </c>
      <c r="F1063" s="23">
        <v>44346</v>
      </c>
      <c r="G1063" s="1">
        <v>12014</v>
      </c>
    </row>
    <row r="1064" spans="1:7">
      <c r="A1064" t="s">
        <v>5711</v>
      </c>
      <c r="B1064" t="s">
        <v>94</v>
      </c>
      <c r="C1064" t="s">
        <v>2238</v>
      </c>
      <c r="D1064" t="s">
        <v>2237</v>
      </c>
      <c r="E1064" t="s">
        <v>4553</v>
      </c>
      <c r="F1064" s="23">
        <v>44346</v>
      </c>
      <c r="G1064" s="1">
        <v>15550</v>
      </c>
    </row>
    <row r="1065" spans="1:7">
      <c r="A1065" t="s">
        <v>5711</v>
      </c>
      <c r="B1065" t="s">
        <v>94</v>
      </c>
      <c r="C1065" t="s">
        <v>2769</v>
      </c>
      <c r="D1065" t="s">
        <v>2768</v>
      </c>
      <c r="E1065" t="s">
        <v>4554</v>
      </c>
      <c r="F1065" s="23">
        <v>44346</v>
      </c>
      <c r="G1065" s="1">
        <v>19848</v>
      </c>
    </row>
    <row r="1066" spans="1:7">
      <c r="A1066" t="s">
        <v>5711</v>
      </c>
      <c r="B1066" t="s">
        <v>94</v>
      </c>
      <c r="C1066" t="s">
        <v>3464</v>
      </c>
      <c r="D1066" t="s">
        <v>3463</v>
      </c>
      <c r="E1066" t="s">
        <v>4555</v>
      </c>
      <c r="F1066" s="23">
        <v>44832</v>
      </c>
      <c r="G1066" s="1">
        <v>6144</v>
      </c>
    </row>
    <row r="1067" spans="1:7">
      <c r="A1067" t="s">
        <v>5711</v>
      </c>
      <c r="B1067" t="s">
        <v>311</v>
      </c>
      <c r="C1067" t="s">
        <v>2478</v>
      </c>
      <c r="D1067" t="s">
        <v>2477</v>
      </c>
      <c r="E1067" t="s">
        <v>4556</v>
      </c>
      <c r="F1067" s="23">
        <v>44370</v>
      </c>
      <c r="G1067" s="1">
        <v>6148</v>
      </c>
    </row>
    <row r="1068" spans="1:7">
      <c r="A1068" t="s">
        <v>5711</v>
      </c>
      <c r="B1068" t="s">
        <v>135</v>
      </c>
      <c r="C1068" t="s">
        <v>1730</v>
      </c>
      <c r="D1068" t="s">
        <v>1729</v>
      </c>
      <c r="E1068" t="s">
        <v>4557</v>
      </c>
      <c r="F1068" s="23">
        <v>44750</v>
      </c>
      <c r="G1068" s="1">
        <v>7734</v>
      </c>
    </row>
    <row r="1069" spans="1:7">
      <c r="A1069" t="s">
        <v>5711</v>
      </c>
      <c r="B1069" t="s">
        <v>311</v>
      </c>
      <c r="C1069" t="s">
        <v>1994</v>
      </c>
      <c r="D1069" t="s">
        <v>1993</v>
      </c>
      <c r="E1069" t="s">
        <v>4558</v>
      </c>
      <c r="F1069" s="23">
        <v>44346</v>
      </c>
      <c r="G1069" s="1">
        <v>13580</v>
      </c>
    </row>
    <row r="1070" spans="1:7">
      <c r="A1070" t="s">
        <v>5711</v>
      </c>
      <c r="B1070" t="s">
        <v>85</v>
      </c>
      <c r="C1070" t="s">
        <v>1592</v>
      </c>
      <c r="D1070" t="s">
        <v>1591</v>
      </c>
      <c r="E1070" t="s">
        <v>4559</v>
      </c>
      <c r="F1070" s="23">
        <v>44711</v>
      </c>
      <c r="G1070" s="1">
        <v>2235</v>
      </c>
    </row>
    <row r="1071" spans="1:7">
      <c r="A1071" t="s">
        <v>5711</v>
      </c>
      <c r="B1071" t="s">
        <v>94</v>
      </c>
      <c r="C1071" t="s">
        <v>3486</v>
      </c>
      <c r="D1071" t="s">
        <v>915</v>
      </c>
      <c r="E1071" t="s">
        <v>4560</v>
      </c>
      <c r="F1071" s="23">
        <v>44346</v>
      </c>
      <c r="G1071" s="1">
        <v>19502</v>
      </c>
    </row>
    <row r="1072" spans="1:7">
      <c r="A1072" t="s">
        <v>5711</v>
      </c>
      <c r="B1072" t="s">
        <v>94</v>
      </c>
      <c r="C1072" t="s">
        <v>3486</v>
      </c>
      <c r="D1072" t="s">
        <v>285</v>
      </c>
      <c r="E1072" t="s">
        <v>4561</v>
      </c>
      <c r="F1072" s="23">
        <v>44946</v>
      </c>
      <c r="G1072" s="1">
        <v>9759</v>
      </c>
    </row>
    <row r="1073" spans="1:7">
      <c r="A1073" t="s">
        <v>5711</v>
      </c>
      <c r="B1073" t="s">
        <v>101</v>
      </c>
      <c r="C1073" t="s">
        <v>100</v>
      </c>
      <c r="D1073" t="s">
        <v>99</v>
      </c>
      <c r="E1073" t="s">
        <v>4562</v>
      </c>
      <c r="F1073" s="23">
        <v>44346</v>
      </c>
      <c r="G1073" s="1">
        <v>13090</v>
      </c>
    </row>
    <row r="1074" spans="1:7">
      <c r="A1074" t="s">
        <v>5711</v>
      </c>
      <c r="B1074" t="s">
        <v>85</v>
      </c>
      <c r="C1074" t="s">
        <v>1642</v>
      </c>
      <c r="D1074" t="s">
        <v>1641</v>
      </c>
      <c r="E1074" t="s">
        <v>4563</v>
      </c>
      <c r="F1074" s="23">
        <v>44346</v>
      </c>
      <c r="G1074" s="1">
        <v>16856</v>
      </c>
    </row>
    <row r="1075" spans="1:7">
      <c r="A1075" t="s">
        <v>5711</v>
      </c>
      <c r="B1075" t="s">
        <v>37</v>
      </c>
      <c r="C1075" t="s">
        <v>612</v>
      </c>
      <c r="D1075" t="s">
        <v>611</v>
      </c>
      <c r="E1075" t="s">
        <v>4564</v>
      </c>
      <c r="F1075" s="23">
        <v>44346</v>
      </c>
      <c r="G1075" s="1">
        <v>12654</v>
      </c>
    </row>
    <row r="1076" spans="1:7">
      <c r="A1076" t="s">
        <v>5711</v>
      </c>
      <c r="B1076" t="s">
        <v>78</v>
      </c>
      <c r="C1076" t="s">
        <v>869</v>
      </c>
      <c r="D1076" t="s">
        <v>5605</v>
      </c>
      <c r="E1076" t="s">
        <v>4565</v>
      </c>
      <c r="F1076" s="23">
        <v>44346</v>
      </c>
      <c r="G1076" s="1">
        <v>15922</v>
      </c>
    </row>
    <row r="1077" spans="1:7">
      <c r="A1077" t="s">
        <v>5711</v>
      </c>
      <c r="B1077" t="s">
        <v>94</v>
      </c>
      <c r="C1077" t="s">
        <v>3490</v>
      </c>
      <c r="D1077" t="s">
        <v>338</v>
      </c>
      <c r="E1077" t="s">
        <v>4566</v>
      </c>
      <c r="F1077" s="23">
        <v>44346</v>
      </c>
      <c r="G1077" s="1">
        <v>6168</v>
      </c>
    </row>
    <row r="1078" spans="1:7">
      <c r="A1078" t="s">
        <v>5711</v>
      </c>
      <c r="B1078" t="s">
        <v>122</v>
      </c>
      <c r="C1078" t="s">
        <v>451</v>
      </c>
      <c r="D1078" t="s">
        <v>450</v>
      </c>
      <c r="E1078" t="s">
        <v>4567</v>
      </c>
      <c r="F1078" s="23">
        <v>44346</v>
      </c>
      <c r="G1078" s="1">
        <v>18436</v>
      </c>
    </row>
    <row r="1079" spans="1:7">
      <c r="A1079" t="s">
        <v>5711</v>
      </c>
      <c r="B1079" t="s">
        <v>94</v>
      </c>
      <c r="C1079" t="s">
        <v>2446</v>
      </c>
      <c r="D1079" t="s">
        <v>3402</v>
      </c>
      <c r="E1079" t="s">
        <v>4568</v>
      </c>
      <c r="F1079" s="23">
        <v>44346</v>
      </c>
      <c r="G1079" s="1">
        <v>17830</v>
      </c>
    </row>
    <row r="1080" spans="1:7">
      <c r="A1080" t="s">
        <v>5711</v>
      </c>
      <c r="B1080" t="s">
        <v>298</v>
      </c>
      <c r="C1080" t="s">
        <v>2081</v>
      </c>
      <c r="D1080" t="s">
        <v>2080</v>
      </c>
      <c r="E1080" t="s">
        <v>4569</v>
      </c>
      <c r="F1080" s="23">
        <v>44346</v>
      </c>
      <c r="G1080" s="1">
        <v>16981</v>
      </c>
    </row>
    <row r="1081" spans="1:7">
      <c r="A1081" t="s">
        <v>5711</v>
      </c>
      <c r="B1081" t="s">
        <v>94</v>
      </c>
      <c r="C1081" t="s">
        <v>2311</v>
      </c>
      <c r="D1081" t="s">
        <v>2310</v>
      </c>
      <c r="E1081" t="s">
        <v>4570</v>
      </c>
      <c r="F1081" s="23">
        <v>44424</v>
      </c>
      <c r="G1081" s="1">
        <v>3097</v>
      </c>
    </row>
    <row r="1082" spans="1:7">
      <c r="A1082" t="s">
        <v>5711</v>
      </c>
      <c r="B1082" t="s">
        <v>298</v>
      </c>
      <c r="C1082" t="s">
        <v>2281</v>
      </c>
      <c r="D1082" t="s">
        <v>2280</v>
      </c>
      <c r="E1082" t="s">
        <v>4571</v>
      </c>
      <c r="F1082" s="23">
        <v>44346</v>
      </c>
      <c r="G1082" s="1">
        <v>9037</v>
      </c>
    </row>
    <row r="1083" spans="1:7">
      <c r="A1083" t="s">
        <v>5711</v>
      </c>
      <c r="B1083" t="s">
        <v>94</v>
      </c>
      <c r="C1083" t="s">
        <v>2233</v>
      </c>
      <c r="D1083" t="s">
        <v>2232</v>
      </c>
      <c r="E1083" t="s">
        <v>4572</v>
      </c>
      <c r="F1083" s="23">
        <v>44346</v>
      </c>
      <c r="G1083" s="1">
        <v>12419</v>
      </c>
    </row>
    <row r="1084" spans="1:7">
      <c r="A1084" t="s">
        <v>5711</v>
      </c>
      <c r="B1084" t="s">
        <v>94</v>
      </c>
      <c r="C1084" t="s">
        <v>2718</v>
      </c>
      <c r="D1084" t="s">
        <v>2792</v>
      </c>
      <c r="E1084" t="s">
        <v>4573</v>
      </c>
      <c r="F1084" s="23">
        <v>44346</v>
      </c>
      <c r="G1084" s="1">
        <v>19251</v>
      </c>
    </row>
    <row r="1085" spans="1:7">
      <c r="A1085" t="s">
        <v>5711</v>
      </c>
      <c r="B1085" t="s">
        <v>233</v>
      </c>
      <c r="C1085" t="s">
        <v>3237</v>
      </c>
      <c r="D1085" t="s">
        <v>3236</v>
      </c>
      <c r="E1085" t="s">
        <v>4574</v>
      </c>
      <c r="F1085" s="23">
        <v>44742</v>
      </c>
      <c r="G1085" s="1">
        <v>6052</v>
      </c>
    </row>
    <row r="1086" spans="1:7">
      <c r="A1086" t="s">
        <v>5711</v>
      </c>
      <c r="B1086" t="s">
        <v>94</v>
      </c>
      <c r="C1086" t="s">
        <v>3486</v>
      </c>
      <c r="D1086" t="s">
        <v>1748</v>
      </c>
      <c r="E1086" t="s">
        <v>4575</v>
      </c>
      <c r="F1086" s="23">
        <v>44346</v>
      </c>
      <c r="G1086" s="1">
        <v>8326</v>
      </c>
    </row>
    <row r="1087" spans="1:7">
      <c r="A1087" t="s">
        <v>5711</v>
      </c>
      <c r="B1087" t="s">
        <v>298</v>
      </c>
      <c r="C1087" t="s">
        <v>3045</v>
      </c>
      <c r="D1087" t="s">
        <v>3044</v>
      </c>
      <c r="E1087" t="s">
        <v>4576</v>
      </c>
      <c r="F1087" s="23">
        <v>44349</v>
      </c>
      <c r="G1087" s="1">
        <v>3097</v>
      </c>
    </row>
    <row r="1088" spans="1:7">
      <c r="A1088" t="s">
        <v>5711</v>
      </c>
      <c r="B1088" t="s">
        <v>1345</v>
      </c>
      <c r="C1088" t="s">
        <v>1344</v>
      </c>
      <c r="D1088" t="s">
        <v>1343</v>
      </c>
      <c r="E1088" t="s">
        <v>4577</v>
      </c>
      <c r="F1088" s="23">
        <v>44346</v>
      </c>
      <c r="G1088" s="1">
        <v>19319</v>
      </c>
    </row>
    <row r="1089" spans="1:7">
      <c r="A1089" t="s">
        <v>5711</v>
      </c>
      <c r="B1089" t="s">
        <v>94</v>
      </c>
      <c r="C1089" t="s">
        <v>266</v>
      </c>
      <c r="D1089" t="s">
        <v>2447</v>
      </c>
      <c r="E1089" t="s">
        <v>4578</v>
      </c>
      <c r="F1089" s="23">
        <v>45009</v>
      </c>
      <c r="G1089" s="1">
        <v>4035</v>
      </c>
    </row>
    <row r="1090" spans="1:7">
      <c r="A1090" t="s">
        <v>5711</v>
      </c>
      <c r="B1090" t="s">
        <v>61</v>
      </c>
      <c r="C1090" t="s">
        <v>1826</v>
      </c>
      <c r="D1090" t="s">
        <v>1825</v>
      </c>
      <c r="E1090" t="s">
        <v>4579</v>
      </c>
      <c r="F1090" s="23">
        <v>44346</v>
      </c>
      <c r="G1090" s="1">
        <v>17203</v>
      </c>
    </row>
    <row r="1091" spans="1:7">
      <c r="A1091" t="s">
        <v>5711</v>
      </c>
      <c r="B1091" t="s">
        <v>298</v>
      </c>
      <c r="C1091" t="s">
        <v>2082</v>
      </c>
      <c r="D1091" t="s">
        <v>2219</v>
      </c>
      <c r="E1091" t="s">
        <v>4580</v>
      </c>
      <c r="F1091" s="23">
        <v>44992</v>
      </c>
      <c r="G1091" s="1">
        <v>2674</v>
      </c>
    </row>
    <row r="1092" spans="1:7">
      <c r="A1092" t="s">
        <v>5711</v>
      </c>
      <c r="B1092" t="s">
        <v>94</v>
      </c>
      <c r="C1092" t="s">
        <v>3486</v>
      </c>
      <c r="D1092" t="s">
        <v>1820</v>
      </c>
      <c r="E1092" t="s">
        <v>4581</v>
      </c>
      <c r="F1092" s="23">
        <v>44648</v>
      </c>
      <c r="G1092" s="1">
        <v>2114</v>
      </c>
    </row>
    <row r="1093" spans="1:7">
      <c r="A1093" t="s">
        <v>5711</v>
      </c>
      <c r="B1093" t="s">
        <v>91</v>
      </c>
      <c r="C1093" t="s">
        <v>589</v>
      </c>
      <c r="D1093" t="s">
        <v>588</v>
      </c>
      <c r="E1093" t="s">
        <v>4582</v>
      </c>
      <c r="F1093" s="23">
        <v>44749</v>
      </c>
      <c r="G1093" s="1">
        <v>10707</v>
      </c>
    </row>
    <row r="1094" spans="1:7">
      <c r="A1094" t="s">
        <v>5711</v>
      </c>
      <c r="B1094" t="s">
        <v>426</v>
      </c>
      <c r="C1094" t="s">
        <v>1342</v>
      </c>
      <c r="D1094" t="s">
        <v>1341</v>
      </c>
      <c r="E1094" t="s">
        <v>4583</v>
      </c>
      <c r="F1094" s="23">
        <v>44346</v>
      </c>
      <c r="G1094" s="1">
        <v>7515</v>
      </c>
    </row>
    <row r="1095" spans="1:7">
      <c r="A1095" t="s">
        <v>5711</v>
      </c>
      <c r="B1095" t="s">
        <v>43</v>
      </c>
      <c r="C1095" t="s">
        <v>169</v>
      </c>
      <c r="D1095" t="s">
        <v>168</v>
      </c>
      <c r="E1095" t="s">
        <v>4584</v>
      </c>
      <c r="F1095" s="23">
        <v>44746</v>
      </c>
      <c r="G1095" s="1">
        <v>5700</v>
      </c>
    </row>
    <row r="1096" spans="1:7">
      <c r="A1096" t="s">
        <v>5711</v>
      </c>
      <c r="B1096" t="s">
        <v>303</v>
      </c>
      <c r="C1096" t="s">
        <v>522</v>
      </c>
      <c r="D1096" t="s">
        <v>521</v>
      </c>
      <c r="E1096" t="s">
        <v>4585</v>
      </c>
      <c r="F1096" s="23">
        <v>44899</v>
      </c>
      <c r="G1096" s="1">
        <v>10745</v>
      </c>
    </row>
    <row r="1097" spans="1:7">
      <c r="A1097" t="s">
        <v>5711</v>
      </c>
      <c r="B1097" t="s">
        <v>65</v>
      </c>
      <c r="C1097" t="s">
        <v>1439</v>
      </c>
      <c r="D1097" t="s">
        <v>1438</v>
      </c>
      <c r="E1097" t="s">
        <v>4586</v>
      </c>
      <c r="F1097" s="23">
        <v>44401</v>
      </c>
      <c r="G1097" s="1">
        <v>807</v>
      </c>
    </row>
    <row r="1098" spans="1:7">
      <c r="A1098" t="s">
        <v>5711</v>
      </c>
      <c r="B1098" t="s">
        <v>106</v>
      </c>
      <c r="C1098" t="s">
        <v>2775</v>
      </c>
      <c r="D1098" t="s">
        <v>2774</v>
      </c>
      <c r="E1098" t="s">
        <v>4587</v>
      </c>
      <c r="F1098" s="23">
        <v>44474</v>
      </c>
      <c r="G1098" s="1">
        <v>6531</v>
      </c>
    </row>
    <row r="1099" spans="1:7">
      <c r="A1099" t="s">
        <v>5711</v>
      </c>
      <c r="B1099" t="s">
        <v>896</v>
      </c>
      <c r="C1099" t="s">
        <v>993</v>
      </c>
      <c r="D1099" t="s">
        <v>992</v>
      </c>
      <c r="E1099" t="s">
        <v>4588</v>
      </c>
      <c r="F1099" s="23">
        <v>44797</v>
      </c>
      <c r="G1099" s="1">
        <v>8778</v>
      </c>
    </row>
    <row r="1100" spans="1:7">
      <c r="A1100" t="s">
        <v>5711</v>
      </c>
      <c r="B1100" t="s">
        <v>298</v>
      </c>
      <c r="C1100" t="s">
        <v>2161</v>
      </c>
      <c r="D1100" t="s">
        <v>2160</v>
      </c>
      <c r="E1100" t="s">
        <v>4589</v>
      </c>
      <c r="F1100" s="23">
        <v>44346</v>
      </c>
      <c r="G1100" s="1">
        <v>17395</v>
      </c>
    </row>
    <row r="1101" spans="1:7">
      <c r="A1101" t="s">
        <v>5711</v>
      </c>
      <c r="B1101" t="s">
        <v>43</v>
      </c>
      <c r="C1101" t="s">
        <v>639</v>
      </c>
      <c r="D1101" t="s">
        <v>5606</v>
      </c>
      <c r="E1101" t="s">
        <v>4590</v>
      </c>
      <c r="F1101" s="23">
        <v>44346</v>
      </c>
      <c r="G1101" s="1">
        <v>17253</v>
      </c>
    </row>
    <row r="1102" spans="1:7">
      <c r="A1102" t="s">
        <v>5711</v>
      </c>
      <c r="B1102" t="s">
        <v>298</v>
      </c>
      <c r="C1102" t="s">
        <v>297</v>
      </c>
      <c r="D1102" t="s">
        <v>2327</v>
      </c>
      <c r="E1102" t="s">
        <v>4591</v>
      </c>
      <c r="F1102" s="23">
        <v>44346</v>
      </c>
      <c r="G1102" s="1">
        <v>2320</v>
      </c>
    </row>
    <row r="1103" spans="1:7">
      <c r="A1103" t="s">
        <v>5711</v>
      </c>
      <c r="B1103" t="s">
        <v>97</v>
      </c>
      <c r="C1103" t="s">
        <v>802</v>
      </c>
      <c r="D1103" t="s">
        <v>801</v>
      </c>
      <c r="E1103" t="s">
        <v>4592</v>
      </c>
      <c r="F1103" s="23">
        <v>45063</v>
      </c>
      <c r="G1103" s="1">
        <v>10097</v>
      </c>
    </row>
    <row r="1104" spans="1:7">
      <c r="A1104" t="s">
        <v>5711</v>
      </c>
      <c r="B1104" t="s">
        <v>106</v>
      </c>
      <c r="C1104" t="s">
        <v>829</v>
      </c>
      <c r="D1104" t="s">
        <v>2145</v>
      </c>
      <c r="E1104" t="s">
        <v>4593</v>
      </c>
      <c r="F1104" s="23">
        <v>44476</v>
      </c>
      <c r="G1104" s="1">
        <v>11779</v>
      </c>
    </row>
    <row r="1105" spans="1:7">
      <c r="A1105" t="s">
        <v>5711</v>
      </c>
      <c r="B1105" t="s">
        <v>208</v>
      </c>
      <c r="C1105" t="s">
        <v>1759</v>
      </c>
      <c r="D1105" t="s">
        <v>1758</v>
      </c>
      <c r="E1105" t="s">
        <v>4594</v>
      </c>
      <c r="F1105" s="23">
        <v>44872</v>
      </c>
      <c r="G1105" s="1">
        <v>5407</v>
      </c>
    </row>
    <row r="1106" spans="1:7">
      <c r="A1106" t="s">
        <v>5711</v>
      </c>
      <c r="B1106" t="s">
        <v>94</v>
      </c>
      <c r="C1106" t="s">
        <v>2807</v>
      </c>
      <c r="D1106" t="s">
        <v>2806</v>
      </c>
      <c r="E1106" t="s">
        <v>4595</v>
      </c>
      <c r="F1106" s="23">
        <v>44810</v>
      </c>
      <c r="G1106" s="1">
        <v>10551</v>
      </c>
    </row>
    <row r="1107" spans="1:7">
      <c r="A1107" t="s">
        <v>5711</v>
      </c>
      <c r="B1107" t="s">
        <v>94</v>
      </c>
      <c r="C1107" t="s">
        <v>2881</v>
      </c>
      <c r="D1107" t="s">
        <v>2880</v>
      </c>
      <c r="E1107" t="s">
        <v>4596</v>
      </c>
      <c r="F1107" s="23">
        <v>44885</v>
      </c>
      <c r="G1107" s="1">
        <v>6337</v>
      </c>
    </row>
    <row r="1108" spans="1:7">
      <c r="A1108" t="s">
        <v>5711</v>
      </c>
      <c r="B1108" t="s">
        <v>106</v>
      </c>
      <c r="C1108" t="s">
        <v>2362</v>
      </c>
      <c r="D1108" t="s">
        <v>2654</v>
      </c>
      <c r="E1108" t="s">
        <v>4597</v>
      </c>
      <c r="F1108" s="23">
        <v>44579</v>
      </c>
      <c r="G1108" s="1">
        <v>11787</v>
      </c>
    </row>
    <row r="1109" spans="1:7">
      <c r="A1109" t="s">
        <v>5711</v>
      </c>
      <c r="B1109" t="s">
        <v>135</v>
      </c>
      <c r="C1109" t="s">
        <v>1813</v>
      </c>
      <c r="D1109" t="s">
        <v>5607</v>
      </c>
      <c r="E1109" t="s">
        <v>4598</v>
      </c>
      <c r="F1109" s="23">
        <v>44346</v>
      </c>
      <c r="G1109" s="1">
        <v>4583</v>
      </c>
    </row>
    <row r="1110" spans="1:7">
      <c r="A1110" t="s">
        <v>5711</v>
      </c>
      <c r="B1110" t="s">
        <v>94</v>
      </c>
      <c r="C1110" t="s">
        <v>743</v>
      </c>
      <c r="D1110" t="s">
        <v>742</v>
      </c>
      <c r="E1110" t="s">
        <v>4599</v>
      </c>
      <c r="F1110" s="23">
        <v>44902</v>
      </c>
      <c r="G1110" s="1">
        <v>11235</v>
      </c>
    </row>
    <row r="1111" spans="1:7">
      <c r="A1111" t="s">
        <v>5711</v>
      </c>
      <c r="B1111" t="s">
        <v>233</v>
      </c>
      <c r="C1111" t="s">
        <v>1892</v>
      </c>
      <c r="D1111" t="s">
        <v>5608</v>
      </c>
      <c r="E1111" t="s">
        <v>4600</v>
      </c>
      <c r="F1111" s="23">
        <v>44346</v>
      </c>
      <c r="G1111" s="1">
        <v>1412</v>
      </c>
    </row>
    <row r="1112" spans="1:7">
      <c r="A1112" t="s">
        <v>5711</v>
      </c>
      <c r="B1112" t="s">
        <v>46</v>
      </c>
      <c r="C1112" t="s">
        <v>1146</v>
      </c>
      <c r="D1112" t="s">
        <v>1145</v>
      </c>
      <c r="E1112" t="s">
        <v>4601</v>
      </c>
      <c r="F1112" s="23">
        <v>44346</v>
      </c>
      <c r="G1112" s="1">
        <v>14129</v>
      </c>
    </row>
    <row r="1113" spans="1:7">
      <c r="A1113" t="s">
        <v>5711</v>
      </c>
      <c r="B1113" t="s">
        <v>311</v>
      </c>
      <c r="C1113" t="s">
        <v>2984</v>
      </c>
      <c r="D1113" t="s">
        <v>2983</v>
      </c>
      <c r="E1113" t="s">
        <v>4602</v>
      </c>
      <c r="F1113" s="23">
        <v>44885</v>
      </c>
      <c r="G1113" s="1">
        <v>611</v>
      </c>
    </row>
    <row r="1114" spans="1:7">
      <c r="A1114" t="s">
        <v>5711</v>
      </c>
      <c r="B1114" t="s">
        <v>94</v>
      </c>
      <c r="C1114" t="s">
        <v>3488</v>
      </c>
      <c r="D1114" t="s">
        <v>776</v>
      </c>
      <c r="E1114" t="s">
        <v>4603</v>
      </c>
      <c r="F1114" s="23">
        <v>44982</v>
      </c>
      <c r="G1114" s="1">
        <v>7930</v>
      </c>
    </row>
    <row r="1115" spans="1:7">
      <c r="A1115" t="s">
        <v>5711</v>
      </c>
      <c r="B1115" t="s">
        <v>94</v>
      </c>
      <c r="C1115" t="s">
        <v>3490</v>
      </c>
      <c r="D1115" t="s">
        <v>341</v>
      </c>
      <c r="E1115" t="s">
        <v>4604</v>
      </c>
      <c r="F1115" s="23">
        <v>44346</v>
      </c>
      <c r="G1115" s="1">
        <v>15054</v>
      </c>
    </row>
    <row r="1116" spans="1:7">
      <c r="A1116" t="s">
        <v>5711</v>
      </c>
      <c r="B1116" t="s">
        <v>106</v>
      </c>
      <c r="C1116" t="s">
        <v>2012</v>
      </c>
      <c r="D1116" t="s">
        <v>2011</v>
      </c>
      <c r="E1116" t="s">
        <v>4605</v>
      </c>
      <c r="F1116" s="23">
        <v>44346</v>
      </c>
      <c r="G1116" s="1">
        <v>19594</v>
      </c>
    </row>
    <row r="1117" spans="1:7">
      <c r="A1117" t="s">
        <v>5711</v>
      </c>
      <c r="B1117" t="s">
        <v>233</v>
      </c>
      <c r="C1117" t="s">
        <v>2079</v>
      </c>
      <c r="D1117" t="s">
        <v>2078</v>
      </c>
      <c r="E1117" t="s">
        <v>4606</v>
      </c>
      <c r="F1117" s="23">
        <v>45033</v>
      </c>
      <c r="G1117" s="1">
        <v>3878</v>
      </c>
    </row>
    <row r="1118" spans="1:7">
      <c r="A1118" t="s">
        <v>5711</v>
      </c>
      <c r="B1118" t="s">
        <v>94</v>
      </c>
      <c r="C1118" t="s">
        <v>2050</v>
      </c>
      <c r="D1118" t="s">
        <v>2049</v>
      </c>
      <c r="E1118" t="s">
        <v>4607</v>
      </c>
      <c r="F1118" s="23">
        <v>44706</v>
      </c>
      <c r="G1118" s="1">
        <v>8188</v>
      </c>
    </row>
    <row r="1119" spans="1:7">
      <c r="A1119" t="s">
        <v>5711</v>
      </c>
      <c r="B1119" t="s">
        <v>43</v>
      </c>
      <c r="C1119" t="s">
        <v>970</v>
      </c>
      <c r="D1119" t="s">
        <v>969</v>
      </c>
      <c r="E1119" t="s">
        <v>4608</v>
      </c>
      <c r="F1119" s="23">
        <v>44807</v>
      </c>
      <c r="G1119" s="1">
        <v>9560</v>
      </c>
    </row>
    <row r="1120" spans="1:7">
      <c r="A1120" t="s">
        <v>5711</v>
      </c>
      <c r="B1120" t="s">
        <v>132</v>
      </c>
      <c r="C1120" t="s">
        <v>1723</v>
      </c>
      <c r="D1120" t="s">
        <v>1722</v>
      </c>
      <c r="E1120" t="s">
        <v>4609</v>
      </c>
      <c r="F1120" s="23">
        <v>44346</v>
      </c>
      <c r="G1120" s="1">
        <v>7609</v>
      </c>
    </row>
    <row r="1121" spans="1:7">
      <c r="A1121" t="s">
        <v>5711</v>
      </c>
      <c r="B1121" t="s">
        <v>43</v>
      </c>
      <c r="C1121" t="s">
        <v>906</v>
      </c>
      <c r="D1121" t="s">
        <v>905</v>
      </c>
      <c r="E1121" t="s">
        <v>4610</v>
      </c>
      <c r="F1121" s="23">
        <v>44346</v>
      </c>
      <c r="G1121" s="1">
        <v>12210</v>
      </c>
    </row>
    <row r="1122" spans="1:7">
      <c r="A1122" t="s">
        <v>5711</v>
      </c>
      <c r="B1122" t="s">
        <v>94</v>
      </c>
      <c r="C1122" t="s">
        <v>3487</v>
      </c>
      <c r="D1122" t="s">
        <v>137</v>
      </c>
      <c r="E1122" t="s">
        <v>4611</v>
      </c>
      <c r="F1122" s="23">
        <v>44909</v>
      </c>
      <c r="G1122" s="1">
        <v>9805</v>
      </c>
    </row>
    <row r="1123" spans="1:7">
      <c r="A1123" t="s">
        <v>5711</v>
      </c>
      <c r="B1123" t="s">
        <v>97</v>
      </c>
      <c r="C1123" t="s">
        <v>446</v>
      </c>
      <c r="D1123" t="s">
        <v>1002</v>
      </c>
      <c r="E1123" t="s">
        <v>4612</v>
      </c>
      <c r="F1123" s="23">
        <v>44346</v>
      </c>
      <c r="G1123" s="1">
        <v>1236</v>
      </c>
    </row>
    <row r="1124" spans="1:7">
      <c r="A1124" t="s">
        <v>5711</v>
      </c>
      <c r="B1124" t="s">
        <v>94</v>
      </c>
      <c r="C1124" t="s">
        <v>2259</v>
      </c>
      <c r="D1124" t="s">
        <v>2370</v>
      </c>
      <c r="E1124" t="s">
        <v>4613</v>
      </c>
      <c r="F1124" s="23">
        <v>44798</v>
      </c>
      <c r="G1124" s="1">
        <v>4260</v>
      </c>
    </row>
    <row r="1125" spans="1:7">
      <c r="A1125" t="s">
        <v>5711</v>
      </c>
      <c r="B1125" t="s">
        <v>891</v>
      </c>
      <c r="C1125" t="s">
        <v>890</v>
      </c>
      <c r="D1125" t="s">
        <v>889</v>
      </c>
      <c r="E1125" t="s">
        <v>4614</v>
      </c>
      <c r="F1125" s="23">
        <v>44346</v>
      </c>
      <c r="G1125" s="1">
        <v>16801</v>
      </c>
    </row>
    <row r="1126" spans="1:7">
      <c r="A1126" t="s">
        <v>5711</v>
      </c>
      <c r="B1126" t="s">
        <v>298</v>
      </c>
      <c r="C1126" t="s">
        <v>3393</v>
      </c>
      <c r="D1126" t="s">
        <v>3392</v>
      </c>
      <c r="E1126" t="s">
        <v>4615</v>
      </c>
      <c r="F1126" s="23">
        <v>44346</v>
      </c>
      <c r="G1126" s="1">
        <v>7215</v>
      </c>
    </row>
    <row r="1127" spans="1:7">
      <c r="A1127" t="s">
        <v>5711</v>
      </c>
      <c r="B1127" t="s">
        <v>1285</v>
      </c>
      <c r="C1127" t="s">
        <v>1284</v>
      </c>
      <c r="D1127" t="s">
        <v>1283</v>
      </c>
      <c r="E1127" t="s">
        <v>4616</v>
      </c>
      <c r="F1127" s="23">
        <v>44786</v>
      </c>
      <c r="G1127" s="1">
        <v>7212</v>
      </c>
    </row>
    <row r="1128" spans="1:7">
      <c r="A1128" t="s">
        <v>5711</v>
      </c>
      <c r="B1128" t="s">
        <v>174</v>
      </c>
      <c r="C1128" t="s">
        <v>420</v>
      </c>
      <c r="D1128" t="s">
        <v>419</v>
      </c>
      <c r="E1128" t="s">
        <v>4617</v>
      </c>
      <c r="F1128" s="23">
        <v>44486</v>
      </c>
      <c r="G1128" s="1">
        <v>6879</v>
      </c>
    </row>
    <row r="1129" spans="1:7">
      <c r="A1129" t="s">
        <v>5711</v>
      </c>
      <c r="B1129" t="s">
        <v>94</v>
      </c>
      <c r="C1129" t="s">
        <v>3326</v>
      </c>
      <c r="D1129" t="s">
        <v>3325</v>
      </c>
      <c r="E1129" t="s">
        <v>4618</v>
      </c>
      <c r="F1129" s="23">
        <v>44711</v>
      </c>
      <c r="G1129" s="1">
        <v>1016</v>
      </c>
    </row>
    <row r="1130" spans="1:7">
      <c r="A1130" t="s">
        <v>5711</v>
      </c>
      <c r="B1130" t="s">
        <v>311</v>
      </c>
      <c r="C1130" t="s">
        <v>3389</v>
      </c>
      <c r="D1130" t="s">
        <v>3453</v>
      </c>
      <c r="E1130" t="s">
        <v>4619</v>
      </c>
      <c r="F1130" s="23">
        <v>44346</v>
      </c>
      <c r="G1130" s="1">
        <v>11168</v>
      </c>
    </row>
    <row r="1131" spans="1:7">
      <c r="A1131" t="s">
        <v>5711</v>
      </c>
      <c r="B1131" t="s">
        <v>233</v>
      </c>
      <c r="C1131" t="s">
        <v>2090</v>
      </c>
      <c r="D1131" t="s">
        <v>2089</v>
      </c>
      <c r="E1131" t="s">
        <v>4620</v>
      </c>
      <c r="F1131" s="23">
        <v>44748</v>
      </c>
      <c r="G1131" s="1">
        <v>7587</v>
      </c>
    </row>
    <row r="1132" spans="1:7">
      <c r="A1132" t="s">
        <v>5711</v>
      </c>
      <c r="B1132" t="s">
        <v>37</v>
      </c>
      <c r="C1132" t="s">
        <v>805</v>
      </c>
      <c r="D1132" t="s">
        <v>804</v>
      </c>
      <c r="E1132" t="s">
        <v>4621</v>
      </c>
      <c r="F1132" s="23">
        <v>44346</v>
      </c>
      <c r="G1132" s="1">
        <v>17276</v>
      </c>
    </row>
    <row r="1133" spans="1:7">
      <c r="A1133" t="s">
        <v>5711</v>
      </c>
      <c r="B1133" t="s">
        <v>208</v>
      </c>
      <c r="C1133" t="s">
        <v>1511</v>
      </c>
      <c r="D1133" t="s">
        <v>5609</v>
      </c>
      <c r="E1133" t="s">
        <v>4622</v>
      </c>
      <c r="F1133" s="23">
        <v>44397</v>
      </c>
      <c r="G1133" s="1">
        <v>9232</v>
      </c>
    </row>
    <row r="1134" spans="1:7">
      <c r="A1134" t="s">
        <v>5711</v>
      </c>
      <c r="B1134" t="s">
        <v>106</v>
      </c>
      <c r="C1134" t="s">
        <v>2364</v>
      </c>
      <c r="D1134" t="s">
        <v>2363</v>
      </c>
      <c r="E1134" t="s">
        <v>4623</v>
      </c>
      <c r="F1134" s="23">
        <v>44346</v>
      </c>
      <c r="G1134" s="1">
        <v>11326</v>
      </c>
    </row>
    <row r="1135" spans="1:7">
      <c r="A1135" t="s">
        <v>5711</v>
      </c>
      <c r="B1135" t="s">
        <v>101</v>
      </c>
      <c r="C1135" t="s">
        <v>1444</v>
      </c>
      <c r="D1135" t="s">
        <v>1443</v>
      </c>
      <c r="E1135" t="s">
        <v>4624</v>
      </c>
      <c r="F1135" s="23">
        <v>44346</v>
      </c>
      <c r="G1135" s="1">
        <v>12905</v>
      </c>
    </row>
    <row r="1136" spans="1:7">
      <c r="A1136" t="s">
        <v>5711</v>
      </c>
      <c r="B1136" t="s">
        <v>135</v>
      </c>
      <c r="C1136" t="s">
        <v>722</v>
      </c>
      <c r="D1136" t="s">
        <v>721</v>
      </c>
      <c r="E1136" t="s">
        <v>4625</v>
      </c>
      <c r="F1136" s="23">
        <v>44774</v>
      </c>
      <c r="G1136" s="1">
        <v>3892</v>
      </c>
    </row>
    <row r="1137" spans="1:7">
      <c r="A1137" t="s">
        <v>5711</v>
      </c>
      <c r="B1137" t="s">
        <v>94</v>
      </c>
      <c r="C1137" t="s">
        <v>3490</v>
      </c>
      <c r="D1137" t="s">
        <v>1545</v>
      </c>
      <c r="E1137" t="s">
        <v>4626</v>
      </c>
      <c r="F1137" s="23">
        <v>44346</v>
      </c>
      <c r="G1137" s="1">
        <v>16762</v>
      </c>
    </row>
    <row r="1138" spans="1:7">
      <c r="A1138" t="s">
        <v>5711</v>
      </c>
      <c r="B1138" t="s">
        <v>101</v>
      </c>
      <c r="C1138" t="s">
        <v>1227</v>
      </c>
      <c r="D1138" t="s">
        <v>1226</v>
      </c>
      <c r="E1138" t="s">
        <v>4627</v>
      </c>
      <c r="F1138" s="23">
        <v>44392</v>
      </c>
      <c r="G1138" s="1">
        <v>6919</v>
      </c>
    </row>
    <row r="1139" spans="1:7">
      <c r="A1139" t="s">
        <v>5711</v>
      </c>
      <c r="B1139" t="s">
        <v>311</v>
      </c>
      <c r="C1139" t="s">
        <v>1958</v>
      </c>
      <c r="D1139" t="s">
        <v>1957</v>
      </c>
      <c r="E1139" t="s">
        <v>4628</v>
      </c>
      <c r="F1139" s="23">
        <v>44953</v>
      </c>
      <c r="G1139" s="1">
        <v>11148</v>
      </c>
    </row>
    <row r="1140" spans="1:7">
      <c r="A1140" t="s">
        <v>5711</v>
      </c>
      <c r="B1140" t="s">
        <v>106</v>
      </c>
      <c r="C1140" t="s">
        <v>1188</v>
      </c>
      <c r="D1140" t="s">
        <v>2433</v>
      </c>
      <c r="E1140" t="s">
        <v>4629</v>
      </c>
      <c r="F1140" s="23">
        <v>44346</v>
      </c>
      <c r="G1140" s="1">
        <v>16467</v>
      </c>
    </row>
    <row r="1141" spans="1:7">
      <c r="A1141" t="s">
        <v>5711</v>
      </c>
      <c r="B1141" t="s">
        <v>94</v>
      </c>
      <c r="C1141" t="s">
        <v>2698</v>
      </c>
      <c r="D1141" t="s">
        <v>2972</v>
      </c>
      <c r="E1141" t="s">
        <v>4630</v>
      </c>
      <c r="F1141" s="23">
        <v>45003</v>
      </c>
      <c r="G1141" s="1">
        <v>7909</v>
      </c>
    </row>
    <row r="1142" spans="1:7">
      <c r="A1142" t="s">
        <v>5711</v>
      </c>
      <c r="B1142" t="s">
        <v>311</v>
      </c>
      <c r="C1142" t="s">
        <v>2710</v>
      </c>
      <c r="D1142" t="s">
        <v>2709</v>
      </c>
      <c r="E1142" t="s">
        <v>4631</v>
      </c>
      <c r="F1142" s="23">
        <v>44791</v>
      </c>
      <c r="G1142" s="1">
        <v>4885</v>
      </c>
    </row>
    <row r="1143" spans="1:7">
      <c r="A1143" t="s">
        <v>5711</v>
      </c>
      <c r="B1143" t="s">
        <v>94</v>
      </c>
      <c r="C1143" t="s">
        <v>3486</v>
      </c>
      <c r="D1143" t="s">
        <v>5610</v>
      </c>
      <c r="E1143" t="s">
        <v>4632</v>
      </c>
      <c r="F1143" s="23">
        <v>44665</v>
      </c>
      <c r="G1143" s="1">
        <v>9624</v>
      </c>
    </row>
    <row r="1144" spans="1:7">
      <c r="A1144" t="s">
        <v>5711</v>
      </c>
      <c r="B1144" t="s">
        <v>94</v>
      </c>
      <c r="C1144" t="s">
        <v>743</v>
      </c>
      <c r="D1144" t="s">
        <v>2642</v>
      </c>
      <c r="E1144" t="s">
        <v>4633</v>
      </c>
      <c r="F1144" s="23">
        <v>44896</v>
      </c>
      <c r="G1144" s="1">
        <v>6680</v>
      </c>
    </row>
    <row r="1145" spans="1:7">
      <c r="A1145" t="s">
        <v>5711</v>
      </c>
      <c r="B1145" t="s">
        <v>94</v>
      </c>
      <c r="C1145" t="s">
        <v>3485</v>
      </c>
      <c r="D1145" t="s">
        <v>971</v>
      </c>
      <c r="E1145" t="s">
        <v>4634</v>
      </c>
      <c r="F1145" s="23">
        <v>44346</v>
      </c>
      <c r="G1145" s="1">
        <v>9931</v>
      </c>
    </row>
    <row r="1146" spans="1:7">
      <c r="A1146" t="s">
        <v>5711</v>
      </c>
      <c r="B1146" t="s">
        <v>676</v>
      </c>
      <c r="C1146" t="s">
        <v>856</v>
      </c>
      <c r="D1146" t="s">
        <v>855</v>
      </c>
      <c r="E1146" t="s">
        <v>4635</v>
      </c>
      <c r="F1146" s="23">
        <v>44573</v>
      </c>
      <c r="G1146" s="1">
        <v>8559</v>
      </c>
    </row>
    <row r="1147" spans="1:7">
      <c r="A1147" t="s">
        <v>5711</v>
      </c>
      <c r="B1147" t="s">
        <v>833</v>
      </c>
      <c r="C1147" t="s">
        <v>1541</v>
      </c>
      <c r="D1147" t="s">
        <v>1540</v>
      </c>
      <c r="E1147" t="s">
        <v>4636</v>
      </c>
      <c r="F1147" s="23">
        <v>44876</v>
      </c>
      <c r="G1147" s="1">
        <v>3666</v>
      </c>
    </row>
    <row r="1148" spans="1:7">
      <c r="A1148" t="s">
        <v>5711</v>
      </c>
      <c r="B1148" t="s">
        <v>298</v>
      </c>
      <c r="C1148" t="s">
        <v>2627</v>
      </c>
      <c r="D1148" t="s">
        <v>2626</v>
      </c>
      <c r="E1148" t="s">
        <v>4637</v>
      </c>
      <c r="F1148" s="23">
        <v>44346</v>
      </c>
      <c r="G1148" s="1">
        <v>12023</v>
      </c>
    </row>
    <row r="1149" spans="1:7">
      <c r="A1149" t="s">
        <v>5711</v>
      </c>
      <c r="B1149" t="s">
        <v>149</v>
      </c>
      <c r="C1149" t="s">
        <v>1174</v>
      </c>
      <c r="D1149" t="s">
        <v>1173</v>
      </c>
      <c r="E1149" t="s">
        <v>4638</v>
      </c>
      <c r="F1149" s="23">
        <v>44346</v>
      </c>
      <c r="G1149" s="1">
        <v>14226</v>
      </c>
    </row>
    <row r="1150" spans="1:7">
      <c r="A1150" t="s">
        <v>5711</v>
      </c>
      <c r="B1150" t="s">
        <v>94</v>
      </c>
      <c r="C1150" t="s">
        <v>3345</v>
      </c>
      <c r="D1150" t="s">
        <v>3344</v>
      </c>
      <c r="E1150" t="s">
        <v>4639</v>
      </c>
      <c r="F1150" s="23">
        <v>44346</v>
      </c>
      <c r="G1150" s="1">
        <v>15044</v>
      </c>
    </row>
    <row r="1151" spans="1:7">
      <c r="A1151" t="s">
        <v>5711</v>
      </c>
      <c r="B1151" t="s">
        <v>106</v>
      </c>
      <c r="C1151" t="s">
        <v>2608</v>
      </c>
      <c r="D1151" t="s">
        <v>2607</v>
      </c>
      <c r="E1151" t="s">
        <v>4640</v>
      </c>
      <c r="F1151" s="23">
        <v>44346</v>
      </c>
      <c r="G1151" s="1">
        <v>19911</v>
      </c>
    </row>
    <row r="1152" spans="1:7">
      <c r="A1152" t="s">
        <v>5711</v>
      </c>
      <c r="B1152" t="s">
        <v>106</v>
      </c>
      <c r="C1152" t="s">
        <v>2595</v>
      </c>
      <c r="D1152" t="s">
        <v>2594</v>
      </c>
      <c r="E1152" t="s">
        <v>4641</v>
      </c>
      <c r="F1152" s="23">
        <v>44346</v>
      </c>
      <c r="G1152" s="1">
        <v>15249</v>
      </c>
    </row>
    <row r="1153" spans="1:7">
      <c r="A1153" t="s">
        <v>5711</v>
      </c>
      <c r="B1153" t="s">
        <v>94</v>
      </c>
      <c r="C1153" t="s">
        <v>3487</v>
      </c>
      <c r="D1153" t="s">
        <v>5611</v>
      </c>
      <c r="E1153" t="s">
        <v>4642</v>
      </c>
      <c r="F1153" s="23">
        <v>44832</v>
      </c>
      <c r="G1153" s="1">
        <v>5998</v>
      </c>
    </row>
    <row r="1154" spans="1:7">
      <c r="A1154" t="s">
        <v>5711</v>
      </c>
      <c r="B1154" t="s">
        <v>78</v>
      </c>
      <c r="C1154" t="s">
        <v>951</v>
      </c>
      <c r="D1154" t="s">
        <v>950</v>
      </c>
      <c r="E1154" t="s">
        <v>4643</v>
      </c>
      <c r="F1154" s="23">
        <v>44346</v>
      </c>
      <c r="G1154" s="1">
        <v>18016</v>
      </c>
    </row>
    <row r="1155" spans="1:7">
      <c r="A1155" t="s">
        <v>5711</v>
      </c>
      <c r="B1155" t="s">
        <v>826</v>
      </c>
      <c r="C1155" t="s">
        <v>825</v>
      </c>
      <c r="D1155" t="s">
        <v>824</v>
      </c>
      <c r="E1155" t="s">
        <v>4644</v>
      </c>
      <c r="F1155" s="23">
        <v>44393</v>
      </c>
      <c r="G1155" s="1">
        <v>8996</v>
      </c>
    </row>
    <row r="1156" spans="1:7">
      <c r="A1156" t="s">
        <v>5711</v>
      </c>
      <c r="B1156" t="s">
        <v>94</v>
      </c>
      <c r="C1156" t="s">
        <v>2014</v>
      </c>
      <c r="D1156" t="s">
        <v>2013</v>
      </c>
      <c r="E1156" t="s">
        <v>4645</v>
      </c>
      <c r="F1156" s="23">
        <v>44346</v>
      </c>
      <c r="G1156" s="1">
        <v>17493</v>
      </c>
    </row>
    <row r="1157" spans="1:7">
      <c r="A1157" t="s">
        <v>5711</v>
      </c>
      <c r="B1157" t="s">
        <v>94</v>
      </c>
      <c r="C1157" t="s">
        <v>2106</v>
      </c>
      <c r="D1157" t="s">
        <v>2516</v>
      </c>
      <c r="E1157" t="s">
        <v>4646</v>
      </c>
      <c r="F1157" s="23">
        <v>44346</v>
      </c>
      <c r="G1157" s="1">
        <v>7714</v>
      </c>
    </row>
    <row r="1158" spans="1:7">
      <c r="A1158" t="s">
        <v>5711</v>
      </c>
      <c r="B1158" t="s">
        <v>94</v>
      </c>
      <c r="C1158" t="s">
        <v>1920</v>
      </c>
      <c r="D1158" t="s">
        <v>1919</v>
      </c>
      <c r="E1158" t="s">
        <v>4647</v>
      </c>
      <c r="F1158" s="23">
        <v>44346</v>
      </c>
      <c r="G1158" s="1">
        <v>11210</v>
      </c>
    </row>
    <row r="1159" spans="1:7">
      <c r="A1159" t="s">
        <v>5711</v>
      </c>
      <c r="B1159" t="s">
        <v>106</v>
      </c>
      <c r="C1159" t="s">
        <v>2158</v>
      </c>
      <c r="D1159" t="s">
        <v>2157</v>
      </c>
      <c r="E1159" t="s">
        <v>4648</v>
      </c>
      <c r="F1159" s="23">
        <v>44552</v>
      </c>
      <c r="G1159" s="1">
        <v>1085</v>
      </c>
    </row>
    <row r="1160" spans="1:7">
      <c r="A1160" t="s">
        <v>5711</v>
      </c>
      <c r="B1160" t="s">
        <v>97</v>
      </c>
      <c r="C1160" t="s">
        <v>949</v>
      </c>
      <c r="D1160" t="s">
        <v>948</v>
      </c>
      <c r="E1160" t="s">
        <v>4649</v>
      </c>
      <c r="F1160" s="23">
        <v>44346</v>
      </c>
      <c r="G1160" s="1">
        <v>9440</v>
      </c>
    </row>
    <row r="1161" spans="1:7">
      <c r="A1161" t="s">
        <v>5711</v>
      </c>
      <c r="B1161" t="s">
        <v>37</v>
      </c>
      <c r="C1161" t="s">
        <v>770</v>
      </c>
      <c r="D1161" t="s">
        <v>769</v>
      </c>
      <c r="E1161" t="s">
        <v>4650</v>
      </c>
      <c r="F1161" s="23">
        <v>44346</v>
      </c>
      <c r="G1161" s="1">
        <v>17908</v>
      </c>
    </row>
    <row r="1162" spans="1:7">
      <c r="A1162" t="s">
        <v>5711</v>
      </c>
      <c r="B1162" t="s">
        <v>106</v>
      </c>
      <c r="C1162" t="s">
        <v>267</v>
      </c>
      <c r="D1162" t="s">
        <v>5612</v>
      </c>
      <c r="E1162" t="s">
        <v>4651</v>
      </c>
      <c r="F1162" s="23">
        <v>45006</v>
      </c>
      <c r="G1162" s="1">
        <v>9162</v>
      </c>
    </row>
    <row r="1163" spans="1:7">
      <c r="A1163" t="s">
        <v>5711</v>
      </c>
      <c r="B1163" t="s">
        <v>311</v>
      </c>
      <c r="C1163" t="s">
        <v>1874</v>
      </c>
      <c r="D1163" t="s">
        <v>1873</v>
      </c>
      <c r="E1163" t="s">
        <v>4652</v>
      </c>
      <c r="F1163" s="23">
        <v>44346</v>
      </c>
      <c r="G1163" s="1">
        <v>10333</v>
      </c>
    </row>
    <row r="1164" spans="1:7">
      <c r="A1164" t="s">
        <v>5711</v>
      </c>
      <c r="B1164" t="s">
        <v>94</v>
      </c>
      <c r="D1164" t="s">
        <v>2687</v>
      </c>
      <c r="E1164" t="s">
        <v>4653</v>
      </c>
      <c r="F1164" s="23">
        <v>44368</v>
      </c>
      <c r="G1164" s="1">
        <v>6515</v>
      </c>
    </row>
    <row r="1165" spans="1:7">
      <c r="A1165" t="s">
        <v>5711</v>
      </c>
      <c r="B1165" t="s">
        <v>1006</v>
      </c>
      <c r="C1165" t="s">
        <v>1005</v>
      </c>
      <c r="D1165" t="s">
        <v>1004</v>
      </c>
      <c r="E1165" t="s">
        <v>4654</v>
      </c>
      <c r="F1165" s="23">
        <v>44378</v>
      </c>
      <c r="G1165" s="1">
        <v>5069</v>
      </c>
    </row>
    <row r="1166" spans="1:7">
      <c r="A1166" t="s">
        <v>5711</v>
      </c>
      <c r="B1166" t="s">
        <v>233</v>
      </c>
      <c r="C1166" t="s">
        <v>1922</v>
      </c>
      <c r="D1166" t="s">
        <v>1921</v>
      </c>
      <c r="E1166" t="s">
        <v>4655</v>
      </c>
      <c r="F1166" s="23">
        <v>44346</v>
      </c>
      <c r="G1166" s="1">
        <v>16706</v>
      </c>
    </row>
    <row r="1167" spans="1:7">
      <c r="A1167" t="s">
        <v>5711</v>
      </c>
      <c r="B1167" t="s">
        <v>375</v>
      </c>
      <c r="C1167" t="s">
        <v>1214</v>
      </c>
      <c r="D1167" t="s">
        <v>1213</v>
      </c>
      <c r="E1167" t="s">
        <v>4656</v>
      </c>
      <c r="F1167" s="23">
        <v>44346</v>
      </c>
      <c r="G1167" s="1">
        <v>2067</v>
      </c>
    </row>
    <row r="1168" spans="1:7">
      <c r="A1168" t="s">
        <v>5711</v>
      </c>
      <c r="B1168" t="s">
        <v>43</v>
      </c>
      <c r="C1168" t="s">
        <v>1327</v>
      </c>
      <c r="D1168" t="s">
        <v>1326</v>
      </c>
      <c r="E1168" t="s">
        <v>4657</v>
      </c>
      <c r="F1168" s="23">
        <v>44471</v>
      </c>
      <c r="G1168" s="1">
        <v>2813</v>
      </c>
    </row>
    <row r="1169" spans="1:7">
      <c r="A1169" t="s">
        <v>5711</v>
      </c>
      <c r="B1169" t="s">
        <v>106</v>
      </c>
      <c r="C1169" t="s">
        <v>2700</v>
      </c>
      <c r="D1169" t="s">
        <v>2699</v>
      </c>
      <c r="E1169" t="s">
        <v>4658</v>
      </c>
      <c r="F1169" s="23">
        <v>44356</v>
      </c>
      <c r="G1169" s="1">
        <v>11111</v>
      </c>
    </row>
    <row r="1170" spans="1:7">
      <c r="A1170" t="s">
        <v>5711</v>
      </c>
      <c r="B1170" t="s">
        <v>43</v>
      </c>
      <c r="C1170" t="s">
        <v>1536</v>
      </c>
      <c r="D1170" t="s">
        <v>1535</v>
      </c>
      <c r="E1170" t="s">
        <v>4659</v>
      </c>
      <c r="F1170" s="23">
        <v>44967</v>
      </c>
      <c r="G1170" s="1">
        <v>4605</v>
      </c>
    </row>
    <row r="1171" spans="1:7">
      <c r="A1171" t="s">
        <v>5711</v>
      </c>
      <c r="B1171" t="s">
        <v>298</v>
      </c>
      <c r="C1171" t="s">
        <v>2737</v>
      </c>
      <c r="D1171" t="s">
        <v>2736</v>
      </c>
      <c r="E1171" t="s">
        <v>4660</v>
      </c>
      <c r="F1171" s="23">
        <v>44818</v>
      </c>
      <c r="G1171" s="1">
        <v>1839</v>
      </c>
    </row>
    <row r="1172" spans="1:7">
      <c r="A1172" t="s">
        <v>5711</v>
      </c>
      <c r="B1172" t="s">
        <v>233</v>
      </c>
      <c r="C1172" t="s">
        <v>1878</v>
      </c>
      <c r="D1172" t="s">
        <v>1877</v>
      </c>
      <c r="E1172" t="s">
        <v>4661</v>
      </c>
      <c r="F1172" s="23">
        <v>44346</v>
      </c>
      <c r="G1172" s="1">
        <v>12525</v>
      </c>
    </row>
    <row r="1173" spans="1:7">
      <c r="A1173" t="s">
        <v>5711</v>
      </c>
      <c r="B1173" t="s">
        <v>94</v>
      </c>
      <c r="C1173" t="s">
        <v>3486</v>
      </c>
      <c r="D1173" t="s">
        <v>975</v>
      </c>
      <c r="E1173" t="s">
        <v>4662</v>
      </c>
      <c r="F1173" s="23">
        <v>44877</v>
      </c>
      <c r="G1173" s="1">
        <v>10739</v>
      </c>
    </row>
    <row r="1174" spans="1:7">
      <c r="A1174" t="s">
        <v>5711</v>
      </c>
      <c r="B1174" t="s">
        <v>298</v>
      </c>
      <c r="C1174" t="s">
        <v>3221</v>
      </c>
      <c r="D1174" t="s">
        <v>3315</v>
      </c>
      <c r="E1174" t="s">
        <v>4663</v>
      </c>
      <c r="F1174" s="23">
        <v>45020</v>
      </c>
      <c r="G1174" s="1">
        <v>6572</v>
      </c>
    </row>
    <row r="1175" spans="1:7">
      <c r="A1175" t="s">
        <v>5711</v>
      </c>
      <c r="B1175" t="s">
        <v>298</v>
      </c>
      <c r="C1175" t="s">
        <v>2828</v>
      </c>
      <c r="D1175" t="s">
        <v>2827</v>
      </c>
      <c r="E1175" t="s">
        <v>4664</v>
      </c>
      <c r="F1175" s="23">
        <v>44809</v>
      </c>
      <c r="G1175" s="1">
        <v>7611</v>
      </c>
    </row>
    <row r="1176" spans="1:7">
      <c r="A1176" t="s">
        <v>5711</v>
      </c>
      <c r="B1176" t="s">
        <v>94</v>
      </c>
      <c r="D1176" t="s">
        <v>2621</v>
      </c>
      <c r="E1176" t="s">
        <v>4665</v>
      </c>
      <c r="F1176" s="23">
        <v>44636</v>
      </c>
      <c r="G1176" s="1">
        <v>5929</v>
      </c>
    </row>
    <row r="1177" spans="1:7">
      <c r="A1177" t="s">
        <v>5711</v>
      </c>
      <c r="B1177" t="s">
        <v>94</v>
      </c>
      <c r="C1177" t="s">
        <v>2630</v>
      </c>
      <c r="D1177" t="s">
        <v>2834</v>
      </c>
      <c r="E1177" t="s">
        <v>4666</v>
      </c>
      <c r="F1177" s="23">
        <v>44525</v>
      </c>
      <c r="G1177" s="1">
        <v>7197</v>
      </c>
    </row>
    <row r="1178" spans="1:7">
      <c r="A1178" t="s">
        <v>5711</v>
      </c>
      <c r="B1178" t="s">
        <v>37</v>
      </c>
      <c r="C1178" t="s">
        <v>1594</v>
      </c>
      <c r="D1178" t="s">
        <v>1593</v>
      </c>
      <c r="E1178" t="s">
        <v>4667</v>
      </c>
      <c r="F1178" s="23">
        <v>44402</v>
      </c>
      <c r="G1178" s="1">
        <v>7644</v>
      </c>
    </row>
    <row r="1179" spans="1:7">
      <c r="A1179" t="s">
        <v>5711</v>
      </c>
      <c r="B1179" t="s">
        <v>208</v>
      </c>
      <c r="C1179" t="s">
        <v>1260</v>
      </c>
      <c r="D1179" t="s">
        <v>1259</v>
      </c>
      <c r="E1179" t="s">
        <v>4668</v>
      </c>
      <c r="F1179" s="23">
        <v>44346</v>
      </c>
      <c r="G1179" s="1">
        <v>10392</v>
      </c>
    </row>
    <row r="1180" spans="1:7">
      <c r="A1180" t="s">
        <v>5711</v>
      </c>
      <c r="B1180" t="s">
        <v>311</v>
      </c>
      <c r="C1180" t="s">
        <v>3235</v>
      </c>
      <c r="D1180" t="s">
        <v>3234</v>
      </c>
      <c r="E1180" t="s">
        <v>4669</v>
      </c>
      <c r="F1180" s="23">
        <v>44346</v>
      </c>
      <c r="G1180" s="1">
        <v>7785</v>
      </c>
    </row>
    <row r="1181" spans="1:7">
      <c r="A1181" t="s">
        <v>5711</v>
      </c>
      <c r="B1181" t="s">
        <v>106</v>
      </c>
      <c r="C1181" t="s">
        <v>2921</v>
      </c>
      <c r="D1181" t="s">
        <v>2920</v>
      </c>
      <c r="E1181" t="s">
        <v>4670</v>
      </c>
      <c r="F1181" s="23">
        <v>44346</v>
      </c>
      <c r="G1181" s="1">
        <v>5008</v>
      </c>
    </row>
    <row r="1182" spans="1:7">
      <c r="A1182" t="s">
        <v>5711</v>
      </c>
      <c r="B1182" t="s">
        <v>94</v>
      </c>
      <c r="C1182" t="s">
        <v>2857</v>
      </c>
      <c r="D1182" t="s">
        <v>2856</v>
      </c>
      <c r="E1182" t="s">
        <v>4671</v>
      </c>
      <c r="F1182" s="23">
        <v>44346</v>
      </c>
      <c r="G1182" s="1">
        <v>14618</v>
      </c>
    </row>
    <row r="1183" spans="1:7">
      <c r="A1183" t="s">
        <v>5711</v>
      </c>
      <c r="B1183" t="s">
        <v>233</v>
      </c>
      <c r="C1183" t="s">
        <v>2156</v>
      </c>
      <c r="D1183" t="s">
        <v>2155</v>
      </c>
      <c r="E1183" t="s">
        <v>4672</v>
      </c>
      <c r="F1183" s="23">
        <v>44989</v>
      </c>
      <c r="G1183" s="1">
        <v>4802</v>
      </c>
    </row>
    <row r="1184" spans="1:7">
      <c r="A1184" t="s">
        <v>5711</v>
      </c>
      <c r="B1184" t="s">
        <v>375</v>
      </c>
      <c r="C1184" t="s">
        <v>789</v>
      </c>
      <c r="D1184" t="s">
        <v>788</v>
      </c>
      <c r="E1184" t="s">
        <v>4673</v>
      </c>
      <c r="F1184" s="23">
        <v>44346</v>
      </c>
      <c r="G1184" s="1">
        <v>9719</v>
      </c>
    </row>
    <row r="1185" spans="1:7">
      <c r="A1185" t="s">
        <v>5711</v>
      </c>
      <c r="B1185" t="s">
        <v>247</v>
      </c>
      <c r="C1185" t="s">
        <v>246</v>
      </c>
      <c r="D1185" t="s">
        <v>245</v>
      </c>
      <c r="E1185" t="s">
        <v>4674</v>
      </c>
      <c r="F1185" s="23">
        <v>44346</v>
      </c>
      <c r="G1185" s="1">
        <v>18765</v>
      </c>
    </row>
    <row r="1186" spans="1:7">
      <c r="A1186" t="s">
        <v>5711</v>
      </c>
      <c r="B1186" t="s">
        <v>94</v>
      </c>
      <c r="C1186" t="s">
        <v>3489</v>
      </c>
      <c r="D1186" t="s">
        <v>599</v>
      </c>
      <c r="E1186" t="s">
        <v>4675</v>
      </c>
      <c r="F1186" s="23">
        <v>44346</v>
      </c>
      <c r="G1186" s="1">
        <v>17027</v>
      </c>
    </row>
    <row r="1187" spans="1:7">
      <c r="A1187" t="s">
        <v>5711</v>
      </c>
      <c r="B1187" t="s">
        <v>94</v>
      </c>
      <c r="C1187" t="s">
        <v>2115</v>
      </c>
      <c r="D1187" t="s">
        <v>2114</v>
      </c>
      <c r="E1187" t="s">
        <v>4676</v>
      </c>
      <c r="F1187" s="23">
        <v>44827</v>
      </c>
      <c r="G1187" s="1">
        <v>7840</v>
      </c>
    </row>
    <row r="1188" spans="1:7">
      <c r="A1188" t="s">
        <v>5711</v>
      </c>
      <c r="B1188" t="s">
        <v>298</v>
      </c>
      <c r="C1188" t="s">
        <v>2184</v>
      </c>
      <c r="D1188" t="s">
        <v>2183</v>
      </c>
      <c r="E1188" t="s">
        <v>4677</v>
      </c>
      <c r="F1188" s="23">
        <v>44346</v>
      </c>
      <c r="G1188" s="1">
        <v>17029</v>
      </c>
    </row>
    <row r="1189" spans="1:7">
      <c r="A1189" t="s">
        <v>5711</v>
      </c>
      <c r="B1189" t="s">
        <v>106</v>
      </c>
      <c r="D1189" t="s">
        <v>5613</v>
      </c>
      <c r="E1189" t="s">
        <v>4678</v>
      </c>
      <c r="F1189" s="23">
        <v>45020</v>
      </c>
      <c r="G1189" s="1">
        <v>8718</v>
      </c>
    </row>
    <row r="1190" spans="1:7">
      <c r="A1190" t="s">
        <v>5711</v>
      </c>
      <c r="B1190" t="s">
        <v>94</v>
      </c>
      <c r="C1190" t="s">
        <v>2193</v>
      </c>
      <c r="D1190" t="s">
        <v>2192</v>
      </c>
      <c r="E1190" t="s">
        <v>4679</v>
      </c>
      <c r="F1190" s="23">
        <v>44549</v>
      </c>
      <c r="G1190" s="1">
        <v>3643</v>
      </c>
    </row>
    <row r="1191" spans="1:7">
      <c r="A1191" t="s">
        <v>5711</v>
      </c>
      <c r="B1191" t="s">
        <v>106</v>
      </c>
      <c r="C1191" t="s">
        <v>2789</v>
      </c>
      <c r="D1191" t="s">
        <v>2788</v>
      </c>
      <c r="E1191" t="s">
        <v>4680</v>
      </c>
      <c r="F1191" s="23">
        <v>44346</v>
      </c>
      <c r="G1191" s="1">
        <v>15311</v>
      </c>
    </row>
    <row r="1192" spans="1:7">
      <c r="A1192" t="s">
        <v>5711</v>
      </c>
      <c r="B1192" t="s">
        <v>94</v>
      </c>
      <c r="C1192" t="s">
        <v>980</v>
      </c>
      <c r="D1192" t="s">
        <v>979</v>
      </c>
      <c r="E1192" t="s">
        <v>4681</v>
      </c>
      <c r="F1192" s="23">
        <v>44346</v>
      </c>
      <c r="G1192" s="1">
        <v>1042</v>
      </c>
    </row>
    <row r="1193" spans="1:7">
      <c r="A1193" t="s">
        <v>5711</v>
      </c>
      <c r="B1193" t="s">
        <v>233</v>
      </c>
      <c r="C1193" t="s">
        <v>2797</v>
      </c>
      <c r="D1193" t="s">
        <v>2796</v>
      </c>
      <c r="E1193" t="s">
        <v>4682</v>
      </c>
      <c r="F1193" s="23">
        <v>44367</v>
      </c>
      <c r="G1193" s="1">
        <v>3039</v>
      </c>
    </row>
    <row r="1194" spans="1:7">
      <c r="A1194" t="s">
        <v>5711</v>
      </c>
      <c r="B1194" t="s">
        <v>94</v>
      </c>
      <c r="D1194" t="s">
        <v>2783</v>
      </c>
      <c r="E1194" t="s">
        <v>4683</v>
      </c>
      <c r="F1194" s="23">
        <v>44413</v>
      </c>
      <c r="G1194" s="1">
        <v>6543</v>
      </c>
    </row>
    <row r="1195" spans="1:7">
      <c r="A1195" t="s">
        <v>5711</v>
      </c>
      <c r="B1195" t="s">
        <v>94</v>
      </c>
      <c r="C1195" t="s">
        <v>3335</v>
      </c>
      <c r="D1195" t="s">
        <v>3334</v>
      </c>
      <c r="E1195" t="s">
        <v>4684</v>
      </c>
      <c r="F1195" s="23">
        <v>45056</v>
      </c>
      <c r="G1195" s="1">
        <v>6808</v>
      </c>
    </row>
    <row r="1196" spans="1:7">
      <c r="A1196" t="s">
        <v>5711</v>
      </c>
      <c r="B1196" t="s">
        <v>94</v>
      </c>
      <c r="C1196" t="s">
        <v>3265</v>
      </c>
      <c r="D1196" t="s">
        <v>1449</v>
      </c>
      <c r="E1196" t="s">
        <v>4685</v>
      </c>
      <c r="F1196" s="23">
        <v>44346</v>
      </c>
      <c r="G1196" s="1">
        <v>13878</v>
      </c>
    </row>
    <row r="1197" spans="1:7">
      <c r="A1197" t="s">
        <v>5711</v>
      </c>
      <c r="B1197" t="s">
        <v>106</v>
      </c>
      <c r="C1197" t="s">
        <v>1985</v>
      </c>
      <c r="D1197" t="s">
        <v>1984</v>
      </c>
      <c r="E1197" t="s">
        <v>4686</v>
      </c>
      <c r="F1197" s="23">
        <v>44376</v>
      </c>
      <c r="G1197" s="1">
        <v>4362</v>
      </c>
    </row>
    <row r="1198" spans="1:7">
      <c r="A1198" t="s">
        <v>5711</v>
      </c>
      <c r="B1198" t="s">
        <v>68</v>
      </c>
      <c r="C1198" t="s">
        <v>904</v>
      </c>
      <c r="D1198" t="s">
        <v>5614</v>
      </c>
      <c r="E1198" t="s">
        <v>4687</v>
      </c>
      <c r="F1198" s="23">
        <v>44346</v>
      </c>
      <c r="G1198" s="1">
        <v>15749</v>
      </c>
    </row>
    <row r="1199" spans="1:7">
      <c r="A1199" t="s">
        <v>5711</v>
      </c>
      <c r="B1199" t="s">
        <v>58</v>
      </c>
      <c r="C1199" t="s">
        <v>1810</v>
      </c>
      <c r="D1199" t="s">
        <v>5615</v>
      </c>
      <c r="E1199" t="s">
        <v>4688</v>
      </c>
      <c r="F1199" s="23">
        <v>44873</v>
      </c>
      <c r="G1199" s="1">
        <v>2350</v>
      </c>
    </row>
    <row r="1200" spans="1:7">
      <c r="A1200" t="s">
        <v>5711</v>
      </c>
      <c r="B1200" t="s">
        <v>311</v>
      </c>
      <c r="C1200" t="s">
        <v>2064</v>
      </c>
      <c r="D1200" t="s">
        <v>2063</v>
      </c>
      <c r="E1200" t="s">
        <v>4689</v>
      </c>
      <c r="F1200" s="23">
        <v>44346</v>
      </c>
      <c r="G1200" s="1">
        <v>18501</v>
      </c>
    </row>
    <row r="1201" spans="1:7">
      <c r="A1201" t="s">
        <v>5711</v>
      </c>
      <c r="B1201" t="s">
        <v>106</v>
      </c>
      <c r="C1201" t="s">
        <v>984</v>
      </c>
      <c r="D1201" t="s">
        <v>983</v>
      </c>
      <c r="E1201" t="s">
        <v>4690</v>
      </c>
      <c r="F1201" s="23">
        <v>44976</v>
      </c>
      <c r="G1201" s="1">
        <v>3686</v>
      </c>
    </row>
    <row r="1202" spans="1:7">
      <c r="A1202" t="s">
        <v>5711</v>
      </c>
      <c r="B1202" t="s">
        <v>101</v>
      </c>
      <c r="C1202" t="s">
        <v>157</v>
      </c>
      <c r="D1202" t="s">
        <v>5616</v>
      </c>
      <c r="E1202" t="s">
        <v>4691</v>
      </c>
      <c r="F1202" s="23">
        <v>44571</v>
      </c>
      <c r="G1202" s="1">
        <v>4855</v>
      </c>
    </row>
    <row r="1203" spans="1:7">
      <c r="A1203" t="s">
        <v>5711</v>
      </c>
      <c r="B1203" t="s">
        <v>233</v>
      </c>
      <c r="C1203" t="s">
        <v>506</v>
      </c>
      <c r="D1203" t="s">
        <v>505</v>
      </c>
      <c r="E1203" t="s">
        <v>4692</v>
      </c>
      <c r="F1203" s="23">
        <v>44346</v>
      </c>
      <c r="G1203" s="1">
        <v>14341</v>
      </c>
    </row>
    <row r="1204" spans="1:7">
      <c r="A1204" t="s">
        <v>5711</v>
      </c>
      <c r="B1204" t="s">
        <v>101</v>
      </c>
      <c r="C1204" t="s">
        <v>1129</v>
      </c>
      <c r="D1204" t="s">
        <v>5617</v>
      </c>
      <c r="E1204" t="s">
        <v>4693</v>
      </c>
      <c r="F1204" s="23">
        <v>44346</v>
      </c>
      <c r="G1204" s="1">
        <v>4920</v>
      </c>
    </row>
    <row r="1205" spans="1:7">
      <c r="A1205" t="s">
        <v>5711</v>
      </c>
      <c r="B1205" t="s">
        <v>43</v>
      </c>
      <c r="C1205" t="s">
        <v>1564</v>
      </c>
      <c r="D1205" t="s">
        <v>1563</v>
      </c>
      <c r="E1205" t="s">
        <v>4694</v>
      </c>
      <c r="F1205" s="23">
        <v>44346</v>
      </c>
      <c r="G1205" s="1">
        <v>14102</v>
      </c>
    </row>
    <row r="1206" spans="1:7">
      <c r="A1206" t="s">
        <v>5711</v>
      </c>
      <c r="B1206" t="s">
        <v>37</v>
      </c>
      <c r="C1206" t="s">
        <v>1790</v>
      </c>
      <c r="D1206" t="s">
        <v>1789</v>
      </c>
      <c r="E1206" t="s">
        <v>4695</v>
      </c>
      <c r="F1206" s="23">
        <v>44673</v>
      </c>
      <c r="G1206" s="1">
        <v>8932</v>
      </c>
    </row>
    <row r="1207" spans="1:7">
      <c r="A1207" t="s">
        <v>5711</v>
      </c>
      <c r="B1207" t="s">
        <v>43</v>
      </c>
      <c r="C1207" t="s">
        <v>1201</v>
      </c>
      <c r="D1207" t="s">
        <v>1200</v>
      </c>
      <c r="E1207" t="s">
        <v>4696</v>
      </c>
      <c r="F1207" s="23">
        <v>44772</v>
      </c>
      <c r="G1207" s="1">
        <v>10864</v>
      </c>
    </row>
    <row r="1208" spans="1:7">
      <c r="A1208" t="s">
        <v>5711</v>
      </c>
      <c r="B1208" t="s">
        <v>94</v>
      </c>
      <c r="C1208" t="s">
        <v>2487</v>
      </c>
      <c r="D1208" t="s">
        <v>2486</v>
      </c>
      <c r="E1208" t="s">
        <v>4697</v>
      </c>
      <c r="F1208" s="23">
        <v>44908</v>
      </c>
      <c r="G1208" s="1">
        <v>3954</v>
      </c>
    </row>
    <row r="1209" spans="1:7">
      <c r="A1209" t="s">
        <v>5711</v>
      </c>
      <c r="B1209" t="s">
        <v>174</v>
      </c>
      <c r="C1209" t="s">
        <v>488</v>
      </c>
      <c r="D1209" t="s">
        <v>487</v>
      </c>
      <c r="E1209" t="s">
        <v>4698</v>
      </c>
      <c r="F1209" s="23">
        <v>44819</v>
      </c>
      <c r="G1209" s="1">
        <v>9075</v>
      </c>
    </row>
    <row r="1210" spans="1:7">
      <c r="A1210" t="s">
        <v>5711</v>
      </c>
      <c r="B1210" t="s">
        <v>37</v>
      </c>
      <c r="C1210" t="s">
        <v>325</v>
      </c>
      <c r="D1210" t="s">
        <v>324</v>
      </c>
      <c r="E1210" t="s">
        <v>4699</v>
      </c>
      <c r="F1210" s="23">
        <v>44421</v>
      </c>
      <c r="G1210" s="1">
        <v>9007</v>
      </c>
    </row>
    <row r="1211" spans="1:7">
      <c r="A1211" t="s">
        <v>5711</v>
      </c>
      <c r="B1211" t="s">
        <v>132</v>
      </c>
      <c r="C1211" t="s">
        <v>914</v>
      </c>
      <c r="D1211" t="s">
        <v>913</v>
      </c>
      <c r="E1211" t="s">
        <v>4700</v>
      </c>
      <c r="F1211" s="23">
        <v>44346</v>
      </c>
      <c r="G1211" s="1">
        <v>16149</v>
      </c>
    </row>
    <row r="1212" spans="1:7">
      <c r="A1212" t="s">
        <v>5711</v>
      </c>
      <c r="B1212" t="s">
        <v>298</v>
      </c>
      <c r="C1212" t="s">
        <v>3445</v>
      </c>
      <c r="D1212" t="s">
        <v>3444</v>
      </c>
      <c r="E1212" t="s">
        <v>4701</v>
      </c>
      <c r="F1212" s="23">
        <v>44346</v>
      </c>
      <c r="G1212" s="1">
        <v>1294</v>
      </c>
    </row>
    <row r="1213" spans="1:7">
      <c r="A1213" t="s">
        <v>5711</v>
      </c>
      <c r="B1213" t="s">
        <v>68</v>
      </c>
      <c r="C1213" t="s">
        <v>1583</v>
      </c>
      <c r="D1213" t="s">
        <v>5618</v>
      </c>
      <c r="E1213" t="s">
        <v>4702</v>
      </c>
      <c r="F1213" s="23">
        <v>44346</v>
      </c>
      <c r="G1213" s="1">
        <v>7826</v>
      </c>
    </row>
    <row r="1214" spans="1:7">
      <c r="A1214" t="s">
        <v>5711</v>
      </c>
      <c r="B1214" t="s">
        <v>826</v>
      </c>
      <c r="C1214" t="s">
        <v>847</v>
      </c>
      <c r="D1214" t="s">
        <v>846</v>
      </c>
      <c r="E1214" t="s">
        <v>4703</v>
      </c>
      <c r="F1214" s="23">
        <v>44854</v>
      </c>
      <c r="G1214" s="1">
        <v>6875</v>
      </c>
    </row>
    <row r="1215" spans="1:7">
      <c r="A1215" t="s">
        <v>5711</v>
      </c>
      <c r="B1215" t="s">
        <v>106</v>
      </c>
      <c r="C1215" t="s">
        <v>2651</v>
      </c>
      <c r="D1215" t="s">
        <v>2650</v>
      </c>
      <c r="E1215" t="s">
        <v>4704</v>
      </c>
      <c r="F1215" s="23">
        <v>44346</v>
      </c>
      <c r="G1215" s="1">
        <v>7918</v>
      </c>
    </row>
    <row r="1216" spans="1:7">
      <c r="A1216" t="s">
        <v>5711</v>
      </c>
      <c r="B1216" t="s">
        <v>106</v>
      </c>
      <c r="C1216" t="s">
        <v>3324</v>
      </c>
      <c r="D1216" t="s">
        <v>3323</v>
      </c>
      <c r="E1216" t="s">
        <v>4705</v>
      </c>
      <c r="F1216" s="23">
        <v>44994</v>
      </c>
      <c r="G1216" s="1">
        <v>2270</v>
      </c>
    </row>
    <row r="1217" spans="1:7">
      <c r="A1217" t="s">
        <v>5711</v>
      </c>
      <c r="B1217" t="s">
        <v>97</v>
      </c>
      <c r="C1217" t="s">
        <v>1522</v>
      </c>
      <c r="D1217" t="s">
        <v>1521</v>
      </c>
      <c r="E1217" t="s">
        <v>4706</v>
      </c>
      <c r="F1217" s="23">
        <v>44346</v>
      </c>
      <c r="G1217" s="1">
        <v>17395</v>
      </c>
    </row>
    <row r="1218" spans="1:7">
      <c r="A1218" t="s">
        <v>5711</v>
      </c>
      <c r="B1218" t="s">
        <v>94</v>
      </c>
      <c r="C1218" t="s">
        <v>2718</v>
      </c>
      <c r="D1218" t="s">
        <v>2717</v>
      </c>
      <c r="E1218" t="s">
        <v>4707</v>
      </c>
      <c r="F1218" s="23">
        <v>44742</v>
      </c>
      <c r="G1218" s="1">
        <v>4321</v>
      </c>
    </row>
    <row r="1219" spans="1:7">
      <c r="A1219" t="s">
        <v>5711</v>
      </c>
      <c r="B1219" t="s">
        <v>122</v>
      </c>
      <c r="C1219" t="s">
        <v>1172</v>
      </c>
      <c r="D1219" t="s">
        <v>1171</v>
      </c>
      <c r="E1219" t="s">
        <v>4708</v>
      </c>
      <c r="F1219" s="23">
        <v>44346</v>
      </c>
      <c r="G1219" s="1">
        <v>14624</v>
      </c>
    </row>
    <row r="1220" spans="1:7">
      <c r="A1220" t="s">
        <v>5711</v>
      </c>
      <c r="B1220" t="s">
        <v>37</v>
      </c>
      <c r="C1220" t="s">
        <v>1099</v>
      </c>
      <c r="D1220" t="s">
        <v>1098</v>
      </c>
      <c r="E1220" t="s">
        <v>4709</v>
      </c>
      <c r="F1220" s="23">
        <v>44346</v>
      </c>
      <c r="G1220" s="1">
        <v>8865</v>
      </c>
    </row>
    <row r="1221" spans="1:7">
      <c r="A1221" t="s">
        <v>5711</v>
      </c>
      <c r="B1221" t="s">
        <v>94</v>
      </c>
      <c r="C1221" t="s">
        <v>3196</v>
      </c>
      <c r="D1221" t="s">
        <v>3195</v>
      </c>
      <c r="E1221" t="s">
        <v>4710</v>
      </c>
      <c r="F1221" s="23">
        <v>44827</v>
      </c>
      <c r="G1221" s="1">
        <v>7302</v>
      </c>
    </row>
    <row r="1222" spans="1:7">
      <c r="A1222" t="s">
        <v>5711</v>
      </c>
      <c r="B1222" t="s">
        <v>298</v>
      </c>
      <c r="C1222" t="s">
        <v>1964</v>
      </c>
      <c r="D1222" t="s">
        <v>2316</v>
      </c>
      <c r="E1222" t="s">
        <v>4711</v>
      </c>
      <c r="F1222" s="23">
        <v>44346</v>
      </c>
      <c r="G1222" s="1">
        <v>15898</v>
      </c>
    </row>
    <row r="1223" spans="1:7">
      <c r="A1223" t="s">
        <v>5711</v>
      </c>
      <c r="B1223" t="s">
        <v>94</v>
      </c>
      <c r="C1223" t="s">
        <v>3490</v>
      </c>
      <c r="D1223" t="s">
        <v>1131</v>
      </c>
      <c r="E1223" t="s">
        <v>4712</v>
      </c>
      <c r="F1223" s="23">
        <v>44346</v>
      </c>
      <c r="G1223" s="1">
        <v>7963</v>
      </c>
    </row>
    <row r="1224" spans="1:7">
      <c r="A1224" t="s">
        <v>5711</v>
      </c>
      <c r="B1224" t="s">
        <v>208</v>
      </c>
      <c r="C1224" t="s">
        <v>1657</v>
      </c>
      <c r="D1224" t="s">
        <v>1655</v>
      </c>
      <c r="E1224" t="s">
        <v>4713</v>
      </c>
      <c r="F1224" s="23">
        <v>44346</v>
      </c>
      <c r="G1224" s="1">
        <v>19704</v>
      </c>
    </row>
    <row r="1225" spans="1:7">
      <c r="A1225" t="s">
        <v>5711</v>
      </c>
      <c r="B1225" t="s">
        <v>236</v>
      </c>
      <c r="C1225" t="s">
        <v>1650</v>
      </c>
      <c r="D1225" t="s">
        <v>1649</v>
      </c>
      <c r="E1225" t="s">
        <v>4714</v>
      </c>
      <c r="F1225" s="23">
        <v>44346</v>
      </c>
      <c r="G1225" s="1">
        <v>6222</v>
      </c>
    </row>
    <row r="1226" spans="1:7">
      <c r="A1226" t="s">
        <v>5711</v>
      </c>
      <c r="B1226" t="s">
        <v>298</v>
      </c>
      <c r="C1226" t="s">
        <v>3201</v>
      </c>
      <c r="D1226" t="s">
        <v>3200</v>
      </c>
      <c r="E1226" t="s">
        <v>4715</v>
      </c>
      <c r="F1226" s="23">
        <v>44346</v>
      </c>
      <c r="G1226" s="1">
        <v>14337</v>
      </c>
    </row>
    <row r="1227" spans="1:7">
      <c r="A1227" t="s">
        <v>5711</v>
      </c>
      <c r="B1227" t="s">
        <v>43</v>
      </c>
      <c r="C1227" t="s">
        <v>1240</v>
      </c>
      <c r="D1227" t="s">
        <v>1239</v>
      </c>
      <c r="E1227" t="s">
        <v>4716</v>
      </c>
      <c r="F1227" s="23">
        <v>44927</v>
      </c>
      <c r="G1227" s="1">
        <v>11243</v>
      </c>
    </row>
    <row r="1228" spans="1:7">
      <c r="A1228" t="s">
        <v>5711</v>
      </c>
      <c r="B1228" t="s">
        <v>208</v>
      </c>
      <c r="C1228" t="s">
        <v>1144</v>
      </c>
      <c r="D1228" t="s">
        <v>1143</v>
      </c>
      <c r="E1228" t="s">
        <v>4717</v>
      </c>
      <c r="F1228" s="23">
        <v>44346</v>
      </c>
      <c r="G1228" s="1">
        <v>16955</v>
      </c>
    </row>
    <row r="1229" spans="1:7">
      <c r="A1229" t="s">
        <v>5711</v>
      </c>
      <c r="B1229" t="s">
        <v>298</v>
      </c>
      <c r="C1229" t="s">
        <v>974</v>
      </c>
      <c r="D1229" t="s">
        <v>3094</v>
      </c>
      <c r="E1229" t="s">
        <v>4718</v>
      </c>
      <c r="F1229" s="23">
        <v>45056</v>
      </c>
      <c r="G1229" s="1">
        <v>10761</v>
      </c>
    </row>
    <row r="1230" spans="1:7">
      <c r="A1230" t="s">
        <v>5711</v>
      </c>
      <c r="B1230" t="s">
        <v>91</v>
      </c>
      <c r="C1230" t="s">
        <v>185</v>
      </c>
      <c r="D1230" t="s">
        <v>5619</v>
      </c>
      <c r="E1230" t="s">
        <v>4719</v>
      </c>
      <c r="F1230" s="23">
        <v>44643</v>
      </c>
      <c r="G1230" s="1">
        <v>9695</v>
      </c>
    </row>
    <row r="1231" spans="1:7">
      <c r="A1231" t="s">
        <v>5711</v>
      </c>
      <c r="B1231" t="s">
        <v>819</v>
      </c>
      <c r="C1231" t="s">
        <v>818</v>
      </c>
      <c r="D1231" t="s">
        <v>817</v>
      </c>
      <c r="E1231" t="s">
        <v>4720</v>
      </c>
      <c r="F1231" s="23">
        <v>44860</v>
      </c>
      <c r="G1231" s="1">
        <v>3853</v>
      </c>
    </row>
    <row r="1232" spans="1:7">
      <c r="A1232" t="s">
        <v>5711</v>
      </c>
      <c r="B1232" t="s">
        <v>68</v>
      </c>
      <c r="C1232" t="s">
        <v>252</v>
      </c>
      <c r="D1232" t="s">
        <v>449</v>
      </c>
      <c r="E1232" t="s">
        <v>4721</v>
      </c>
      <c r="F1232" s="23">
        <v>44346</v>
      </c>
      <c r="G1232" s="1">
        <v>15635</v>
      </c>
    </row>
    <row r="1233" spans="1:7">
      <c r="A1233" t="s">
        <v>5711</v>
      </c>
      <c r="B1233" t="s">
        <v>233</v>
      </c>
      <c r="C1233" t="s">
        <v>2044</v>
      </c>
      <c r="D1233" t="s">
        <v>2043</v>
      </c>
      <c r="E1233" t="s">
        <v>4722</v>
      </c>
      <c r="F1233" s="23">
        <v>44511</v>
      </c>
      <c r="G1233" s="1">
        <v>1944</v>
      </c>
    </row>
    <row r="1234" spans="1:7">
      <c r="A1234" t="s">
        <v>5711</v>
      </c>
      <c r="B1234" t="s">
        <v>94</v>
      </c>
      <c r="C1234" t="s">
        <v>2446</v>
      </c>
      <c r="D1234" t="s">
        <v>2445</v>
      </c>
      <c r="E1234" t="s">
        <v>4723</v>
      </c>
      <c r="F1234" s="23">
        <v>44346</v>
      </c>
      <c r="G1234" s="1">
        <v>18989</v>
      </c>
    </row>
    <row r="1235" spans="1:7">
      <c r="A1235" t="s">
        <v>5711</v>
      </c>
      <c r="B1235" t="s">
        <v>298</v>
      </c>
      <c r="C1235" t="s">
        <v>2057</v>
      </c>
      <c r="D1235" t="s">
        <v>2056</v>
      </c>
      <c r="E1235" t="s">
        <v>4724</v>
      </c>
      <c r="F1235" s="23">
        <v>44967</v>
      </c>
      <c r="G1235" s="1">
        <v>5044</v>
      </c>
    </row>
    <row r="1236" spans="1:7">
      <c r="A1236" t="s">
        <v>5711</v>
      </c>
      <c r="B1236" t="s">
        <v>88</v>
      </c>
      <c r="C1236" t="s">
        <v>1627</v>
      </c>
      <c r="D1236" t="s">
        <v>5620</v>
      </c>
      <c r="E1236" t="s">
        <v>4725</v>
      </c>
      <c r="F1236" s="23">
        <v>44346</v>
      </c>
      <c r="G1236" s="1">
        <v>17885</v>
      </c>
    </row>
    <row r="1237" spans="1:7">
      <c r="A1237" t="s">
        <v>5711</v>
      </c>
      <c r="B1237" t="s">
        <v>43</v>
      </c>
      <c r="C1237" t="s">
        <v>1332</v>
      </c>
      <c r="D1237" t="s">
        <v>1331</v>
      </c>
      <c r="E1237" t="s">
        <v>4726</v>
      </c>
      <c r="F1237" s="23">
        <v>44960</v>
      </c>
      <c r="G1237" s="1">
        <v>2861</v>
      </c>
    </row>
    <row r="1238" spans="1:7">
      <c r="A1238" t="s">
        <v>5711</v>
      </c>
      <c r="B1238" t="s">
        <v>94</v>
      </c>
      <c r="D1238" t="s">
        <v>3477</v>
      </c>
      <c r="E1238" t="s">
        <v>4727</v>
      </c>
      <c r="F1238" s="23">
        <v>44346</v>
      </c>
      <c r="G1238" s="1">
        <v>13337</v>
      </c>
    </row>
    <row r="1239" spans="1:7">
      <c r="A1239" t="s">
        <v>5711</v>
      </c>
      <c r="B1239" t="s">
        <v>94</v>
      </c>
      <c r="C1239" t="s">
        <v>3489</v>
      </c>
      <c r="D1239" t="s">
        <v>656</v>
      </c>
      <c r="E1239" t="s">
        <v>4728</v>
      </c>
      <c r="F1239" s="23">
        <v>45028</v>
      </c>
      <c r="G1239" s="1">
        <v>3106</v>
      </c>
    </row>
    <row r="1240" spans="1:7">
      <c r="A1240" t="s">
        <v>5711</v>
      </c>
      <c r="B1240" t="s">
        <v>311</v>
      </c>
      <c r="C1240" t="s">
        <v>1828</v>
      </c>
      <c r="D1240" t="s">
        <v>1827</v>
      </c>
      <c r="E1240" t="s">
        <v>4729</v>
      </c>
      <c r="F1240" s="23">
        <v>44393</v>
      </c>
      <c r="G1240" s="1">
        <v>5358</v>
      </c>
    </row>
    <row r="1241" spans="1:7">
      <c r="A1241" t="s">
        <v>5711</v>
      </c>
      <c r="B1241" t="s">
        <v>46</v>
      </c>
      <c r="C1241" t="s">
        <v>363</v>
      </c>
      <c r="D1241" t="s">
        <v>362</v>
      </c>
      <c r="E1241" t="s">
        <v>4730</v>
      </c>
      <c r="F1241" s="23">
        <v>44346</v>
      </c>
      <c r="G1241" s="1">
        <v>19542</v>
      </c>
    </row>
    <row r="1242" spans="1:7">
      <c r="A1242" t="s">
        <v>5711</v>
      </c>
      <c r="B1242" t="s">
        <v>149</v>
      </c>
      <c r="C1242" t="s">
        <v>1031</v>
      </c>
      <c r="D1242" t="s">
        <v>1030</v>
      </c>
      <c r="E1242" t="s">
        <v>4731</v>
      </c>
      <c r="F1242" s="23">
        <v>44798</v>
      </c>
      <c r="G1242" s="1">
        <v>1312</v>
      </c>
    </row>
    <row r="1243" spans="1:7">
      <c r="A1243" t="s">
        <v>5711</v>
      </c>
      <c r="B1243" t="s">
        <v>106</v>
      </c>
      <c r="C1243" t="s">
        <v>2874</v>
      </c>
      <c r="D1243" t="s">
        <v>2873</v>
      </c>
      <c r="E1243" t="s">
        <v>4732</v>
      </c>
      <c r="F1243" s="23">
        <v>44678</v>
      </c>
      <c r="G1243" s="1">
        <v>9256</v>
      </c>
    </row>
    <row r="1244" spans="1:7">
      <c r="A1244" t="s">
        <v>5711</v>
      </c>
      <c r="B1244" t="s">
        <v>106</v>
      </c>
      <c r="C1244" t="s">
        <v>2387</v>
      </c>
      <c r="D1244" t="s">
        <v>2386</v>
      </c>
      <c r="E1244" t="s">
        <v>4733</v>
      </c>
      <c r="F1244" s="23">
        <v>44346</v>
      </c>
      <c r="G1244" s="1">
        <v>15964</v>
      </c>
    </row>
    <row r="1245" spans="1:7">
      <c r="A1245" t="s">
        <v>5711</v>
      </c>
      <c r="B1245" t="s">
        <v>43</v>
      </c>
      <c r="C1245" t="s">
        <v>62</v>
      </c>
      <c r="D1245" t="s">
        <v>5621</v>
      </c>
      <c r="E1245" t="s">
        <v>4734</v>
      </c>
      <c r="F1245" s="23">
        <v>44953</v>
      </c>
      <c r="G1245" s="1">
        <v>3921</v>
      </c>
    </row>
    <row r="1246" spans="1:7">
      <c r="A1246" t="s">
        <v>5711</v>
      </c>
      <c r="B1246" t="s">
        <v>219</v>
      </c>
      <c r="C1246" t="s">
        <v>1087</v>
      </c>
      <c r="D1246" t="s">
        <v>1086</v>
      </c>
      <c r="E1246" t="s">
        <v>4735</v>
      </c>
      <c r="F1246" s="23">
        <v>44346</v>
      </c>
      <c r="G1246" s="1">
        <v>16144</v>
      </c>
    </row>
    <row r="1247" spans="1:7">
      <c r="A1247" t="s">
        <v>5711</v>
      </c>
      <c r="B1247" t="s">
        <v>91</v>
      </c>
      <c r="C1247" t="s">
        <v>1625</v>
      </c>
      <c r="D1247" t="s">
        <v>5622</v>
      </c>
      <c r="E1247" t="s">
        <v>4736</v>
      </c>
      <c r="F1247" s="23">
        <v>44346</v>
      </c>
      <c r="G1247" s="1">
        <v>13262</v>
      </c>
    </row>
    <row r="1248" spans="1:7">
      <c r="A1248" t="s">
        <v>5711</v>
      </c>
      <c r="B1248" t="s">
        <v>94</v>
      </c>
      <c r="C1248" t="s">
        <v>3212</v>
      </c>
      <c r="D1248" t="s">
        <v>3211</v>
      </c>
      <c r="E1248" t="s">
        <v>4737</v>
      </c>
      <c r="F1248" s="23">
        <v>44996</v>
      </c>
      <c r="G1248" s="1">
        <v>10718</v>
      </c>
    </row>
    <row r="1249" spans="1:7">
      <c r="A1249" t="s">
        <v>5711</v>
      </c>
      <c r="B1249" t="s">
        <v>1154</v>
      </c>
      <c r="C1249" t="s">
        <v>1153</v>
      </c>
      <c r="D1249" t="s">
        <v>1152</v>
      </c>
      <c r="E1249" t="s">
        <v>4738</v>
      </c>
      <c r="F1249" s="23">
        <v>44819</v>
      </c>
      <c r="G1249" s="1">
        <v>10580</v>
      </c>
    </row>
    <row r="1250" spans="1:7">
      <c r="A1250" t="s">
        <v>5711</v>
      </c>
      <c r="B1250" t="s">
        <v>94</v>
      </c>
      <c r="D1250" t="s">
        <v>5623</v>
      </c>
      <c r="E1250" t="s">
        <v>4739</v>
      </c>
      <c r="F1250" s="23">
        <v>44346</v>
      </c>
      <c r="G1250" s="1">
        <v>17358</v>
      </c>
    </row>
    <row r="1251" spans="1:7">
      <c r="A1251" t="s">
        <v>5711</v>
      </c>
      <c r="B1251" t="s">
        <v>298</v>
      </c>
      <c r="C1251" t="s">
        <v>3175</v>
      </c>
      <c r="D1251" t="s">
        <v>3174</v>
      </c>
      <c r="E1251" t="s">
        <v>4740</v>
      </c>
      <c r="F1251" s="23">
        <v>44691</v>
      </c>
      <c r="G1251" s="1">
        <v>3056</v>
      </c>
    </row>
    <row r="1252" spans="1:7">
      <c r="A1252" t="s">
        <v>5711</v>
      </c>
      <c r="B1252" t="s">
        <v>1223</v>
      </c>
      <c r="C1252" t="s">
        <v>201</v>
      </c>
      <c r="D1252" t="s">
        <v>2882</v>
      </c>
      <c r="E1252" t="s">
        <v>4741</v>
      </c>
      <c r="F1252" s="23">
        <v>44346</v>
      </c>
      <c r="G1252" s="1">
        <v>17875</v>
      </c>
    </row>
    <row r="1253" spans="1:7">
      <c r="A1253" t="s">
        <v>5711</v>
      </c>
      <c r="B1253" t="s">
        <v>94</v>
      </c>
      <c r="C1253" t="s">
        <v>3488</v>
      </c>
      <c r="D1253" t="s">
        <v>500</v>
      </c>
      <c r="E1253" t="s">
        <v>4742</v>
      </c>
      <c r="F1253" s="23">
        <v>44346</v>
      </c>
      <c r="G1253" s="1">
        <v>17819</v>
      </c>
    </row>
    <row r="1254" spans="1:7">
      <c r="A1254" t="s">
        <v>5711</v>
      </c>
      <c r="B1254" t="s">
        <v>208</v>
      </c>
      <c r="C1254" t="s">
        <v>1795</v>
      </c>
      <c r="D1254" t="s">
        <v>1794</v>
      </c>
      <c r="E1254" t="s">
        <v>4743</v>
      </c>
      <c r="F1254" s="23">
        <v>44346</v>
      </c>
      <c r="G1254" s="1">
        <v>6043</v>
      </c>
    </row>
    <row r="1255" spans="1:7">
      <c r="A1255" t="s">
        <v>5711</v>
      </c>
      <c r="B1255" t="s">
        <v>1223</v>
      </c>
      <c r="D1255" t="s">
        <v>2201</v>
      </c>
      <c r="E1255" t="s">
        <v>4744</v>
      </c>
      <c r="F1255" s="23">
        <v>44346</v>
      </c>
      <c r="G1255" s="1">
        <v>13864</v>
      </c>
    </row>
    <row r="1256" spans="1:7">
      <c r="A1256" t="s">
        <v>5711</v>
      </c>
      <c r="B1256" t="s">
        <v>208</v>
      </c>
      <c r="C1256" t="s">
        <v>429</v>
      </c>
      <c r="D1256" t="s">
        <v>428</v>
      </c>
      <c r="E1256" t="s">
        <v>4745</v>
      </c>
      <c r="F1256" s="23">
        <v>44346</v>
      </c>
      <c r="G1256" s="1">
        <v>17044</v>
      </c>
    </row>
    <row r="1257" spans="1:7">
      <c r="A1257" t="s">
        <v>5711</v>
      </c>
      <c r="B1257" t="s">
        <v>233</v>
      </c>
      <c r="D1257" t="s">
        <v>2444</v>
      </c>
      <c r="E1257" t="s">
        <v>4746</v>
      </c>
      <c r="F1257" s="23">
        <v>44417</v>
      </c>
      <c r="G1257" s="1">
        <v>1158</v>
      </c>
    </row>
    <row r="1258" spans="1:7">
      <c r="A1258" t="s">
        <v>5711</v>
      </c>
      <c r="B1258" t="s">
        <v>94</v>
      </c>
      <c r="C1258" t="s">
        <v>3486</v>
      </c>
      <c r="D1258" t="s">
        <v>1700</v>
      </c>
      <c r="E1258" t="s">
        <v>4747</v>
      </c>
      <c r="F1258" s="23">
        <v>44925</v>
      </c>
      <c r="G1258" s="1">
        <v>4439</v>
      </c>
    </row>
    <row r="1259" spans="1:7">
      <c r="A1259" t="s">
        <v>5711</v>
      </c>
      <c r="B1259" t="s">
        <v>106</v>
      </c>
      <c r="C1259" t="s">
        <v>1044</v>
      </c>
      <c r="D1259" t="s">
        <v>1043</v>
      </c>
      <c r="E1259" t="s">
        <v>4748</v>
      </c>
      <c r="F1259" s="23">
        <v>44346</v>
      </c>
      <c r="G1259" s="1">
        <v>5537</v>
      </c>
    </row>
    <row r="1260" spans="1:7">
      <c r="A1260" t="s">
        <v>5711</v>
      </c>
      <c r="B1260" t="s">
        <v>43</v>
      </c>
      <c r="C1260" t="s">
        <v>1231</v>
      </c>
      <c r="D1260" t="s">
        <v>1230</v>
      </c>
      <c r="E1260" t="s">
        <v>4749</v>
      </c>
      <c r="F1260" s="23">
        <v>44785</v>
      </c>
      <c r="G1260" s="1">
        <v>7967</v>
      </c>
    </row>
    <row r="1261" spans="1:7">
      <c r="A1261" t="s">
        <v>5711</v>
      </c>
      <c r="B1261" t="s">
        <v>311</v>
      </c>
      <c r="C1261" t="s">
        <v>3122</v>
      </c>
      <c r="D1261" t="s">
        <v>3121</v>
      </c>
      <c r="E1261" t="s">
        <v>4750</v>
      </c>
      <c r="F1261" s="23">
        <v>44900</v>
      </c>
      <c r="G1261" s="1">
        <v>3167</v>
      </c>
    </row>
    <row r="1262" spans="1:7">
      <c r="A1262" t="s">
        <v>5711</v>
      </c>
      <c r="B1262" t="s">
        <v>94</v>
      </c>
      <c r="C1262" t="s">
        <v>1013</v>
      </c>
      <c r="D1262" t="s">
        <v>1012</v>
      </c>
      <c r="E1262" t="s">
        <v>4751</v>
      </c>
      <c r="F1262" s="23">
        <v>45048</v>
      </c>
      <c r="G1262" s="1">
        <v>10272</v>
      </c>
    </row>
    <row r="1263" spans="1:7">
      <c r="A1263" t="s">
        <v>5711</v>
      </c>
      <c r="B1263" t="s">
        <v>101</v>
      </c>
      <c r="C1263" t="s">
        <v>1061</v>
      </c>
      <c r="D1263" t="s">
        <v>1060</v>
      </c>
      <c r="E1263" t="s">
        <v>4752</v>
      </c>
      <c r="F1263" s="23">
        <v>44606</v>
      </c>
      <c r="G1263" s="1">
        <v>4357</v>
      </c>
    </row>
    <row r="1264" spans="1:7">
      <c r="A1264" t="s">
        <v>5711</v>
      </c>
      <c r="B1264" t="s">
        <v>208</v>
      </c>
      <c r="C1264" t="s">
        <v>271</v>
      </c>
      <c r="D1264" t="s">
        <v>270</v>
      </c>
      <c r="E1264" t="s">
        <v>4753</v>
      </c>
      <c r="F1264" s="23">
        <v>44946</v>
      </c>
      <c r="G1264" s="1">
        <v>2165</v>
      </c>
    </row>
    <row r="1265" spans="1:7">
      <c r="A1265" t="s">
        <v>5711</v>
      </c>
      <c r="B1265" t="s">
        <v>311</v>
      </c>
      <c r="C1265" t="s">
        <v>999</v>
      </c>
      <c r="D1265" t="s">
        <v>998</v>
      </c>
      <c r="E1265" t="s">
        <v>4754</v>
      </c>
      <c r="F1265" s="23">
        <v>44346</v>
      </c>
      <c r="G1265" s="1">
        <v>19834</v>
      </c>
    </row>
    <row r="1266" spans="1:7">
      <c r="A1266" t="s">
        <v>5711</v>
      </c>
      <c r="B1266" t="s">
        <v>106</v>
      </c>
      <c r="C1266" t="s">
        <v>2791</v>
      </c>
      <c r="D1266" t="s">
        <v>2790</v>
      </c>
      <c r="E1266" t="s">
        <v>4755</v>
      </c>
      <c r="F1266" s="23">
        <v>44346</v>
      </c>
      <c r="G1266" s="1">
        <v>19501</v>
      </c>
    </row>
    <row r="1267" spans="1:7">
      <c r="A1267" t="s">
        <v>5711</v>
      </c>
      <c r="B1267" t="s">
        <v>311</v>
      </c>
      <c r="C1267" t="s">
        <v>3429</v>
      </c>
      <c r="D1267" t="s">
        <v>3428</v>
      </c>
      <c r="E1267" t="s">
        <v>4756</v>
      </c>
      <c r="F1267" s="23">
        <v>44346</v>
      </c>
      <c r="G1267" s="1">
        <v>10730</v>
      </c>
    </row>
    <row r="1268" spans="1:7">
      <c r="A1268" t="s">
        <v>5711</v>
      </c>
      <c r="B1268" t="s">
        <v>311</v>
      </c>
      <c r="C1268" t="s">
        <v>3090</v>
      </c>
      <c r="D1268" t="s">
        <v>3089</v>
      </c>
      <c r="E1268" t="s">
        <v>4757</v>
      </c>
      <c r="F1268" s="23">
        <v>44346</v>
      </c>
      <c r="G1268" s="1">
        <v>978</v>
      </c>
    </row>
    <row r="1269" spans="1:7">
      <c r="A1269" t="s">
        <v>5711</v>
      </c>
      <c r="B1269" t="s">
        <v>106</v>
      </c>
      <c r="C1269" t="s">
        <v>614</v>
      </c>
      <c r="D1269" t="s">
        <v>613</v>
      </c>
      <c r="E1269" t="s">
        <v>4758</v>
      </c>
      <c r="F1269" s="23">
        <v>44557</v>
      </c>
      <c r="G1269" s="1">
        <v>10996</v>
      </c>
    </row>
    <row r="1270" spans="1:7">
      <c r="A1270" t="s">
        <v>5711</v>
      </c>
      <c r="B1270" t="s">
        <v>106</v>
      </c>
      <c r="C1270" t="s">
        <v>1617</v>
      </c>
      <c r="D1270" t="s">
        <v>1616</v>
      </c>
      <c r="E1270" t="s">
        <v>4759</v>
      </c>
      <c r="F1270" s="23">
        <v>44346</v>
      </c>
      <c r="G1270" s="1">
        <v>17188</v>
      </c>
    </row>
    <row r="1271" spans="1:7">
      <c r="A1271" t="s">
        <v>5711</v>
      </c>
      <c r="B1271" t="s">
        <v>94</v>
      </c>
      <c r="D1271" t="s">
        <v>2367</v>
      </c>
      <c r="E1271" t="s">
        <v>4760</v>
      </c>
      <c r="F1271" s="23">
        <v>44346</v>
      </c>
      <c r="G1271" s="1">
        <v>552</v>
      </c>
    </row>
    <row r="1272" spans="1:7">
      <c r="A1272" t="s">
        <v>5711</v>
      </c>
      <c r="B1272" t="s">
        <v>97</v>
      </c>
      <c r="C1272" t="s">
        <v>527</v>
      </c>
      <c r="D1272" t="s">
        <v>5624</v>
      </c>
      <c r="E1272" t="s">
        <v>4761</v>
      </c>
      <c r="F1272" s="23">
        <v>44346</v>
      </c>
      <c r="G1272" s="1">
        <v>3867</v>
      </c>
    </row>
    <row r="1273" spans="1:7">
      <c r="A1273" t="s">
        <v>5711</v>
      </c>
      <c r="B1273" t="s">
        <v>101</v>
      </c>
      <c r="C1273" t="s">
        <v>1203</v>
      </c>
      <c r="D1273" t="s">
        <v>1202</v>
      </c>
      <c r="E1273" t="s">
        <v>4762</v>
      </c>
      <c r="F1273" s="23">
        <v>44432</v>
      </c>
      <c r="G1273" s="1">
        <v>11453</v>
      </c>
    </row>
    <row r="1274" spans="1:7">
      <c r="A1274" t="s">
        <v>5711</v>
      </c>
      <c r="B1274" t="s">
        <v>43</v>
      </c>
      <c r="C1274" t="s">
        <v>1266</v>
      </c>
      <c r="D1274" t="s">
        <v>1265</v>
      </c>
      <c r="E1274" t="s">
        <v>4763</v>
      </c>
      <c r="F1274" s="23">
        <v>44808</v>
      </c>
      <c r="G1274" s="1">
        <v>4077</v>
      </c>
    </row>
    <row r="1275" spans="1:7">
      <c r="A1275" t="s">
        <v>5711</v>
      </c>
      <c r="B1275" t="s">
        <v>94</v>
      </c>
      <c r="C1275" t="s">
        <v>2597</v>
      </c>
      <c r="D1275" t="s">
        <v>2596</v>
      </c>
      <c r="E1275" t="s">
        <v>4764</v>
      </c>
      <c r="F1275" s="23">
        <v>44346</v>
      </c>
      <c r="G1275" s="1">
        <v>1033</v>
      </c>
    </row>
    <row r="1276" spans="1:7">
      <c r="A1276" t="s">
        <v>5711</v>
      </c>
      <c r="B1276" t="s">
        <v>106</v>
      </c>
      <c r="C1276" t="s">
        <v>2054</v>
      </c>
      <c r="D1276" t="s">
        <v>2053</v>
      </c>
      <c r="E1276" t="s">
        <v>4765</v>
      </c>
      <c r="F1276" s="23">
        <v>44346</v>
      </c>
      <c r="G1276" s="1">
        <v>6376</v>
      </c>
    </row>
    <row r="1277" spans="1:7">
      <c r="A1277" t="s">
        <v>5711</v>
      </c>
      <c r="B1277" t="s">
        <v>94</v>
      </c>
      <c r="C1277" t="s">
        <v>3231</v>
      </c>
      <c r="D1277" t="s">
        <v>5625</v>
      </c>
      <c r="E1277" t="s">
        <v>4766</v>
      </c>
      <c r="F1277" s="23">
        <v>44346</v>
      </c>
      <c r="G1277" s="1">
        <v>14781</v>
      </c>
    </row>
    <row r="1278" spans="1:7">
      <c r="A1278" t="s">
        <v>5711</v>
      </c>
      <c r="B1278" t="s">
        <v>122</v>
      </c>
      <c r="C1278" t="s">
        <v>821</v>
      </c>
      <c r="D1278" t="s">
        <v>5626</v>
      </c>
      <c r="E1278" t="s">
        <v>4767</v>
      </c>
      <c r="F1278" s="23">
        <v>44346</v>
      </c>
      <c r="G1278" s="1">
        <v>12613</v>
      </c>
    </row>
    <row r="1279" spans="1:7">
      <c r="A1279" t="s">
        <v>5711</v>
      </c>
      <c r="B1279" t="s">
        <v>75</v>
      </c>
      <c r="C1279" t="s">
        <v>691</v>
      </c>
      <c r="D1279" t="s">
        <v>690</v>
      </c>
      <c r="E1279" t="s">
        <v>4768</v>
      </c>
      <c r="F1279" s="23">
        <v>44346</v>
      </c>
      <c r="G1279" s="1">
        <v>9361</v>
      </c>
    </row>
    <row r="1280" spans="1:7">
      <c r="A1280" t="s">
        <v>5711</v>
      </c>
      <c r="B1280" t="s">
        <v>106</v>
      </c>
      <c r="C1280" t="s">
        <v>2767</v>
      </c>
      <c r="D1280" t="s">
        <v>2766</v>
      </c>
      <c r="E1280" t="s">
        <v>4769</v>
      </c>
      <c r="F1280" s="23">
        <v>44346</v>
      </c>
      <c r="G1280" s="1">
        <v>19448</v>
      </c>
    </row>
    <row r="1281" spans="1:7">
      <c r="A1281" t="s">
        <v>5711</v>
      </c>
      <c r="B1281" t="s">
        <v>43</v>
      </c>
      <c r="C1281" t="s">
        <v>739</v>
      </c>
      <c r="D1281" t="s">
        <v>738</v>
      </c>
      <c r="E1281" t="s">
        <v>4770</v>
      </c>
      <c r="F1281" s="23">
        <v>44346</v>
      </c>
      <c r="G1281" s="1">
        <v>6086</v>
      </c>
    </row>
    <row r="1282" spans="1:7">
      <c r="A1282" t="s">
        <v>5711</v>
      </c>
      <c r="B1282" t="s">
        <v>106</v>
      </c>
      <c r="C1282" t="s">
        <v>1991</v>
      </c>
      <c r="D1282" t="s">
        <v>1990</v>
      </c>
      <c r="E1282" t="s">
        <v>4771</v>
      </c>
      <c r="F1282" s="23">
        <v>44636</v>
      </c>
      <c r="G1282" s="1">
        <v>1515</v>
      </c>
    </row>
    <row r="1283" spans="1:7">
      <c r="A1283" t="s">
        <v>5711</v>
      </c>
      <c r="B1283" t="s">
        <v>94</v>
      </c>
      <c r="C1283" t="s">
        <v>2466</v>
      </c>
      <c r="D1283" t="s">
        <v>5627</v>
      </c>
      <c r="E1283" t="s">
        <v>4772</v>
      </c>
      <c r="F1283" s="23">
        <v>45032</v>
      </c>
      <c r="G1283" s="1">
        <v>3110</v>
      </c>
    </row>
    <row r="1284" spans="1:7">
      <c r="A1284" t="s">
        <v>5711</v>
      </c>
      <c r="B1284" t="s">
        <v>233</v>
      </c>
      <c r="C1284" t="s">
        <v>2637</v>
      </c>
      <c r="D1284" t="s">
        <v>2636</v>
      </c>
      <c r="E1284" t="s">
        <v>4773</v>
      </c>
      <c r="F1284" s="23">
        <v>44507</v>
      </c>
      <c r="G1284" s="1">
        <v>5209</v>
      </c>
    </row>
    <row r="1285" spans="1:7">
      <c r="A1285" t="s">
        <v>5711</v>
      </c>
      <c r="B1285" t="s">
        <v>106</v>
      </c>
      <c r="C1285" t="s">
        <v>3233</v>
      </c>
      <c r="D1285" t="s">
        <v>3232</v>
      </c>
      <c r="E1285" t="s">
        <v>4774</v>
      </c>
      <c r="F1285" s="23">
        <v>44346</v>
      </c>
      <c r="G1285" s="1">
        <v>11168</v>
      </c>
    </row>
    <row r="1286" spans="1:7">
      <c r="A1286" t="s">
        <v>5711</v>
      </c>
      <c r="B1286" t="s">
        <v>311</v>
      </c>
      <c r="C1286" t="s">
        <v>1819</v>
      </c>
      <c r="D1286" t="s">
        <v>1818</v>
      </c>
      <c r="E1286" t="s">
        <v>4775</v>
      </c>
      <c r="F1286" s="23">
        <v>44728</v>
      </c>
      <c r="G1286" s="1">
        <v>10549</v>
      </c>
    </row>
    <row r="1287" spans="1:7">
      <c r="A1287" t="s">
        <v>5711</v>
      </c>
      <c r="B1287" t="s">
        <v>94</v>
      </c>
      <c r="C1287" t="s">
        <v>3487</v>
      </c>
      <c r="D1287" t="s">
        <v>1501</v>
      </c>
      <c r="E1287" t="s">
        <v>4776</v>
      </c>
      <c r="F1287" s="23">
        <v>44745</v>
      </c>
      <c r="G1287" s="1">
        <v>2795</v>
      </c>
    </row>
    <row r="1288" spans="1:7">
      <c r="A1288" t="s">
        <v>5711</v>
      </c>
      <c r="B1288" t="s">
        <v>37</v>
      </c>
      <c r="C1288" t="s">
        <v>538</v>
      </c>
      <c r="D1288" t="s">
        <v>537</v>
      </c>
      <c r="E1288" t="s">
        <v>4777</v>
      </c>
      <c r="F1288" s="23">
        <v>45028</v>
      </c>
      <c r="G1288" s="1">
        <v>5724</v>
      </c>
    </row>
    <row r="1289" spans="1:7">
      <c r="A1289" t="s">
        <v>5711</v>
      </c>
      <c r="B1289" t="s">
        <v>106</v>
      </c>
      <c r="C1289" t="s">
        <v>829</v>
      </c>
      <c r="D1289" t="s">
        <v>3049</v>
      </c>
      <c r="E1289" t="s">
        <v>4778</v>
      </c>
      <c r="F1289" s="23">
        <v>44346</v>
      </c>
      <c r="G1289" s="1">
        <v>11962</v>
      </c>
    </row>
    <row r="1290" spans="1:7">
      <c r="A1290" t="s">
        <v>5711</v>
      </c>
      <c r="B1290" t="s">
        <v>94</v>
      </c>
      <c r="C1290" t="s">
        <v>3486</v>
      </c>
      <c r="D1290" t="s">
        <v>543</v>
      </c>
      <c r="E1290" t="s">
        <v>4779</v>
      </c>
      <c r="F1290" s="23">
        <v>44355</v>
      </c>
      <c r="G1290" s="1">
        <v>4385</v>
      </c>
    </row>
    <row r="1291" spans="1:7">
      <c r="A1291" t="s">
        <v>5711</v>
      </c>
      <c r="B1291" t="s">
        <v>101</v>
      </c>
      <c r="C1291" t="s">
        <v>717</v>
      </c>
      <c r="D1291" t="s">
        <v>716</v>
      </c>
      <c r="E1291" t="s">
        <v>4780</v>
      </c>
      <c r="F1291" s="23">
        <v>44821</v>
      </c>
      <c r="G1291" s="1">
        <v>7482</v>
      </c>
    </row>
    <row r="1292" spans="1:7">
      <c r="A1292" t="s">
        <v>5711</v>
      </c>
      <c r="B1292" t="s">
        <v>75</v>
      </c>
      <c r="C1292" t="s">
        <v>693</v>
      </c>
      <c r="D1292" t="s">
        <v>692</v>
      </c>
      <c r="E1292" t="s">
        <v>4781</v>
      </c>
      <c r="F1292" s="23">
        <v>44694</v>
      </c>
      <c r="G1292" s="1">
        <v>10377</v>
      </c>
    </row>
    <row r="1293" spans="1:7">
      <c r="A1293" t="s">
        <v>5711</v>
      </c>
      <c r="B1293" t="s">
        <v>94</v>
      </c>
      <c r="C1293" t="s">
        <v>3011</v>
      </c>
      <c r="D1293" t="s">
        <v>3010</v>
      </c>
      <c r="E1293" t="s">
        <v>4782</v>
      </c>
      <c r="F1293" s="23">
        <v>44346</v>
      </c>
      <c r="G1293" s="1">
        <v>18294</v>
      </c>
    </row>
    <row r="1294" spans="1:7">
      <c r="A1294" t="s">
        <v>5711</v>
      </c>
      <c r="B1294" t="s">
        <v>94</v>
      </c>
      <c r="C1294" t="s">
        <v>3330</v>
      </c>
      <c r="D1294" t="s">
        <v>5628</v>
      </c>
      <c r="E1294" t="s">
        <v>4783</v>
      </c>
      <c r="F1294" s="23">
        <v>44346</v>
      </c>
      <c r="G1294" s="1">
        <v>14726</v>
      </c>
    </row>
    <row r="1295" spans="1:7">
      <c r="A1295" t="s">
        <v>5711</v>
      </c>
      <c r="B1295" t="s">
        <v>68</v>
      </c>
      <c r="C1295" t="s">
        <v>407</v>
      </c>
      <c r="D1295" t="s">
        <v>406</v>
      </c>
      <c r="E1295" t="s">
        <v>4784</v>
      </c>
      <c r="F1295" s="23">
        <v>44504</v>
      </c>
      <c r="G1295" s="1">
        <v>11546</v>
      </c>
    </row>
    <row r="1296" spans="1:7">
      <c r="A1296" t="s">
        <v>5711</v>
      </c>
      <c r="B1296" t="s">
        <v>94</v>
      </c>
      <c r="C1296" t="s">
        <v>1903</v>
      </c>
      <c r="D1296" t="s">
        <v>3348</v>
      </c>
      <c r="E1296" t="s">
        <v>4785</v>
      </c>
      <c r="F1296" s="23">
        <v>44346</v>
      </c>
      <c r="G1296" s="1">
        <v>15128</v>
      </c>
    </row>
    <row r="1297" spans="1:7">
      <c r="A1297" t="s">
        <v>5711</v>
      </c>
      <c r="B1297" t="s">
        <v>94</v>
      </c>
      <c r="C1297" t="s">
        <v>1013</v>
      </c>
      <c r="D1297" t="s">
        <v>2534</v>
      </c>
      <c r="E1297" t="s">
        <v>4786</v>
      </c>
      <c r="F1297" s="23">
        <v>44356</v>
      </c>
      <c r="G1297" s="1">
        <v>4854</v>
      </c>
    </row>
    <row r="1298" spans="1:7">
      <c r="A1298" t="s">
        <v>5711</v>
      </c>
      <c r="B1298" t="s">
        <v>106</v>
      </c>
      <c r="C1298" t="s">
        <v>2989</v>
      </c>
      <c r="D1298" t="s">
        <v>2988</v>
      </c>
      <c r="E1298" t="s">
        <v>4787</v>
      </c>
      <c r="F1298" s="23">
        <v>44346</v>
      </c>
      <c r="G1298" s="1">
        <v>14529</v>
      </c>
    </row>
    <row r="1299" spans="1:7">
      <c r="A1299" t="s">
        <v>5711</v>
      </c>
      <c r="B1299" t="s">
        <v>106</v>
      </c>
      <c r="C1299" t="s">
        <v>3218</v>
      </c>
      <c r="D1299" t="s">
        <v>3217</v>
      </c>
      <c r="E1299" t="s">
        <v>4788</v>
      </c>
      <c r="F1299" s="23">
        <v>44346</v>
      </c>
      <c r="G1299" s="1">
        <v>17662</v>
      </c>
    </row>
    <row r="1300" spans="1:7">
      <c r="A1300" t="s">
        <v>5711</v>
      </c>
      <c r="B1300" t="s">
        <v>480</v>
      </c>
      <c r="C1300" t="s">
        <v>1520</v>
      </c>
      <c r="D1300" t="s">
        <v>1519</v>
      </c>
      <c r="E1300" t="s">
        <v>4789</v>
      </c>
      <c r="F1300" s="23">
        <v>44346</v>
      </c>
      <c r="G1300" s="1">
        <v>6748</v>
      </c>
    </row>
    <row r="1301" spans="1:7">
      <c r="A1301" t="s">
        <v>5711</v>
      </c>
      <c r="B1301" t="s">
        <v>72</v>
      </c>
      <c r="C1301" t="s">
        <v>520</v>
      </c>
      <c r="D1301" t="s">
        <v>519</v>
      </c>
      <c r="E1301" t="s">
        <v>4790</v>
      </c>
      <c r="F1301" s="23">
        <v>44346</v>
      </c>
      <c r="G1301" s="1">
        <v>17482</v>
      </c>
    </row>
    <row r="1302" spans="1:7">
      <c r="A1302" t="s">
        <v>5711</v>
      </c>
      <c r="B1302" t="s">
        <v>91</v>
      </c>
      <c r="C1302" t="s">
        <v>90</v>
      </c>
      <c r="D1302" t="s">
        <v>89</v>
      </c>
      <c r="E1302" t="s">
        <v>4791</v>
      </c>
      <c r="F1302" s="23">
        <v>44346</v>
      </c>
      <c r="G1302" s="1">
        <v>12601</v>
      </c>
    </row>
    <row r="1303" spans="1:7">
      <c r="A1303" t="s">
        <v>5711</v>
      </c>
      <c r="B1303" t="s">
        <v>43</v>
      </c>
      <c r="C1303" t="s">
        <v>1310</v>
      </c>
      <c r="D1303" t="s">
        <v>1426</v>
      </c>
      <c r="E1303" t="s">
        <v>4792</v>
      </c>
      <c r="F1303" s="23">
        <v>44346</v>
      </c>
      <c r="G1303" s="1">
        <v>16728</v>
      </c>
    </row>
    <row r="1304" spans="1:7">
      <c r="A1304" t="s">
        <v>5711</v>
      </c>
      <c r="B1304" t="s">
        <v>367</v>
      </c>
      <c r="C1304" t="s">
        <v>705</v>
      </c>
      <c r="D1304" t="s">
        <v>704</v>
      </c>
      <c r="E1304" t="s">
        <v>4793</v>
      </c>
      <c r="F1304" s="23">
        <v>44346</v>
      </c>
      <c r="G1304" s="1">
        <v>19385</v>
      </c>
    </row>
    <row r="1305" spans="1:7">
      <c r="A1305" t="s">
        <v>5711</v>
      </c>
      <c r="B1305" t="s">
        <v>497</v>
      </c>
      <c r="C1305" t="s">
        <v>496</v>
      </c>
      <c r="D1305" t="s">
        <v>495</v>
      </c>
      <c r="E1305" t="s">
        <v>4794</v>
      </c>
      <c r="F1305" s="23">
        <v>44346</v>
      </c>
      <c r="G1305" s="1">
        <v>4865</v>
      </c>
    </row>
    <row r="1306" spans="1:7">
      <c r="A1306" t="s">
        <v>5711</v>
      </c>
      <c r="B1306" t="s">
        <v>94</v>
      </c>
      <c r="C1306" t="s">
        <v>3486</v>
      </c>
      <c r="D1306" t="s">
        <v>1836</v>
      </c>
      <c r="E1306" t="s">
        <v>4795</v>
      </c>
      <c r="F1306" s="23">
        <v>44634</v>
      </c>
      <c r="G1306" s="1">
        <v>9756</v>
      </c>
    </row>
    <row r="1307" spans="1:7">
      <c r="A1307" t="s">
        <v>5711</v>
      </c>
      <c r="B1307" t="s">
        <v>94</v>
      </c>
      <c r="C1307" t="s">
        <v>3486</v>
      </c>
      <c r="D1307" t="s">
        <v>1365</v>
      </c>
      <c r="E1307" t="s">
        <v>4796</v>
      </c>
      <c r="F1307" s="23">
        <v>44346</v>
      </c>
      <c r="G1307" s="1">
        <v>2431</v>
      </c>
    </row>
    <row r="1308" spans="1:7">
      <c r="A1308" t="s">
        <v>5711</v>
      </c>
      <c r="B1308" t="s">
        <v>94</v>
      </c>
      <c r="C1308" t="s">
        <v>1467</v>
      </c>
      <c r="D1308" t="s">
        <v>1466</v>
      </c>
      <c r="E1308" t="s">
        <v>4797</v>
      </c>
      <c r="F1308" s="23">
        <v>44346</v>
      </c>
      <c r="G1308" s="1">
        <v>7902</v>
      </c>
    </row>
    <row r="1309" spans="1:7">
      <c r="A1309" t="s">
        <v>5711</v>
      </c>
      <c r="B1309" t="s">
        <v>94</v>
      </c>
      <c r="C1309" t="s">
        <v>3489</v>
      </c>
      <c r="D1309" t="s">
        <v>991</v>
      </c>
      <c r="E1309" t="s">
        <v>4798</v>
      </c>
      <c r="F1309" s="23">
        <v>44749</v>
      </c>
      <c r="G1309" s="1">
        <v>595</v>
      </c>
    </row>
    <row r="1310" spans="1:7">
      <c r="A1310" t="s">
        <v>5711</v>
      </c>
      <c r="B1310" t="s">
        <v>94</v>
      </c>
      <c r="C1310" t="s">
        <v>3456</v>
      </c>
      <c r="D1310" t="s">
        <v>3455</v>
      </c>
      <c r="E1310" t="s">
        <v>4799</v>
      </c>
      <c r="F1310" s="23">
        <v>44346</v>
      </c>
      <c r="G1310" s="1">
        <v>15449</v>
      </c>
    </row>
    <row r="1311" spans="1:7">
      <c r="A1311" t="s">
        <v>5711</v>
      </c>
      <c r="B1311" t="s">
        <v>389</v>
      </c>
      <c r="C1311" t="s">
        <v>388</v>
      </c>
      <c r="D1311" t="s">
        <v>387</v>
      </c>
      <c r="E1311" t="s">
        <v>4800</v>
      </c>
      <c r="F1311" s="23">
        <v>44346</v>
      </c>
      <c r="G1311" s="1">
        <v>18914</v>
      </c>
    </row>
    <row r="1312" spans="1:7">
      <c r="A1312" t="s">
        <v>5711</v>
      </c>
      <c r="B1312" t="s">
        <v>298</v>
      </c>
      <c r="C1312" t="s">
        <v>2869</v>
      </c>
      <c r="D1312" t="s">
        <v>2868</v>
      </c>
      <c r="E1312" t="s">
        <v>4801</v>
      </c>
      <c r="F1312" s="23">
        <v>44346</v>
      </c>
      <c r="G1312" s="1">
        <v>19898</v>
      </c>
    </row>
    <row r="1313" spans="1:7">
      <c r="A1313" t="s">
        <v>5711</v>
      </c>
      <c r="B1313" t="s">
        <v>94</v>
      </c>
      <c r="C1313" t="s">
        <v>3486</v>
      </c>
      <c r="D1313" t="s">
        <v>834</v>
      </c>
      <c r="E1313" t="s">
        <v>4802</v>
      </c>
      <c r="F1313" s="23">
        <v>44346</v>
      </c>
      <c r="G1313" s="1">
        <v>12378</v>
      </c>
    </row>
    <row r="1314" spans="1:7">
      <c r="A1314" t="s">
        <v>5711</v>
      </c>
      <c r="B1314" t="s">
        <v>298</v>
      </c>
      <c r="C1314" t="s">
        <v>365</v>
      </c>
      <c r="D1314" t="s">
        <v>364</v>
      </c>
      <c r="E1314" t="s">
        <v>4803</v>
      </c>
      <c r="F1314" s="23">
        <v>44663</v>
      </c>
      <c r="G1314" s="1">
        <v>965</v>
      </c>
    </row>
    <row r="1315" spans="1:7">
      <c r="A1315" t="s">
        <v>5711</v>
      </c>
      <c r="B1315" t="s">
        <v>233</v>
      </c>
      <c r="C1315" t="s">
        <v>2777</v>
      </c>
      <c r="D1315" t="s">
        <v>2776</v>
      </c>
      <c r="E1315" t="s">
        <v>4804</v>
      </c>
      <c r="F1315" s="23">
        <v>45061</v>
      </c>
      <c r="G1315" s="1">
        <v>11906</v>
      </c>
    </row>
    <row r="1316" spans="1:7">
      <c r="A1316" t="s">
        <v>5711</v>
      </c>
      <c r="B1316" t="s">
        <v>94</v>
      </c>
      <c r="C1316" t="s">
        <v>2741</v>
      </c>
      <c r="D1316" t="s">
        <v>3020</v>
      </c>
      <c r="E1316" t="s">
        <v>4805</v>
      </c>
      <c r="F1316" s="23">
        <v>44957</v>
      </c>
      <c r="G1316" s="1">
        <v>8865</v>
      </c>
    </row>
    <row r="1317" spans="1:7">
      <c r="A1317" t="s">
        <v>5711</v>
      </c>
      <c r="B1317" t="s">
        <v>43</v>
      </c>
      <c r="C1317" t="s">
        <v>1590</v>
      </c>
      <c r="D1317" t="s">
        <v>5629</v>
      </c>
      <c r="E1317" t="s">
        <v>4806</v>
      </c>
      <c r="F1317" s="23">
        <v>44346</v>
      </c>
      <c r="G1317" s="1">
        <v>1869</v>
      </c>
    </row>
    <row r="1318" spans="1:7">
      <c r="A1318" t="s">
        <v>5711</v>
      </c>
      <c r="B1318" t="s">
        <v>106</v>
      </c>
      <c r="C1318" t="s">
        <v>2498</v>
      </c>
      <c r="D1318" t="s">
        <v>2497</v>
      </c>
      <c r="E1318" t="s">
        <v>4807</v>
      </c>
      <c r="F1318" s="23">
        <v>44681</v>
      </c>
      <c r="G1318" s="1">
        <v>2104</v>
      </c>
    </row>
    <row r="1319" spans="1:7">
      <c r="A1319" t="s">
        <v>5711</v>
      </c>
      <c r="B1319" t="s">
        <v>94</v>
      </c>
      <c r="C1319" t="s">
        <v>2545</v>
      </c>
      <c r="D1319" t="s">
        <v>2544</v>
      </c>
      <c r="E1319" t="s">
        <v>4808</v>
      </c>
      <c r="F1319" s="23">
        <v>44838</v>
      </c>
      <c r="G1319" s="1">
        <v>1926</v>
      </c>
    </row>
    <row r="1320" spans="1:7">
      <c r="A1320" t="s">
        <v>5711</v>
      </c>
      <c r="B1320" t="s">
        <v>1223</v>
      </c>
      <c r="C1320" t="s">
        <v>3249</v>
      </c>
      <c r="D1320" t="s">
        <v>3248</v>
      </c>
      <c r="E1320" t="s">
        <v>4809</v>
      </c>
      <c r="F1320" s="23">
        <v>44605</v>
      </c>
      <c r="G1320" s="1">
        <v>9213</v>
      </c>
    </row>
    <row r="1321" spans="1:7">
      <c r="A1321" t="s">
        <v>5711</v>
      </c>
      <c r="B1321" t="s">
        <v>298</v>
      </c>
      <c r="C1321" t="s">
        <v>2236</v>
      </c>
      <c r="D1321" t="s">
        <v>2234</v>
      </c>
      <c r="E1321" t="s">
        <v>4810</v>
      </c>
      <c r="F1321" s="23">
        <v>44554</v>
      </c>
      <c r="G1321" s="1">
        <v>2951</v>
      </c>
    </row>
    <row r="1322" spans="1:7">
      <c r="A1322" t="s">
        <v>5711</v>
      </c>
      <c r="B1322" t="s">
        <v>106</v>
      </c>
      <c r="C1322" t="s">
        <v>355</v>
      </c>
      <c r="D1322" t="s">
        <v>2541</v>
      </c>
      <c r="E1322" t="s">
        <v>4811</v>
      </c>
      <c r="F1322" s="23">
        <v>44346</v>
      </c>
      <c r="G1322" s="1">
        <v>6477</v>
      </c>
    </row>
    <row r="1323" spans="1:7">
      <c r="A1323" t="s">
        <v>5711</v>
      </c>
      <c r="B1323" t="s">
        <v>101</v>
      </c>
      <c r="C1323" t="s">
        <v>347</v>
      </c>
      <c r="D1323" t="s">
        <v>346</v>
      </c>
      <c r="E1323" t="s">
        <v>4812</v>
      </c>
      <c r="F1323" s="23">
        <v>44953</v>
      </c>
      <c r="G1323" s="1">
        <v>2634</v>
      </c>
    </row>
    <row r="1324" spans="1:7">
      <c r="A1324" t="s">
        <v>5711</v>
      </c>
      <c r="B1324" t="s">
        <v>298</v>
      </c>
      <c r="C1324" t="s">
        <v>126</v>
      </c>
      <c r="D1324" t="s">
        <v>2165</v>
      </c>
      <c r="E1324" t="s">
        <v>4813</v>
      </c>
      <c r="F1324" s="23">
        <v>44346</v>
      </c>
      <c r="G1324" s="1">
        <v>2707</v>
      </c>
    </row>
    <row r="1325" spans="1:7">
      <c r="A1325" t="s">
        <v>5711</v>
      </c>
      <c r="B1325" t="s">
        <v>94</v>
      </c>
      <c r="C1325" t="s">
        <v>3486</v>
      </c>
      <c r="D1325" t="s">
        <v>1457</v>
      </c>
      <c r="E1325" t="s">
        <v>4814</v>
      </c>
      <c r="F1325" s="23">
        <v>44720</v>
      </c>
      <c r="G1325" s="1">
        <v>5168</v>
      </c>
    </row>
    <row r="1326" spans="1:7">
      <c r="A1326" t="s">
        <v>5711</v>
      </c>
      <c r="B1326" t="s">
        <v>311</v>
      </c>
      <c r="C1326" t="s">
        <v>2123</v>
      </c>
      <c r="D1326" t="s">
        <v>2122</v>
      </c>
      <c r="E1326" t="s">
        <v>4815</v>
      </c>
      <c r="F1326" s="23">
        <v>44567</v>
      </c>
      <c r="G1326" s="1">
        <v>717</v>
      </c>
    </row>
    <row r="1327" spans="1:7">
      <c r="A1327" t="s">
        <v>5711</v>
      </c>
      <c r="B1327" t="s">
        <v>174</v>
      </c>
      <c r="C1327" t="s">
        <v>216</v>
      </c>
      <c r="D1327" t="s">
        <v>215</v>
      </c>
      <c r="E1327" t="s">
        <v>4816</v>
      </c>
      <c r="F1327" s="23">
        <v>44352</v>
      </c>
      <c r="G1327" s="1">
        <v>2331</v>
      </c>
    </row>
    <row r="1328" spans="1:7">
      <c r="A1328" t="s">
        <v>5711</v>
      </c>
      <c r="B1328" t="s">
        <v>106</v>
      </c>
      <c r="C1328" t="s">
        <v>2108</v>
      </c>
      <c r="D1328" t="s">
        <v>2107</v>
      </c>
      <c r="E1328" t="s">
        <v>4817</v>
      </c>
      <c r="F1328" s="23">
        <v>44346</v>
      </c>
      <c r="G1328" s="1">
        <v>4136</v>
      </c>
    </row>
    <row r="1329" spans="1:7">
      <c r="A1329" t="s">
        <v>5711</v>
      </c>
      <c r="B1329" t="s">
        <v>106</v>
      </c>
      <c r="C1329" t="s">
        <v>3160</v>
      </c>
      <c r="D1329" t="s">
        <v>3159</v>
      </c>
      <c r="E1329" t="s">
        <v>4818</v>
      </c>
      <c r="F1329" s="23">
        <v>44346</v>
      </c>
      <c r="G1329" s="1">
        <v>13943</v>
      </c>
    </row>
    <row r="1330" spans="1:7">
      <c r="A1330" t="s">
        <v>5711</v>
      </c>
      <c r="B1330" t="s">
        <v>94</v>
      </c>
      <c r="C1330" t="s">
        <v>3486</v>
      </c>
      <c r="D1330" t="s">
        <v>924</v>
      </c>
      <c r="E1330" t="s">
        <v>4819</v>
      </c>
      <c r="F1330" s="23">
        <v>44531</v>
      </c>
      <c r="G1330" s="1">
        <v>7658</v>
      </c>
    </row>
    <row r="1331" spans="1:7">
      <c r="A1331" t="s">
        <v>5711</v>
      </c>
      <c r="B1331" t="s">
        <v>106</v>
      </c>
      <c r="C1331" t="s">
        <v>680</v>
      </c>
      <c r="D1331" t="s">
        <v>679</v>
      </c>
      <c r="E1331" t="s">
        <v>4820</v>
      </c>
      <c r="F1331" s="23">
        <v>44346</v>
      </c>
      <c r="G1331" s="1">
        <v>16412</v>
      </c>
    </row>
    <row r="1332" spans="1:7">
      <c r="A1332" t="s">
        <v>5711</v>
      </c>
      <c r="B1332" t="s">
        <v>473</v>
      </c>
      <c r="C1332" t="s">
        <v>936</v>
      </c>
      <c r="D1332" t="s">
        <v>935</v>
      </c>
      <c r="E1332" t="s">
        <v>4821</v>
      </c>
      <c r="F1332" s="23">
        <v>44346</v>
      </c>
      <c r="G1332" s="1">
        <v>17827</v>
      </c>
    </row>
    <row r="1333" spans="1:7">
      <c r="A1333" t="s">
        <v>5711</v>
      </c>
      <c r="B1333" t="s">
        <v>94</v>
      </c>
      <c r="C1333" t="s">
        <v>3490</v>
      </c>
      <c r="D1333" t="s">
        <v>532</v>
      </c>
      <c r="E1333" t="s">
        <v>4822</v>
      </c>
      <c r="F1333" s="23">
        <v>44583</v>
      </c>
      <c r="G1333" s="1">
        <v>10455</v>
      </c>
    </row>
    <row r="1334" spans="1:7">
      <c r="A1334" t="s">
        <v>5711</v>
      </c>
      <c r="B1334" t="s">
        <v>91</v>
      </c>
      <c r="C1334" t="s">
        <v>204</v>
      </c>
      <c r="D1334" t="s">
        <v>203</v>
      </c>
      <c r="E1334" t="s">
        <v>4823</v>
      </c>
      <c r="F1334" s="23">
        <v>44346</v>
      </c>
      <c r="G1334" s="1">
        <v>12590</v>
      </c>
    </row>
    <row r="1335" spans="1:7">
      <c r="A1335" t="s">
        <v>5711</v>
      </c>
      <c r="B1335" t="s">
        <v>94</v>
      </c>
      <c r="C1335" t="s">
        <v>3291</v>
      </c>
      <c r="D1335" t="s">
        <v>3290</v>
      </c>
      <c r="E1335" t="s">
        <v>4824</v>
      </c>
      <c r="F1335" s="23">
        <v>44346</v>
      </c>
      <c r="G1335" s="1">
        <v>14915</v>
      </c>
    </row>
    <row r="1336" spans="1:7">
      <c r="A1336" t="s">
        <v>5711</v>
      </c>
      <c r="B1336" t="s">
        <v>208</v>
      </c>
      <c r="C1336" t="s">
        <v>207</v>
      </c>
      <c r="D1336" t="s">
        <v>206</v>
      </c>
      <c r="E1336" t="s">
        <v>4825</v>
      </c>
      <c r="F1336" s="23">
        <v>44871</v>
      </c>
      <c r="G1336" s="1">
        <v>10997</v>
      </c>
    </row>
    <row r="1337" spans="1:7">
      <c r="A1337" t="s">
        <v>5711</v>
      </c>
      <c r="B1337" t="s">
        <v>94</v>
      </c>
      <c r="C1337" t="s">
        <v>3489</v>
      </c>
      <c r="D1337" t="s">
        <v>1734</v>
      </c>
      <c r="E1337" t="s">
        <v>4826</v>
      </c>
      <c r="F1337" s="23">
        <v>44346</v>
      </c>
      <c r="G1337" s="1">
        <v>17000</v>
      </c>
    </row>
    <row r="1338" spans="1:7">
      <c r="A1338" t="s">
        <v>5711</v>
      </c>
      <c r="B1338" t="s">
        <v>94</v>
      </c>
      <c r="C1338" t="s">
        <v>3451</v>
      </c>
      <c r="D1338" t="s">
        <v>3450</v>
      </c>
      <c r="E1338" t="s">
        <v>4827</v>
      </c>
      <c r="F1338" s="23">
        <v>45071</v>
      </c>
      <c r="G1338" s="1">
        <v>6897</v>
      </c>
    </row>
    <row r="1339" spans="1:7">
      <c r="A1339" t="s">
        <v>5711</v>
      </c>
      <c r="B1339" t="s">
        <v>78</v>
      </c>
      <c r="C1339" t="s">
        <v>1302</v>
      </c>
      <c r="D1339" t="s">
        <v>1301</v>
      </c>
      <c r="E1339" t="s">
        <v>4828</v>
      </c>
      <c r="F1339" s="23">
        <v>44971</v>
      </c>
      <c r="G1339" s="1">
        <v>6580</v>
      </c>
    </row>
    <row r="1340" spans="1:7">
      <c r="A1340" t="s">
        <v>5711</v>
      </c>
      <c r="B1340" t="s">
        <v>68</v>
      </c>
      <c r="C1340" t="s">
        <v>111</v>
      </c>
      <c r="D1340" t="s">
        <v>110</v>
      </c>
      <c r="E1340" t="s">
        <v>4829</v>
      </c>
      <c r="F1340" s="23">
        <v>44346</v>
      </c>
      <c r="G1340" s="1">
        <v>16084</v>
      </c>
    </row>
    <row r="1341" spans="1:7">
      <c r="A1341" t="s">
        <v>5711</v>
      </c>
      <c r="B1341" t="s">
        <v>106</v>
      </c>
      <c r="C1341" t="s">
        <v>3056</v>
      </c>
      <c r="D1341" t="s">
        <v>3055</v>
      </c>
      <c r="E1341" t="s">
        <v>4830</v>
      </c>
      <c r="F1341" s="23">
        <v>44346</v>
      </c>
      <c r="G1341" s="1">
        <v>13575</v>
      </c>
    </row>
    <row r="1342" spans="1:7">
      <c r="A1342" t="s">
        <v>5711</v>
      </c>
      <c r="B1342" t="s">
        <v>367</v>
      </c>
      <c r="C1342" t="s">
        <v>1053</v>
      </c>
      <c r="D1342" t="s">
        <v>1052</v>
      </c>
      <c r="E1342" t="s">
        <v>4831</v>
      </c>
      <c r="F1342" s="23">
        <v>44880</v>
      </c>
      <c r="G1342" s="1">
        <v>5146</v>
      </c>
    </row>
    <row r="1343" spans="1:7">
      <c r="A1343" t="s">
        <v>5711</v>
      </c>
      <c r="B1343" t="s">
        <v>94</v>
      </c>
      <c r="C1343" t="s">
        <v>2020</v>
      </c>
      <c r="D1343" t="s">
        <v>5630</v>
      </c>
      <c r="E1343" t="s">
        <v>4832</v>
      </c>
      <c r="F1343" s="23">
        <v>44346</v>
      </c>
      <c r="G1343" s="1">
        <v>17289</v>
      </c>
    </row>
    <row r="1344" spans="1:7">
      <c r="A1344" t="s">
        <v>5711</v>
      </c>
      <c r="B1344" t="s">
        <v>94</v>
      </c>
      <c r="C1344" t="s">
        <v>1966</v>
      </c>
      <c r="D1344" t="s">
        <v>1965</v>
      </c>
      <c r="E1344" t="s">
        <v>4833</v>
      </c>
      <c r="F1344" s="23">
        <v>44346</v>
      </c>
      <c r="G1344" s="1">
        <v>14983</v>
      </c>
    </row>
    <row r="1345" spans="1:7">
      <c r="A1345" t="s">
        <v>5711</v>
      </c>
      <c r="B1345" t="s">
        <v>106</v>
      </c>
      <c r="C1345" t="s">
        <v>3343</v>
      </c>
      <c r="D1345" t="s">
        <v>3342</v>
      </c>
      <c r="E1345" t="s">
        <v>4834</v>
      </c>
      <c r="F1345" s="23">
        <v>45059</v>
      </c>
      <c r="G1345" s="1">
        <v>4784</v>
      </c>
    </row>
    <row r="1346" spans="1:7">
      <c r="A1346" t="s">
        <v>5711</v>
      </c>
      <c r="B1346" t="s">
        <v>311</v>
      </c>
      <c r="C1346" t="s">
        <v>2761</v>
      </c>
      <c r="D1346" t="s">
        <v>5631</v>
      </c>
      <c r="E1346" t="s">
        <v>4835</v>
      </c>
      <c r="F1346" s="23">
        <v>44346</v>
      </c>
      <c r="G1346" s="1">
        <v>18862</v>
      </c>
    </row>
    <row r="1347" spans="1:7">
      <c r="A1347" t="s">
        <v>5711</v>
      </c>
      <c r="B1347" t="s">
        <v>2062</v>
      </c>
      <c r="C1347" t="s">
        <v>2369</v>
      </c>
      <c r="D1347" t="s">
        <v>2368</v>
      </c>
      <c r="E1347" t="s">
        <v>4836</v>
      </c>
      <c r="F1347" s="23">
        <v>44346</v>
      </c>
      <c r="G1347" s="1">
        <v>12376</v>
      </c>
    </row>
    <row r="1348" spans="1:7">
      <c r="A1348" t="s">
        <v>5711</v>
      </c>
      <c r="B1348" t="s">
        <v>68</v>
      </c>
      <c r="C1348" t="s">
        <v>1664</v>
      </c>
      <c r="D1348" t="s">
        <v>1663</v>
      </c>
      <c r="E1348" t="s">
        <v>4837</v>
      </c>
      <c r="F1348" s="23">
        <v>44346</v>
      </c>
      <c r="G1348" s="1">
        <v>18328</v>
      </c>
    </row>
    <row r="1349" spans="1:7">
      <c r="A1349" t="s">
        <v>5711</v>
      </c>
      <c r="B1349" t="s">
        <v>68</v>
      </c>
      <c r="C1349" t="s">
        <v>682</v>
      </c>
      <c r="D1349" t="s">
        <v>681</v>
      </c>
      <c r="E1349" t="s">
        <v>4838</v>
      </c>
      <c r="F1349" s="23">
        <v>44530</v>
      </c>
      <c r="G1349" s="1">
        <v>8024</v>
      </c>
    </row>
    <row r="1350" spans="1:7">
      <c r="A1350" t="s">
        <v>5711</v>
      </c>
      <c r="B1350" t="s">
        <v>94</v>
      </c>
      <c r="D1350" t="s">
        <v>2676</v>
      </c>
      <c r="E1350" t="s">
        <v>4839</v>
      </c>
      <c r="F1350" s="23">
        <v>44829</v>
      </c>
      <c r="G1350" s="1">
        <v>9085</v>
      </c>
    </row>
    <row r="1351" spans="1:7">
      <c r="A1351" t="s">
        <v>5711</v>
      </c>
      <c r="B1351" t="s">
        <v>106</v>
      </c>
      <c r="C1351" t="s">
        <v>2038</v>
      </c>
      <c r="D1351" t="s">
        <v>2037</v>
      </c>
      <c r="E1351" t="s">
        <v>4840</v>
      </c>
      <c r="F1351" s="23">
        <v>44346</v>
      </c>
      <c r="G1351" s="1">
        <v>13345</v>
      </c>
    </row>
    <row r="1352" spans="1:7">
      <c r="A1352" t="s">
        <v>5711</v>
      </c>
      <c r="B1352" t="s">
        <v>230</v>
      </c>
      <c r="C1352" t="s">
        <v>229</v>
      </c>
      <c r="D1352" t="s">
        <v>5632</v>
      </c>
      <c r="E1352" t="s">
        <v>4841</v>
      </c>
      <c r="F1352" s="23">
        <v>44818</v>
      </c>
      <c r="G1352" s="1">
        <v>2434</v>
      </c>
    </row>
    <row r="1353" spans="1:7">
      <c r="A1353" t="s">
        <v>5711</v>
      </c>
      <c r="B1353" t="s">
        <v>311</v>
      </c>
      <c r="C1353" t="s">
        <v>2030</v>
      </c>
      <c r="D1353" t="s">
        <v>5633</v>
      </c>
      <c r="E1353" t="s">
        <v>4842</v>
      </c>
      <c r="F1353" s="23">
        <v>44668</v>
      </c>
      <c r="G1353" s="1">
        <v>1474</v>
      </c>
    </row>
    <row r="1354" spans="1:7">
      <c r="A1354" t="s">
        <v>5711</v>
      </c>
      <c r="B1354" t="s">
        <v>94</v>
      </c>
      <c r="C1354" t="s">
        <v>3485</v>
      </c>
      <c r="D1354" t="s">
        <v>1762</v>
      </c>
      <c r="E1354" t="s">
        <v>4843</v>
      </c>
      <c r="F1354" s="23">
        <v>44346</v>
      </c>
      <c r="G1354" s="1">
        <v>1480</v>
      </c>
    </row>
    <row r="1355" spans="1:7">
      <c r="A1355" t="s">
        <v>5711</v>
      </c>
      <c r="B1355" t="s">
        <v>94</v>
      </c>
      <c r="C1355" t="s">
        <v>1008</v>
      </c>
      <c r="D1355" t="s">
        <v>1007</v>
      </c>
      <c r="E1355" t="s">
        <v>4844</v>
      </c>
      <c r="F1355" s="23">
        <v>44346</v>
      </c>
      <c r="G1355" s="1">
        <v>13645</v>
      </c>
    </row>
    <row r="1356" spans="1:7">
      <c r="A1356" t="s">
        <v>5711</v>
      </c>
      <c r="B1356" t="s">
        <v>94</v>
      </c>
      <c r="C1356" t="s">
        <v>3488</v>
      </c>
      <c r="D1356" t="s">
        <v>1244</v>
      </c>
      <c r="E1356" t="s">
        <v>4845</v>
      </c>
      <c r="F1356" s="23">
        <v>44346</v>
      </c>
      <c r="G1356" s="1">
        <v>1924</v>
      </c>
    </row>
    <row r="1357" spans="1:7">
      <c r="A1357" t="s">
        <v>5711</v>
      </c>
      <c r="B1357" t="s">
        <v>37</v>
      </c>
      <c r="C1357" t="s">
        <v>1417</v>
      </c>
      <c r="D1357" t="s">
        <v>1416</v>
      </c>
      <c r="E1357" t="s">
        <v>4846</v>
      </c>
      <c r="F1357" s="23">
        <v>44346</v>
      </c>
      <c r="G1357" s="1">
        <v>6076</v>
      </c>
    </row>
    <row r="1358" spans="1:7">
      <c r="A1358" t="s">
        <v>5711</v>
      </c>
      <c r="B1358" t="s">
        <v>244</v>
      </c>
      <c r="C1358" t="s">
        <v>1268</v>
      </c>
      <c r="D1358" t="s">
        <v>1267</v>
      </c>
      <c r="E1358" t="s">
        <v>4847</v>
      </c>
      <c r="F1358" s="23">
        <v>44346</v>
      </c>
      <c r="G1358" s="1">
        <v>16754</v>
      </c>
    </row>
    <row r="1359" spans="1:7">
      <c r="A1359" t="s">
        <v>5711</v>
      </c>
      <c r="B1359" t="s">
        <v>298</v>
      </c>
      <c r="C1359" t="s">
        <v>2336</v>
      </c>
      <c r="D1359" t="s">
        <v>2335</v>
      </c>
      <c r="E1359" t="s">
        <v>4848</v>
      </c>
      <c r="F1359" s="23">
        <v>44346</v>
      </c>
      <c r="G1359" s="1">
        <v>15780</v>
      </c>
    </row>
    <row r="1360" spans="1:7">
      <c r="A1360" t="s">
        <v>5711</v>
      </c>
      <c r="B1360" t="s">
        <v>101</v>
      </c>
      <c r="C1360" t="s">
        <v>380</v>
      </c>
      <c r="D1360" t="s">
        <v>379</v>
      </c>
      <c r="E1360" t="s">
        <v>4849</v>
      </c>
      <c r="F1360" s="23">
        <v>44617</v>
      </c>
      <c r="G1360" s="1">
        <v>5633</v>
      </c>
    </row>
    <row r="1361" spans="1:7">
      <c r="A1361" t="s">
        <v>5711</v>
      </c>
      <c r="B1361" t="s">
        <v>233</v>
      </c>
      <c r="C1361" t="s">
        <v>3417</v>
      </c>
      <c r="D1361" t="s">
        <v>3416</v>
      </c>
      <c r="E1361" t="s">
        <v>4850</v>
      </c>
      <c r="F1361" s="23">
        <v>44346</v>
      </c>
      <c r="G1361" s="1">
        <v>14634</v>
      </c>
    </row>
    <row r="1362" spans="1:7">
      <c r="A1362" t="s">
        <v>5711</v>
      </c>
      <c r="B1362" t="s">
        <v>122</v>
      </c>
      <c r="C1362" t="s">
        <v>660</v>
      </c>
      <c r="D1362" t="s">
        <v>659</v>
      </c>
      <c r="E1362" t="s">
        <v>4851</v>
      </c>
      <c r="F1362" s="23">
        <v>44931</v>
      </c>
      <c r="G1362" s="1">
        <v>4057</v>
      </c>
    </row>
    <row r="1363" spans="1:7">
      <c r="A1363" t="s">
        <v>5711</v>
      </c>
      <c r="B1363" t="s">
        <v>298</v>
      </c>
      <c r="C1363" t="s">
        <v>2181</v>
      </c>
      <c r="D1363" t="s">
        <v>2180</v>
      </c>
      <c r="E1363" t="s">
        <v>4852</v>
      </c>
      <c r="F1363" s="23">
        <v>44859</v>
      </c>
      <c r="G1363" s="1">
        <v>4343</v>
      </c>
    </row>
    <row r="1364" spans="1:7">
      <c r="A1364" t="s">
        <v>5711</v>
      </c>
      <c r="B1364" t="s">
        <v>480</v>
      </c>
      <c r="C1364" t="s">
        <v>479</v>
      </c>
      <c r="D1364" t="s">
        <v>478</v>
      </c>
      <c r="E1364" t="s">
        <v>4853</v>
      </c>
      <c r="F1364" s="23">
        <v>44548</v>
      </c>
      <c r="G1364" s="1">
        <v>8421</v>
      </c>
    </row>
    <row r="1365" spans="1:7">
      <c r="A1365" t="s">
        <v>5711</v>
      </c>
      <c r="B1365" t="s">
        <v>94</v>
      </c>
      <c r="C1365" t="s">
        <v>1234</v>
      </c>
      <c r="D1365" t="s">
        <v>1233</v>
      </c>
      <c r="E1365" t="s">
        <v>4854</v>
      </c>
      <c r="F1365" s="23">
        <v>44980</v>
      </c>
      <c r="G1365" s="1">
        <v>11194</v>
      </c>
    </row>
    <row r="1366" spans="1:7">
      <c r="A1366" t="s">
        <v>5711</v>
      </c>
      <c r="B1366" t="s">
        <v>298</v>
      </c>
      <c r="C1366" t="s">
        <v>2443</v>
      </c>
      <c r="D1366" t="s">
        <v>3300</v>
      </c>
      <c r="E1366" t="s">
        <v>4855</v>
      </c>
      <c r="F1366" s="23">
        <v>44346</v>
      </c>
      <c r="G1366" s="1">
        <v>19326</v>
      </c>
    </row>
    <row r="1367" spans="1:7">
      <c r="A1367" t="s">
        <v>5711</v>
      </c>
      <c r="B1367" t="s">
        <v>94</v>
      </c>
      <c r="C1367" t="s">
        <v>1937</v>
      </c>
      <c r="D1367" t="s">
        <v>1936</v>
      </c>
      <c r="E1367" t="s">
        <v>4856</v>
      </c>
      <c r="F1367" s="23">
        <v>44981</v>
      </c>
      <c r="G1367" s="1">
        <v>6995</v>
      </c>
    </row>
    <row r="1368" spans="1:7">
      <c r="A1368" t="s">
        <v>5711</v>
      </c>
      <c r="B1368" t="s">
        <v>106</v>
      </c>
      <c r="C1368" t="s">
        <v>3084</v>
      </c>
      <c r="D1368" t="s">
        <v>5634</v>
      </c>
      <c r="E1368" t="s">
        <v>4857</v>
      </c>
      <c r="F1368" s="23">
        <v>44433</v>
      </c>
      <c r="G1368" s="1">
        <v>11594</v>
      </c>
    </row>
    <row r="1369" spans="1:7">
      <c r="A1369" t="s">
        <v>5711</v>
      </c>
      <c r="B1369" t="s">
        <v>311</v>
      </c>
      <c r="C1369" t="s">
        <v>2724</v>
      </c>
      <c r="D1369" t="s">
        <v>2723</v>
      </c>
      <c r="E1369" t="s">
        <v>4858</v>
      </c>
      <c r="F1369" s="23">
        <v>44346</v>
      </c>
      <c r="G1369" s="1">
        <v>10434</v>
      </c>
    </row>
    <row r="1370" spans="1:7">
      <c r="A1370" t="s">
        <v>5711</v>
      </c>
      <c r="B1370" t="s">
        <v>106</v>
      </c>
      <c r="C1370" t="s">
        <v>2901</v>
      </c>
      <c r="D1370" t="s">
        <v>2900</v>
      </c>
      <c r="E1370" t="s">
        <v>4859</v>
      </c>
      <c r="F1370" s="23">
        <v>44423</v>
      </c>
      <c r="G1370" s="1">
        <v>9841</v>
      </c>
    </row>
    <row r="1371" spans="1:7">
      <c r="A1371" t="s">
        <v>5711</v>
      </c>
      <c r="B1371" t="s">
        <v>94</v>
      </c>
      <c r="C1371" t="s">
        <v>3025</v>
      </c>
      <c r="D1371" t="s">
        <v>3024</v>
      </c>
      <c r="E1371" t="s">
        <v>4860</v>
      </c>
      <c r="F1371" s="23">
        <v>44593</v>
      </c>
      <c r="G1371" s="1">
        <v>710</v>
      </c>
    </row>
    <row r="1372" spans="1:7">
      <c r="A1372" t="s">
        <v>5711</v>
      </c>
      <c r="B1372" t="s">
        <v>106</v>
      </c>
      <c r="C1372" t="s">
        <v>2643</v>
      </c>
      <c r="D1372" t="s">
        <v>5635</v>
      </c>
      <c r="E1372" t="s">
        <v>4861</v>
      </c>
      <c r="F1372" s="23">
        <v>44346</v>
      </c>
      <c r="G1372" s="1">
        <v>6674</v>
      </c>
    </row>
    <row r="1373" spans="1:7">
      <c r="A1373" t="s">
        <v>5711</v>
      </c>
      <c r="B1373" t="s">
        <v>473</v>
      </c>
      <c r="C1373" t="s">
        <v>472</v>
      </c>
      <c r="D1373" t="s">
        <v>471</v>
      </c>
      <c r="E1373" t="s">
        <v>4862</v>
      </c>
      <c r="F1373" s="23">
        <v>44346</v>
      </c>
      <c r="G1373" s="1">
        <v>4956</v>
      </c>
    </row>
    <row r="1374" spans="1:7">
      <c r="A1374" t="s">
        <v>5711</v>
      </c>
      <c r="B1374" t="s">
        <v>311</v>
      </c>
      <c r="C1374" t="s">
        <v>2691</v>
      </c>
      <c r="D1374" t="s">
        <v>2902</v>
      </c>
      <c r="E1374" t="s">
        <v>4863</v>
      </c>
      <c r="F1374" s="23">
        <v>44346</v>
      </c>
      <c r="G1374" s="1">
        <v>14938</v>
      </c>
    </row>
    <row r="1375" spans="1:7">
      <c r="A1375" t="s">
        <v>5711</v>
      </c>
      <c r="B1375" t="s">
        <v>311</v>
      </c>
      <c r="C1375" t="s">
        <v>3104</v>
      </c>
      <c r="D1375" t="s">
        <v>3103</v>
      </c>
      <c r="E1375" t="s">
        <v>4864</v>
      </c>
      <c r="F1375" s="23">
        <v>44346</v>
      </c>
      <c r="G1375" s="1">
        <v>17915</v>
      </c>
    </row>
    <row r="1376" spans="1:7">
      <c r="A1376" t="s">
        <v>5711</v>
      </c>
      <c r="B1376" t="s">
        <v>94</v>
      </c>
      <c r="C1376" t="s">
        <v>2978</v>
      </c>
      <c r="D1376" t="s">
        <v>2977</v>
      </c>
      <c r="E1376" t="s">
        <v>4865</v>
      </c>
      <c r="F1376" s="23">
        <v>44346</v>
      </c>
      <c r="G1376" s="1">
        <v>19919</v>
      </c>
    </row>
    <row r="1377" spans="1:7">
      <c r="A1377" t="s">
        <v>5711</v>
      </c>
      <c r="B1377" t="s">
        <v>101</v>
      </c>
      <c r="C1377" t="s">
        <v>608</v>
      </c>
      <c r="D1377" t="s">
        <v>607</v>
      </c>
      <c r="E1377" t="s">
        <v>4866</v>
      </c>
      <c r="F1377" s="23">
        <v>44478</v>
      </c>
      <c r="G1377" s="1">
        <v>3369</v>
      </c>
    </row>
    <row r="1378" spans="1:7">
      <c r="A1378" t="s">
        <v>5711</v>
      </c>
      <c r="B1378" t="s">
        <v>101</v>
      </c>
      <c r="C1378" t="s">
        <v>923</v>
      </c>
      <c r="D1378" t="s">
        <v>922</v>
      </c>
      <c r="E1378" t="s">
        <v>4867</v>
      </c>
      <c r="F1378" s="23">
        <v>44346</v>
      </c>
      <c r="G1378" s="1">
        <v>19964</v>
      </c>
    </row>
    <row r="1379" spans="1:7">
      <c r="A1379" t="s">
        <v>5711</v>
      </c>
      <c r="B1379" t="s">
        <v>94</v>
      </c>
      <c r="C1379" t="s">
        <v>1940</v>
      </c>
      <c r="D1379" t="s">
        <v>1939</v>
      </c>
      <c r="E1379" t="s">
        <v>4868</v>
      </c>
      <c r="F1379" s="23">
        <v>44742</v>
      </c>
      <c r="G1379" s="1">
        <v>5507</v>
      </c>
    </row>
    <row r="1380" spans="1:7">
      <c r="A1380" t="s">
        <v>5711</v>
      </c>
      <c r="B1380" t="s">
        <v>94</v>
      </c>
      <c r="C1380" t="s">
        <v>3265</v>
      </c>
      <c r="D1380" t="s">
        <v>1399</v>
      </c>
      <c r="E1380" t="s">
        <v>4869</v>
      </c>
      <c r="F1380" s="23">
        <v>44346</v>
      </c>
      <c r="G1380" s="1">
        <v>19720</v>
      </c>
    </row>
    <row r="1381" spans="1:7">
      <c r="A1381" t="s">
        <v>5711</v>
      </c>
      <c r="B1381" t="s">
        <v>94</v>
      </c>
      <c r="C1381" t="s">
        <v>3038</v>
      </c>
      <c r="D1381" t="s">
        <v>3037</v>
      </c>
      <c r="E1381" t="s">
        <v>4870</v>
      </c>
      <c r="F1381" s="23">
        <v>44514</v>
      </c>
      <c r="G1381" s="1">
        <v>2625</v>
      </c>
    </row>
    <row r="1382" spans="1:7">
      <c r="A1382" t="s">
        <v>5711</v>
      </c>
      <c r="B1382" t="s">
        <v>298</v>
      </c>
      <c r="C1382" t="s">
        <v>153</v>
      </c>
      <c r="D1382" t="s">
        <v>2262</v>
      </c>
      <c r="E1382" t="s">
        <v>4871</v>
      </c>
      <c r="F1382" s="23">
        <v>44346</v>
      </c>
      <c r="G1382" s="1">
        <v>19876</v>
      </c>
    </row>
    <row r="1383" spans="1:7">
      <c r="A1383" t="s">
        <v>5711</v>
      </c>
      <c r="B1383" t="s">
        <v>106</v>
      </c>
      <c r="C1383" t="s">
        <v>2349</v>
      </c>
      <c r="D1383" t="s">
        <v>2348</v>
      </c>
      <c r="E1383" t="s">
        <v>4872</v>
      </c>
      <c r="F1383" s="23">
        <v>44346</v>
      </c>
      <c r="G1383" s="1">
        <v>17466</v>
      </c>
    </row>
    <row r="1384" spans="1:7">
      <c r="A1384" t="s">
        <v>5711</v>
      </c>
      <c r="B1384" t="s">
        <v>94</v>
      </c>
      <c r="C1384" t="s">
        <v>568</v>
      </c>
      <c r="D1384" t="s">
        <v>567</v>
      </c>
      <c r="E1384" t="s">
        <v>4873</v>
      </c>
      <c r="F1384" s="23">
        <v>44346</v>
      </c>
      <c r="G1384" s="1">
        <v>15338</v>
      </c>
    </row>
    <row r="1385" spans="1:7">
      <c r="A1385" t="s">
        <v>5711</v>
      </c>
      <c r="B1385" t="s">
        <v>233</v>
      </c>
      <c r="C1385" t="s">
        <v>2156</v>
      </c>
      <c r="D1385" t="s">
        <v>2409</v>
      </c>
      <c r="E1385" t="s">
        <v>4874</v>
      </c>
      <c r="F1385" s="23">
        <v>45007</v>
      </c>
      <c r="G1385" s="1">
        <v>5069</v>
      </c>
    </row>
    <row r="1386" spans="1:7">
      <c r="A1386" t="s">
        <v>5711</v>
      </c>
      <c r="B1386" t="s">
        <v>94</v>
      </c>
      <c r="C1386" t="s">
        <v>3490</v>
      </c>
      <c r="D1386" t="s">
        <v>841</v>
      </c>
      <c r="E1386" t="s">
        <v>4875</v>
      </c>
      <c r="F1386" s="23">
        <v>44346</v>
      </c>
      <c r="G1386" s="1">
        <v>19835</v>
      </c>
    </row>
    <row r="1387" spans="1:7">
      <c r="A1387" t="s">
        <v>5711</v>
      </c>
      <c r="B1387" t="s">
        <v>94</v>
      </c>
      <c r="C1387" t="s">
        <v>3486</v>
      </c>
      <c r="D1387" t="s">
        <v>1396</v>
      </c>
      <c r="E1387" t="s">
        <v>4876</v>
      </c>
      <c r="F1387" s="23">
        <v>44346</v>
      </c>
      <c r="G1387" s="1">
        <v>18253</v>
      </c>
    </row>
    <row r="1388" spans="1:7">
      <c r="A1388" t="s">
        <v>5711</v>
      </c>
      <c r="B1388" t="s">
        <v>106</v>
      </c>
      <c r="C1388" t="s">
        <v>2897</v>
      </c>
      <c r="D1388" t="s">
        <v>2896</v>
      </c>
      <c r="E1388" t="s">
        <v>4877</v>
      </c>
      <c r="F1388" s="23">
        <v>44968</v>
      </c>
      <c r="G1388" s="1">
        <v>2020</v>
      </c>
    </row>
    <row r="1389" spans="1:7">
      <c r="A1389" t="s">
        <v>5711</v>
      </c>
      <c r="B1389" t="s">
        <v>94</v>
      </c>
      <c r="C1389" t="s">
        <v>2702</v>
      </c>
      <c r="D1389" t="s">
        <v>2701</v>
      </c>
      <c r="E1389" t="s">
        <v>4878</v>
      </c>
      <c r="F1389" s="23">
        <v>44346</v>
      </c>
      <c r="G1389" s="1">
        <v>15310</v>
      </c>
    </row>
    <row r="1390" spans="1:7">
      <c r="A1390" t="s">
        <v>5711</v>
      </c>
      <c r="B1390" t="s">
        <v>106</v>
      </c>
      <c r="C1390" t="s">
        <v>5712</v>
      </c>
      <c r="D1390" t="s">
        <v>2692</v>
      </c>
      <c r="E1390" t="s">
        <v>4879</v>
      </c>
      <c r="F1390" s="23">
        <v>44346</v>
      </c>
      <c r="G1390" s="1">
        <v>16088</v>
      </c>
    </row>
    <row r="1391" spans="1:7">
      <c r="A1391" t="s">
        <v>5711</v>
      </c>
      <c r="B1391" t="s">
        <v>94</v>
      </c>
      <c r="C1391" t="s">
        <v>2104</v>
      </c>
      <c r="D1391" t="s">
        <v>5636</v>
      </c>
      <c r="E1391" t="s">
        <v>4880</v>
      </c>
      <c r="F1391" s="23">
        <v>44346</v>
      </c>
      <c r="G1391" s="1">
        <v>17165</v>
      </c>
    </row>
    <row r="1392" spans="1:7">
      <c r="A1392" t="s">
        <v>5711</v>
      </c>
      <c r="B1392" t="s">
        <v>94</v>
      </c>
      <c r="C1392" t="s">
        <v>2682</v>
      </c>
      <c r="D1392" t="s">
        <v>2681</v>
      </c>
      <c r="E1392" t="s">
        <v>4881</v>
      </c>
      <c r="F1392" s="23">
        <v>44346</v>
      </c>
      <c r="G1392" s="1">
        <v>19344</v>
      </c>
    </row>
    <row r="1393" spans="1:7">
      <c r="A1393" t="s">
        <v>5711</v>
      </c>
      <c r="B1393" t="s">
        <v>94</v>
      </c>
      <c r="D1393" t="s">
        <v>1886</v>
      </c>
      <c r="E1393" t="s">
        <v>4882</v>
      </c>
      <c r="F1393" s="23">
        <v>44657</v>
      </c>
      <c r="G1393" s="1">
        <v>4722</v>
      </c>
    </row>
    <row r="1394" spans="1:7">
      <c r="A1394" t="s">
        <v>5711</v>
      </c>
      <c r="B1394" t="s">
        <v>149</v>
      </c>
      <c r="C1394" t="s">
        <v>1816</v>
      </c>
      <c r="D1394" t="s">
        <v>1815</v>
      </c>
      <c r="E1394" t="s">
        <v>4883</v>
      </c>
      <c r="F1394" s="23">
        <v>44803</v>
      </c>
      <c r="G1394" s="1">
        <v>5235</v>
      </c>
    </row>
    <row r="1395" spans="1:7">
      <c r="A1395" t="s">
        <v>5711</v>
      </c>
      <c r="B1395" t="s">
        <v>208</v>
      </c>
      <c r="C1395" t="s">
        <v>516</v>
      </c>
      <c r="D1395" t="s">
        <v>515</v>
      </c>
      <c r="E1395" t="s">
        <v>4884</v>
      </c>
      <c r="F1395" s="23">
        <v>44815</v>
      </c>
      <c r="G1395" s="1">
        <v>4534</v>
      </c>
    </row>
    <row r="1396" spans="1:7">
      <c r="A1396" t="s">
        <v>5711</v>
      </c>
      <c r="B1396" t="s">
        <v>94</v>
      </c>
      <c r="C1396" t="s">
        <v>3129</v>
      </c>
      <c r="D1396" t="s">
        <v>5637</v>
      </c>
      <c r="E1396" t="s">
        <v>4885</v>
      </c>
      <c r="F1396" s="23">
        <v>44363</v>
      </c>
      <c r="G1396" s="1">
        <v>6724</v>
      </c>
    </row>
    <row r="1397" spans="1:7">
      <c r="A1397" t="s">
        <v>5711</v>
      </c>
      <c r="B1397" t="s">
        <v>94</v>
      </c>
      <c r="C1397" t="s">
        <v>3489</v>
      </c>
      <c r="D1397" t="s">
        <v>427</v>
      </c>
      <c r="E1397" t="s">
        <v>4886</v>
      </c>
      <c r="F1397" s="23">
        <v>44787</v>
      </c>
      <c r="G1397" s="1">
        <v>7779</v>
      </c>
    </row>
    <row r="1398" spans="1:7">
      <c r="A1398" t="s">
        <v>5711</v>
      </c>
      <c r="B1398" t="s">
        <v>298</v>
      </c>
      <c r="C1398" t="s">
        <v>2869</v>
      </c>
      <c r="D1398" t="s">
        <v>3029</v>
      </c>
      <c r="E1398" t="s">
        <v>4887</v>
      </c>
      <c r="F1398" s="23">
        <v>44346</v>
      </c>
      <c r="G1398" s="1">
        <v>7607</v>
      </c>
    </row>
    <row r="1399" spans="1:7">
      <c r="A1399" t="s">
        <v>5711</v>
      </c>
      <c r="B1399" t="s">
        <v>94</v>
      </c>
      <c r="C1399" t="s">
        <v>3168</v>
      </c>
      <c r="D1399" t="s">
        <v>3167</v>
      </c>
      <c r="E1399" t="s">
        <v>4888</v>
      </c>
      <c r="F1399" s="23">
        <v>44384</v>
      </c>
      <c r="G1399" s="1">
        <v>6790</v>
      </c>
    </row>
    <row r="1400" spans="1:7">
      <c r="A1400" t="s">
        <v>5711</v>
      </c>
      <c r="B1400" t="s">
        <v>106</v>
      </c>
      <c r="D1400" t="s">
        <v>3382</v>
      </c>
      <c r="E1400" t="s">
        <v>4889</v>
      </c>
      <c r="F1400" s="23">
        <v>44940</v>
      </c>
      <c r="G1400" s="1">
        <v>3200</v>
      </c>
    </row>
    <row r="1401" spans="1:7">
      <c r="A1401" t="s">
        <v>5711</v>
      </c>
      <c r="B1401" t="s">
        <v>43</v>
      </c>
      <c r="C1401" t="s">
        <v>1195</v>
      </c>
      <c r="D1401" t="s">
        <v>1194</v>
      </c>
      <c r="E1401" t="s">
        <v>4890</v>
      </c>
      <c r="F1401" s="23">
        <v>44346</v>
      </c>
      <c r="G1401" s="1">
        <v>2285</v>
      </c>
    </row>
    <row r="1402" spans="1:7">
      <c r="A1402" t="s">
        <v>5711</v>
      </c>
      <c r="B1402" t="s">
        <v>94</v>
      </c>
      <c r="C1402" t="s">
        <v>2466</v>
      </c>
      <c r="D1402" t="s">
        <v>2802</v>
      </c>
      <c r="E1402" t="s">
        <v>4891</v>
      </c>
      <c r="F1402" s="23">
        <v>44346</v>
      </c>
      <c r="G1402" s="1">
        <v>9692</v>
      </c>
    </row>
    <row r="1403" spans="1:7">
      <c r="A1403" t="s">
        <v>5711</v>
      </c>
      <c r="B1403" t="s">
        <v>37</v>
      </c>
      <c r="C1403" t="s">
        <v>392</v>
      </c>
      <c r="D1403" t="s">
        <v>5638</v>
      </c>
      <c r="E1403" t="s">
        <v>4892</v>
      </c>
      <c r="F1403" s="23">
        <v>44807</v>
      </c>
      <c r="G1403" s="1">
        <v>9447</v>
      </c>
    </row>
    <row r="1404" spans="1:7">
      <c r="A1404" t="s">
        <v>5711</v>
      </c>
      <c r="B1404" t="s">
        <v>311</v>
      </c>
      <c r="C1404" t="s">
        <v>3287</v>
      </c>
      <c r="D1404" t="s">
        <v>3286</v>
      </c>
      <c r="E1404" t="s">
        <v>4893</v>
      </c>
      <c r="F1404" s="23">
        <v>44346</v>
      </c>
      <c r="G1404" s="1">
        <v>14121</v>
      </c>
    </row>
    <row r="1405" spans="1:7">
      <c r="A1405" t="s">
        <v>5711</v>
      </c>
      <c r="B1405" t="s">
        <v>37</v>
      </c>
      <c r="C1405" t="s">
        <v>823</v>
      </c>
      <c r="D1405" t="s">
        <v>822</v>
      </c>
      <c r="E1405" t="s">
        <v>4894</v>
      </c>
      <c r="F1405" s="23">
        <v>45043</v>
      </c>
      <c r="G1405" s="1">
        <v>8811</v>
      </c>
    </row>
    <row r="1406" spans="1:7">
      <c r="A1406" t="s">
        <v>5711</v>
      </c>
      <c r="B1406" t="s">
        <v>94</v>
      </c>
      <c r="C1406" t="s">
        <v>3486</v>
      </c>
      <c r="D1406" t="s">
        <v>1051</v>
      </c>
      <c r="E1406" t="s">
        <v>4895</v>
      </c>
      <c r="F1406" s="23">
        <v>44346</v>
      </c>
      <c r="G1406" s="1">
        <v>9051</v>
      </c>
    </row>
    <row r="1407" spans="1:7">
      <c r="A1407" t="s">
        <v>5711</v>
      </c>
      <c r="B1407" t="s">
        <v>46</v>
      </c>
      <c r="C1407" t="s">
        <v>1287</v>
      </c>
      <c r="D1407" t="s">
        <v>1286</v>
      </c>
      <c r="E1407" t="s">
        <v>4896</v>
      </c>
      <c r="F1407" s="23">
        <v>44346</v>
      </c>
      <c r="G1407" s="1">
        <v>8033</v>
      </c>
    </row>
    <row r="1408" spans="1:7">
      <c r="A1408" t="s">
        <v>5711</v>
      </c>
      <c r="B1408" t="s">
        <v>43</v>
      </c>
      <c r="C1408" t="s">
        <v>167</v>
      </c>
      <c r="D1408" t="s">
        <v>166</v>
      </c>
      <c r="E1408" t="s">
        <v>4897</v>
      </c>
      <c r="F1408" s="23">
        <v>44620</v>
      </c>
      <c r="G1408" s="1">
        <v>5353</v>
      </c>
    </row>
    <row r="1409" spans="1:7">
      <c r="A1409" t="s">
        <v>5711</v>
      </c>
      <c r="B1409" t="s">
        <v>106</v>
      </c>
      <c r="C1409" t="s">
        <v>3119</v>
      </c>
      <c r="D1409" t="s">
        <v>3118</v>
      </c>
      <c r="E1409" t="s">
        <v>4898</v>
      </c>
      <c r="F1409" s="23">
        <v>44925</v>
      </c>
      <c r="G1409" s="1">
        <v>2581</v>
      </c>
    </row>
    <row r="1410" spans="1:7">
      <c r="A1410" t="s">
        <v>5711</v>
      </c>
      <c r="B1410" t="s">
        <v>106</v>
      </c>
      <c r="C1410" t="s">
        <v>1952</v>
      </c>
      <c r="D1410" t="s">
        <v>1951</v>
      </c>
      <c r="E1410" t="s">
        <v>4899</v>
      </c>
      <c r="F1410" s="23">
        <v>44346</v>
      </c>
      <c r="G1410" s="1">
        <v>16314</v>
      </c>
    </row>
    <row r="1411" spans="1:7">
      <c r="A1411" t="s">
        <v>5711</v>
      </c>
      <c r="B1411" t="s">
        <v>826</v>
      </c>
      <c r="C1411" t="s">
        <v>1015</v>
      </c>
      <c r="D1411" t="s">
        <v>1014</v>
      </c>
      <c r="E1411" t="s">
        <v>4900</v>
      </c>
      <c r="F1411" s="23">
        <v>44346</v>
      </c>
      <c r="G1411" s="1">
        <v>13046</v>
      </c>
    </row>
    <row r="1412" spans="1:7">
      <c r="A1412" t="s">
        <v>5711</v>
      </c>
      <c r="B1412" t="s">
        <v>37</v>
      </c>
      <c r="C1412" t="s">
        <v>1469</v>
      </c>
      <c r="D1412" t="s">
        <v>1468</v>
      </c>
      <c r="E1412" t="s">
        <v>4901</v>
      </c>
      <c r="F1412" s="23">
        <v>44346</v>
      </c>
      <c r="G1412" s="1">
        <v>19344</v>
      </c>
    </row>
    <row r="1413" spans="1:7">
      <c r="A1413" t="s">
        <v>5711</v>
      </c>
      <c r="B1413" t="s">
        <v>311</v>
      </c>
      <c r="C1413" t="s">
        <v>2228</v>
      </c>
      <c r="D1413" t="s">
        <v>3226</v>
      </c>
      <c r="E1413" t="s">
        <v>4902</v>
      </c>
      <c r="F1413" s="23">
        <v>44346</v>
      </c>
      <c r="G1413" s="1">
        <v>13808</v>
      </c>
    </row>
    <row r="1414" spans="1:7">
      <c r="A1414" t="s">
        <v>5711</v>
      </c>
      <c r="B1414" t="s">
        <v>94</v>
      </c>
      <c r="C1414" t="s">
        <v>1848</v>
      </c>
      <c r="D1414" t="s">
        <v>1847</v>
      </c>
      <c r="E1414" t="s">
        <v>4903</v>
      </c>
      <c r="F1414" s="23">
        <v>44346</v>
      </c>
      <c r="G1414" s="1">
        <v>6806</v>
      </c>
    </row>
    <row r="1415" spans="1:7">
      <c r="A1415" t="s">
        <v>5711</v>
      </c>
      <c r="B1415" t="s">
        <v>298</v>
      </c>
      <c r="C1415" t="s">
        <v>3245</v>
      </c>
      <c r="D1415" t="s">
        <v>3244</v>
      </c>
      <c r="E1415" t="s">
        <v>4904</v>
      </c>
      <c r="F1415" s="23">
        <v>44346</v>
      </c>
      <c r="G1415" s="1">
        <v>673</v>
      </c>
    </row>
    <row r="1416" spans="1:7">
      <c r="A1416" t="s">
        <v>5711</v>
      </c>
      <c r="B1416" t="s">
        <v>174</v>
      </c>
      <c r="C1416" t="s">
        <v>1471</v>
      </c>
      <c r="D1416" t="s">
        <v>1470</v>
      </c>
      <c r="E1416" t="s">
        <v>4905</v>
      </c>
      <c r="F1416" s="23">
        <v>44522</v>
      </c>
      <c r="G1416" s="1">
        <v>7206</v>
      </c>
    </row>
    <row r="1417" spans="1:7">
      <c r="A1417" t="s">
        <v>5711</v>
      </c>
      <c r="B1417" t="s">
        <v>101</v>
      </c>
      <c r="C1417" t="s">
        <v>871</v>
      </c>
      <c r="D1417" t="s">
        <v>870</v>
      </c>
      <c r="E1417" t="s">
        <v>4906</v>
      </c>
      <c r="F1417" s="23">
        <v>44346</v>
      </c>
      <c r="G1417" s="1">
        <v>6116</v>
      </c>
    </row>
    <row r="1418" spans="1:7">
      <c r="A1418" t="s">
        <v>5711</v>
      </c>
      <c r="B1418" t="s">
        <v>135</v>
      </c>
      <c r="C1418" t="s">
        <v>161</v>
      </c>
      <c r="D1418" t="s">
        <v>160</v>
      </c>
      <c r="E1418" t="s">
        <v>4907</v>
      </c>
      <c r="F1418" s="23">
        <v>44516</v>
      </c>
      <c r="G1418" s="1">
        <v>7297</v>
      </c>
    </row>
    <row r="1419" spans="1:7">
      <c r="A1419" t="s">
        <v>5711</v>
      </c>
      <c r="B1419" t="s">
        <v>298</v>
      </c>
      <c r="C1419" t="s">
        <v>2371</v>
      </c>
      <c r="D1419" t="s">
        <v>2385</v>
      </c>
      <c r="E1419" t="s">
        <v>4908</v>
      </c>
      <c r="F1419" s="23">
        <v>44346</v>
      </c>
      <c r="G1419" s="1">
        <v>16017</v>
      </c>
    </row>
    <row r="1420" spans="1:7">
      <c r="A1420" t="s">
        <v>5711</v>
      </c>
      <c r="B1420" t="s">
        <v>298</v>
      </c>
      <c r="C1420" t="s">
        <v>1925</v>
      </c>
      <c r="D1420" t="s">
        <v>1924</v>
      </c>
      <c r="E1420" t="s">
        <v>4909</v>
      </c>
      <c r="F1420" s="23">
        <v>45065</v>
      </c>
      <c r="G1420" s="1">
        <v>4497</v>
      </c>
    </row>
    <row r="1421" spans="1:7">
      <c r="A1421" t="s">
        <v>5711</v>
      </c>
      <c r="B1421" t="s">
        <v>233</v>
      </c>
      <c r="C1421" t="s">
        <v>1225</v>
      </c>
      <c r="D1421" t="s">
        <v>1224</v>
      </c>
      <c r="E1421" t="s">
        <v>4910</v>
      </c>
      <c r="F1421" s="23">
        <v>44346</v>
      </c>
      <c r="G1421" s="1">
        <v>14147</v>
      </c>
    </row>
    <row r="1422" spans="1:7">
      <c r="A1422" t="s">
        <v>5711</v>
      </c>
      <c r="B1422" t="s">
        <v>298</v>
      </c>
      <c r="C1422" t="s">
        <v>1964</v>
      </c>
      <c r="D1422" t="s">
        <v>1963</v>
      </c>
      <c r="E1422" t="s">
        <v>4911</v>
      </c>
      <c r="F1422" s="23">
        <v>44346</v>
      </c>
      <c r="G1422" s="1">
        <v>4533</v>
      </c>
    </row>
    <row r="1423" spans="1:7">
      <c r="A1423" t="s">
        <v>5711</v>
      </c>
      <c r="B1423" t="s">
        <v>689</v>
      </c>
      <c r="C1423" t="s">
        <v>688</v>
      </c>
      <c r="D1423" t="s">
        <v>687</v>
      </c>
      <c r="E1423" t="s">
        <v>4912</v>
      </c>
      <c r="F1423" s="23">
        <v>44346</v>
      </c>
      <c r="G1423" s="1">
        <v>18703</v>
      </c>
    </row>
    <row r="1424" spans="1:7">
      <c r="A1424" t="s">
        <v>5711</v>
      </c>
      <c r="B1424" t="s">
        <v>298</v>
      </c>
      <c r="D1424" t="s">
        <v>2034</v>
      </c>
      <c r="E1424" t="s">
        <v>4913</v>
      </c>
      <c r="F1424" s="23">
        <v>44346</v>
      </c>
      <c r="G1424" s="1">
        <v>15245</v>
      </c>
    </row>
    <row r="1425" spans="1:7">
      <c r="A1425" t="s">
        <v>5711</v>
      </c>
      <c r="B1425" t="s">
        <v>94</v>
      </c>
      <c r="C1425" t="s">
        <v>1770</v>
      </c>
      <c r="D1425" t="s">
        <v>2472</v>
      </c>
      <c r="E1425" t="s">
        <v>4914</v>
      </c>
      <c r="F1425" s="23">
        <v>44843</v>
      </c>
      <c r="G1425" s="1">
        <v>8454</v>
      </c>
    </row>
    <row r="1426" spans="1:7">
      <c r="A1426" t="s">
        <v>5711</v>
      </c>
      <c r="B1426" t="s">
        <v>94</v>
      </c>
      <c r="C1426" t="s">
        <v>3485</v>
      </c>
      <c r="D1426" t="s">
        <v>577</v>
      </c>
      <c r="E1426" t="s">
        <v>4915</v>
      </c>
      <c r="F1426" s="23">
        <v>44346</v>
      </c>
      <c r="G1426" s="1">
        <v>14572</v>
      </c>
    </row>
    <row r="1427" spans="1:7">
      <c r="A1427" t="s">
        <v>5711</v>
      </c>
      <c r="B1427" t="s">
        <v>233</v>
      </c>
      <c r="C1427" t="s">
        <v>2785</v>
      </c>
      <c r="D1427" t="s">
        <v>2784</v>
      </c>
      <c r="E1427" t="s">
        <v>4916</v>
      </c>
      <c r="F1427" s="23">
        <v>44346</v>
      </c>
      <c r="G1427" s="1">
        <v>15560</v>
      </c>
    </row>
    <row r="1428" spans="1:7">
      <c r="A1428" t="s">
        <v>5711</v>
      </c>
      <c r="B1428" t="s">
        <v>106</v>
      </c>
      <c r="C1428" t="s">
        <v>3391</v>
      </c>
      <c r="D1428" t="s">
        <v>3390</v>
      </c>
      <c r="E1428" t="s">
        <v>4917</v>
      </c>
      <c r="F1428" s="23">
        <v>44800</v>
      </c>
      <c r="G1428" s="1">
        <v>834</v>
      </c>
    </row>
    <row r="1429" spans="1:7">
      <c r="A1429" t="s">
        <v>5711</v>
      </c>
      <c r="B1429" t="s">
        <v>208</v>
      </c>
      <c r="C1429" t="s">
        <v>1453</v>
      </c>
      <c r="D1429" t="s">
        <v>1452</v>
      </c>
      <c r="E1429" t="s">
        <v>4918</v>
      </c>
      <c r="F1429" s="23">
        <v>44768</v>
      </c>
      <c r="G1429" s="1">
        <v>3866</v>
      </c>
    </row>
    <row r="1430" spans="1:7">
      <c r="A1430" t="s">
        <v>5711</v>
      </c>
      <c r="B1430" t="s">
        <v>94</v>
      </c>
      <c r="C1430" t="s">
        <v>3489</v>
      </c>
      <c r="D1430" t="s">
        <v>1749</v>
      </c>
      <c r="E1430" t="s">
        <v>4919</v>
      </c>
      <c r="F1430" s="23">
        <v>45048</v>
      </c>
      <c r="G1430" s="1">
        <v>5513</v>
      </c>
    </row>
    <row r="1431" spans="1:7">
      <c r="A1431" t="s">
        <v>5711</v>
      </c>
      <c r="B1431" t="s">
        <v>106</v>
      </c>
      <c r="C1431" t="s">
        <v>2138</v>
      </c>
      <c r="D1431" t="s">
        <v>2137</v>
      </c>
      <c r="E1431" t="s">
        <v>4920</v>
      </c>
      <c r="F1431" s="23">
        <v>44481</v>
      </c>
      <c r="G1431" s="1">
        <v>7331</v>
      </c>
    </row>
    <row r="1432" spans="1:7">
      <c r="A1432" t="s">
        <v>5711</v>
      </c>
      <c r="B1432" t="s">
        <v>106</v>
      </c>
      <c r="C1432" t="s">
        <v>2440</v>
      </c>
      <c r="D1432" t="s">
        <v>2439</v>
      </c>
      <c r="E1432" t="s">
        <v>4921</v>
      </c>
      <c r="F1432" s="23">
        <v>44470</v>
      </c>
      <c r="G1432" s="1">
        <v>4514</v>
      </c>
    </row>
    <row r="1433" spans="1:7">
      <c r="A1433" t="s">
        <v>5711</v>
      </c>
      <c r="B1433" t="s">
        <v>101</v>
      </c>
      <c r="C1433" t="s">
        <v>1104</v>
      </c>
      <c r="D1433" t="s">
        <v>1103</v>
      </c>
      <c r="E1433" t="s">
        <v>4922</v>
      </c>
      <c r="F1433" s="23">
        <v>44346</v>
      </c>
      <c r="G1433" s="1">
        <v>16518</v>
      </c>
    </row>
    <row r="1434" spans="1:7">
      <c r="A1434" t="s">
        <v>5711</v>
      </c>
      <c r="B1434" t="s">
        <v>37</v>
      </c>
      <c r="C1434" t="s">
        <v>265</v>
      </c>
      <c r="D1434" t="s">
        <v>264</v>
      </c>
      <c r="E1434" t="s">
        <v>4923</v>
      </c>
      <c r="F1434" s="23">
        <v>44958</v>
      </c>
      <c r="G1434" s="1">
        <v>1588</v>
      </c>
    </row>
    <row r="1435" spans="1:7">
      <c r="A1435" t="s">
        <v>5711</v>
      </c>
      <c r="B1435" t="s">
        <v>298</v>
      </c>
      <c r="C1435" t="s">
        <v>2627</v>
      </c>
      <c r="D1435" t="s">
        <v>3383</v>
      </c>
      <c r="E1435" t="s">
        <v>4924</v>
      </c>
      <c r="F1435" s="23">
        <v>44346</v>
      </c>
      <c r="G1435" s="1">
        <v>3955</v>
      </c>
    </row>
    <row r="1436" spans="1:7">
      <c r="A1436" t="s">
        <v>5711</v>
      </c>
      <c r="B1436" t="s">
        <v>68</v>
      </c>
      <c r="C1436" t="s">
        <v>144</v>
      </c>
      <c r="D1436" t="s">
        <v>143</v>
      </c>
      <c r="E1436" t="s">
        <v>4925</v>
      </c>
      <c r="F1436" s="23">
        <v>44795</v>
      </c>
      <c r="G1436" s="1">
        <v>10205</v>
      </c>
    </row>
    <row r="1437" spans="1:7">
      <c r="A1437" t="s">
        <v>5711</v>
      </c>
      <c r="B1437" t="s">
        <v>37</v>
      </c>
      <c r="C1437" t="s">
        <v>566</v>
      </c>
      <c r="D1437" t="s">
        <v>565</v>
      </c>
      <c r="E1437" t="s">
        <v>4926</v>
      </c>
      <c r="F1437" s="23">
        <v>44346</v>
      </c>
      <c r="G1437" s="1">
        <v>10250</v>
      </c>
    </row>
    <row r="1438" spans="1:7">
      <c r="A1438" t="s">
        <v>5711</v>
      </c>
      <c r="B1438" t="s">
        <v>298</v>
      </c>
      <c r="C1438" t="s">
        <v>2042</v>
      </c>
      <c r="D1438" t="s">
        <v>2041</v>
      </c>
      <c r="E1438" t="s">
        <v>4927</v>
      </c>
      <c r="F1438" s="23">
        <v>44346</v>
      </c>
      <c r="G1438" s="1">
        <v>13626</v>
      </c>
    </row>
    <row r="1439" spans="1:7">
      <c r="A1439" t="s">
        <v>5711</v>
      </c>
      <c r="B1439" t="s">
        <v>106</v>
      </c>
      <c r="C1439" t="s">
        <v>2999</v>
      </c>
      <c r="D1439" t="s">
        <v>2998</v>
      </c>
      <c r="E1439" t="s">
        <v>4928</v>
      </c>
      <c r="F1439" s="23">
        <v>44346</v>
      </c>
      <c r="G1439" s="1">
        <v>15687</v>
      </c>
    </row>
    <row r="1440" spans="1:7">
      <c r="A1440" t="s">
        <v>5711</v>
      </c>
      <c r="B1440" t="s">
        <v>311</v>
      </c>
      <c r="C1440" t="s">
        <v>2662</v>
      </c>
      <c r="D1440" t="s">
        <v>2661</v>
      </c>
      <c r="E1440" t="s">
        <v>4929</v>
      </c>
      <c r="F1440" s="23">
        <v>44346</v>
      </c>
      <c r="G1440" s="1">
        <v>13565</v>
      </c>
    </row>
    <row r="1441" spans="1:7">
      <c r="A1441" t="s">
        <v>5711</v>
      </c>
      <c r="B1441" t="s">
        <v>91</v>
      </c>
      <c r="C1441" t="s">
        <v>507</v>
      </c>
      <c r="D1441" t="s">
        <v>5639</v>
      </c>
      <c r="E1441" t="s">
        <v>4930</v>
      </c>
      <c r="F1441" s="23">
        <v>44346</v>
      </c>
      <c r="G1441" s="1">
        <v>15028</v>
      </c>
    </row>
    <row r="1442" spans="1:7">
      <c r="A1442" t="s">
        <v>5711</v>
      </c>
      <c r="B1442" t="s">
        <v>68</v>
      </c>
      <c r="C1442" t="s">
        <v>1681</v>
      </c>
      <c r="D1442" t="s">
        <v>1680</v>
      </c>
      <c r="E1442" t="s">
        <v>4931</v>
      </c>
      <c r="F1442" s="23">
        <v>44770</v>
      </c>
      <c r="G1442" s="1">
        <v>11660</v>
      </c>
    </row>
    <row r="1443" spans="1:7">
      <c r="A1443" t="s">
        <v>5711</v>
      </c>
      <c r="B1443" t="s">
        <v>891</v>
      </c>
      <c r="C1443" t="s">
        <v>1554</v>
      </c>
      <c r="D1443" t="s">
        <v>1553</v>
      </c>
      <c r="E1443" t="s">
        <v>4932</v>
      </c>
      <c r="F1443" s="23">
        <v>44346</v>
      </c>
      <c r="G1443" s="1">
        <v>10747</v>
      </c>
    </row>
    <row r="1444" spans="1:7">
      <c r="A1444" t="s">
        <v>5711</v>
      </c>
      <c r="B1444" t="s">
        <v>94</v>
      </c>
      <c r="C1444" t="s">
        <v>3487</v>
      </c>
      <c r="D1444" t="s">
        <v>1157</v>
      </c>
      <c r="E1444" t="s">
        <v>4933</v>
      </c>
      <c r="F1444" s="23">
        <v>44380</v>
      </c>
      <c r="G1444" s="1">
        <v>9497</v>
      </c>
    </row>
    <row r="1445" spans="1:7">
      <c r="A1445" t="s">
        <v>5711</v>
      </c>
      <c r="B1445" t="s">
        <v>94</v>
      </c>
      <c r="C1445" t="s">
        <v>3486</v>
      </c>
      <c r="D1445" t="s">
        <v>368</v>
      </c>
      <c r="E1445" t="s">
        <v>4934</v>
      </c>
      <c r="F1445" s="23">
        <v>44819</v>
      </c>
      <c r="G1445" s="1">
        <v>7459</v>
      </c>
    </row>
    <row r="1446" spans="1:7">
      <c r="A1446" t="s">
        <v>5711</v>
      </c>
      <c r="B1446" t="s">
        <v>101</v>
      </c>
      <c r="C1446" t="s">
        <v>1781</v>
      </c>
      <c r="D1446" t="s">
        <v>1780</v>
      </c>
      <c r="E1446" t="s">
        <v>4935</v>
      </c>
      <c r="F1446" s="23">
        <v>44346</v>
      </c>
      <c r="G1446" s="1">
        <v>15474</v>
      </c>
    </row>
    <row r="1447" spans="1:7">
      <c r="A1447" t="s">
        <v>5711</v>
      </c>
      <c r="B1447" t="s">
        <v>94</v>
      </c>
      <c r="C1447" t="s">
        <v>1870</v>
      </c>
      <c r="D1447" t="s">
        <v>3331</v>
      </c>
      <c r="E1447" t="s">
        <v>4936</v>
      </c>
      <c r="F1447" s="23">
        <v>44346</v>
      </c>
      <c r="G1447" s="1">
        <v>12412</v>
      </c>
    </row>
    <row r="1448" spans="1:7">
      <c r="A1448" t="s">
        <v>5711</v>
      </c>
      <c r="B1448" t="s">
        <v>78</v>
      </c>
      <c r="C1448" t="s">
        <v>214</v>
      </c>
      <c r="D1448" t="s">
        <v>213</v>
      </c>
      <c r="E1448" t="s">
        <v>4937</v>
      </c>
      <c r="F1448" s="23">
        <v>44433</v>
      </c>
      <c r="G1448" s="1">
        <v>5958</v>
      </c>
    </row>
    <row r="1449" spans="1:7">
      <c r="A1449" t="s">
        <v>5711</v>
      </c>
      <c r="B1449" t="s">
        <v>188</v>
      </c>
      <c r="C1449" t="s">
        <v>1334</v>
      </c>
      <c r="D1449" t="s">
        <v>1333</v>
      </c>
      <c r="E1449" t="s">
        <v>4938</v>
      </c>
      <c r="F1449" s="23">
        <v>44346</v>
      </c>
      <c r="G1449" s="1">
        <v>18211</v>
      </c>
    </row>
    <row r="1450" spans="1:7">
      <c r="A1450" t="s">
        <v>5711</v>
      </c>
      <c r="B1450" t="s">
        <v>298</v>
      </c>
      <c r="C1450" t="s">
        <v>3013</v>
      </c>
      <c r="D1450" t="s">
        <v>3406</v>
      </c>
      <c r="E1450" t="s">
        <v>4939</v>
      </c>
      <c r="F1450" s="23">
        <v>44346</v>
      </c>
      <c r="G1450" s="1">
        <v>4889</v>
      </c>
    </row>
    <row r="1451" spans="1:7">
      <c r="A1451" t="s">
        <v>5711</v>
      </c>
      <c r="B1451" t="s">
        <v>298</v>
      </c>
      <c r="C1451" t="s">
        <v>2371</v>
      </c>
      <c r="D1451" t="s">
        <v>5640</v>
      </c>
      <c r="E1451" t="s">
        <v>4940</v>
      </c>
      <c r="F1451" s="23">
        <v>44346</v>
      </c>
      <c r="G1451" s="1">
        <v>2414</v>
      </c>
    </row>
    <row r="1452" spans="1:7">
      <c r="A1452" t="s">
        <v>5711</v>
      </c>
      <c r="B1452" t="s">
        <v>233</v>
      </c>
      <c r="C1452" t="s">
        <v>2557</v>
      </c>
      <c r="D1452" t="s">
        <v>5641</v>
      </c>
      <c r="E1452" t="s">
        <v>4941</v>
      </c>
      <c r="F1452" s="23">
        <v>44480</v>
      </c>
      <c r="G1452" s="1">
        <v>3057</v>
      </c>
    </row>
    <row r="1453" spans="1:7">
      <c r="A1453" t="s">
        <v>5711</v>
      </c>
      <c r="B1453" t="s">
        <v>94</v>
      </c>
      <c r="C1453" t="s">
        <v>277</v>
      </c>
      <c r="D1453" t="s">
        <v>1858</v>
      </c>
      <c r="E1453" t="s">
        <v>4942</v>
      </c>
      <c r="F1453" s="23">
        <v>44762</v>
      </c>
      <c r="G1453" s="1">
        <v>11848</v>
      </c>
    </row>
    <row r="1454" spans="1:7">
      <c r="A1454" t="s">
        <v>5711</v>
      </c>
      <c r="B1454" t="s">
        <v>94</v>
      </c>
      <c r="C1454" t="s">
        <v>1063</v>
      </c>
      <c r="D1454" t="s">
        <v>5642</v>
      </c>
      <c r="E1454" t="s">
        <v>4943</v>
      </c>
      <c r="F1454" s="23">
        <v>44856</v>
      </c>
      <c r="G1454" s="1">
        <v>1896</v>
      </c>
    </row>
    <row r="1455" spans="1:7">
      <c r="A1455" t="s">
        <v>5711</v>
      </c>
      <c r="B1455" t="s">
        <v>135</v>
      </c>
      <c r="C1455" t="s">
        <v>458</v>
      </c>
      <c r="D1455" t="s">
        <v>5643</v>
      </c>
      <c r="E1455" t="s">
        <v>4944</v>
      </c>
      <c r="F1455" s="23">
        <v>44657</v>
      </c>
      <c r="G1455" s="1">
        <v>7481</v>
      </c>
    </row>
    <row r="1456" spans="1:7">
      <c r="A1456" t="s">
        <v>5711</v>
      </c>
      <c r="B1456" t="s">
        <v>106</v>
      </c>
      <c r="C1456" t="s">
        <v>2474</v>
      </c>
      <c r="D1456" t="s">
        <v>2473</v>
      </c>
      <c r="E1456" t="s">
        <v>4945</v>
      </c>
      <c r="F1456" s="23">
        <v>44865</v>
      </c>
      <c r="G1456" s="1">
        <v>9337</v>
      </c>
    </row>
    <row r="1457" spans="1:7">
      <c r="A1457" t="s">
        <v>5711</v>
      </c>
      <c r="B1457" t="s">
        <v>311</v>
      </c>
      <c r="C1457" t="s">
        <v>477</v>
      </c>
      <c r="D1457" t="s">
        <v>476</v>
      </c>
      <c r="E1457" t="s">
        <v>4946</v>
      </c>
      <c r="F1457" s="23">
        <v>44346</v>
      </c>
      <c r="G1457" s="1">
        <v>3904</v>
      </c>
    </row>
    <row r="1458" spans="1:7">
      <c r="A1458" t="s">
        <v>5711</v>
      </c>
      <c r="B1458" t="s">
        <v>298</v>
      </c>
      <c r="C1458" t="s">
        <v>1838</v>
      </c>
      <c r="D1458" t="s">
        <v>1837</v>
      </c>
      <c r="E1458" t="s">
        <v>4947</v>
      </c>
      <c r="F1458" s="23">
        <v>44346</v>
      </c>
      <c r="G1458" s="1">
        <v>12066</v>
      </c>
    </row>
    <row r="1459" spans="1:7">
      <c r="A1459" t="s">
        <v>5711</v>
      </c>
      <c r="B1459" t="s">
        <v>94</v>
      </c>
      <c r="C1459" t="s">
        <v>2136</v>
      </c>
      <c r="D1459" t="s">
        <v>2135</v>
      </c>
      <c r="E1459" t="s">
        <v>4948</v>
      </c>
      <c r="F1459" s="23">
        <v>44848</v>
      </c>
      <c r="G1459" s="1">
        <v>8186</v>
      </c>
    </row>
    <row r="1460" spans="1:7">
      <c r="A1460" t="s">
        <v>5711</v>
      </c>
      <c r="B1460" t="s">
        <v>106</v>
      </c>
      <c r="C1460" t="s">
        <v>3197</v>
      </c>
      <c r="D1460" t="s">
        <v>5644</v>
      </c>
      <c r="E1460" t="s">
        <v>4949</v>
      </c>
      <c r="F1460" s="23">
        <v>44675</v>
      </c>
      <c r="G1460" s="1">
        <v>6331</v>
      </c>
    </row>
    <row r="1461" spans="1:7">
      <c r="A1461" t="s">
        <v>5711</v>
      </c>
      <c r="B1461" t="s">
        <v>37</v>
      </c>
      <c r="C1461" t="s">
        <v>910</v>
      </c>
      <c r="D1461" t="s">
        <v>5645</v>
      </c>
      <c r="E1461" t="s">
        <v>4950</v>
      </c>
      <c r="F1461" s="23">
        <v>44346</v>
      </c>
      <c r="G1461" s="1">
        <v>16249</v>
      </c>
    </row>
    <row r="1462" spans="1:7">
      <c r="A1462" t="s">
        <v>5711</v>
      </c>
      <c r="B1462" t="s">
        <v>43</v>
      </c>
      <c r="C1462" t="s">
        <v>434</v>
      </c>
      <c r="D1462" t="s">
        <v>433</v>
      </c>
      <c r="E1462" t="s">
        <v>4951</v>
      </c>
      <c r="F1462" s="23">
        <v>45016</v>
      </c>
      <c r="G1462" s="1">
        <v>7866</v>
      </c>
    </row>
    <row r="1463" spans="1:7">
      <c r="A1463" t="s">
        <v>5711</v>
      </c>
      <c r="B1463" t="s">
        <v>208</v>
      </c>
      <c r="C1463" t="s">
        <v>1661</v>
      </c>
      <c r="D1463" t="s">
        <v>1660</v>
      </c>
      <c r="E1463" t="s">
        <v>4952</v>
      </c>
      <c r="F1463" s="23">
        <v>44531</v>
      </c>
      <c r="G1463" s="1">
        <v>1093</v>
      </c>
    </row>
    <row r="1464" spans="1:7">
      <c r="A1464" t="s">
        <v>5711</v>
      </c>
      <c r="B1464" t="s">
        <v>290</v>
      </c>
      <c r="C1464" t="s">
        <v>289</v>
      </c>
      <c r="D1464" t="s">
        <v>288</v>
      </c>
      <c r="E1464" t="s">
        <v>4953</v>
      </c>
      <c r="F1464" s="23">
        <v>44346</v>
      </c>
      <c r="G1464" s="1">
        <v>19899</v>
      </c>
    </row>
    <row r="1465" spans="1:7">
      <c r="A1465" t="s">
        <v>5711</v>
      </c>
      <c r="B1465" t="s">
        <v>233</v>
      </c>
      <c r="C1465" t="s">
        <v>3397</v>
      </c>
      <c r="D1465" t="s">
        <v>3396</v>
      </c>
      <c r="E1465" t="s">
        <v>4954</v>
      </c>
      <c r="F1465" s="23">
        <v>44346</v>
      </c>
      <c r="G1465" s="1">
        <v>13488</v>
      </c>
    </row>
    <row r="1466" spans="1:7">
      <c r="A1466" t="s">
        <v>5711</v>
      </c>
      <c r="B1466" t="s">
        <v>106</v>
      </c>
      <c r="C1466" t="s">
        <v>1944</v>
      </c>
      <c r="D1466" t="s">
        <v>1943</v>
      </c>
      <c r="E1466" t="s">
        <v>4955</v>
      </c>
      <c r="F1466" s="23">
        <v>44346</v>
      </c>
      <c r="G1466" s="1">
        <v>17087</v>
      </c>
    </row>
    <row r="1467" spans="1:7">
      <c r="A1467" t="s">
        <v>5711</v>
      </c>
      <c r="B1467" t="s">
        <v>367</v>
      </c>
      <c r="C1467" t="s">
        <v>898</v>
      </c>
      <c r="D1467" t="s">
        <v>897</v>
      </c>
      <c r="E1467" t="s">
        <v>4956</v>
      </c>
      <c r="F1467" s="23">
        <v>44725</v>
      </c>
      <c r="G1467" s="1">
        <v>1374</v>
      </c>
    </row>
    <row r="1468" spans="1:7">
      <c r="A1468" t="s">
        <v>5711</v>
      </c>
      <c r="B1468" t="s">
        <v>94</v>
      </c>
      <c r="C1468" t="s">
        <v>2540</v>
      </c>
      <c r="D1468" t="s">
        <v>2539</v>
      </c>
      <c r="E1468" t="s">
        <v>4957</v>
      </c>
      <c r="F1468" s="23">
        <v>44874</v>
      </c>
      <c r="G1468" s="1">
        <v>10985</v>
      </c>
    </row>
    <row r="1469" spans="1:7">
      <c r="A1469" t="s">
        <v>5711</v>
      </c>
      <c r="B1469" t="s">
        <v>106</v>
      </c>
      <c r="C1469" t="s">
        <v>2360</v>
      </c>
      <c r="D1469" t="s">
        <v>2359</v>
      </c>
      <c r="E1469" t="s">
        <v>4958</v>
      </c>
      <c r="F1469" s="23">
        <v>44346</v>
      </c>
      <c r="G1469" s="1">
        <v>15907</v>
      </c>
    </row>
    <row r="1470" spans="1:7">
      <c r="A1470" t="s">
        <v>5711</v>
      </c>
      <c r="B1470" t="s">
        <v>233</v>
      </c>
      <c r="D1470" t="s">
        <v>2593</v>
      </c>
      <c r="E1470" t="s">
        <v>4959</v>
      </c>
      <c r="F1470" s="23">
        <v>44619</v>
      </c>
      <c r="G1470" s="1">
        <v>2827</v>
      </c>
    </row>
    <row r="1471" spans="1:7">
      <c r="A1471" t="s">
        <v>5711</v>
      </c>
      <c r="B1471" t="s">
        <v>315</v>
      </c>
      <c r="C1471" t="s">
        <v>314</v>
      </c>
      <c r="D1471" t="s">
        <v>313</v>
      </c>
      <c r="E1471" t="s">
        <v>4960</v>
      </c>
      <c r="F1471" s="23">
        <v>44346</v>
      </c>
      <c r="G1471" s="1">
        <v>17121</v>
      </c>
    </row>
    <row r="1472" spans="1:7">
      <c r="A1472" t="s">
        <v>5711</v>
      </c>
      <c r="B1472" t="s">
        <v>94</v>
      </c>
      <c r="C1472" t="s">
        <v>2288</v>
      </c>
      <c r="D1472" t="s">
        <v>2287</v>
      </c>
      <c r="E1472" t="s">
        <v>4961</v>
      </c>
      <c r="F1472" s="23">
        <v>44489</v>
      </c>
      <c r="G1472" s="1">
        <v>9227</v>
      </c>
    </row>
    <row r="1473" spans="1:7">
      <c r="A1473" t="s">
        <v>5711</v>
      </c>
      <c r="B1473" t="s">
        <v>37</v>
      </c>
      <c r="C1473" t="s">
        <v>177</v>
      </c>
      <c r="D1473" t="s">
        <v>176</v>
      </c>
      <c r="E1473" t="s">
        <v>4962</v>
      </c>
      <c r="F1473" s="23">
        <v>44515</v>
      </c>
      <c r="G1473" s="1">
        <v>1961</v>
      </c>
    </row>
    <row r="1474" spans="1:7">
      <c r="A1474" t="s">
        <v>5711</v>
      </c>
      <c r="B1474" t="s">
        <v>311</v>
      </c>
      <c r="C1474" t="s">
        <v>2347</v>
      </c>
      <c r="D1474" t="s">
        <v>2346</v>
      </c>
      <c r="E1474" t="s">
        <v>4963</v>
      </c>
      <c r="F1474" s="23">
        <v>44346</v>
      </c>
      <c r="G1474" s="1">
        <v>16374</v>
      </c>
    </row>
    <row r="1475" spans="1:7">
      <c r="A1475" t="s">
        <v>5711</v>
      </c>
      <c r="B1475" t="s">
        <v>311</v>
      </c>
      <c r="C1475" t="s">
        <v>2794</v>
      </c>
      <c r="D1475" t="s">
        <v>2793</v>
      </c>
      <c r="E1475" t="s">
        <v>4964</v>
      </c>
      <c r="F1475" s="23">
        <v>44346</v>
      </c>
      <c r="G1475" s="1">
        <v>12168</v>
      </c>
    </row>
    <row r="1476" spans="1:7">
      <c r="A1476" t="s">
        <v>5711</v>
      </c>
      <c r="B1476" t="s">
        <v>258</v>
      </c>
      <c r="C1476" t="s">
        <v>257</v>
      </c>
      <c r="D1476" t="s">
        <v>256</v>
      </c>
      <c r="E1476" t="s">
        <v>4965</v>
      </c>
      <c r="F1476" s="23">
        <v>44346</v>
      </c>
      <c r="G1476" s="1">
        <v>14243</v>
      </c>
    </row>
    <row r="1477" spans="1:7">
      <c r="A1477" t="s">
        <v>5711</v>
      </c>
      <c r="B1477" t="s">
        <v>106</v>
      </c>
      <c r="C1477" t="s">
        <v>3117</v>
      </c>
      <c r="D1477" t="s">
        <v>3116</v>
      </c>
      <c r="E1477" t="s">
        <v>4966</v>
      </c>
      <c r="F1477" s="23">
        <v>44346</v>
      </c>
      <c r="G1477" s="1">
        <v>18236</v>
      </c>
    </row>
    <row r="1478" spans="1:7">
      <c r="A1478" t="s">
        <v>5711</v>
      </c>
      <c r="B1478" t="s">
        <v>68</v>
      </c>
      <c r="C1478" t="s">
        <v>1654</v>
      </c>
      <c r="D1478" t="s">
        <v>1653</v>
      </c>
      <c r="E1478" t="s">
        <v>4967</v>
      </c>
      <c r="F1478" s="23">
        <v>44346</v>
      </c>
      <c r="G1478" s="1">
        <v>16395</v>
      </c>
    </row>
    <row r="1479" spans="1:7">
      <c r="A1479" t="s">
        <v>5711</v>
      </c>
      <c r="B1479" t="s">
        <v>298</v>
      </c>
      <c r="D1479" t="s">
        <v>3120</v>
      </c>
      <c r="E1479" t="s">
        <v>4968</v>
      </c>
      <c r="F1479" s="23">
        <v>44741</v>
      </c>
      <c r="G1479" s="1">
        <v>4995</v>
      </c>
    </row>
    <row r="1480" spans="1:7">
      <c r="A1480" t="s">
        <v>5711</v>
      </c>
      <c r="B1480" t="s">
        <v>37</v>
      </c>
      <c r="C1480" t="s">
        <v>1487</v>
      </c>
      <c r="D1480" t="s">
        <v>5646</v>
      </c>
      <c r="E1480" t="s">
        <v>4969</v>
      </c>
      <c r="F1480" s="23">
        <v>44346</v>
      </c>
      <c r="G1480" s="1">
        <v>15630</v>
      </c>
    </row>
    <row r="1481" spans="1:7">
      <c r="A1481" t="s">
        <v>5711</v>
      </c>
      <c r="B1481" t="s">
        <v>106</v>
      </c>
      <c r="C1481" t="s">
        <v>105</v>
      </c>
      <c r="D1481" t="s">
        <v>104</v>
      </c>
      <c r="E1481" t="s">
        <v>4970</v>
      </c>
      <c r="F1481" s="23">
        <v>45016</v>
      </c>
      <c r="G1481" s="1">
        <v>11109</v>
      </c>
    </row>
    <row r="1482" spans="1:7">
      <c r="A1482" t="s">
        <v>5711</v>
      </c>
      <c r="B1482" t="s">
        <v>233</v>
      </c>
      <c r="C1482" t="s">
        <v>1922</v>
      </c>
      <c r="D1482" t="s">
        <v>2628</v>
      </c>
      <c r="E1482" t="s">
        <v>4971</v>
      </c>
      <c r="F1482" s="23">
        <v>44346</v>
      </c>
      <c r="G1482" s="1">
        <v>2318</v>
      </c>
    </row>
    <row r="1483" spans="1:7">
      <c r="A1483" t="s">
        <v>5711</v>
      </c>
      <c r="B1483" t="s">
        <v>298</v>
      </c>
      <c r="C1483" t="s">
        <v>865</v>
      </c>
      <c r="D1483" t="s">
        <v>864</v>
      </c>
      <c r="E1483" t="s">
        <v>4972</v>
      </c>
      <c r="F1483" s="23">
        <v>44346</v>
      </c>
      <c r="G1483" s="1">
        <v>18701</v>
      </c>
    </row>
    <row r="1484" spans="1:7">
      <c r="A1484" t="s">
        <v>5711</v>
      </c>
      <c r="B1484" t="s">
        <v>1256</v>
      </c>
      <c r="C1484" t="s">
        <v>1255</v>
      </c>
      <c r="D1484" t="s">
        <v>1254</v>
      </c>
      <c r="E1484" t="s">
        <v>4973</v>
      </c>
      <c r="F1484" s="23">
        <v>44971</v>
      </c>
      <c r="G1484" s="1">
        <v>8141</v>
      </c>
    </row>
    <row r="1485" spans="1:7">
      <c r="A1485" t="s">
        <v>5711</v>
      </c>
      <c r="B1485" t="s">
        <v>94</v>
      </c>
      <c r="C1485" t="s">
        <v>2268</v>
      </c>
      <c r="D1485" t="s">
        <v>2267</v>
      </c>
      <c r="E1485" t="s">
        <v>4974</v>
      </c>
      <c r="F1485" s="23">
        <v>44346</v>
      </c>
      <c r="G1485" s="1">
        <v>19400</v>
      </c>
    </row>
    <row r="1486" spans="1:7">
      <c r="A1486" t="s">
        <v>5711</v>
      </c>
      <c r="B1486" t="s">
        <v>233</v>
      </c>
      <c r="C1486" t="s">
        <v>241</v>
      </c>
      <c r="D1486" t="s">
        <v>240</v>
      </c>
      <c r="E1486" t="s">
        <v>4975</v>
      </c>
      <c r="F1486" s="23">
        <v>44967</v>
      </c>
      <c r="G1486" s="1">
        <v>11103</v>
      </c>
    </row>
    <row r="1487" spans="1:7">
      <c r="A1487" t="s">
        <v>5711</v>
      </c>
      <c r="B1487" t="s">
        <v>298</v>
      </c>
      <c r="C1487" t="s">
        <v>2846</v>
      </c>
      <c r="D1487" t="s">
        <v>2845</v>
      </c>
      <c r="E1487" t="s">
        <v>4976</v>
      </c>
      <c r="F1487" s="23">
        <v>44346</v>
      </c>
      <c r="G1487" s="1">
        <v>14737</v>
      </c>
    </row>
    <row r="1488" spans="1:7">
      <c r="A1488" t="s">
        <v>5711</v>
      </c>
      <c r="B1488" t="s">
        <v>94</v>
      </c>
      <c r="C1488" t="s">
        <v>2630</v>
      </c>
      <c r="D1488" t="s">
        <v>2629</v>
      </c>
      <c r="E1488" t="s">
        <v>4977</v>
      </c>
      <c r="F1488" s="23">
        <v>44346</v>
      </c>
      <c r="G1488" s="1">
        <v>19602</v>
      </c>
    </row>
    <row r="1489" spans="1:7">
      <c r="A1489" t="s">
        <v>5711</v>
      </c>
      <c r="B1489" t="s">
        <v>298</v>
      </c>
      <c r="C1489" t="s">
        <v>1852</v>
      </c>
      <c r="D1489" t="s">
        <v>1851</v>
      </c>
      <c r="E1489" t="s">
        <v>4978</v>
      </c>
      <c r="F1489" s="23">
        <v>44346</v>
      </c>
      <c r="G1489" s="1">
        <v>3597</v>
      </c>
    </row>
    <row r="1490" spans="1:7">
      <c r="A1490" t="s">
        <v>5711</v>
      </c>
      <c r="B1490" t="s">
        <v>94</v>
      </c>
      <c r="C1490" t="s">
        <v>2005</v>
      </c>
      <c r="D1490" t="s">
        <v>2004</v>
      </c>
      <c r="E1490" t="s">
        <v>4979</v>
      </c>
      <c r="F1490" s="23">
        <v>44346</v>
      </c>
      <c r="G1490" s="1">
        <v>19617</v>
      </c>
    </row>
    <row r="1491" spans="1:7">
      <c r="A1491" t="s">
        <v>5711</v>
      </c>
      <c r="B1491" t="s">
        <v>94</v>
      </c>
      <c r="D1491" t="s">
        <v>1983</v>
      </c>
      <c r="E1491" t="s">
        <v>4980</v>
      </c>
      <c r="F1491" s="23">
        <v>44346</v>
      </c>
      <c r="G1491" s="1">
        <v>19010</v>
      </c>
    </row>
    <row r="1492" spans="1:7">
      <c r="A1492" t="s">
        <v>5711</v>
      </c>
      <c r="B1492" t="s">
        <v>298</v>
      </c>
      <c r="C1492" t="s">
        <v>2919</v>
      </c>
      <c r="D1492" t="s">
        <v>2918</v>
      </c>
      <c r="E1492" t="s">
        <v>4981</v>
      </c>
      <c r="F1492" s="23">
        <v>44418</v>
      </c>
      <c r="G1492" s="1">
        <v>8887</v>
      </c>
    </row>
    <row r="1493" spans="1:7">
      <c r="A1493" t="s">
        <v>5711</v>
      </c>
      <c r="B1493" t="s">
        <v>233</v>
      </c>
      <c r="C1493" t="s">
        <v>3194</v>
      </c>
      <c r="D1493" t="s">
        <v>3193</v>
      </c>
      <c r="E1493" t="s">
        <v>4982</v>
      </c>
      <c r="F1493" s="23">
        <v>44346</v>
      </c>
      <c r="G1493" s="1">
        <v>19738</v>
      </c>
    </row>
    <row r="1494" spans="1:7">
      <c r="A1494" t="s">
        <v>5711</v>
      </c>
      <c r="B1494" t="s">
        <v>94</v>
      </c>
      <c r="C1494" t="s">
        <v>1898</v>
      </c>
      <c r="D1494" t="s">
        <v>1897</v>
      </c>
      <c r="E1494" t="s">
        <v>4983</v>
      </c>
      <c r="F1494" s="23">
        <v>44346</v>
      </c>
      <c r="G1494" s="1">
        <v>19894</v>
      </c>
    </row>
    <row r="1495" spans="1:7">
      <c r="A1495" t="s">
        <v>5711</v>
      </c>
      <c r="B1495" t="s">
        <v>208</v>
      </c>
      <c r="C1495" t="s">
        <v>810</v>
      </c>
      <c r="D1495" t="s">
        <v>5647</v>
      </c>
      <c r="E1495" t="s">
        <v>4984</v>
      </c>
      <c r="F1495" s="23">
        <v>44455</v>
      </c>
      <c r="G1495" s="1">
        <v>4104</v>
      </c>
    </row>
    <row r="1496" spans="1:7">
      <c r="A1496" t="s">
        <v>5711</v>
      </c>
      <c r="B1496" t="s">
        <v>236</v>
      </c>
      <c r="C1496" t="s">
        <v>775</v>
      </c>
      <c r="D1496" t="s">
        <v>774</v>
      </c>
      <c r="E1496" t="s">
        <v>4985</v>
      </c>
      <c r="F1496" s="23">
        <v>44846</v>
      </c>
      <c r="G1496" s="1">
        <v>7148</v>
      </c>
    </row>
    <row r="1497" spans="1:7">
      <c r="A1497" t="s">
        <v>5711</v>
      </c>
      <c r="B1497" t="s">
        <v>106</v>
      </c>
      <c r="C1497" t="s">
        <v>2562</v>
      </c>
      <c r="D1497" t="s">
        <v>2561</v>
      </c>
      <c r="E1497" t="s">
        <v>4986</v>
      </c>
      <c r="F1497" s="23">
        <v>44346</v>
      </c>
      <c r="G1497" s="1">
        <v>5611</v>
      </c>
    </row>
    <row r="1498" spans="1:7">
      <c r="A1498" t="s">
        <v>5711</v>
      </c>
      <c r="B1498" t="s">
        <v>298</v>
      </c>
      <c r="C1498" t="s">
        <v>1856</v>
      </c>
      <c r="D1498" t="s">
        <v>1855</v>
      </c>
      <c r="E1498" t="s">
        <v>4987</v>
      </c>
      <c r="F1498" s="23">
        <v>44346</v>
      </c>
      <c r="G1498" s="1">
        <v>12903</v>
      </c>
    </row>
    <row r="1499" spans="1:7">
      <c r="A1499" t="s">
        <v>5711</v>
      </c>
      <c r="B1499" t="s">
        <v>106</v>
      </c>
      <c r="C1499" t="s">
        <v>1300</v>
      </c>
      <c r="D1499" t="s">
        <v>1299</v>
      </c>
      <c r="E1499" t="s">
        <v>4988</v>
      </c>
      <c r="F1499" s="23">
        <v>44346</v>
      </c>
      <c r="G1499" s="1">
        <v>15250</v>
      </c>
    </row>
    <row r="1500" spans="1:7">
      <c r="A1500" t="s">
        <v>5711</v>
      </c>
      <c r="B1500" t="s">
        <v>94</v>
      </c>
      <c r="C1500" t="s">
        <v>581</v>
      </c>
      <c r="D1500" t="s">
        <v>604</v>
      </c>
      <c r="E1500" t="s">
        <v>4989</v>
      </c>
      <c r="F1500" s="23">
        <v>44885</v>
      </c>
      <c r="G1500" s="1">
        <v>2292</v>
      </c>
    </row>
    <row r="1501" spans="1:7">
      <c r="A1501" t="s">
        <v>5711</v>
      </c>
      <c r="B1501" t="s">
        <v>68</v>
      </c>
      <c r="C1501" t="s">
        <v>238</v>
      </c>
      <c r="D1501" t="s">
        <v>237</v>
      </c>
      <c r="E1501" t="s">
        <v>4990</v>
      </c>
      <c r="F1501" s="23">
        <v>44776</v>
      </c>
      <c r="G1501" s="1">
        <v>10565</v>
      </c>
    </row>
    <row r="1502" spans="1:7">
      <c r="A1502" t="s">
        <v>5711</v>
      </c>
      <c r="B1502" t="s">
        <v>37</v>
      </c>
      <c r="C1502" t="s">
        <v>329</v>
      </c>
      <c r="D1502" t="s">
        <v>328</v>
      </c>
      <c r="E1502" t="s">
        <v>4991</v>
      </c>
      <c r="F1502" s="23">
        <v>44434</v>
      </c>
      <c r="G1502" s="1">
        <v>1931</v>
      </c>
    </row>
    <row r="1503" spans="1:7">
      <c r="A1503" t="s">
        <v>5711</v>
      </c>
      <c r="B1503" t="s">
        <v>311</v>
      </c>
      <c r="C1503" t="s">
        <v>2600</v>
      </c>
      <c r="D1503" t="s">
        <v>5648</v>
      </c>
      <c r="E1503" t="s">
        <v>4992</v>
      </c>
      <c r="F1503" s="23">
        <v>44773</v>
      </c>
      <c r="G1503" s="1">
        <v>4747</v>
      </c>
    </row>
    <row r="1504" spans="1:7">
      <c r="A1504" t="s">
        <v>5711</v>
      </c>
      <c r="B1504" t="s">
        <v>97</v>
      </c>
      <c r="C1504" t="s">
        <v>1829</v>
      </c>
      <c r="D1504" t="s">
        <v>5649</v>
      </c>
      <c r="E1504" t="s">
        <v>4993</v>
      </c>
      <c r="F1504" s="23">
        <v>44346</v>
      </c>
      <c r="G1504" s="1">
        <v>16552</v>
      </c>
    </row>
    <row r="1505" spans="1:7">
      <c r="A1505" t="s">
        <v>5711</v>
      </c>
      <c r="B1505" t="s">
        <v>106</v>
      </c>
      <c r="C1505" t="s">
        <v>888</v>
      </c>
      <c r="D1505" t="s">
        <v>886</v>
      </c>
      <c r="E1505" t="s">
        <v>4994</v>
      </c>
      <c r="F1505" s="23">
        <v>44346</v>
      </c>
      <c r="G1505" s="1">
        <v>13384</v>
      </c>
    </row>
    <row r="1506" spans="1:7">
      <c r="A1506" t="s">
        <v>5711</v>
      </c>
      <c r="B1506" t="s">
        <v>298</v>
      </c>
      <c r="D1506" t="s">
        <v>2872</v>
      </c>
      <c r="E1506" t="s">
        <v>4995</v>
      </c>
      <c r="F1506" s="23">
        <v>44425</v>
      </c>
      <c r="G1506" s="1">
        <v>6871</v>
      </c>
    </row>
    <row r="1507" spans="1:7">
      <c r="A1507" t="s">
        <v>5711</v>
      </c>
      <c r="B1507" t="s">
        <v>94</v>
      </c>
      <c r="C1507" t="s">
        <v>136</v>
      </c>
      <c r="D1507" t="s">
        <v>2190</v>
      </c>
      <c r="E1507" t="s">
        <v>4996</v>
      </c>
      <c r="F1507" s="23">
        <v>44647</v>
      </c>
      <c r="G1507" s="1">
        <v>2779</v>
      </c>
    </row>
    <row r="1508" spans="1:7">
      <c r="A1508" t="s">
        <v>5711</v>
      </c>
      <c r="B1508" t="s">
        <v>311</v>
      </c>
      <c r="C1508" t="s">
        <v>2068</v>
      </c>
      <c r="D1508" t="s">
        <v>2067</v>
      </c>
      <c r="E1508" t="s">
        <v>4997</v>
      </c>
      <c r="F1508" s="23">
        <v>44346</v>
      </c>
      <c r="G1508" s="1">
        <v>11236</v>
      </c>
    </row>
    <row r="1509" spans="1:7">
      <c r="A1509" t="s">
        <v>5711</v>
      </c>
      <c r="B1509" t="s">
        <v>233</v>
      </c>
      <c r="C1509" t="s">
        <v>2208</v>
      </c>
      <c r="D1509" t="s">
        <v>3476</v>
      </c>
      <c r="E1509" t="s">
        <v>4998</v>
      </c>
      <c r="F1509" s="23">
        <v>44346</v>
      </c>
      <c r="G1509" s="1">
        <v>14786</v>
      </c>
    </row>
    <row r="1510" spans="1:7">
      <c r="A1510" t="s">
        <v>5711</v>
      </c>
      <c r="B1510" t="s">
        <v>298</v>
      </c>
      <c r="C1510" t="s">
        <v>2236</v>
      </c>
      <c r="D1510" t="s">
        <v>2968</v>
      </c>
      <c r="E1510" t="s">
        <v>4999</v>
      </c>
      <c r="F1510" s="23">
        <v>44346</v>
      </c>
      <c r="G1510" s="1">
        <v>1246</v>
      </c>
    </row>
    <row r="1511" spans="1:7">
      <c r="A1511" t="s">
        <v>5711</v>
      </c>
      <c r="B1511" t="s">
        <v>208</v>
      </c>
      <c r="C1511" t="s">
        <v>1182</v>
      </c>
      <c r="D1511" t="s">
        <v>1181</v>
      </c>
      <c r="E1511" t="s">
        <v>5000</v>
      </c>
      <c r="F1511" s="23">
        <v>44346</v>
      </c>
      <c r="G1511" s="1">
        <v>17591</v>
      </c>
    </row>
    <row r="1512" spans="1:7">
      <c r="A1512" t="s">
        <v>5711</v>
      </c>
      <c r="B1512" t="s">
        <v>208</v>
      </c>
      <c r="C1512" t="s">
        <v>275</v>
      </c>
      <c r="D1512" t="s">
        <v>274</v>
      </c>
      <c r="E1512" t="s">
        <v>5001</v>
      </c>
      <c r="F1512" s="23">
        <v>44346</v>
      </c>
      <c r="G1512" s="1">
        <v>15555</v>
      </c>
    </row>
    <row r="1513" spans="1:7">
      <c r="A1513" t="s">
        <v>5711</v>
      </c>
      <c r="B1513" t="s">
        <v>72</v>
      </c>
      <c r="C1513" t="s">
        <v>1615</v>
      </c>
      <c r="D1513" t="s">
        <v>5650</v>
      </c>
      <c r="E1513" t="s">
        <v>5002</v>
      </c>
      <c r="F1513" s="23">
        <v>44842</v>
      </c>
      <c r="G1513" s="1">
        <v>9818</v>
      </c>
    </row>
    <row r="1514" spans="1:7">
      <c r="A1514" t="s">
        <v>5711</v>
      </c>
      <c r="B1514" t="s">
        <v>106</v>
      </c>
      <c r="C1514" t="s">
        <v>2804</v>
      </c>
      <c r="D1514" t="s">
        <v>2803</v>
      </c>
      <c r="E1514" t="s">
        <v>5003</v>
      </c>
      <c r="F1514" s="23">
        <v>44506</v>
      </c>
      <c r="G1514" s="1">
        <v>4854</v>
      </c>
    </row>
    <row r="1515" spans="1:7">
      <c r="A1515" t="s">
        <v>5711</v>
      </c>
      <c r="B1515" t="s">
        <v>37</v>
      </c>
      <c r="C1515" t="s">
        <v>912</v>
      </c>
      <c r="D1515" t="s">
        <v>911</v>
      </c>
      <c r="E1515" t="s">
        <v>5004</v>
      </c>
      <c r="F1515" s="23">
        <v>44346</v>
      </c>
      <c r="G1515" s="1">
        <v>16608</v>
      </c>
    </row>
    <row r="1516" spans="1:7">
      <c r="A1516" t="s">
        <v>5711</v>
      </c>
      <c r="B1516" t="s">
        <v>233</v>
      </c>
      <c r="C1516" t="s">
        <v>1970</v>
      </c>
      <c r="D1516" t="s">
        <v>1969</v>
      </c>
      <c r="E1516" t="s">
        <v>5005</v>
      </c>
      <c r="F1516" s="23">
        <v>44928</v>
      </c>
      <c r="G1516" s="1">
        <v>1512</v>
      </c>
    </row>
    <row r="1517" spans="1:7">
      <c r="A1517" t="s">
        <v>5711</v>
      </c>
      <c r="B1517" t="s">
        <v>94</v>
      </c>
      <c r="C1517" t="s">
        <v>3486</v>
      </c>
      <c r="D1517" t="s">
        <v>142</v>
      </c>
      <c r="E1517" t="s">
        <v>5006</v>
      </c>
      <c r="F1517" s="23">
        <v>44346</v>
      </c>
      <c r="G1517" s="1">
        <v>3023</v>
      </c>
    </row>
    <row r="1518" spans="1:7">
      <c r="A1518" t="s">
        <v>5711</v>
      </c>
      <c r="B1518" t="s">
        <v>85</v>
      </c>
      <c r="C1518" t="s">
        <v>1611</v>
      </c>
      <c r="D1518" t="s">
        <v>1610</v>
      </c>
      <c r="E1518" t="s">
        <v>5007</v>
      </c>
      <c r="F1518" s="23">
        <v>44738</v>
      </c>
      <c r="G1518" s="1">
        <v>8389</v>
      </c>
    </row>
    <row r="1519" spans="1:7">
      <c r="A1519" t="s">
        <v>5711</v>
      </c>
      <c r="B1519" t="s">
        <v>135</v>
      </c>
      <c r="C1519" t="s">
        <v>1589</v>
      </c>
      <c r="D1519" t="s">
        <v>1588</v>
      </c>
      <c r="E1519" t="s">
        <v>5008</v>
      </c>
      <c r="F1519" s="23">
        <v>44894</v>
      </c>
      <c r="G1519" s="1">
        <v>11841</v>
      </c>
    </row>
    <row r="1520" spans="1:7">
      <c r="A1520" t="s">
        <v>5711</v>
      </c>
      <c r="B1520" t="s">
        <v>68</v>
      </c>
      <c r="C1520" t="s">
        <v>647</v>
      </c>
      <c r="D1520" t="s">
        <v>1363</v>
      </c>
      <c r="E1520" t="s">
        <v>5009</v>
      </c>
      <c r="F1520" s="23">
        <v>44346</v>
      </c>
      <c r="G1520" s="1">
        <v>9562</v>
      </c>
    </row>
    <row r="1521" spans="1:7">
      <c r="A1521" t="s">
        <v>5711</v>
      </c>
      <c r="B1521" t="s">
        <v>94</v>
      </c>
      <c r="D1521" t="s">
        <v>2154</v>
      </c>
      <c r="E1521" t="s">
        <v>5010</v>
      </c>
      <c r="F1521" s="23">
        <v>45068</v>
      </c>
      <c r="G1521" s="1">
        <v>5443</v>
      </c>
    </row>
    <row r="1522" spans="1:7">
      <c r="A1522" t="s">
        <v>5711</v>
      </c>
      <c r="B1522" t="s">
        <v>94</v>
      </c>
      <c r="C1522" t="s">
        <v>606</v>
      </c>
      <c r="D1522" t="s">
        <v>605</v>
      </c>
      <c r="E1522" t="s">
        <v>5011</v>
      </c>
      <c r="F1522" s="23">
        <v>44346</v>
      </c>
      <c r="G1522" s="1">
        <v>14771</v>
      </c>
    </row>
    <row r="1523" spans="1:7">
      <c r="A1523" t="s">
        <v>5711</v>
      </c>
      <c r="B1523" t="s">
        <v>94</v>
      </c>
      <c r="D1523" t="s">
        <v>2471</v>
      </c>
      <c r="E1523" t="s">
        <v>5012</v>
      </c>
      <c r="F1523" s="23">
        <v>44762</v>
      </c>
      <c r="G1523" s="1">
        <v>3362</v>
      </c>
    </row>
    <row r="1524" spans="1:7">
      <c r="A1524" t="s">
        <v>5711</v>
      </c>
      <c r="B1524" t="s">
        <v>298</v>
      </c>
      <c r="C1524" t="s">
        <v>2046</v>
      </c>
      <c r="D1524" t="s">
        <v>2045</v>
      </c>
      <c r="E1524" t="s">
        <v>5013</v>
      </c>
      <c r="F1524" s="23">
        <v>44746</v>
      </c>
      <c r="G1524" s="1">
        <v>5688</v>
      </c>
    </row>
    <row r="1525" spans="1:7">
      <c r="A1525" t="s">
        <v>5711</v>
      </c>
      <c r="B1525" t="s">
        <v>132</v>
      </c>
      <c r="C1525" t="s">
        <v>1162</v>
      </c>
      <c r="D1525" t="s">
        <v>1161</v>
      </c>
      <c r="E1525" t="s">
        <v>5014</v>
      </c>
      <c r="F1525" s="23">
        <v>44346</v>
      </c>
      <c r="G1525" s="1">
        <v>16052</v>
      </c>
    </row>
    <row r="1526" spans="1:7">
      <c r="A1526" t="s">
        <v>5711</v>
      </c>
      <c r="B1526" t="s">
        <v>37</v>
      </c>
      <c r="C1526" t="s">
        <v>119</v>
      </c>
      <c r="D1526" t="s">
        <v>118</v>
      </c>
      <c r="E1526" t="s">
        <v>5015</v>
      </c>
      <c r="F1526" s="23">
        <v>44346</v>
      </c>
      <c r="G1526" s="1">
        <v>18185</v>
      </c>
    </row>
    <row r="1527" spans="1:7">
      <c r="A1527" t="s">
        <v>5711</v>
      </c>
      <c r="B1527" t="s">
        <v>68</v>
      </c>
      <c r="C1527" t="s">
        <v>1784</v>
      </c>
      <c r="D1527" t="s">
        <v>1783</v>
      </c>
      <c r="E1527" t="s">
        <v>5016</v>
      </c>
      <c r="F1527" s="23">
        <v>44346</v>
      </c>
      <c r="G1527" s="1">
        <v>18180</v>
      </c>
    </row>
    <row r="1528" spans="1:7">
      <c r="A1528" t="s">
        <v>5711</v>
      </c>
      <c r="B1528" t="s">
        <v>228</v>
      </c>
      <c r="C1528" t="s">
        <v>1364</v>
      </c>
      <c r="D1528" t="s">
        <v>5651</v>
      </c>
      <c r="E1528" t="s">
        <v>5017</v>
      </c>
      <c r="F1528" s="23">
        <v>44346</v>
      </c>
      <c r="G1528" s="1">
        <v>19153</v>
      </c>
    </row>
    <row r="1529" spans="1:7">
      <c r="A1529" t="s">
        <v>5711</v>
      </c>
      <c r="B1529" t="s">
        <v>233</v>
      </c>
      <c r="C1529" t="s">
        <v>2557</v>
      </c>
      <c r="D1529" t="s">
        <v>2556</v>
      </c>
      <c r="E1529" t="s">
        <v>5018</v>
      </c>
      <c r="F1529" s="23">
        <v>44346</v>
      </c>
      <c r="G1529" s="1">
        <v>12633</v>
      </c>
    </row>
    <row r="1530" spans="1:7">
      <c r="A1530" t="s">
        <v>5711</v>
      </c>
      <c r="B1530" t="s">
        <v>46</v>
      </c>
      <c r="C1530" t="s">
        <v>1065</v>
      </c>
      <c r="D1530" t="s">
        <v>1064</v>
      </c>
      <c r="E1530" t="s">
        <v>5019</v>
      </c>
      <c r="F1530" s="23">
        <v>44346</v>
      </c>
      <c r="G1530" s="1">
        <v>11358</v>
      </c>
    </row>
    <row r="1531" spans="1:7">
      <c r="A1531" t="s">
        <v>5711</v>
      </c>
      <c r="B1531" t="s">
        <v>233</v>
      </c>
      <c r="C1531" t="s">
        <v>2536</v>
      </c>
      <c r="D1531" t="s">
        <v>2535</v>
      </c>
      <c r="E1531" t="s">
        <v>5020</v>
      </c>
      <c r="F1531" s="23">
        <v>44470</v>
      </c>
      <c r="G1531" s="1">
        <v>7409</v>
      </c>
    </row>
    <row r="1532" spans="1:7">
      <c r="A1532" t="s">
        <v>5711</v>
      </c>
      <c r="B1532" t="s">
        <v>94</v>
      </c>
      <c r="C1532" t="s">
        <v>671</v>
      </c>
      <c r="D1532" t="s">
        <v>670</v>
      </c>
      <c r="E1532" t="s">
        <v>5021</v>
      </c>
      <c r="F1532" s="23">
        <v>44848</v>
      </c>
      <c r="G1532" s="1">
        <v>8727</v>
      </c>
    </row>
    <row r="1533" spans="1:7">
      <c r="A1533" t="s">
        <v>5711</v>
      </c>
      <c r="B1533" t="s">
        <v>1223</v>
      </c>
      <c r="C1533" t="s">
        <v>1844</v>
      </c>
      <c r="D1533" t="s">
        <v>1843</v>
      </c>
      <c r="E1533" t="s">
        <v>5022</v>
      </c>
      <c r="F1533" s="23">
        <v>44346</v>
      </c>
      <c r="G1533" s="1">
        <v>12816</v>
      </c>
    </row>
    <row r="1534" spans="1:7">
      <c r="A1534" t="s">
        <v>5711</v>
      </c>
      <c r="B1534" t="s">
        <v>94</v>
      </c>
      <c r="C1534" t="s">
        <v>2132</v>
      </c>
      <c r="D1534" t="s">
        <v>2131</v>
      </c>
      <c r="E1534" t="s">
        <v>5023</v>
      </c>
      <c r="F1534" s="23">
        <v>44613</v>
      </c>
      <c r="G1534" s="1">
        <v>8327</v>
      </c>
    </row>
    <row r="1535" spans="1:7">
      <c r="A1535" t="s">
        <v>5711</v>
      </c>
      <c r="B1535" t="s">
        <v>311</v>
      </c>
      <c r="C1535" t="s">
        <v>1980</v>
      </c>
      <c r="D1535" t="s">
        <v>5652</v>
      </c>
      <c r="E1535" t="s">
        <v>5024</v>
      </c>
      <c r="F1535" s="23">
        <v>44346</v>
      </c>
      <c r="G1535" s="1">
        <v>17248</v>
      </c>
    </row>
    <row r="1536" spans="1:7">
      <c r="A1536" t="s">
        <v>5711</v>
      </c>
      <c r="B1536" t="s">
        <v>135</v>
      </c>
      <c r="C1536" t="s">
        <v>394</v>
      </c>
      <c r="D1536" t="s">
        <v>393</v>
      </c>
      <c r="E1536" t="s">
        <v>5025</v>
      </c>
      <c r="F1536" s="23">
        <v>44346</v>
      </c>
      <c r="G1536" s="1">
        <v>12378</v>
      </c>
    </row>
    <row r="1537" spans="1:7">
      <c r="A1537" t="s">
        <v>5711</v>
      </c>
      <c r="B1537" t="s">
        <v>298</v>
      </c>
      <c r="C1537" t="s">
        <v>3245</v>
      </c>
      <c r="D1537" t="s">
        <v>3461</v>
      </c>
      <c r="E1537" t="s">
        <v>5026</v>
      </c>
      <c r="F1537" s="23">
        <v>44514</v>
      </c>
      <c r="G1537" s="1">
        <v>923</v>
      </c>
    </row>
    <row r="1538" spans="1:7">
      <c r="A1538" t="s">
        <v>5711</v>
      </c>
      <c r="B1538" t="s">
        <v>94</v>
      </c>
      <c r="C1538" t="s">
        <v>2957</v>
      </c>
      <c r="D1538" t="s">
        <v>2956</v>
      </c>
      <c r="E1538" t="s">
        <v>5027</v>
      </c>
      <c r="F1538" s="23">
        <v>44346</v>
      </c>
      <c r="G1538" s="1">
        <v>17663</v>
      </c>
    </row>
    <row r="1539" spans="1:7">
      <c r="A1539" t="s">
        <v>5711</v>
      </c>
      <c r="B1539" t="s">
        <v>68</v>
      </c>
      <c r="C1539" t="s">
        <v>128</v>
      </c>
      <c r="D1539" t="s">
        <v>127</v>
      </c>
      <c r="E1539" t="s">
        <v>5028</v>
      </c>
      <c r="F1539" s="23">
        <v>44346</v>
      </c>
      <c r="G1539" s="1">
        <v>15542</v>
      </c>
    </row>
    <row r="1540" spans="1:7">
      <c r="A1540" t="s">
        <v>5711</v>
      </c>
      <c r="B1540" t="s">
        <v>208</v>
      </c>
      <c r="C1540" t="s">
        <v>327</v>
      </c>
      <c r="D1540" t="s">
        <v>326</v>
      </c>
      <c r="E1540" t="s">
        <v>5029</v>
      </c>
      <c r="F1540" s="23">
        <v>45068</v>
      </c>
      <c r="G1540" s="1">
        <v>6148</v>
      </c>
    </row>
    <row r="1541" spans="1:7">
      <c r="A1541" t="s">
        <v>5711</v>
      </c>
      <c r="B1541" t="s">
        <v>233</v>
      </c>
      <c r="C1541" t="s">
        <v>2966</v>
      </c>
      <c r="D1541" t="s">
        <v>2965</v>
      </c>
      <c r="E1541" t="s">
        <v>5030</v>
      </c>
      <c r="F1541" s="23">
        <v>44662</v>
      </c>
      <c r="G1541" s="1">
        <v>8862</v>
      </c>
    </row>
    <row r="1542" spans="1:7">
      <c r="A1542" t="s">
        <v>5711</v>
      </c>
      <c r="B1542" t="s">
        <v>94</v>
      </c>
      <c r="C1542" t="s">
        <v>3021</v>
      </c>
      <c r="D1542" t="s">
        <v>5653</v>
      </c>
      <c r="E1542" t="s">
        <v>5031</v>
      </c>
      <c r="F1542" s="23">
        <v>45068</v>
      </c>
      <c r="G1542" s="1">
        <v>9466</v>
      </c>
    </row>
    <row r="1543" spans="1:7">
      <c r="A1543" t="s">
        <v>5711</v>
      </c>
      <c r="B1543" t="s">
        <v>106</v>
      </c>
      <c r="C1543" t="s">
        <v>2226</v>
      </c>
      <c r="D1543" t="s">
        <v>3219</v>
      </c>
      <c r="E1543" t="s">
        <v>5032</v>
      </c>
      <c r="F1543" s="23">
        <v>44346</v>
      </c>
      <c r="G1543" s="1">
        <v>17570</v>
      </c>
    </row>
    <row r="1544" spans="1:7">
      <c r="A1544" t="s">
        <v>5711</v>
      </c>
      <c r="B1544" t="s">
        <v>174</v>
      </c>
      <c r="C1544" t="s">
        <v>1695</v>
      </c>
      <c r="D1544" t="s">
        <v>1694</v>
      </c>
      <c r="E1544" t="s">
        <v>5033</v>
      </c>
      <c r="F1544" s="23">
        <v>44530</v>
      </c>
      <c r="G1544" s="1">
        <v>1641</v>
      </c>
    </row>
    <row r="1545" spans="1:7">
      <c r="A1545" t="s">
        <v>5711</v>
      </c>
      <c r="B1545" t="s">
        <v>43</v>
      </c>
      <c r="C1545" t="s">
        <v>1138</v>
      </c>
      <c r="D1545" t="s">
        <v>5654</v>
      </c>
      <c r="E1545" t="s">
        <v>5034</v>
      </c>
      <c r="F1545" s="23">
        <v>44643</v>
      </c>
      <c r="G1545" s="1">
        <v>11689</v>
      </c>
    </row>
    <row r="1546" spans="1:7">
      <c r="A1546" t="s">
        <v>5711</v>
      </c>
      <c r="B1546" t="s">
        <v>106</v>
      </c>
      <c r="C1546" t="s">
        <v>2821</v>
      </c>
      <c r="D1546" t="s">
        <v>2820</v>
      </c>
      <c r="E1546" t="s">
        <v>5035</v>
      </c>
      <c r="F1546" s="23">
        <v>44346</v>
      </c>
      <c r="G1546" s="1">
        <v>14848</v>
      </c>
    </row>
    <row r="1547" spans="1:7">
      <c r="A1547" t="s">
        <v>5711</v>
      </c>
      <c r="B1547" t="s">
        <v>106</v>
      </c>
      <c r="C1547" t="s">
        <v>2334</v>
      </c>
      <c r="D1547" t="s">
        <v>2333</v>
      </c>
      <c r="E1547" t="s">
        <v>5036</v>
      </c>
      <c r="F1547" s="23">
        <v>44346</v>
      </c>
      <c r="G1547" s="1">
        <v>7621</v>
      </c>
    </row>
    <row r="1548" spans="1:7">
      <c r="A1548" t="s">
        <v>5711</v>
      </c>
      <c r="B1548" t="s">
        <v>94</v>
      </c>
      <c r="C1548" t="s">
        <v>3486</v>
      </c>
      <c r="D1548" t="s">
        <v>840</v>
      </c>
      <c r="E1548" t="s">
        <v>5037</v>
      </c>
      <c r="F1548" s="23">
        <v>44856</v>
      </c>
      <c r="G1548" s="1">
        <v>2738</v>
      </c>
    </row>
    <row r="1549" spans="1:7">
      <c r="A1549" t="s">
        <v>5711</v>
      </c>
      <c r="B1549" t="s">
        <v>78</v>
      </c>
      <c r="C1549" t="s">
        <v>1169</v>
      </c>
      <c r="D1549" t="s">
        <v>1168</v>
      </c>
      <c r="E1549" t="s">
        <v>5038</v>
      </c>
      <c r="F1549" s="23">
        <v>44346</v>
      </c>
      <c r="G1549" s="1">
        <v>18515</v>
      </c>
    </row>
    <row r="1550" spans="1:7">
      <c r="A1550" t="s">
        <v>5711</v>
      </c>
      <c r="B1550" t="s">
        <v>106</v>
      </c>
      <c r="C1550" t="s">
        <v>2130</v>
      </c>
      <c r="D1550" t="s">
        <v>2129</v>
      </c>
      <c r="E1550" t="s">
        <v>5039</v>
      </c>
      <c r="F1550" s="23">
        <v>44346</v>
      </c>
      <c r="G1550" s="1">
        <v>18531</v>
      </c>
    </row>
    <row r="1551" spans="1:7">
      <c r="A1551" t="s">
        <v>5711</v>
      </c>
      <c r="B1551" t="s">
        <v>101</v>
      </c>
      <c r="C1551" t="s">
        <v>179</v>
      </c>
      <c r="D1551" t="s">
        <v>178</v>
      </c>
      <c r="E1551" t="s">
        <v>5040</v>
      </c>
      <c r="F1551" s="23">
        <v>44346</v>
      </c>
      <c r="G1551" s="1">
        <v>13212</v>
      </c>
    </row>
    <row r="1552" spans="1:7">
      <c r="A1552" t="s">
        <v>5711</v>
      </c>
      <c r="B1552" t="s">
        <v>94</v>
      </c>
      <c r="C1552" t="s">
        <v>3188</v>
      </c>
      <c r="D1552" t="s">
        <v>3187</v>
      </c>
      <c r="E1552" t="s">
        <v>5041</v>
      </c>
      <c r="F1552" s="23">
        <v>44427</v>
      </c>
      <c r="G1552" s="1">
        <v>8571</v>
      </c>
    </row>
    <row r="1553" spans="1:7">
      <c r="A1553" t="s">
        <v>5711</v>
      </c>
      <c r="B1553" t="s">
        <v>298</v>
      </c>
      <c r="C1553" t="s">
        <v>2470</v>
      </c>
      <c r="D1553" t="s">
        <v>2469</v>
      </c>
      <c r="E1553" t="s">
        <v>5042</v>
      </c>
      <c r="F1553" s="23">
        <v>44346</v>
      </c>
      <c r="G1553" s="1">
        <v>19606</v>
      </c>
    </row>
    <row r="1554" spans="1:7">
      <c r="A1554" t="s">
        <v>5711</v>
      </c>
      <c r="B1554" t="s">
        <v>106</v>
      </c>
      <c r="C1554" t="s">
        <v>3131</v>
      </c>
      <c r="D1554" t="s">
        <v>3130</v>
      </c>
      <c r="E1554" t="s">
        <v>5043</v>
      </c>
      <c r="F1554" s="23">
        <v>44346</v>
      </c>
      <c r="G1554" s="1">
        <v>14423</v>
      </c>
    </row>
    <row r="1555" spans="1:7">
      <c r="A1555" t="s">
        <v>5711</v>
      </c>
      <c r="B1555" t="s">
        <v>311</v>
      </c>
      <c r="C1555" t="s">
        <v>201</v>
      </c>
      <c r="D1555" t="s">
        <v>2321</v>
      </c>
      <c r="E1555" t="s">
        <v>5044</v>
      </c>
      <c r="F1555" s="23">
        <v>44346</v>
      </c>
      <c r="G1555" s="1">
        <v>1573</v>
      </c>
    </row>
    <row r="1556" spans="1:7">
      <c r="A1556" t="s">
        <v>5711</v>
      </c>
      <c r="B1556" t="s">
        <v>106</v>
      </c>
      <c r="C1556" t="s">
        <v>2853</v>
      </c>
      <c r="D1556" t="s">
        <v>2852</v>
      </c>
      <c r="E1556" t="s">
        <v>5045</v>
      </c>
      <c r="F1556" s="23">
        <v>44346</v>
      </c>
      <c r="G1556" s="1">
        <v>14589</v>
      </c>
    </row>
    <row r="1557" spans="1:7">
      <c r="A1557" t="s">
        <v>5711</v>
      </c>
      <c r="B1557" t="s">
        <v>303</v>
      </c>
      <c r="C1557" t="s">
        <v>302</v>
      </c>
      <c r="D1557" t="s">
        <v>301</v>
      </c>
      <c r="E1557" t="s">
        <v>5046</v>
      </c>
      <c r="F1557" s="23">
        <v>44346</v>
      </c>
      <c r="G1557" s="1">
        <v>18010</v>
      </c>
    </row>
    <row r="1558" spans="1:7">
      <c r="A1558" t="s">
        <v>5711</v>
      </c>
      <c r="B1558" t="s">
        <v>94</v>
      </c>
      <c r="C1558" t="s">
        <v>2810</v>
      </c>
      <c r="D1558" t="s">
        <v>2809</v>
      </c>
      <c r="E1558" t="s">
        <v>5047</v>
      </c>
      <c r="F1558" s="23">
        <v>45009</v>
      </c>
      <c r="G1558" s="1">
        <v>2694</v>
      </c>
    </row>
    <row r="1559" spans="1:7">
      <c r="A1559" t="s">
        <v>5711</v>
      </c>
      <c r="B1559" t="s">
        <v>298</v>
      </c>
      <c r="C1559" t="s">
        <v>2210</v>
      </c>
      <c r="D1559" t="s">
        <v>3225</v>
      </c>
      <c r="E1559" t="s">
        <v>5048</v>
      </c>
      <c r="F1559" s="23">
        <v>44675</v>
      </c>
      <c r="G1559" s="1">
        <v>7433</v>
      </c>
    </row>
    <row r="1560" spans="1:7">
      <c r="A1560" t="s">
        <v>5711</v>
      </c>
      <c r="B1560" t="s">
        <v>101</v>
      </c>
      <c r="C1560" t="s">
        <v>440</v>
      </c>
      <c r="D1560" t="s">
        <v>439</v>
      </c>
      <c r="E1560" t="s">
        <v>5049</v>
      </c>
      <c r="F1560" s="23">
        <v>44346</v>
      </c>
      <c r="G1560" s="1">
        <v>6932</v>
      </c>
    </row>
    <row r="1561" spans="1:7">
      <c r="A1561" t="s">
        <v>5711</v>
      </c>
      <c r="B1561" t="s">
        <v>122</v>
      </c>
      <c r="C1561" t="s">
        <v>1413</v>
      </c>
      <c r="D1561" t="s">
        <v>5655</v>
      </c>
      <c r="E1561" t="s">
        <v>5050</v>
      </c>
      <c r="F1561" s="23">
        <v>44346</v>
      </c>
      <c r="G1561" s="1">
        <v>12553</v>
      </c>
    </row>
    <row r="1562" spans="1:7">
      <c r="A1562" t="s">
        <v>5711</v>
      </c>
      <c r="B1562" t="s">
        <v>94</v>
      </c>
      <c r="C1562" t="s">
        <v>2375</v>
      </c>
      <c r="D1562" t="s">
        <v>2374</v>
      </c>
      <c r="E1562" t="s">
        <v>5051</v>
      </c>
      <c r="F1562" s="23">
        <v>44928</v>
      </c>
      <c r="G1562" s="1">
        <v>1645</v>
      </c>
    </row>
    <row r="1563" spans="1:7">
      <c r="A1563" t="s">
        <v>5711</v>
      </c>
      <c r="B1563" t="s">
        <v>37</v>
      </c>
      <c r="C1563" t="s">
        <v>1042</v>
      </c>
      <c r="D1563" t="s">
        <v>1041</v>
      </c>
      <c r="E1563" t="s">
        <v>5052</v>
      </c>
      <c r="F1563" s="23">
        <v>44619</v>
      </c>
      <c r="G1563" s="1">
        <v>8505</v>
      </c>
    </row>
    <row r="1564" spans="1:7">
      <c r="A1564" t="s">
        <v>5711</v>
      </c>
      <c r="B1564" t="s">
        <v>37</v>
      </c>
      <c r="C1564" t="s">
        <v>1067</v>
      </c>
      <c r="D1564" t="s">
        <v>1066</v>
      </c>
      <c r="E1564" t="s">
        <v>5053</v>
      </c>
      <c r="F1564" s="23">
        <v>44402</v>
      </c>
      <c r="G1564" s="1">
        <v>2253</v>
      </c>
    </row>
    <row r="1565" spans="1:7">
      <c r="A1565" t="s">
        <v>5711</v>
      </c>
      <c r="B1565" t="s">
        <v>94</v>
      </c>
      <c r="D1565" t="s">
        <v>5656</v>
      </c>
      <c r="E1565" t="s">
        <v>5054</v>
      </c>
      <c r="F1565" s="23">
        <v>44346</v>
      </c>
      <c r="G1565" s="1">
        <v>3256</v>
      </c>
    </row>
    <row r="1566" spans="1:7">
      <c r="A1566" t="s">
        <v>5711</v>
      </c>
      <c r="B1566" t="s">
        <v>298</v>
      </c>
      <c r="C1566" t="s">
        <v>2281</v>
      </c>
      <c r="D1566" t="s">
        <v>3314</v>
      </c>
      <c r="E1566" t="s">
        <v>5055</v>
      </c>
      <c r="F1566" s="23">
        <v>44587</v>
      </c>
      <c r="G1566" s="1">
        <v>4492</v>
      </c>
    </row>
    <row r="1567" spans="1:7">
      <c r="A1567" t="s">
        <v>5711</v>
      </c>
      <c r="B1567" t="s">
        <v>233</v>
      </c>
      <c r="C1567" t="s">
        <v>863</v>
      </c>
      <c r="D1567" t="s">
        <v>862</v>
      </c>
      <c r="E1567" t="s">
        <v>5056</v>
      </c>
      <c r="F1567" s="23">
        <v>44710</v>
      </c>
      <c r="G1567" s="1">
        <v>6291</v>
      </c>
    </row>
    <row r="1568" spans="1:7">
      <c r="A1568" t="s">
        <v>5711</v>
      </c>
      <c r="B1568" t="s">
        <v>298</v>
      </c>
      <c r="C1568" t="s">
        <v>3210</v>
      </c>
      <c r="D1568" t="s">
        <v>3209</v>
      </c>
      <c r="E1568" t="s">
        <v>5057</v>
      </c>
      <c r="F1568" s="23">
        <v>44346</v>
      </c>
      <c r="G1568" s="1">
        <v>14813</v>
      </c>
    </row>
    <row r="1569" spans="1:7">
      <c r="A1569" t="s">
        <v>5711</v>
      </c>
      <c r="B1569" t="s">
        <v>94</v>
      </c>
      <c r="C1569" t="s">
        <v>2826</v>
      </c>
      <c r="D1569" t="s">
        <v>2825</v>
      </c>
      <c r="E1569" t="s">
        <v>5058</v>
      </c>
      <c r="F1569" s="23">
        <v>44528</v>
      </c>
      <c r="G1569" s="1">
        <v>4926</v>
      </c>
    </row>
    <row r="1570" spans="1:7">
      <c r="A1570" t="s">
        <v>5711</v>
      </c>
      <c r="B1570" t="s">
        <v>43</v>
      </c>
      <c r="C1570" t="s">
        <v>82</v>
      </c>
      <c r="D1570" t="s">
        <v>81</v>
      </c>
      <c r="E1570" t="s">
        <v>5059</v>
      </c>
      <c r="F1570" s="23">
        <v>44346</v>
      </c>
      <c r="G1570" s="1">
        <v>17447</v>
      </c>
    </row>
    <row r="1571" spans="1:7">
      <c r="A1571" t="s">
        <v>5711</v>
      </c>
      <c r="B1571" t="s">
        <v>101</v>
      </c>
      <c r="C1571" t="s">
        <v>221</v>
      </c>
      <c r="D1571" t="s">
        <v>220</v>
      </c>
      <c r="E1571" t="s">
        <v>5060</v>
      </c>
      <c r="F1571" s="23">
        <v>44346</v>
      </c>
      <c r="G1571" s="1">
        <v>9616</v>
      </c>
    </row>
    <row r="1572" spans="1:7">
      <c r="A1572" t="s">
        <v>5711</v>
      </c>
      <c r="B1572" t="s">
        <v>94</v>
      </c>
      <c r="C1572" t="s">
        <v>2745</v>
      </c>
      <c r="D1572" t="s">
        <v>2744</v>
      </c>
      <c r="E1572" t="s">
        <v>5061</v>
      </c>
      <c r="F1572" s="23">
        <v>44346</v>
      </c>
      <c r="G1572" s="1">
        <v>13271</v>
      </c>
    </row>
    <row r="1573" spans="1:7">
      <c r="A1573" t="s">
        <v>5711</v>
      </c>
      <c r="B1573" t="s">
        <v>37</v>
      </c>
      <c r="C1573" t="s">
        <v>585</v>
      </c>
      <c r="D1573" t="s">
        <v>584</v>
      </c>
      <c r="E1573" t="s">
        <v>5062</v>
      </c>
      <c r="F1573" s="23">
        <v>44346</v>
      </c>
      <c r="G1573" s="1">
        <v>19165</v>
      </c>
    </row>
    <row r="1574" spans="1:7">
      <c r="A1574" t="s">
        <v>5711</v>
      </c>
      <c r="B1574" t="s">
        <v>37</v>
      </c>
      <c r="C1574" t="s">
        <v>486</v>
      </c>
      <c r="D1574" t="s">
        <v>485</v>
      </c>
      <c r="E1574" t="s">
        <v>5063</v>
      </c>
      <c r="F1574" s="23">
        <v>44886</v>
      </c>
      <c r="G1574" s="1">
        <v>10037</v>
      </c>
    </row>
    <row r="1575" spans="1:7">
      <c r="A1575" t="s">
        <v>5711</v>
      </c>
      <c r="B1575" t="s">
        <v>311</v>
      </c>
      <c r="C1575" t="s">
        <v>1236</v>
      </c>
      <c r="D1575" t="s">
        <v>1235</v>
      </c>
      <c r="E1575" t="s">
        <v>5064</v>
      </c>
      <c r="F1575" s="23">
        <v>44346</v>
      </c>
      <c r="G1575" s="1">
        <v>16469</v>
      </c>
    </row>
    <row r="1576" spans="1:7">
      <c r="A1576" t="s">
        <v>5711</v>
      </c>
      <c r="B1576" t="s">
        <v>1223</v>
      </c>
      <c r="C1576" t="s">
        <v>2351</v>
      </c>
      <c r="D1576" t="s">
        <v>2350</v>
      </c>
      <c r="E1576" t="s">
        <v>5065</v>
      </c>
      <c r="F1576" s="23">
        <v>44346</v>
      </c>
      <c r="G1576" s="1">
        <v>11791</v>
      </c>
    </row>
    <row r="1577" spans="1:7">
      <c r="A1577" t="s">
        <v>5711</v>
      </c>
      <c r="B1577" t="s">
        <v>94</v>
      </c>
      <c r="C1577" t="s">
        <v>3177</v>
      </c>
      <c r="D1577" t="s">
        <v>3176</v>
      </c>
      <c r="E1577" t="s">
        <v>5066</v>
      </c>
      <c r="F1577" s="23">
        <v>44848</v>
      </c>
      <c r="G1577" s="1">
        <v>9696</v>
      </c>
    </row>
    <row r="1578" spans="1:7">
      <c r="A1578" t="s">
        <v>5711</v>
      </c>
      <c r="B1578" t="s">
        <v>94</v>
      </c>
      <c r="C1578" t="s">
        <v>2097</v>
      </c>
      <c r="D1578" t="s">
        <v>2096</v>
      </c>
      <c r="E1578" t="s">
        <v>5067</v>
      </c>
      <c r="F1578" s="23">
        <v>44346</v>
      </c>
      <c r="G1578" s="1">
        <v>2068</v>
      </c>
    </row>
    <row r="1579" spans="1:7">
      <c r="A1579" t="s">
        <v>5711</v>
      </c>
      <c r="B1579" t="s">
        <v>61</v>
      </c>
      <c r="C1579" t="s">
        <v>60</v>
      </c>
      <c r="D1579" t="s">
        <v>59</v>
      </c>
      <c r="E1579" t="s">
        <v>5068</v>
      </c>
      <c r="F1579" s="23">
        <v>45044</v>
      </c>
      <c r="G1579" s="1">
        <v>8442</v>
      </c>
    </row>
    <row r="1580" spans="1:7">
      <c r="A1580" t="s">
        <v>5711</v>
      </c>
      <c r="B1580" t="s">
        <v>233</v>
      </c>
      <c r="C1580" t="s">
        <v>3135</v>
      </c>
      <c r="D1580" t="s">
        <v>3134</v>
      </c>
      <c r="E1580" t="s">
        <v>5069</v>
      </c>
      <c r="F1580" s="23">
        <v>44346</v>
      </c>
      <c r="G1580" s="1">
        <v>16644</v>
      </c>
    </row>
    <row r="1581" spans="1:7">
      <c r="A1581" t="s">
        <v>5711</v>
      </c>
      <c r="B1581" t="s">
        <v>208</v>
      </c>
      <c r="C1581" t="s">
        <v>1459</v>
      </c>
      <c r="D1581" t="s">
        <v>1458</v>
      </c>
      <c r="E1581" t="s">
        <v>5070</v>
      </c>
      <c r="F1581" s="23">
        <v>44346</v>
      </c>
      <c r="G1581" s="1">
        <v>17723</v>
      </c>
    </row>
    <row r="1582" spans="1:7">
      <c r="A1582" t="s">
        <v>5711</v>
      </c>
      <c r="B1582" t="s">
        <v>135</v>
      </c>
      <c r="C1582" t="s">
        <v>1824</v>
      </c>
      <c r="D1582" t="s">
        <v>1823</v>
      </c>
      <c r="E1582" t="s">
        <v>5071</v>
      </c>
      <c r="F1582" s="23">
        <v>44346</v>
      </c>
      <c r="G1582" s="1">
        <v>13311</v>
      </c>
    </row>
    <row r="1583" spans="1:7">
      <c r="A1583" t="s">
        <v>5711</v>
      </c>
      <c r="B1583" t="s">
        <v>298</v>
      </c>
      <c r="C1583" t="s">
        <v>3375</v>
      </c>
      <c r="D1583" t="s">
        <v>3374</v>
      </c>
      <c r="E1583" t="s">
        <v>5072</v>
      </c>
      <c r="F1583" s="23">
        <v>44633</v>
      </c>
      <c r="G1583" s="1">
        <v>9005</v>
      </c>
    </row>
    <row r="1584" spans="1:7">
      <c r="A1584" t="s">
        <v>5711</v>
      </c>
      <c r="B1584" t="s">
        <v>298</v>
      </c>
      <c r="C1584" t="s">
        <v>297</v>
      </c>
      <c r="D1584" t="s">
        <v>2985</v>
      </c>
      <c r="E1584" t="s">
        <v>5073</v>
      </c>
      <c r="F1584" s="23">
        <v>44346</v>
      </c>
      <c r="G1584" s="1">
        <v>17932</v>
      </c>
    </row>
    <row r="1585" spans="1:7">
      <c r="A1585" t="s">
        <v>5711</v>
      </c>
      <c r="B1585" t="s">
        <v>106</v>
      </c>
      <c r="C1585" t="s">
        <v>2527</v>
      </c>
      <c r="D1585" t="s">
        <v>2526</v>
      </c>
      <c r="E1585" t="s">
        <v>5074</v>
      </c>
      <c r="F1585" s="23">
        <v>44690</v>
      </c>
      <c r="G1585" s="1">
        <v>1846</v>
      </c>
    </row>
    <row r="1586" spans="1:7">
      <c r="A1586" t="s">
        <v>5711</v>
      </c>
      <c r="B1586" t="s">
        <v>1699</v>
      </c>
      <c r="C1586" t="s">
        <v>442</v>
      </c>
      <c r="D1586" t="s">
        <v>1698</v>
      </c>
      <c r="E1586" t="s">
        <v>5075</v>
      </c>
      <c r="F1586" s="23">
        <v>44346</v>
      </c>
      <c r="G1586" s="1">
        <v>2829</v>
      </c>
    </row>
    <row r="1587" spans="1:7">
      <c r="A1587" t="s">
        <v>5711</v>
      </c>
      <c r="B1587" t="s">
        <v>298</v>
      </c>
      <c r="C1587" t="s">
        <v>3040</v>
      </c>
      <c r="D1587" t="s">
        <v>3039</v>
      </c>
      <c r="E1587" t="s">
        <v>5076</v>
      </c>
      <c r="F1587" s="23">
        <v>44346</v>
      </c>
      <c r="G1587" s="1">
        <v>17263</v>
      </c>
    </row>
    <row r="1588" spans="1:7">
      <c r="A1588" t="s">
        <v>5711</v>
      </c>
      <c r="B1588" t="s">
        <v>298</v>
      </c>
      <c r="C1588" t="s">
        <v>1513</v>
      </c>
      <c r="D1588" t="s">
        <v>1512</v>
      </c>
      <c r="E1588" t="s">
        <v>5077</v>
      </c>
      <c r="F1588" s="23">
        <v>44652</v>
      </c>
      <c r="G1588" s="1">
        <v>6505</v>
      </c>
    </row>
    <row r="1589" spans="1:7">
      <c r="A1589" t="s">
        <v>5711</v>
      </c>
      <c r="B1589" t="s">
        <v>94</v>
      </c>
      <c r="C1589" t="s">
        <v>2599</v>
      </c>
      <c r="D1589" t="s">
        <v>2598</v>
      </c>
      <c r="E1589" t="s">
        <v>5078</v>
      </c>
      <c r="F1589" s="23">
        <v>44430</v>
      </c>
      <c r="G1589" s="1">
        <v>7755</v>
      </c>
    </row>
    <row r="1590" spans="1:7">
      <c r="A1590" t="s">
        <v>5711</v>
      </c>
      <c r="B1590" t="s">
        <v>94</v>
      </c>
      <c r="C1590" t="s">
        <v>2134</v>
      </c>
      <c r="D1590" t="s">
        <v>2133</v>
      </c>
      <c r="E1590" t="s">
        <v>5079</v>
      </c>
      <c r="F1590" s="23">
        <v>44346</v>
      </c>
      <c r="G1590" s="1">
        <v>15476</v>
      </c>
    </row>
    <row r="1591" spans="1:7">
      <c r="A1591" t="s">
        <v>5711</v>
      </c>
      <c r="B1591" t="s">
        <v>43</v>
      </c>
      <c r="C1591" t="s">
        <v>741</v>
      </c>
      <c r="D1591" t="s">
        <v>740</v>
      </c>
      <c r="E1591" t="s">
        <v>5080</v>
      </c>
      <c r="F1591" s="23">
        <v>44513</v>
      </c>
      <c r="G1591" s="1">
        <v>7785</v>
      </c>
    </row>
    <row r="1592" spans="1:7">
      <c r="A1592" t="s">
        <v>5711</v>
      </c>
      <c r="B1592" t="s">
        <v>94</v>
      </c>
      <c r="C1592" t="s">
        <v>3486</v>
      </c>
      <c r="D1592" t="s">
        <v>1083</v>
      </c>
      <c r="E1592" t="s">
        <v>5081</v>
      </c>
      <c r="F1592" s="23">
        <v>44644</v>
      </c>
      <c r="G1592" s="1">
        <v>5132</v>
      </c>
    </row>
    <row r="1593" spans="1:7">
      <c r="A1593" t="s">
        <v>5711</v>
      </c>
      <c r="B1593" t="s">
        <v>106</v>
      </c>
      <c r="D1593" t="s">
        <v>2950</v>
      </c>
      <c r="E1593" t="s">
        <v>5082</v>
      </c>
      <c r="F1593" s="23">
        <v>44725</v>
      </c>
      <c r="G1593" s="1">
        <v>5225</v>
      </c>
    </row>
    <row r="1594" spans="1:7">
      <c r="A1594" t="s">
        <v>5711</v>
      </c>
      <c r="B1594" t="s">
        <v>654</v>
      </c>
      <c r="C1594" t="s">
        <v>653</v>
      </c>
      <c r="D1594" t="s">
        <v>5657</v>
      </c>
      <c r="E1594" t="s">
        <v>5083</v>
      </c>
      <c r="F1594" s="23">
        <v>44346</v>
      </c>
      <c r="G1594" s="1">
        <v>13108</v>
      </c>
    </row>
    <row r="1595" spans="1:7">
      <c r="A1595" t="s">
        <v>5711</v>
      </c>
      <c r="B1595" t="s">
        <v>298</v>
      </c>
      <c r="C1595" t="s">
        <v>2842</v>
      </c>
      <c r="D1595" t="s">
        <v>2841</v>
      </c>
      <c r="E1595" t="s">
        <v>5084</v>
      </c>
      <c r="F1595" s="23">
        <v>44759</v>
      </c>
      <c r="G1595" s="1">
        <v>5421</v>
      </c>
    </row>
    <row r="1596" spans="1:7">
      <c r="A1596" t="s">
        <v>5711</v>
      </c>
      <c r="B1596" t="s">
        <v>106</v>
      </c>
      <c r="C1596" t="s">
        <v>2863</v>
      </c>
      <c r="D1596" t="s">
        <v>2862</v>
      </c>
      <c r="E1596" t="s">
        <v>5085</v>
      </c>
      <c r="F1596" s="23">
        <v>44513</v>
      </c>
      <c r="G1596" s="1">
        <v>11919</v>
      </c>
    </row>
    <row r="1597" spans="1:7">
      <c r="A1597" t="s">
        <v>5711</v>
      </c>
      <c r="B1597" t="s">
        <v>106</v>
      </c>
      <c r="D1597" t="s">
        <v>2554</v>
      </c>
      <c r="E1597" t="s">
        <v>5086</v>
      </c>
      <c r="F1597" s="23">
        <v>44346</v>
      </c>
      <c r="G1597" s="1">
        <v>17582</v>
      </c>
    </row>
    <row r="1598" spans="1:7">
      <c r="A1598" t="s">
        <v>5711</v>
      </c>
      <c r="B1598" t="s">
        <v>37</v>
      </c>
      <c r="C1598" t="s">
        <v>1090</v>
      </c>
      <c r="D1598" t="s">
        <v>1089</v>
      </c>
      <c r="E1598" t="s">
        <v>5087</v>
      </c>
      <c r="F1598" s="23">
        <v>44776</v>
      </c>
      <c r="G1598" s="1">
        <v>3481</v>
      </c>
    </row>
    <row r="1599" spans="1:7">
      <c r="A1599" t="s">
        <v>5711</v>
      </c>
      <c r="B1599" t="s">
        <v>94</v>
      </c>
      <c r="C1599" t="s">
        <v>2345</v>
      </c>
      <c r="D1599" t="s">
        <v>2344</v>
      </c>
      <c r="E1599" t="s">
        <v>5088</v>
      </c>
      <c r="F1599" s="23">
        <v>44346</v>
      </c>
      <c r="G1599" s="1">
        <v>6066</v>
      </c>
    </row>
    <row r="1600" spans="1:7">
      <c r="A1600" t="s">
        <v>5711</v>
      </c>
      <c r="B1600" t="s">
        <v>94</v>
      </c>
      <c r="C1600" t="s">
        <v>2425</v>
      </c>
      <c r="D1600" t="s">
        <v>2424</v>
      </c>
      <c r="E1600" t="s">
        <v>5089</v>
      </c>
      <c r="F1600" s="23">
        <v>44761</v>
      </c>
      <c r="G1600" s="1">
        <v>4425</v>
      </c>
    </row>
    <row r="1601" spans="1:7">
      <c r="A1601" t="s">
        <v>5711</v>
      </c>
      <c r="B1601" t="s">
        <v>94</v>
      </c>
      <c r="C1601" t="s">
        <v>2212</v>
      </c>
      <c r="D1601" t="s">
        <v>2211</v>
      </c>
      <c r="E1601" t="s">
        <v>5090</v>
      </c>
      <c r="F1601" s="23">
        <v>44346</v>
      </c>
      <c r="G1601" s="1">
        <v>17044</v>
      </c>
    </row>
    <row r="1602" spans="1:7">
      <c r="A1602" t="s">
        <v>5711</v>
      </c>
      <c r="B1602" t="s">
        <v>94</v>
      </c>
      <c r="C1602" t="s">
        <v>3486</v>
      </c>
      <c r="D1602" t="s">
        <v>583</v>
      </c>
      <c r="E1602" t="s">
        <v>5091</v>
      </c>
      <c r="F1602" s="23">
        <v>44783</v>
      </c>
      <c r="G1602" s="1">
        <v>5189</v>
      </c>
    </row>
    <row r="1603" spans="1:7">
      <c r="A1603" t="s">
        <v>5711</v>
      </c>
      <c r="B1603" t="s">
        <v>311</v>
      </c>
      <c r="C1603" t="s">
        <v>3204</v>
      </c>
      <c r="D1603" t="s">
        <v>3203</v>
      </c>
      <c r="E1603" t="s">
        <v>5092</v>
      </c>
      <c r="F1603" s="23">
        <v>44736</v>
      </c>
      <c r="G1603" s="1">
        <v>6519</v>
      </c>
    </row>
    <row r="1604" spans="1:7">
      <c r="A1604" t="s">
        <v>5711</v>
      </c>
      <c r="B1604" t="s">
        <v>43</v>
      </c>
      <c r="C1604" t="s">
        <v>1515</v>
      </c>
      <c r="D1604" t="s">
        <v>1514</v>
      </c>
      <c r="E1604" t="s">
        <v>5093</v>
      </c>
      <c r="F1604" s="23">
        <v>44508</v>
      </c>
      <c r="G1604" s="1">
        <v>7680</v>
      </c>
    </row>
    <row r="1605" spans="1:7">
      <c r="A1605" t="s">
        <v>5711</v>
      </c>
      <c r="B1605" t="s">
        <v>106</v>
      </c>
      <c r="C1605" t="s">
        <v>2377</v>
      </c>
      <c r="D1605" t="s">
        <v>2376</v>
      </c>
      <c r="E1605" t="s">
        <v>5094</v>
      </c>
      <c r="F1605" s="23">
        <v>44346</v>
      </c>
      <c r="G1605" s="1">
        <v>19996</v>
      </c>
    </row>
    <row r="1606" spans="1:7">
      <c r="A1606" t="s">
        <v>5711</v>
      </c>
      <c r="B1606" t="s">
        <v>94</v>
      </c>
      <c r="D1606" t="s">
        <v>3316</v>
      </c>
      <c r="E1606" t="s">
        <v>5095</v>
      </c>
      <c r="F1606" s="23">
        <v>44346</v>
      </c>
      <c r="G1606" s="1">
        <v>7062</v>
      </c>
    </row>
    <row r="1607" spans="1:7">
      <c r="A1607" t="s">
        <v>5711</v>
      </c>
      <c r="B1607" t="s">
        <v>75</v>
      </c>
      <c r="C1607" t="s">
        <v>74</v>
      </c>
      <c r="D1607" t="s">
        <v>73</v>
      </c>
      <c r="E1607" t="s">
        <v>5096</v>
      </c>
      <c r="F1607" s="23">
        <v>44346</v>
      </c>
      <c r="G1607" s="1">
        <v>9465</v>
      </c>
    </row>
    <row r="1608" spans="1:7">
      <c r="A1608" t="s">
        <v>5711</v>
      </c>
      <c r="B1608" t="s">
        <v>94</v>
      </c>
      <c r="C1608" t="s">
        <v>3489</v>
      </c>
      <c r="D1608" t="s">
        <v>925</v>
      </c>
      <c r="E1608" t="s">
        <v>5097</v>
      </c>
      <c r="F1608" s="23">
        <v>44921</v>
      </c>
      <c r="G1608" s="1">
        <v>7455</v>
      </c>
    </row>
    <row r="1609" spans="1:7">
      <c r="A1609" t="s">
        <v>5711</v>
      </c>
      <c r="B1609" t="s">
        <v>94</v>
      </c>
      <c r="C1609" t="s">
        <v>3265</v>
      </c>
      <c r="D1609" t="s">
        <v>115</v>
      </c>
      <c r="E1609" t="s">
        <v>5098</v>
      </c>
      <c r="F1609" s="23">
        <v>44346</v>
      </c>
      <c r="G1609" s="1">
        <v>19779</v>
      </c>
    </row>
    <row r="1610" spans="1:7">
      <c r="A1610" t="s">
        <v>5711</v>
      </c>
      <c r="B1610" t="s">
        <v>94</v>
      </c>
      <c r="C1610" t="s">
        <v>3485</v>
      </c>
      <c r="D1610" t="s">
        <v>1768</v>
      </c>
      <c r="E1610" t="s">
        <v>5099</v>
      </c>
      <c r="F1610" s="23">
        <v>44615</v>
      </c>
      <c r="G1610" s="1">
        <v>9703</v>
      </c>
    </row>
    <row r="1611" spans="1:7">
      <c r="A1611" t="s">
        <v>5711</v>
      </c>
      <c r="B1611" t="s">
        <v>94</v>
      </c>
      <c r="C1611" t="s">
        <v>2427</v>
      </c>
      <c r="D1611" t="s">
        <v>2426</v>
      </c>
      <c r="E1611" t="s">
        <v>5100</v>
      </c>
      <c r="F1611" s="23">
        <v>44346</v>
      </c>
      <c r="G1611" s="1">
        <v>12603</v>
      </c>
    </row>
    <row r="1612" spans="1:7">
      <c r="A1612" t="s">
        <v>5711</v>
      </c>
      <c r="B1612" t="s">
        <v>281</v>
      </c>
      <c r="C1612" t="s">
        <v>1600</v>
      </c>
      <c r="D1612" t="s">
        <v>5658</v>
      </c>
      <c r="E1612" t="s">
        <v>5101</v>
      </c>
      <c r="F1612" s="23">
        <v>44433</v>
      </c>
      <c r="G1612" s="1">
        <v>5985</v>
      </c>
    </row>
    <row r="1613" spans="1:7">
      <c r="A1613" t="s">
        <v>5711</v>
      </c>
      <c r="B1613" t="s">
        <v>233</v>
      </c>
      <c r="C1613" t="s">
        <v>2018</v>
      </c>
      <c r="D1613" t="s">
        <v>2017</v>
      </c>
      <c r="E1613" t="s">
        <v>5102</v>
      </c>
      <c r="F1613" s="23">
        <v>44346</v>
      </c>
      <c r="G1613" s="1">
        <v>16306</v>
      </c>
    </row>
    <row r="1614" spans="1:7">
      <c r="A1614" t="s">
        <v>5711</v>
      </c>
      <c r="B1614" t="s">
        <v>94</v>
      </c>
      <c r="C1614" t="s">
        <v>3486</v>
      </c>
      <c r="D1614" t="s">
        <v>1537</v>
      </c>
      <c r="E1614" t="s">
        <v>5103</v>
      </c>
      <c r="F1614" s="23">
        <v>44694</v>
      </c>
      <c r="G1614" s="1">
        <v>1454</v>
      </c>
    </row>
    <row r="1615" spans="1:7">
      <c r="A1615" t="s">
        <v>5711</v>
      </c>
      <c r="B1615" t="s">
        <v>233</v>
      </c>
      <c r="C1615" t="s">
        <v>2175</v>
      </c>
      <c r="D1615" t="s">
        <v>2174</v>
      </c>
      <c r="E1615" t="s">
        <v>5104</v>
      </c>
      <c r="F1615" s="23">
        <v>44346</v>
      </c>
      <c r="G1615" s="1">
        <v>5702</v>
      </c>
    </row>
    <row r="1616" spans="1:7">
      <c r="A1616" t="s">
        <v>5711</v>
      </c>
      <c r="B1616" t="s">
        <v>101</v>
      </c>
      <c r="C1616" t="s">
        <v>758</v>
      </c>
      <c r="D1616" t="s">
        <v>757</v>
      </c>
      <c r="E1616" t="s">
        <v>5105</v>
      </c>
      <c r="F1616" s="23">
        <v>44833</v>
      </c>
      <c r="G1616" s="1">
        <v>1056</v>
      </c>
    </row>
    <row r="1617" spans="1:7">
      <c r="A1617" t="s">
        <v>5711</v>
      </c>
      <c r="B1617" t="s">
        <v>43</v>
      </c>
      <c r="C1617" t="s">
        <v>591</v>
      </c>
      <c r="D1617" t="s">
        <v>590</v>
      </c>
      <c r="E1617" t="s">
        <v>5106</v>
      </c>
      <c r="F1617" s="23">
        <v>44578</v>
      </c>
      <c r="G1617" s="1">
        <v>5078</v>
      </c>
    </row>
    <row r="1618" spans="1:7">
      <c r="A1618" t="s">
        <v>5711</v>
      </c>
      <c r="B1618" t="s">
        <v>94</v>
      </c>
      <c r="D1618" t="s">
        <v>2173</v>
      </c>
      <c r="E1618" t="s">
        <v>5107</v>
      </c>
      <c r="F1618" s="23">
        <v>44346</v>
      </c>
      <c r="G1618" s="1">
        <v>731</v>
      </c>
    </row>
    <row r="1619" spans="1:7">
      <c r="A1619" t="s">
        <v>5711</v>
      </c>
      <c r="B1619" t="s">
        <v>94</v>
      </c>
      <c r="C1619" t="s">
        <v>2480</v>
      </c>
      <c r="D1619" t="s">
        <v>2479</v>
      </c>
      <c r="E1619" t="s">
        <v>5108</v>
      </c>
      <c r="F1619" s="23">
        <v>44346</v>
      </c>
      <c r="G1619" s="1">
        <v>16946</v>
      </c>
    </row>
    <row r="1620" spans="1:7">
      <c r="A1620" t="s">
        <v>5711</v>
      </c>
      <c r="B1620" t="s">
        <v>233</v>
      </c>
      <c r="C1620" t="s">
        <v>2914</v>
      </c>
      <c r="D1620" t="s">
        <v>2913</v>
      </c>
      <c r="E1620" t="s">
        <v>5109</v>
      </c>
      <c r="F1620" s="23">
        <v>44346</v>
      </c>
      <c r="G1620" s="1">
        <v>13030</v>
      </c>
    </row>
    <row r="1621" spans="1:7">
      <c r="A1621" t="s">
        <v>5711</v>
      </c>
      <c r="B1621" t="s">
        <v>298</v>
      </c>
      <c r="C1621" t="s">
        <v>2454</v>
      </c>
      <c r="D1621" t="s">
        <v>2453</v>
      </c>
      <c r="E1621" t="s">
        <v>5110</v>
      </c>
      <c r="F1621" s="23">
        <v>44346</v>
      </c>
      <c r="G1621" s="1">
        <v>14700</v>
      </c>
    </row>
    <row r="1622" spans="1:7">
      <c r="A1622" t="s">
        <v>5711</v>
      </c>
      <c r="B1622" t="s">
        <v>367</v>
      </c>
      <c r="C1622" t="s">
        <v>421</v>
      </c>
      <c r="D1622" t="s">
        <v>5659</v>
      </c>
      <c r="E1622" t="s">
        <v>5111</v>
      </c>
      <c r="F1622" s="23">
        <v>44346</v>
      </c>
      <c r="G1622" s="1">
        <v>19975</v>
      </c>
    </row>
    <row r="1623" spans="1:7">
      <c r="A1623" t="s">
        <v>5711</v>
      </c>
      <c r="B1623" t="s">
        <v>298</v>
      </c>
      <c r="C1623" t="s">
        <v>865</v>
      </c>
      <c r="D1623" t="s">
        <v>2782</v>
      </c>
      <c r="E1623" t="s">
        <v>5112</v>
      </c>
      <c r="F1623" s="23">
        <v>44346</v>
      </c>
      <c r="G1623" s="1">
        <v>11106</v>
      </c>
    </row>
    <row r="1624" spans="1:7">
      <c r="A1624" t="s">
        <v>5711</v>
      </c>
      <c r="B1624" t="s">
        <v>37</v>
      </c>
      <c r="C1624" t="s">
        <v>610</v>
      </c>
      <c r="D1624" t="s">
        <v>609</v>
      </c>
      <c r="E1624" t="s">
        <v>5113</v>
      </c>
      <c r="F1624" s="23">
        <v>44346</v>
      </c>
      <c r="G1624" s="1">
        <v>871</v>
      </c>
    </row>
    <row r="1625" spans="1:7">
      <c r="A1625" t="s">
        <v>5711</v>
      </c>
      <c r="B1625" t="s">
        <v>106</v>
      </c>
      <c r="C1625" t="s">
        <v>2686</v>
      </c>
      <c r="D1625" t="s">
        <v>2685</v>
      </c>
      <c r="E1625" t="s">
        <v>5114</v>
      </c>
      <c r="F1625" s="23">
        <v>44921</v>
      </c>
      <c r="G1625" s="1">
        <v>11769</v>
      </c>
    </row>
    <row r="1626" spans="1:7">
      <c r="A1626" t="s">
        <v>5711</v>
      </c>
      <c r="B1626" t="s">
        <v>298</v>
      </c>
      <c r="C1626" t="s">
        <v>1854</v>
      </c>
      <c r="D1626" t="s">
        <v>2438</v>
      </c>
      <c r="E1626" t="s">
        <v>5115</v>
      </c>
      <c r="F1626" s="23">
        <v>44644</v>
      </c>
      <c r="G1626" s="1">
        <v>1670</v>
      </c>
    </row>
    <row r="1627" spans="1:7">
      <c r="A1627" t="s">
        <v>5711</v>
      </c>
      <c r="B1627" t="s">
        <v>106</v>
      </c>
      <c r="C1627" t="s">
        <v>1743</v>
      </c>
      <c r="D1627" t="s">
        <v>5660</v>
      </c>
      <c r="E1627" t="s">
        <v>5116</v>
      </c>
      <c r="F1627" s="23">
        <v>44346</v>
      </c>
      <c r="G1627" s="1">
        <v>12455</v>
      </c>
    </row>
    <row r="1628" spans="1:7">
      <c r="A1628" t="s">
        <v>5711</v>
      </c>
      <c r="B1628" t="s">
        <v>298</v>
      </c>
      <c r="C1628" t="s">
        <v>837</v>
      </c>
      <c r="D1628" t="s">
        <v>3452</v>
      </c>
      <c r="E1628" t="s">
        <v>5117</v>
      </c>
      <c r="F1628" s="23">
        <v>44346</v>
      </c>
      <c r="G1628" s="1">
        <v>14583</v>
      </c>
    </row>
    <row r="1629" spans="1:7">
      <c r="A1629" t="s">
        <v>5711</v>
      </c>
      <c r="B1629" t="s">
        <v>94</v>
      </c>
      <c r="C1629" t="s">
        <v>3265</v>
      </c>
      <c r="D1629" t="s">
        <v>1486</v>
      </c>
      <c r="E1629" t="s">
        <v>5118</v>
      </c>
      <c r="F1629" s="23">
        <v>44346</v>
      </c>
      <c r="G1629" s="1">
        <v>18261</v>
      </c>
    </row>
    <row r="1630" spans="1:7">
      <c r="A1630" t="s">
        <v>5711</v>
      </c>
      <c r="B1630" t="s">
        <v>233</v>
      </c>
      <c r="C1630" t="s">
        <v>2777</v>
      </c>
      <c r="D1630" t="s">
        <v>2843</v>
      </c>
      <c r="E1630" t="s">
        <v>5119</v>
      </c>
      <c r="F1630" s="23">
        <v>44346</v>
      </c>
      <c r="G1630" s="1">
        <v>14990</v>
      </c>
    </row>
    <row r="1631" spans="1:7">
      <c r="A1631" t="s">
        <v>5711</v>
      </c>
      <c r="B1631" t="s">
        <v>106</v>
      </c>
      <c r="C1631" t="s">
        <v>1097</v>
      </c>
      <c r="D1631" t="s">
        <v>1096</v>
      </c>
      <c r="E1631" t="s">
        <v>5120</v>
      </c>
      <c r="F1631" s="23">
        <v>44672</v>
      </c>
      <c r="G1631" s="1">
        <v>8837</v>
      </c>
    </row>
    <row r="1632" spans="1:7">
      <c r="A1632" t="s">
        <v>5711</v>
      </c>
      <c r="B1632" t="s">
        <v>94</v>
      </c>
      <c r="C1632" t="s">
        <v>1372</v>
      </c>
      <c r="D1632" t="s">
        <v>1371</v>
      </c>
      <c r="E1632" t="s">
        <v>5121</v>
      </c>
      <c r="F1632" s="23">
        <v>44999</v>
      </c>
      <c r="G1632" s="1">
        <v>8705</v>
      </c>
    </row>
    <row r="1633" spans="1:7">
      <c r="A1633" t="s">
        <v>5711</v>
      </c>
      <c r="B1633" t="s">
        <v>298</v>
      </c>
      <c r="C1633" t="s">
        <v>1220</v>
      </c>
      <c r="D1633" t="s">
        <v>1219</v>
      </c>
      <c r="E1633" t="s">
        <v>5122</v>
      </c>
      <c r="F1633" s="23">
        <v>44799</v>
      </c>
      <c r="G1633" s="1">
        <v>4020</v>
      </c>
    </row>
    <row r="1634" spans="1:7">
      <c r="A1634" t="s">
        <v>5711</v>
      </c>
      <c r="B1634" t="s">
        <v>106</v>
      </c>
      <c r="C1634" t="s">
        <v>1264</v>
      </c>
      <c r="D1634" t="s">
        <v>1263</v>
      </c>
      <c r="E1634" t="s">
        <v>5123</v>
      </c>
      <c r="F1634" s="23">
        <v>44346</v>
      </c>
      <c r="G1634" s="1">
        <v>13343</v>
      </c>
    </row>
    <row r="1635" spans="1:7">
      <c r="A1635" t="s">
        <v>5711</v>
      </c>
      <c r="B1635" t="s">
        <v>68</v>
      </c>
      <c r="C1635" t="s">
        <v>1128</v>
      </c>
      <c r="D1635" t="s">
        <v>5661</v>
      </c>
      <c r="E1635" t="s">
        <v>5124</v>
      </c>
      <c r="F1635" s="23">
        <v>44346</v>
      </c>
      <c r="G1635" s="1">
        <v>18236</v>
      </c>
    </row>
    <row r="1636" spans="1:7">
      <c r="A1636" t="s">
        <v>5711</v>
      </c>
      <c r="B1636" t="s">
        <v>94</v>
      </c>
      <c r="C1636" t="s">
        <v>3319</v>
      </c>
      <c r="D1636" t="s">
        <v>3318</v>
      </c>
      <c r="E1636" t="s">
        <v>5125</v>
      </c>
      <c r="F1636" s="23">
        <v>44346</v>
      </c>
      <c r="G1636" s="1">
        <v>17392</v>
      </c>
    </row>
    <row r="1637" spans="1:7">
      <c r="A1637" t="s">
        <v>5711</v>
      </c>
      <c r="B1637" t="s">
        <v>106</v>
      </c>
      <c r="C1637" t="s">
        <v>2726</v>
      </c>
      <c r="D1637" t="s">
        <v>2725</v>
      </c>
      <c r="E1637" t="s">
        <v>5126</v>
      </c>
      <c r="F1637" s="23">
        <v>44356</v>
      </c>
      <c r="G1637" s="1">
        <v>1503</v>
      </c>
    </row>
    <row r="1638" spans="1:7">
      <c r="A1638" t="s">
        <v>5711</v>
      </c>
      <c r="B1638" t="s">
        <v>94</v>
      </c>
      <c r="C1638" t="s">
        <v>2680</v>
      </c>
      <c r="D1638" t="s">
        <v>2679</v>
      </c>
      <c r="E1638" t="s">
        <v>5127</v>
      </c>
      <c r="F1638" s="23">
        <v>44346</v>
      </c>
      <c r="G1638" s="1">
        <v>12245</v>
      </c>
    </row>
    <row r="1639" spans="1:7">
      <c r="A1639" t="s">
        <v>5711</v>
      </c>
      <c r="B1639" t="s">
        <v>94</v>
      </c>
      <c r="C1639" t="s">
        <v>1714</v>
      </c>
      <c r="D1639" t="s">
        <v>1713</v>
      </c>
      <c r="E1639" t="s">
        <v>5128</v>
      </c>
      <c r="F1639" s="23">
        <v>44346</v>
      </c>
      <c r="G1639" s="1">
        <v>19462</v>
      </c>
    </row>
    <row r="1640" spans="1:7">
      <c r="A1640" t="s">
        <v>5711</v>
      </c>
      <c r="B1640" t="s">
        <v>94</v>
      </c>
      <c r="C1640" t="s">
        <v>3486</v>
      </c>
      <c r="D1640" t="s">
        <v>814</v>
      </c>
      <c r="E1640" t="s">
        <v>5129</v>
      </c>
      <c r="F1640" s="23">
        <v>44346</v>
      </c>
      <c r="G1640" s="1">
        <v>19475</v>
      </c>
    </row>
    <row r="1641" spans="1:7">
      <c r="A1641" t="s">
        <v>5711</v>
      </c>
      <c r="B1641" t="s">
        <v>1223</v>
      </c>
      <c r="C1641" t="s">
        <v>2050</v>
      </c>
      <c r="D1641" t="s">
        <v>2953</v>
      </c>
      <c r="E1641" t="s">
        <v>5130</v>
      </c>
      <c r="F1641" s="23">
        <v>44612</v>
      </c>
      <c r="G1641" s="1">
        <v>8602</v>
      </c>
    </row>
    <row r="1642" spans="1:7">
      <c r="A1642" t="s">
        <v>5711</v>
      </c>
      <c r="B1642" t="s">
        <v>37</v>
      </c>
      <c r="C1642" t="s">
        <v>723</v>
      </c>
      <c r="D1642" t="s">
        <v>5662</v>
      </c>
      <c r="E1642" t="s">
        <v>5131</v>
      </c>
      <c r="F1642" s="23">
        <v>44346</v>
      </c>
      <c r="G1642" s="1">
        <v>13622</v>
      </c>
    </row>
    <row r="1643" spans="1:7">
      <c r="A1643" t="s">
        <v>5711</v>
      </c>
      <c r="B1643" t="s">
        <v>94</v>
      </c>
      <c r="C1643" t="s">
        <v>3486</v>
      </c>
      <c r="D1643" t="s">
        <v>502</v>
      </c>
      <c r="E1643" t="s">
        <v>5132</v>
      </c>
      <c r="F1643" s="23">
        <v>44346</v>
      </c>
      <c r="G1643" s="1">
        <v>14870</v>
      </c>
    </row>
    <row r="1644" spans="1:7">
      <c r="A1644" t="s">
        <v>5711</v>
      </c>
      <c r="B1644" t="s">
        <v>94</v>
      </c>
      <c r="C1644" t="s">
        <v>3486</v>
      </c>
      <c r="D1644" t="s">
        <v>1623</v>
      </c>
      <c r="E1644" t="s">
        <v>5133</v>
      </c>
      <c r="F1644" s="23">
        <v>44346</v>
      </c>
      <c r="G1644" s="1">
        <v>9638</v>
      </c>
    </row>
    <row r="1645" spans="1:7">
      <c r="A1645" t="s">
        <v>5711</v>
      </c>
      <c r="B1645" t="s">
        <v>188</v>
      </c>
      <c r="C1645" t="s">
        <v>413</v>
      </c>
      <c r="D1645" t="s">
        <v>412</v>
      </c>
      <c r="E1645" t="s">
        <v>5134</v>
      </c>
      <c r="F1645" s="23">
        <v>44876</v>
      </c>
      <c r="G1645" s="1">
        <v>11941</v>
      </c>
    </row>
    <row r="1646" spans="1:7">
      <c r="A1646" t="s">
        <v>5711</v>
      </c>
      <c r="B1646" t="s">
        <v>94</v>
      </c>
      <c r="C1646" t="s">
        <v>3486</v>
      </c>
      <c r="D1646" t="s">
        <v>663</v>
      </c>
      <c r="E1646" t="s">
        <v>5135</v>
      </c>
      <c r="F1646" s="23">
        <v>44346</v>
      </c>
      <c r="G1646" s="1">
        <v>4779</v>
      </c>
    </row>
    <row r="1647" spans="1:7">
      <c r="A1647" t="s">
        <v>5711</v>
      </c>
      <c r="B1647" t="s">
        <v>298</v>
      </c>
      <c r="C1647" t="s">
        <v>2092</v>
      </c>
      <c r="D1647" t="s">
        <v>2091</v>
      </c>
      <c r="E1647" t="s">
        <v>5136</v>
      </c>
      <c r="F1647" s="23">
        <v>44561</v>
      </c>
      <c r="G1647" s="1">
        <v>8864</v>
      </c>
    </row>
    <row r="1648" spans="1:7">
      <c r="A1648" t="s">
        <v>5711</v>
      </c>
      <c r="B1648" t="s">
        <v>311</v>
      </c>
      <c r="C1648" t="s">
        <v>2743</v>
      </c>
      <c r="D1648" t="s">
        <v>2969</v>
      </c>
      <c r="E1648" t="s">
        <v>5137</v>
      </c>
      <c r="F1648" s="23">
        <v>44377</v>
      </c>
      <c r="G1648" s="1">
        <v>8091</v>
      </c>
    </row>
    <row r="1649" spans="1:7">
      <c r="A1649" t="s">
        <v>5711</v>
      </c>
      <c r="B1649" t="s">
        <v>298</v>
      </c>
      <c r="C1649" t="s">
        <v>3257</v>
      </c>
      <c r="D1649" t="s">
        <v>3256</v>
      </c>
      <c r="E1649" t="s">
        <v>5138</v>
      </c>
      <c r="F1649" s="23">
        <v>44346</v>
      </c>
      <c r="G1649" s="1">
        <v>5249</v>
      </c>
    </row>
    <row r="1650" spans="1:7">
      <c r="A1650" t="s">
        <v>5711</v>
      </c>
      <c r="B1650" t="s">
        <v>311</v>
      </c>
      <c r="C1650" t="s">
        <v>2294</v>
      </c>
      <c r="D1650" t="s">
        <v>2293</v>
      </c>
      <c r="E1650" t="s">
        <v>5139</v>
      </c>
      <c r="F1650" s="23">
        <v>44346</v>
      </c>
      <c r="G1650" s="1">
        <v>19013</v>
      </c>
    </row>
    <row r="1651" spans="1:7">
      <c r="A1651" t="s">
        <v>5711</v>
      </c>
      <c r="B1651" t="s">
        <v>94</v>
      </c>
      <c r="C1651" t="s">
        <v>3486</v>
      </c>
      <c r="D1651" t="s">
        <v>418</v>
      </c>
      <c r="E1651" t="s">
        <v>5140</v>
      </c>
      <c r="F1651" s="23">
        <v>44346</v>
      </c>
      <c r="G1651" s="1">
        <v>19379</v>
      </c>
    </row>
    <row r="1652" spans="1:7">
      <c r="A1652" t="s">
        <v>5711</v>
      </c>
      <c r="B1652" t="s">
        <v>106</v>
      </c>
      <c r="C1652" t="s">
        <v>2404</v>
      </c>
      <c r="D1652" t="s">
        <v>2403</v>
      </c>
      <c r="E1652" t="s">
        <v>5141</v>
      </c>
      <c r="F1652" s="23">
        <v>44346</v>
      </c>
      <c r="G1652" s="1">
        <v>15325</v>
      </c>
    </row>
    <row r="1653" spans="1:7">
      <c r="A1653" t="s">
        <v>5711</v>
      </c>
      <c r="B1653" t="s">
        <v>284</v>
      </c>
      <c r="C1653" t="s">
        <v>1510</v>
      </c>
      <c r="D1653" t="s">
        <v>1509</v>
      </c>
      <c r="E1653" t="s">
        <v>5142</v>
      </c>
      <c r="F1653" s="23">
        <v>44556</v>
      </c>
      <c r="G1653" s="1">
        <v>1643</v>
      </c>
    </row>
    <row r="1654" spans="1:7">
      <c r="A1654" t="s">
        <v>5711</v>
      </c>
      <c r="B1654" t="s">
        <v>164</v>
      </c>
      <c r="C1654" t="s">
        <v>163</v>
      </c>
      <c r="D1654" t="s">
        <v>162</v>
      </c>
      <c r="E1654" t="s">
        <v>5143</v>
      </c>
      <c r="F1654" s="23">
        <v>44868</v>
      </c>
      <c r="G1654" s="1">
        <v>10323</v>
      </c>
    </row>
    <row r="1655" spans="1:7">
      <c r="A1655" t="s">
        <v>5711</v>
      </c>
      <c r="B1655" t="s">
        <v>94</v>
      </c>
      <c r="C1655" t="s">
        <v>2658</v>
      </c>
      <c r="D1655" t="s">
        <v>2657</v>
      </c>
      <c r="E1655" t="s">
        <v>5144</v>
      </c>
      <c r="F1655" s="23">
        <v>44670</v>
      </c>
      <c r="G1655" s="1">
        <v>5242</v>
      </c>
    </row>
    <row r="1656" spans="1:7">
      <c r="A1656" t="s">
        <v>5711</v>
      </c>
      <c r="B1656" t="s">
        <v>94</v>
      </c>
      <c r="C1656" t="s">
        <v>3489</v>
      </c>
      <c r="D1656" t="s">
        <v>962</v>
      </c>
      <c r="E1656" t="s">
        <v>5145</v>
      </c>
      <c r="F1656" s="23">
        <v>44770</v>
      </c>
      <c r="G1656" s="1">
        <v>2354</v>
      </c>
    </row>
    <row r="1657" spans="1:7">
      <c r="A1657" t="s">
        <v>5711</v>
      </c>
      <c r="B1657" t="s">
        <v>1149</v>
      </c>
      <c r="C1657" t="s">
        <v>1620</v>
      </c>
      <c r="D1657" t="s">
        <v>1619</v>
      </c>
      <c r="E1657" t="s">
        <v>5146</v>
      </c>
      <c r="F1657" s="23">
        <v>44900</v>
      </c>
      <c r="G1657" s="1">
        <v>8662</v>
      </c>
    </row>
    <row r="1658" spans="1:7">
      <c r="A1658" t="s">
        <v>5711</v>
      </c>
      <c r="B1658" t="s">
        <v>72</v>
      </c>
      <c r="C1658" t="s">
        <v>1687</v>
      </c>
      <c r="D1658" t="s">
        <v>1686</v>
      </c>
      <c r="E1658" t="s">
        <v>5147</v>
      </c>
      <c r="F1658" s="23">
        <v>44346</v>
      </c>
      <c r="G1658" s="1">
        <v>6806</v>
      </c>
    </row>
    <row r="1659" spans="1:7">
      <c r="A1659" t="s">
        <v>5711</v>
      </c>
      <c r="B1659" t="s">
        <v>43</v>
      </c>
      <c r="C1659" t="s">
        <v>1767</v>
      </c>
      <c r="D1659" t="s">
        <v>1766</v>
      </c>
      <c r="E1659" t="s">
        <v>5148</v>
      </c>
      <c r="F1659" s="23">
        <v>44346</v>
      </c>
      <c r="G1659" s="1">
        <v>16869</v>
      </c>
    </row>
    <row r="1660" spans="1:7">
      <c r="A1660" t="s">
        <v>5711</v>
      </c>
      <c r="B1660" t="s">
        <v>94</v>
      </c>
      <c r="C1660" t="s">
        <v>2242</v>
      </c>
      <c r="D1660" t="s">
        <v>2241</v>
      </c>
      <c r="E1660" t="s">
        <v>5149</v>
      </c>
      <c r="F1660" s="23">
        <v>44346</v>
      </c>
      <c r="G1660" s="1">
        <v>1029</v>
      </c>
    </row>
    <row r="1661" spans="1:7">
      <c r="A1661" t="s">
        <v>5711</v>
      </c>
      <c r="B1661" t="s">
        <v>106</v>
      </c>
      <c r="C1661" t="s">
        <v>3474</v>
      </c>
      <c r="D1661" t="s">
        <v>3473</v>
      </c>
      <c r="E1661" t="s">
        <v>5150</v>
      </c>
      <c r="F1661" s="23">
        <v>44346</v>
      </c>
      <c r="G1661" s="1">
        <v>13299</v>
      </c>
    </row>
    <row r="1662" spans="1:7">
      <c r="A1662" t="s">
        <v>5711</v>
      </c>
      <c r="B1662" t="s">
        <v>106</v>
      </c>
      <c r="C1662" t="s">
        <v>887</v>
      </c>
      <c r="D1662" t="s">
        <v>3173</v>
      </c>
      <c r="E1662" t="s">
        <v>5151</v>
      </c>
      <c r="F1662" s="23">
        <v>44471</v>
      </c>
      <c r="G1662" s="1">
        <v>3756</v>
      </c>
    </row>
    <row r="1663" spans="1:7">
      <c r="A1663" t="s">
        <v>5711</v>
      </c>
      <c r="B1663" t="s">
        <v>94</v>
      </c>
      <c r="C1663" t="s">
        <v>2610</v>
      </c>
      <c r="D1663" t="s">
        <v>2609</v>
      </c>
      <c r="E1663" t="s">
        <v>5152</v>
      </c>
      <c r="F1663" s="23">
        <v>44346</v>
      </c>
      <c r="G1663" s="1">
        <v>16449</v>
      </c>
    </row>
    <row r="1664" spans="1:7">
      <c r="A1664" t="s">
        <v>5711</v>
      </c>
      <c r="B1664" t="s">
        <v>43</v>
      </c>
      <c r="C1664" t="s">
        <v>1050</v>
      </c>
      <c r="D1664" t="s">
        <v>1049</v>
      </c>
      <c r="E1664" t="s">
        <v>5153</v>
      </c>
      <c r="F1664" s="23">
        <v>44836</v>
      </c>
      <c r="G1664" s="1">
        <v>1555</v>
      </c>
    </row>
    <row r="1665" spans="1:7">
      <c r="A1665" t="s">
        <v>5711</v>
      </c>
      <c r="B1665" t="s">
        <v>114</v>
      </c>
      <c r="C1665" t="s">
        <v>1246</v>
      </c>
      <c r="D1665" t="s">
        <v>1245</v>
      </c>
      <c r="E1665" t="s">
        <v>5154</v>
      </c>
      <c r="F1665" s="23">
        <v>44346</v>
      </c>
      <c r="G1665" s="1">
        <v>16967</v>
      </c>
    </row>
    <row r="1666" spans="1:7">
      <c r="A1666" t="s">
        <v>5711</v>
      </c>
      <c r="B1666" t="s">
        <v>311</v>
      </c>
      <c r="C1666" t="s">
        <v>2991</v>
      </c>
      <c r="D1666" t="s">
        <v>2990</v>
      </c>
      <c r="E1666" t="s">
        <v>5155</v>
      </c>
      <c r="F1666" s="23">
        <v>44346</v>
      </c>
      <c r="G1666" s="1">
        <v>12020</v>
      </c>
    </row>
    <row r="1667" spans="1:7">
      <c r="A1667" t="s">
        <v>5711</v>
      </c>
      <c r="B1667" t="s">
        <v>233</v>
      </c>
      <c r="C1667" t="s">
        <v>2052</v>
      </c>
      <c r="D1667" t="s">
        <v>2051</v>
      </c>
      <c r="E1667" t="s">
        <v>5156</v>
      </c>
      <c r="F1667" s="23">
        <v>44346</v>
      </c>
      <c r="G1667" s="1">
        <v>8125</v>
      </c>
    </row>
    <row r="1668" spans="1:7">
      <c r="A1668" t="s">
        <v>5711</v>
      </c>
      <c r="B1668" t="s">
        <v>43</v>
      </c>
      <c r="C1668" t="s">
        <v>839</v>
      </c>
      <c r="D1668" t="s">
        <v>838</v>
      </c>
      <c r="E1668" t="s">
        <v>5157</v>
      </c>
      <c r="F1668" s="23">
        <v>44866</v>
      </c>
      <c r="G1668" s="1">
        <v>3570</v>
      </c>
    </row>
    <row r="1669" spans="1:7">
      <c r="A1669" t="s">
        <v>5711</v>
      </c>
      <c r="B1669" t="s">
        <v>94</v>
      </c>
      <c r="C1669" t="s">
        <v>3154</v>
      </c>
      <c r="D1669" t="s">
        <v>3153</v>
      </c>
      <c r="E1669" t="s">
        <v>5158</v>
      </c>
      <c r="F1669" s="23">
        <v>44346</v>
      </c>
      <c r="G1669" s="1">
        <v>17020</v>
      </c>
    </row>
    <row r="1670" spans="1:7">
      <c r="A1670" t="s">
        <v>5711</v>
      </c>
      <c r="B1670" t="s">
        <v>106</v>
      </c>
      <c r="C1670" t="s">
        <v>812</v>
      </c>
      <c r="D1670" t="s">
        <v>811</v>
      </c>
      <c r="E1670" t="s">
        <v>5159</v>
      </c>
      <c r="F1670" s="23">
        <v>44582</v>
      </c>
      <c r="G1670" s="1">
        <v>8512</v>
      </c>
    </row>
    <row r="1671" spans="1:7">
      <c r="A1671" t="s">
        <v>5711</v>
      </c>
      <c r="B1671" t="s">
        <v>97</v>
      </c>
      <c r="C1671" t="s">
        <v>446</v>
      </c>
      <c r="D1671" t="s">
        <v>1706</v>
      </c>
      <c r="E1671" t="s">
        <v>5160</v>
      </c>
      <c r="F1671" s="23">
        <v>44893</v>
      </c>
      <c r="G1671" s="1">
        <v>10659</v>
      </c>
    </row>
    <row r="1672" spans="1:7">
      <c r="A1672" t="s">
        <v>5711</v>
      </c>
      <c r="B1672" t="s">
        <v>94</v>
      </c>
      <c r="C1672" t="s">
        <v>3241</v>
      </c>
      <c r="D1672" t="s">
        <v>3240</v>
      </c>
      <c r="E1672" t="s">
        <v>5161</v>
      </c>
      <c r="F1672" s="23">
        <v>44346</v>
      </c>
      <c r="G1672" s="1">
        <v>12183</v>
      </c>
    </row>
    <row r="1673" spans="1:7">
      <c r="A1673" t="s">
        <v>5711</v>
      </c>
      <c r="B1673" t="s">
        <v>94</v>
      </c>
      <c r="C1673" t="s">
        <v>3487</v>
      </c>
      <c r="D1673" t="s">
        <v>312</v>
      </c>
      <c r="E1673" t="s">
        <v>5162</v>
      </c>
      <c r="F1673" s="23">
        <v>44953</v>
      </c>
      <c r="G1673" s="1">
        <v>3671</v>
      </c>
    </row>
    <row r="1674" spans="1:7">
      <c r="A1674" t="s">
        <v>5711</v>
      </c>
      <c r="B1674" t="s">
        <v>298</v>
      </c>
      <c r="C1674" t="s">
        <v>2889</v>
      </c>
      <c r="D1674" t="s">
        <v>2888</v>
      </c>
      <c r="E1674" t="s">
        <v>5163</v>
      </c>
      <c r="F1674" s="23">
        <v>44346</v>
      </c>
      <c r="G1674" s="1">
        <v>13738</v>
      </c>
    </row>
    <row r="1675" spans="1:7">
      <c r="A1675" t="s">
        <v>5711</v>
      </c>
      <c r="B1675" t="s">
        <v>233</v>
      </c>
      <c r="C1675" t="s">
        <v>2952</v>
      </c>
      <c r="D1675" t="s">
        <v>2951</v>
      </c>
      <c r="E1675" t="s">
        <v>5164</v>
      </c>
      <c r="F1675" s="23">
        <v>44346</v>
      </c>
      <c r="G1675" s="1">
        <v>13774</v>
      </c>
    </row>
    <row r="1676" spans="1:7">
      <c r="A1676" t="s">
        <v>5711</v>
      </c>
      <c r="B1676" t="s">
        <v>91</v>
      </c>
      <c r="C1676" t="s">
        <v>453</v>
      </c>
      <c r="D1676" t="s">
        <v>452</v>
      </c>
      <c r="E1676" t="s">
        <v>5165</v>
      </c>
      <c r="F1676" s="23">
        <v>44546</v>
      </c>
      <c r="G1676" s="1">
        <v>3808</v>
      </c>
    </row>
    <row r="1677" spans="1:7">
      <c r="A1677" t="s">
        <v>5711</v>
      </c>
      <c r="B1677" t="s">
        <v>298</v>
      </c>
      <c r="C1677" t="s">
        <v>2419</v>
      </c>
      <c r="D1677" t="s">
        <v>2418</v>
      </c>
      <c r="E1677" t="s">
        <v>5166</v>
      </c>
      <c r="F1677" s="23">
        <v>44346</v>
      </c>
      <c r="G1677" s="1">
        <v>15664</v>
      </c>
    </row>
    <row r="1678" spans="1:7">
      <c r="A1678" t="s">
        <v>5711</v>
      </c>
      <c r="B1678" t="s">
        <v>94</v>
      </c>
      <c r="C1678" t="s">
        <v>2755</v>
      </c>
      <c r="D1678" t="s">
        <v>2754</v>
      </c>
      <c r="E1678" t="s">
        <v>5167</v>
      </c>
      <c r="F1678" s="23">
        <v>44723</v>
      </c>
      <c r="G1678" s="1">
        <v>4081</v>
      </c>
    </row>
    <row r="1679" spans="1:7">
      <c r="A1679" t="s">
        <v>5711</v>
      </c>
      <c r="B1679" t="s">
        <v>94</v>
      </c>
      <c r="C1679" t="s">
        <v>1962</v>
      </c>
      <c r="D1679" t="s">
        <v>2355</v>
      </c>
      <c r="E1679" t="s">
        <v>5168</v>
      </c>
      <c r="F1679" s="23">
        <v>44797</v>
      </c>
      <c r="G1679" s="1">
        <v>11742</v>
      </c>
    </row>
    <row r="1680" spans="1:7">
      <c r="A1680" t="s">
        <v>5711</v>
      </c>
      <c r="B1680" t="s">
        <v>106</v>
      </c>
      <c r="C1680" t="s">
        <v>3272</v>
      </c>
      <c r="D1680" t="s">
        <v>3271</v>
      </c>
      <c r="E1680" t="s">
        <v>5169</v>
      </c>
      <c r="F1680" s="23">
        <v>44346</v>
      </c>
      <c r="G1680" s="1">
        <v>2238</v>
      </c>
    </row>
    <row r="1681" spans="1:7">
      <c r="A1681" t="s">
        <v>5711</v>
      </c>
      <c r="B1681" t="s">
        <v>106</v>
      </c>
      <c r="C1681" t="s">
        <v>1840</v>
      </c>
      <c r="D1681" t="s">
        <v>1839</v>
      </c>
      <c r="E1681" t="s">
        <v>5170</v>
      </c>
      <c r="F1681" s="23">
        <v>44505</v>
      </c>
      <c r="G1681" s="1">
        <v>6618</v>
      </c>
    </row>
    <row r="1682" spans="1:7">
      <c r="A1682" t="s">
        <v>5711</v>
      </c>
      <c r="B1682" t="s">
        <v>188</v>
      </c>
      <c r="C1682" t="s">
        <v>1644</v>
      </c>
      <c r="D1682" t="s">
        <v>1643</v>
      </c>
      <c r="E1682" t="s">
        <v>5171</v>
      </c>
      <c r="F1682" s="23">
        <v>44917</v>
      </c>
      <c r="G1682" s="1">
        <v>6429</v>
      </c>
    </row>
    <row r="1683" spans="1:7">
      <c r="A1683" t="s">
        <v>5711</v>
      </c>
      <c r="B1683" t="s">
        <v>135</v>
      </c>
      <c r="C1683" t="s">
        <v>134</v>
      </c>
      <c r="D1683" t="s">
        <v>1402</v>
      </c>
      <c r="E1683" t="s">
        <v>5172</v>
      </c>
      <c r="F1683" s="23">
        <v>44346</v>
      </c>
      <c r="G1683" s="1">
        <v>18718</v>
      </c>
    </row>
    <row r="1684" spans="1:7">
      <c r="A1684" t="s">
        <v>5711</v>
      </c>
      <c r="B1684" t="s">
        <v>263</v>
      </c>
      <c r="C1684" t="s">
        <v>1118</v>
      </c>
      <c r="D1684" t="s">
        <v>1117</v>
      </c>
      <c r="E1684" t="s">
        <v>5173</v>
      </c>
      <c r="F1684" s="23">
        <v>44346</v>
      </c>
      <c r="G1684" s="1">
        <v>7693</v>
      </c>
    </row>
    <row r="1685" spans="1:7">
      <c r="A1685" t="s">
        <v>5711</v>
      </c>
      <c r="B1685" t="s">
        <v>106</v>
      </c>
      <c r="D1685" t="s">
        <v>2812</v>
      </c>
      <c r="E1685" t="s">
        <v>5174</v>
      </c>
      <c r="F1685" s="23">
        <v>44346</v>
      </c>
      <c r="G1685" s="1">
        <v>19176</v>
      </c>
    </row>
    <row r="1686" spans="1:7">
      <c r="A1686" t="s">
        <v>5711</v>
      </c>
      <c r="B1686" t="s">
        <v>94</v>
      </c>
      <c r="C1686" t="s">
        <v>2331</v>
      </c>
      <c r="D1686" t="s">
        <v>2330</v>
      </c>
      <c r="E1686" t="s">
        <v>5175</v>
      </c>
      <c r="F1686" s="23">
        <v>44346</v>
      </c>
      <c r="G1686" s="1">
        <v>13757</v>
      </c>
    </row>
    <row r="1687" spans="1:7">
      <c r="A1687" t="s">
        <v>5711</v>
      </c>
      <c r="B1687" t="s">
        <v>43</v>
      </c>
      <c r="C1687" t="s">
        <v>1312</v>
      </c>
      <c r="D1687" t="s">
        <v>1311</v>
      </c>
      <c r="E1687" t="s">
        <v>5176</v>
      </c>
      <c r="F1687" s="23">
        <v>44346</v>
      </c>
      <c r="G1687" s="1">
        <v>6900</v>
      </c>
    </row>
    <row r="1688" spans="1:7">
      <c r="A1688" t="s">
        <v>5711</v>
      </c>
      <c r="B1688" t="s">
        <v>61</v>
      </c>
      <c r="C1688" t="s">
        <v>1092</v>
      </c>
      <c r="D1688" t="s">
        <v>1091</v>
      </c>
      <c r="E1688" t="s">
        <v>5177</v>
      </c>
      <c r="F1688" s="23">
        <v>44346</v>
      </c>
      <c r="G1688" s="1">
        <v>18900</v>
      </c>
    </row>
    <row r="1689" spans="1:7">
      <c r="A1689" t="s">
        <v>5711</v>
      </c>
      <c r="B1689" t="s">
        <v>208</v>
      </c>
      <c r="C1689" t="s">
        <v>852</v>
      </c>
      <c r="D1689" t="s">
        <v>851</v>
      </c>
      <c r="E1689" t="s">
        <v>5178</v>
      </c>
      <c r="F1689" s="23">
        <v>44346</v>
      </c>
      <c r="G1689" s="1">
        <v>15422</v>
      </c>
    </row>
    <row r="1690" spans="1:7">
      <c r="A1690" t="s">
        <v>5711</v>
      </c>
      <c r="B1690" t="s">
        <v>311</v>
      </c>
      <c r="C1690" t="s">
        <v>2771</v>
      </c>
      <c r="D1690" t="s">
        <v>2770</v>
      </c>
      <c r="E1690" t="s">
        <v>5179</v>
      </c>
      <c r="F1690" s="23">
        <v>44346</v>
      </c>
      <c r="G1690" s="1">
        <v>14097</v>
      </c>
    </row>
    <row r="1691" spans="1:7">
      <c r="A1691" t="s">
        <v>5711</v>
      </c>
      <c r="B1691" t="s">
        <v>106</v>
      </c>
      <c r="C1691" t="s">
        <v>3247</v>
      </c>
      <c r="D1691" t="s">
        <v>3246</v>
      </c>
      <c r="E1691" t="s">
        <v>5180</v>
      </c>
      <c r="F1691" s="23">
        <v>44346</v>
      </c>
      <c r="G1691" s="1">
        <v>4147</v>
      </c>
    </row>
    <row r="1692" spans="1:7">
      <c r="A1692" t="s">
        <v>5711</v>
      </c>
      <c r="B1692" t="s">
        <v>233</v>
      </c>
      <c r="C1692" t="s">
        <v>3380</v>
      </c>
      <c r="D1692" t="s">
        <v>3379</v>
      </c>
      <c r="E1692" t="s">
        <v>5181</v>
      </c>
      <c r="F1692" s="23">
        <v>44346</v>
      </c>
      <c r="G1692" s="1">
        <v>18887</v>
      </c>
    </row>
    <row r="1693" spans="1:7">
      <c r="A1693" t="s">
        <v>5711</v>
      </c>
      <c r="B1693" t="s">
        <v>37</v>
      </c>
      <c r="C1693" t="s">
        <v>1280</v>
      </c>
      <c r="D1693" t="s">
        <v>5663</v>
      </c>
      <c r="E1693" t="s">
        <v>5182</v>
      </c>
      <c r="F1693" s="23">
        <v>44346</v>
      </c>
      <c r="G1693" s="1">
        <v>10078</v>
      </c>
    </row>
    <row r="1694" spans="1:7">
      <c r="A1694" t="s">
        <v>5711</v>
      </c>
      <c r="B1694" t="s">
        <v>94</v>
      </c>
      <c r="C1694" t="s">
        <v>3486</v>
      </c>
      <c r="D1694" t="s">
        <v>1481</v>
      </c>
      <c r="E1694" t="s">
        <v>5183</v>
      </c>
      <c r="F1694" s="23">
        <v>44940</v>
      </c>
      <c r="G1694" s="1">
        <v>1000</v>
      </c>
    </row>
    <row r="1695" spans="1:7">
      <c r="A1695" t="s">
        <v>5711</v>
      </c>
      <c r="B1695" t="s">
        <v>106</v>
      </c>
      <c r="C1695" t="s">
        <v>622</v>
      </c>
      <c r="D1695" t="s">
        <v>621</v>
      </c>
      <c r="E1695" t="s">
        <v>5184</v>
      </c>
      <c r="F1695" s="23">
        <v>44346</v>
      </c>
      <c r="G1695" s="1">
        <v>13695</v>
      </c>
    </row>
    <row r="1696" spans="1:7">
      <c r="A1696" t="s">
        <v>5711</v>
      </c>
      <c r="B1696" t="s">
        <v>106</v>
      </c>
      <c r="C1696" t="s">
        <v>3289</v>
      </c>
      <c r="D1696" t="s">
        <v>3288</v>
      </c>
      <c r="E1696" t="s">
        <v>5185</v>
      </c>
      <c r="F1696" s="23">
        <v>44607</v>
      </c>
      <c r="G1696" s="1">
        <v>11201</v>
      </c>
    </row>
    <row r="1697" spans="1:7">
      <c r="A1697" t="s">
        <v>5711</v>
      </c>
      <c r="B1697" t="s">
        <v>1029</v>
      </c>
      <c r="C1697" t="s">
        <v>1028</v>
      </c>
      <c r="D1697" t="s">
        <v>1027</v>
      </c>
      <c r="E1697" t="s">
        <v>5186</v>
      </c>
      <c r="F1697" s="23">
        <v>44346</v>
      </c>
      <c r="G1697" s="1">
        <v>7720</v>
      </c>
    </row>
    <row r="1698" spans="1:7">
      <c r="A1698" t="s">
        <v>5711</v>
      </c>
      <c r="B1698" t="s">
        <v>43</v>
      </c>
      <c r="C1698" t="s">
        <v>839</v>
      </c>
      <c r="D1698" t="s">
        <v>1518</v>
      </c>
      <c r="E1698" t="s">
        <v>5187</v>
      </c>
      <c r="F1698" s="23">
        <v>44346</v>
      </c>
      <c r="G1698" s="1">
        <v>13708</v>
      </c>
    </row>
    <row r="1699" spans="1:7">
      <c r="A1699" t="s">
        <v>5711</v>
      </c>
      <c r="B1699" t="s">
        <v>101</v>
      </c>
      <c r="C1699" t="s">
        <v>1652</v>
      </c>
      <c r="D1699" t="s">
        <v>1651</v>
      </c>
      <c r="E1699" t="s">
        <v>5188</v>
      </c>
      <c r="F1699" s="23">
        <v>44519</v>
      </c>
      <c r="G1699" s="1">
        <v>2027</v>
      </c>
    </row>
    <row r="1700" spans="1:7">
      <c r="A1700" t="s">
        <v>5711</v>
      </c>
      <c r="B1700" t="s">
        <v>94</v>
      </c>
      <c r="C1700" t="s">
        <v>3490</v>
      </c>
      <c r="D1700" t="s">
        <v>813</v>
      </c>
      <c r="E1700" t="s">
        <v>5189</v>
      </c>
      <c r="F1700" s="23">
        <v>44431</v>
      </c>
      <c r="G1700" s="1">
        <v>6964</v>
      </c>
    </row>
    <row r="1701" spans="1:7">
      <c r="A1701" t="s">
        <v>5711</v>
      </c>
      <c r="B1701" t="s">
        <v>909</v>
      </c>
      <c r="C1701" t="s">
        <v>908</v>
      </c>
      <c r="D1701" t="s">
        <v>907</v>
      </c>
      <c r="E1701" t="s">
        <v>5190</v>
      </c>
      <c r="F1701" s="23">
        <v>44346</v>
      </c>
      <c r="G1701" s="1">
        <v>16527</v>
      </c>
    </row>
    <row r="1702" spans="1:7">
      <c r="A1702" t="s">
        <v>5711</v>
      </c>
      <c r="B1702" t="s">
        <v>106</v>
      </c>
      <c r="C1702" t="s">
        <v>2084</v>
      </c>
      <c r="D1702" t="s">
        <v>2083</v>
      </c>
      <c r="E1702" t="s">
        <v>5191</v>
      </c>
      <c r="F1702" s="23">
        <v>44346</v>
      </c>
      <c r="G1702" s="1">
        <v>12439</v>
      </c>
    </row>
    <row r="1703" spans="1:7">
      <c r="A1703" t="s">
        <v>5711</v>
      </c>
      <c r="B1703" t="s">
        <v>43</v>
      </c>
      <c r="C1703" t="s">
        <v>760</v>
      </c>
      <c r="D1703" t="s">
        <v>759</v>
      </c>
      <c r="E1703" t="s">
        <v>5192</v>
      </c>
      <c r="F1703" s="23">
        <v>44346</v>
      </c>
      <c r="G1703" s="1">
        <v>18491</v>
      </c>
    </row>
    <row r="1704" spans="1:7">
      <c r="A1704" t="s">
        <v>5711</v>
      </c>
      <c r="B1704" t="s">
        <v>298</v>
      </c>
      <c r="C1704" t="s">
        <v>2161</v>
      </c>
      <c r="D1704" t="s">
        <v>2356</v>
      </c>
      <c r="E1704" t="s">
        <v>5193</v>
      </c>
      <c r="F1704" s="23">
        <v>44346</v>
      </c>
      <c r="G1704" s="1">
        <v>12605</v>
      </c>
    </row>
    <row r="1705" spans="1:7">
      <c r="A1705" t="s">
        <v>5711</v>
      </c>
      <c r="B1705" t="s">
        <v>233</v>
      </c>
      <c r="C1705" t="s">
        <v>2208</v>
      </c>
      <c r="D1705" t="s">
        <v>5664</v>
      </c>
      <c r="E1705" t="s">
        <v>5194</v>
      </c>
      <c r="F1705" s="23">
        <v>44346</v>
      </c>
      <c r="G1705" s="1">
        <v>15938</v>
      </c>
    </row>
    <row r="1706" spans="1:7">
      <c r="A1706" t="s">
        <v>5711</v>
      </c>
      <c r="B1706" t="s">
        <v>94</v>
      </c>
      <c r="C1706" t="s">
        <v>3307</v>
      </c>
      <c r="D1706" t="s">
        <v>5665</v>
      </c>
      <c r="E1706" t="s">
        <v>5195</v>
      </c>
      <c r="F1706" s="23">
        <v>44346</v>
      </c>
      <c r="G1706" s="1">
        <v>19336</v>
      </c>
    </row>
    <row r="1707" spans="1:7">
      <c r="A1707" t="s">
        <v>5711</v>
      </c>
      <c r="B1707" t="s">
        <v>94</v>
      </c>
      <c r="C1707" t="s">
        <v>3486</v>
      </c>
      <c r="D1707" t="s">
        <v>699</v>
      </c>
      <c r="E1707" t="s">
        <v>5196</v>
      </c>
      <c r="F1707" s="23">
        <v>44346</v>
      </c>
      <c r="G1707" s="1">
        <v>2213</v>
      </c>
    </row>
    <row r="1708" spans="1:7">
      <c r="A1708" t="s">
        <v>5711</v>
      </c>
      <c r="B1708" t="s">
        <v>94</v>
      </c>
      <c r="C1708" t="s">
        <v>3437</v>
      </c>
      <c r="D1708" t="s">
        <v>3436</v>
      </c>
      <c r="E1708" t="s">
        <v>5197</v>
      </c>
      <c r="F1708" s="23">
        <v>44346</v>
      </c>
      <c r="G1708" s="1">
        <v>7703</v>
      </c>
    </row>
    <row r="1709" spans="1:7">
      <c r="A1709" t="s">
        <v>5711</v>
      </c>
      <c r="B1709" t="s">
        <v>833</v>
      </c>
      <c r="C1709" t="s">
        <v>832</v>
      </c>
      <c r="D1709" t="s">
        <v>5666</v>
      </c>
      <c r="E1709" t="s">
        <v>5198</v>
      </c>
      <c r="F1709" s="23">
        <v>45042</v>
      </c>
      <c r="G1709" s="1">
        <v>526</v>
      </c>
    </row>
    <row r="1710" spans="1:7">
      <c r="A1710" t="s">
        <v>5711</v>
      </c>
      <c r="B1710" t="s">
        <v>97</v>
      </c>
      <c r="C1710" t="s">
        <v>1325</v>
      </c>
      <c r="D1710" t="s">
        <v>1324</v>
      </c>
      <c r="E1710" t="s">
        <v>5199</v>
      </c>
      <c r="F1710" s="23">
        <v>44346</v>
      </c>
      <c r="G1710" s="1">
        <v>14941</v>
      </c>
    </row>
    <row r="1711" spans="1:7">
      <c r="A1711" t="s">
        <v>5711</v>
      </c>
      <c r="B1711" t="s">
        <v>94</v>
      </c>
      <c r="C1711" t="s">
        <v>2523</v>
      </c>
      <c r="D1711" t="s">
        <v>2522</v>
      </c>
      <c r="E1711" t="s">
        <v>5200</v>
      </c>
      <c r="F1711" s="23">
        <v>44932</v>
      </c>
      <c r="G1711" s="1">
        <v>11195</v>
      </c>
    </row>
    <row r="1712" spans="1:7">
      <c r="A1712" t="s">
        <v>5711</v>
      </c>
      <c r="B1712" t="s">
        <v>311</v>
      </c>
      <c r="C1712" t="s">
        <v>140</v>
      </c>
      <c r="D1712" t="s">
        <v>3115</v>
      </c>
      <c r="E1712" t="s">
        <v>5201</v>
      </c>
      <c r="F1712" s="23">
        <v>44346</v>
      </c>
      <c r="G1712" s="1">
        <v>12089</v>
      </c>
    </row>
    <row r="1713" spans="1:7">
      <c r="A1713" t="s">
        <v>5711</v>
      </c>
      <c r="B1713" t="s">
        <v>233</v>
      </c>
      <c r="C1713" t="s">
        <v>3009</v>
      </c>
      <c r="D1713" t="s">
        <v>3008</v>
      </c>
      <c r="E1713" t="s">
        <v>5202</v>
      </c>
      <c r="F1713" s="23">
        <v>44346</v>
      </c>
      <c r="G1713" s="1">
        <v>3362</v>
      </c>
    </row>
    <row r="1714" spans="1:7">
      <c r="A1714" t="s">
        <v>5711</v>
      </c>
      <c r="B1714" t="s">
        <v>43</v>
      </c>
      <c r="C1714" t="s">
        <v>417</v>
      </c>
      <c r="D1714" t="s">
        <v>416</v>
      </c>
      <c r="E1714" t="s">
        <v>5203</v>
      </c>
      <c r="F1714" s="23">
        <v>44463</v>
      </c>
      <c r="G1714" s="1">
        <v>1376</v>
      </c>
    </row>
    <row r="1715" spans="1:7">
      <c r="A1715" t="s">
        <v>5711</v>
      </c>
      <c r="B1715" t="s">
        <v>298</v>
      </c>
      <c r="C1715" t="s">
        <v>297</v>
      </c>
      <c r="D1715" t="s">
        <v>3274</v>
      </c>
      <c r="E1715" t="s">
        <v>5204</v>
      </c>
      <c r="F1715" s="23">
        <v>44724</v>
      </c>
      <c r="G1715" s="1">
        <v>4828</v>
      </c>
    </row>
    <row r="1716" spans="1:7">
      <c r="A1716" t="s">
        <v>5711</v>
      </c>
      <c r="B1716" t="s">
        <v>106</v>
      </c>
      <c r="C1716" t="s">
        <v>1733</v>
      </c>
      <c r="D1716" t="s">
        <v>1732</v>
      </c>
      <c r="E1716" t="s">
        <v>5205</v>
      </c>
      <c r="F1716" s="23">
        <v>44346</v>
      </c>
      <c r="G1716" s="1">
        <v>19701</v>
      </c>
    </row>
    <row r="1717" spans="1:7">
      <c r="A1717" t="s">
        <v>5711</v>
      </c>
      <c r="B1717" t="s">
        <v>298</v>
      </c>
      <c r="C1717" t="s">
        <v>2929</v>
      </c>
      <c r="D1717" t="s">
        <v>2928</v>
      </c>
      <c r="E1717" t="s">
        <v>5206</v>
      </c>
      <c r="F1717" s="23">
        <v>44370</v>
      </c>
      <c r="G1717" s="1">
        <v>4534</v>
      </c>
    </row>
    <row r="1718" spans="1:7">
      <c r="A1718" t="s">
        <v>5711</v>
      </c>
      <c r="B1718" t="s">
        <v>37</v>
      </c>
      <c r="C1718" t="s">
        <v>601</v>
      </c>
      <c r="D1718" t="s">
        <v>600</v>
      </c>
      <c r="E1718" t="s">
        <v>5207</v>
      </c>
      <c r="F1718" s="23">
        <v>44346</v>
      </c>
      <c r="G1718" s="1">
        <v>14347</v>
      </c>
    </row>
    <row r="1719" spans="1:7">
      <c r="A1719" t="s">
        <v>5711</v>
      </c>
      <c r="B1719" t="s">
        <v>311</v>
      </c>
      <c r="C1719" t="s">
        <v>3235</v>
      </c>
      <c r="D1719" t="s">
        <v>3470</v>
      </c>
      <c r="E1719" t="s">
        <v>5208</v>
      </c>
      <c r="F1719" s="23">
        <v>45012</v>
      </c>
      <c r="G1719" s="1">
        <v>8726</v>
      </c>
    </row>
    <row r="1720" spans="1:7">
      <c r="A1720" t="s">
        <v>5711</v>
      </c>
      <c r="B1720" t="s">
        <v>106</v>
      </c>
      <c r="C1720" t="s">
        <v>2198</v>
      </c>
      <c r="D1720" t="s">
        <v>2197</v>
      </c>
      <c r="E1720" t="s">
        <v>5209</v>
      </c>
      <c r="F1720" s="23">
        <v>44346</v>
      </c>
      <c r="G1720" s="1">
        <v>4661</v>
      </c>
    </row>
    <row r="1721" spans="1:7">
      <c r="A1721" t="s">
        <v>5711</v>
      </c>
      <c r="B1721" t="s">
        <v>311</v>
      </c>
      <c r="C1721" t="s">
        <v>2801</v>
      </c>
      <c r="D1721" t="s">
        <v>5667</v>
      </c>
      <c r="E1721" t="s">
        <v>5210</v>
      </c>
      <c r="F1721" s="23">
        <v>44346</v>
      </c>
      <c r="G1721" s="1">
        <v>11899</v>
      </c>
    </row>
    <row r="1722" spans="1:7">
      <c r="A1722" t="s">
        <v>5711</v>
      </c>
      <c r="B1722" t="s">
        <v>94</v>
      </c>
      <c r="C1722" t="s">
        <v>3366</v>
      </c>
      <c r="D1722" t="s">
        <v>3365</v>
      </c>
      <c r="E1722" t="s">
        <v>5211</v>
      </c>
      <c r="F1722" s="23">
        <v>44346</v>
      </c>
      <c r="G1722" s="1">
        <v>2270</v>
      </c>
    </row>
    <row r="1723" spans="1:7">
      <c r="A1723" t="s">
        <v>5711</v>
      </c>
      <c r="B1723" t="s">
        <v>233</v>
      </c>
      <c r="C1723" t="s">
        <v>3112</v>
      </c>
      <c r="D1723" t="s">
        <v>3111</v>
      </c>
      <c r="E1723" t="s">
        <v>5212</v>
      </c>
      <c r="F1723" s="23">
        <v>44545</v>
      </c>
      <c r="G1723" s="1">
        <v>4405</v>
      </c>
    </row>
    <row r="1724" spans="1:7">
      <c r="A1724" t="s">
        <v>5711</v>
      </c>
      <c r="B1724" t="s">
        <v>94</v>
      </c>
      <c r="C1724" t="s">
        <v>3265</v>
      </c>
      <c r="D1724" t="s">
        <v>248</v>
      </c>
      <c r="E1724" t="s">
        <v>5213</v>
      </c>
      <c r="F1724" s="23">
        <v>44869</v>
      </c>
      <c r="G1724" s="1">
        <v>8196</v>
      </c>
    </row>
    <row r="1725" spans="1:7">
      <c r="A1725" t="s">
        <v>5711</v>
      </c>
      <c r="B1725" t="s">
        <v>94</v>
      </c>
      <c r="C1725" t="s">
        <v>3486</v>
      </c>
      <c r="D1725" t="s">
        <v>1294</v>
      </c>
      <c r="E1725" t="s">
        <v>5214</v>
      </c>
      <c r="F1725" s="23">
        <v>44768</v>
      </c>
      <c r="G1725" s="1">
        <v>2766</v>
      </c>
    </row>
    <row r="1726" spans="1:7">
      <c r="A1726" t="s">
        <v>5711</v>
      </c>
      <c r="B1726" t="s">
        <v>94</v>
      </c>
      <c r="C1726" t="s">
        <v>1933</v>
      </c>
      <c r="D1726" t="s">
        <v>1932</v>
      </c>
      <c r="E1726" t="s">
        <v>5215</v>
      </c>
      <c r="F1726" s="23">
        <v>44346</v>
      </c>
      <c r="G1726" s="1">
        <v>5527</v>
      </c>
    </row>
    <row r="1727" spans="1:7">
      <c r="A1727" t="s">
        <v>5711</v>
      </c>
      <c r="B1727" t="s">
        <v>837</v>
      </c>
      <c r="C1727" t="s">
        <v>836</v>
      </c>
      <c r="D1727" t="s">
        <v>835</v>
      </c>
      <c r="E1727" t="s">
        <v>5216</v>
      </c>
      <c r="F1727" s="23">
        <v>44804</v>
      </c>
      <c r="G1727" s="1">
        <v>11672</v>
      </c>
    </row>
    <row r="1728" spans="1:7">
      <c r="A1728" t="s">
        <v>5711</v>
      </c>
      <c r="B1728" t="s">
        <v>94</v>
      </c>
      <c r="C1728" t="s">
        <v>1903</v>
      </c>
      <c r="D1728" t="s">
        <v>2332</v>
      </c>
      <c r="E1728" t="s">
        <v>5217</v>
      </c>
      <c r="F1728" s="23">
        <v>44815</v>
      </c>
      <c r="G1728" s="1">
        <v>753</v>
      </c>
    </row>
    <row r="1729" spans="1:7">
      <c r="A1729" t="s">
        <v>5711</v>
      </c>
      <c r="B1729" t="s">
        <v>233</v>
      </c>
      <c r="C1729" t="s">
        <v>3028</v>
      </c>
      <c r="D1729" t="s">
        <v>3027</v>
      </c>
      <c r="E1729" t="s">
        <v>5218</v>
      </c>
      <c r="F1729" s="23">
        <v>44346</v>
      </c>
      <c r="G1729" s="1">
        <v>17302</v>
      </c>
    </row>
    <row r="1730" spans="1:7">
      <c r="A1730" t="s">
        <v>5711</v>
      </c>
      <c r="B1730" t="s">
        <v>94</v>
      </c>
      <c r="C1730" t="s">
        <v>2411</v>
      </c>
      <c r="D1730" t="s">
        <v>2410</v>
      </c>
      <c r="E1730" t="s">
        <v>5219</v>
      </c>
      <c r="F1730" s="23">
        <v>44346</v>
      </c>
      <c r="G1730" s="1">
        <v>15333</v>
      </c>
    </row>
    <row r="1731" spans="1:7">
      <c r="A1731" t="s">
        <v>5711</v>
      </c>
      <c r="B1731" t="s">
        <v>91</v>
      </c>
      <c r="C1731" t="s">
        <v>1412</v>
      </c>
      <c r="D1731" t="s">
        <v>1411</v>
      </c>
      <c r="E1731" t="s">
        <v>5220</v>
      </c>
      <c r="F1731" s="23">
        <v>44792</v>
      </c>
      <c r="G1731" s="1">
        <v>9802</v>
      </c>
    </row>
    <row r="1732" spans="1:7">
      <c r="A1732" t="s">
        <v>5711</v>
      </c>
      <c r="B1732" t="s">
        <v>255</v>
      </c>
      <c r="C1732" t="s">
        <v>321</v>
      </c>
      <c r="D1732" t="s">
        <v>320</v>
      </c>
      <c r="E1732" t="s">
        <v>5221</v>
      </c>
      <c r="F1732" s="23">
        <v>44808</v>
      </c>
      <c r="G1732" s="1">
        <v>7345</v>
      </c>
    </row>
    <row r="1733" spans="1:7">
      <c r="A1733" t="s">
        <v>5711</v>
      </c>
      <c r="B1733" t="s">
        <v>298</v>
      </c>
      <c r="C1733" t="s">
        <v>1900</v>
      </c>
      <c r="D1733" t="s">
        <v>2441</v>
      </c>
      <c r="E1733" t="s">
        <v>5222</v>
      </c>
      <c r="F1733" s="23">
        <v>44452</v>
      </c>
      <c r="G1733" s="1">
        <v>8808</v>
      </c>
    </row>
    <row r="1734" spans="1:7">
      <c r="A1734" t="s">
        <v>5711</v>
      </c>
      <c r="B1734" t="s">
        <v>94</v>
      </c>
      <c r="C1734" t="s">
        <v>2001</v>
      </c>
      <c r="D1734" t="s">
        <v>5668</v>
      </c>
      <c r="E1734" t="s">
        <v>5223</v>
      </c>
      <c r="F1734" s="23">
        <v>44346</v>
      </c>
      <c r="G1734" s="1">
        <v>17564</v>
      </c>
    </row>
    <row r="1735" spans="1:7">
      <c r="A1735" t="s">
        <v>5711</v>
      </c>
      <c r="B1735" t="s">
        <v>94</v>
      </c>
      <c r="C1735" t="s">
        <v>2728</v>
      </c>
      <c r="D1735" t="s">
        <v>2970</v>
      </c>
      <c r="E1735" t="s">
        <v>5224</v>
      </c>
      <c r="F1735" s="23">
        <v>44346</v>
      </c>
      <c r="G1735" s="1">
        <v>19100</v>
      </c>
    </row>
    <row r="1736" spans="1:7">
      <c r="A1736" t="s">
        <v>5711</v>
      </c>
      <c r="B1736" t="s">
        <v>101</v>
      </c>
      <c r="C1736" t="s">
        <v>712</v>
      </c>
      <c r="D1736" t="s">
        <v>711</v>
      </c>
      <c r="E1736" t="s">
        <v>5225</v>
      </c>
      <c r="F1736" s="23">
        <v>44346</v>
      </c>
      <c r="G1736" s="1">
        <v>8617</v>
      </c>
    </row>
    <row r="1737" spans="1:7">
      <c r="A1737" t="s">
        <v>5711</v>
      </c>
      <c r="B1737" t="s">
        <v>37</v>
      </c>
      <c r="C1737" t="s">
        <v>431</v>
      </c>
      <c r="D1737" t="s">
        <v>430</v>
      </c>
      <c r="E1737" t="s">
        <v>5226</v>
      </c>
      <c r="F1737" s="23">
        <v>44915</v>
      </c>
      <c r="G1737" s="1">
        <v>4143</v>
      </c>
    </row>
    <row r="1738" spans="1:7">
      <c r="A1738" t="s">
        <v>5711</v>
      </c>
      <c r="B1738" t="s">
        <v>233</v>
      </c>
      <c r="C1738" t="s">
        <v>745</v>
      </c>
      <c r="D1738" t="s">
        <v>3060</v>
      </c>
      <c r="E1738" t="s">
        <v>5227</v>
      </c>
      <c r="F1738" s="23">
        <v>45073</v>
      </c>
      <c r="G1738" s="1">
        <v>5522</v>
      </c>
    </row>
    <row r="1739" spans="1:7">
      <c r="A1739" t="s">
        <v>5711</v>
      </c>
      <c r="B1739" t="s">
        <v>94</v>
      </c>
      <c r="C1739" t="s">
        <v>3486</v>
      </c>
      <c r="D1739" t="s">
        <v>5669</v>
      </c>
      <c r="E1739" t="s">
        <v>5228</v>
      </c>
      <c r="F1739" s="23">
        <v>44384</v>
      </c>
      <c r="G1739" s="1">
        <v>7688</v>
      </c>
    </row>
    <row r="1740" spans="1:7">
      <c r="A1740" t="s">
        <v>5711</v>
      </c>
      <c r="B1740" t="s">
        <v>298</v>
      </c>
      <c r="C1740" t="s">
        <v>2415</v>
      </c>
      <c r="D1740" t="s">
        <v>5670</v>
      </c>
      <c r="E1740" t="s">
        <v>5229</v>
      </c>
      <c r="F1740" s="23">
        <v>44863</v>
      </c>
      <c r="G1740" s="1">
        <v>6233</v>
      </c>
    </row>
    <row r="1741" spans="1:7">
      <c r="A1741" t="s">
        <v>5711</v>
      </c>
      <c r="B1741" t="s">
        <v>405</v>
      </c>
      <c r="C1741" t="s">
        <v>404</v>
      </c>
      <c r="D1741" t="s">
        <v>403</v>
      </c>
      <c r="E1741" t="s">
        <v>5230</v>
      </c>
      <c r="F1741" s="23">
        <v>44346</v>
      </c>
      <c r="G1741" s="1">
        <v>4811</v>
      </c>
    </row>
    <row r="1742" spans="1:7">
      <c r="A1742" t="s">
        <v>5711</v>
      </c>
      <c r="B1742" t="s">
        <v>94</v>
      </c>
      <c r="C1742" t="s">
        <v>3486</v>
      </c>
      <c r="D1742" t="s">
        <v>116</v>
      </c>
      <c r="E1742" t="s">
        <v>5231</v>
      </c>
      <c r="F1742" s="23">
        <v>44346</v>
      </c>
      <c r="G1742" s="1">
        <v>12157</v>
      </c>
    </row>
    <row r="1743" spans="1:7">
      <c r="A1743" t="s">
        <v>5711</v>
      </c>
      <c r="B1743" t="s">
        <v>43</v>
      </c>
      <c r="C1743" t="s">
        <v>879</v>
      </c>
      <c r="D1743" t="s">
        <v>878</v>
      </c>
      <c r="E1743" t="s">
        <v>5232</v>
      </c>
      <c r="F1743" s="23">
        <v>44346</v>
      </c>
      <c r="G1743" s="1">
        <v>8942</v>
      </c>
    </row>
    <row r="1744" spans="1:7">
      <c r="A1744" t="s">
        <v>5711</v>
      </c>
      <c r="B1744" t="s">
        <v>94</v>
      </c>
      <c r="C1744" t="s">
        <v>1996</v>
      </c>
      <c r="D1744" t="s">
        <v>1995</v>
      </c>
      <c r="E1744" t="s">
        <v>5233</v>
      </c>
      <c r="F1744" s="23">
        <v>44346</v>
      </c>
      <c r="G1744" s="1">
        <v>16302</v>
      </c>
    </row>
    <row r="1745" spans="1:7">
      <c r="A1745" t="s">
        <v>5711</v>
      </c>
      <c r="B1745" t="s">
        <v>311</v>
      </c>
      <c r="C1745" t="s">
        <v>2963</v>
      </c>
      <c r="D1745" t="s">
        <v>2962</v>
      </c>
      <c r="E1745" t="s">
        <v>5234</v>
      </c>
      <c r="F1745" s="23">
        <v>44346</v>
      </c>
      <c r="G1745" s="1">
        <v>5031</v>
      </c>
    </row>
    <row r="1746" spans="1:7">
      <c r="A1746" t="s">
        <v>5711</v>
      </c>
      <c r="B1746" t="s">
        <v>211</v>
      </c>
      <c r="C1746" t="s">
        <v>210</v>
      </c>
      <c r="D1746" t="s">
        <v>209</v>
      </c>
      <c r="E1746" t="s">
        <v>5235</v>
      </c>
      <c r="F1746" s="23">
        <v>44529</v>
      </c>
      <c r="G1746" s="1">
        <v>6086</v>
      </c>
    </row>
    <row r="1747" spans="1:7">
      <c r="A1747" t="s">
        <v>5711</v>
      </c>
      <c r="B1747" t="s">
        <v>298</v>
      </c>
      <c r="C1747" t="s">
        <v>2389</v>
      </c>
      <c r="D1747" t="s">
        <v>2388</v>
      </c>
      <c r="E1747" t="s">
        <v>5236</v>
      </c>
      <c r="F1747" s="23">
        <v>44346</v>
      </c>
      <c r="G1747" s="1">
        <v>10488</v>
      </c>
    </row>
    <row r="1748" spans="1:7">
      <c r="A1748" t="s">
        <v>5711</v>
      </c>
      <c r="B1748" t="s">
        <v>298</v>
      </c>
      <c r="C1748" t="s">
        <v>3263</v>
      </c>
      <c r="D1748" t="s">
        <v>3262</v>
      </c>
      <c r="E1748" t="s">
        <v>5237</v>
      </c>
      <c r="F1748" s="23">
        <v>44494</v>
      </c>
      <c r="G1748" s="1">
        <v>11863</v>
      </c>
    </row>
    <row r="1749" spans="1:7">
      <c r="A1749" t="s">
        <v>5711</v>
      </c>
      <c r="B1749" t="s">
        <v>94</v>
      </c>
      <c r="C1749" t="s">
        <v>3489</v>
      </c>
      <c r="D1749" t="s">
        <v>376</v>
      </c>
      <c r="E1749" t="s">
        <v>5238</v>
      </c>
      <c r="F1749" s="23">
        <v>44878</v>
      </c>
      <c r="G1749" s="1">
        <v>2393</v>
      </c>
    </row>
    <row r="1750" spans="1:7">
      <c r="A1750" t="s">
        <v>5711</v>
      </c>
      <c r="B1750" t="s">
        <v>792</v>
      </c>
      <c r="C1750" t="s">
        <v>1740</v>
      </c>
      <c r="D1750" t="s">
        <v>1739</v>
      </c>
      <c r="E1750" t="s">
        <v>5239</v>
      </c>
      <c r="F1750" s="23">
        <v>44346</v>
      </c>
      <c r="G1750" s="1">
        <v>15638</v>
      </c>
    </row>
    <row r="1751" spans="1:7">
      <c r="A1751" t="s">
        <v>5711</v>
      </c>
      <c r="B1751" t="s">
        <v>531</v>
      </c>
      <c r="C1751" t="s">
        <v>530</v>
      </c>
      <c r="D1751" t="s">
        <v>529</v>
      </c>
      <c r="E1751" t="s">
        <v>5240</v>
      </c>
      <c r="F1751" s="23">
        <v>44346</v>
      </c>
      <c r="G1751" s="1">
        <v>14379</v>
      </c>
    </row>
    <row r="1752" spans="1:7">
      <c r="A1752" t="s">
        <v>5711</v>
      </c>
      <c r="B1752" t="s">
        <v>164</v>
      </c>
      <c r="C1752" t="s">
        <v>1692</v>
      </c>
      <c r="D1752" t="s">
        <v>1691</v>
      </c>
      <c r="E1752" t="s">
        <v>5241</v>
      </c>
      <c r="F1752" s="23">
        <v>44346</v>
      </c>
      <c r="G1752" s="1">
        <v>16295</v>
      </c>
    </row>
    <row r="1753" spans="1:7">
      <c r="A1753" t="s">
        <v>5711</v>
      </c>
      <c r="B1753" t="s">
        <v>97</v>
      </c>
      <c r="C1753" t="s">
        <v>596</v>
      </c>
      <c r="D1753" t="s">
        <v>595</v>
      </c>
      <c r="E1753" t="s">
        <v>5242</v>
      </c>
      <c r="F1753" s="23">
        <v>44346</v>
      </c>
      <c r="G1753" s="1">
        <v>4975</v>
      </c>
    </row>
    <row r="1754" spans="1:7">
      <c r="A1754" t="s">
        <v>5711</v>
      </c>
      <c r="B1754" t="s">
        <v>94</v>
      </c>
      <c r="C1754" t="s">
        <v>2430</v>
      </c>
      <c r="D1754" t="s">
        <v>2429</v>
      </c>
      <c r="E1754" t="s">
        <v>5243</v>
      </c>
      <c r="F1754" s="23">
        <v>44959</v>
      </c>
      <c r="G1754" s="1">
        <v>11581</v>
      </c>
    </row>
    <row r="1755" spans="1:7">
      <c r="A1755" t="s">
        <v>5711</v>
      </c>
      <c r="B1755" t="s">
        <v>106</v>
      </c>
      <c r="C1755" t="s">
        <v>2602</v>
      </c>
      <c r="D1755" t="s">
        <v>2601</v>
      </c>
      <c r="E1755" t="s">
        <v>5244</v>
      </c>
      <c r="F1755" s="23">
        <v>44901</v>
      </c>
      <c r="G1755" s="1">
        <v>11769</v>
      </c>
    </row>
    <row r="1756" spans="1:7">
      <c r="A1756" t="s">
        <v>5711</v>
      </c>
      <c r="B1756" t="s">
        <v>298</v>
      </c>
      <c r="C1756" t="s">
        <v>2625</v>
      </c>
      <c r="D1756" t="s">
        <v>2624</v>
      </c>
      <c r="E1756" t="s">
        <v>5245</v>
      </c>
      <c r="F1756" s="23">
        <v>44346</v>
      </c>
      <c r="G1756" s="1">
        <v>19085</v>
      </c>
    </row>
    <row r="1757" spans="1:7">
      <c r="A1757" t="s">
        <v>5711</v>
      </c>
      <c r="B1757" t="s">
        <v>94</v>
      </c>
      <c r="C1757" t="s">
        <v>2413</v>
      </c>
      <c r="D1757" t="s">
        <v>2412</v>
      </c>
      <c r="E1757" t="s">
        <v>5246</v>
      </c>
      <c r="F1757" s="23">
        <v>44346</v>
      </c>
      <c r="G1757" s="1">
        <v>18583</v>
      </c>
    </row>
    <row r="1758" spans="1:7">
      <c r="A1758" t="s">
        <v>5711</v>
      </c>
      <c r="B1758" t="s">
        <v>174</v>
      </c>
      <c r="C1758" t="s">
        <v>1775</v>
      </c>
      <c r="D1758" t="s">
        <v>1774</v>
      </c>
      <c r="E1758" t="s">
        <v>5247</v>
      </c>
      <c r="F1758" s="23">
        <v>44624</v>
      </c>
      <c r="G1758" s="1">
        <v>3062</v>
      </c>
    </row>
    <row r="1759" spans="1:7">
      <c r="A1759" t="s">
        <v>5711</v>
      </c>
      <c r="B1759" t="s">
        <v>94</v>
      </c>
      <c r="C1759" t="s">
        <v>3485</v>
      </c>
      <c r="D1759" t="s">
        <v>1787</v>
      </c>
      <c r="E1759" t="s">
        <v>5248</v>
      </c>
      <c r="F1759" s="23">
        <v>44878</v>
      </c>
      <c r="G1759" s="1">
        <v>8664</v>
      </c>
    </row>
    <row r="1760" spans="1:7">
      <c r="A1760" t="s">
        <v>5711</v>
      </c>
      <c r="B1760" t="s">
        <v>91</v>
      </c>
      <c r="C1760" t="s">
        <v>159</v>
      </c>
      <c r="D1760" t="s">
        <v>158</v>
      </c>
      <c r="E1760" t="s">
        <v>5249</v>
      </c>
      <c r="F1760" s="23">
        <v>44381</v>
      </c>
      <c r="G1760" s="1">
        <v>7673</v>
      </c>
    </row>
    <row r="1761" spans="1:7">
      <c r="A1761" t="s">
        <v>5711</v>
      </c>
      <c r="B1761" t="s">
        <v>106</v>
      </c>
      <c r="C1761" t="s">
        <v>3106</v>
      </c>
      <c r="D1761" t="s">
        <v>3105</v>
      </c>
      <c r="E1761" t="s">
        <v>5250</v>
      </c>
      <c r="F1761" s="23">
        <v>44346</v>
      </c>
      <c r="G1761" s="1">
        <v>16205</v>
      </c>
    </row>
    <row r="1762" spans="1:7">
      <c r="A1762" t="s">
        <v>5711</v>
      </c>
      <c r="B1762" t="s">
        <v>94</v>
      </c>
      <c r="C1762" t="s">
        <v>3486</v>
      </c>
      <c r="D1762" t="s">
        <v>1150</v>
      </c>
      <c r="E1762" t="s">
        <v>5251</v>
      </c>
      <c r="F1762" s="23">
        <v>44346</v>
      </c>
      <c r="G1762" s="1">
        <v>13481</v>
      </c>
    </row>
    <row r="1763" spans="1:7">
      <c r="A1763" t="s">
        <v>5711</v>
      </c>
      <c r="B1763" t="s">
        <v>298</v>
      </c>
      <c r="C1763" t="s">
        <v>361</v>
      </c>
      <c r="D1763" t="s">
        <v>2248</v>
      </c>
      <c r="E1763" t="s">
        <v>5252</v>
      </c>
      <c r="F1763" s="23">
        <v>44346</v>
      </c>
      <c r="G1763" s="1">
        <v>3085</v>
      </c>
    </row>
    <row r="1764" spans="1:7">
      <c r="A1764" t="s">
        <v>5711</v>
      </c>
      <c r="B1764" t="s">
        <v>311</v>
      </c>
      <c r="C1764" t="s">
        <v>2739</v>
      </c>
      <c r="D1764" t="s">
        <v>2738</v>
      </c>
      <c r="E1764" t="s">
        <v>5253</v>
      </c>
      <c r="F1764" s="23">
        <v>44601</v>
      </c>
      <c r="G1764" s="1">
        <v>3567</v>
      </c>
    </row>
    <row r="1765" spans="1:7">
      <c r="A1765" t="s">
        <v>5711</v>
      </c>
      <c r="B1765" t="s">
        <v>94</v>
      </c>
      <c r="C1765" t="s">
        <v>3265</v>
      </c>
      <c r="D1765" t="s">
        <v>1022</v>
      </c>
      <c r="E1765" t="s">
        <v>5254</v>
      </c>
      <c r="F1765" s="23">
        <v>45044</v>
      </c>
      <c r="G1765" s="1">
        <v>4140</v>
      </c>
    </row>
    <row r="1766" spans="1:7">
      <c r="A1766" t="s">
        <v>5711</v>
      </c>
      <c r="B1766" t="s">
        <v>1544</v>
      </c>
      <c r="C1766" t="s">
        <v>1543</v>
      </c>
      <c r="D1766" t="s">
        <v>1542</v>
      </c>
      <c r="E1766" t="s">
        <v>5255</v>
      </c>
      <c r="F1766" s="23">
        <v>44346</v>
      </c>
      <c r="G1766" s="1">
        <v>3584</v>
      </c>
    </row>
    <row r="1767" spans="1:7">
      <c r="A1767" t="s">
        <v>5711</v>
      </c>
      <c r="B1767" t="s">
        <v>298</v>
      </c>
      <c r="C1767" t="s">
        <v>3165</v>
      </c>
      <c r="D1767" t="s">
        <v>3164</v>
      </c>
      <c r="E1767" t="s">
        <v>5256</v>
      </c>
      <c r="F1767" s="23">
        <v>44680</v>
      </c>
      <c r="G1767" s="1">
        <v>5879</v>
      </c>
    </row>
    <row r="1768" spans="1:7">
      <c r="A1768" t="s">
        <v>5711</v>
      </c>
      <c r="B1768" t="s">
        <v>94</v>
      </c>
      <c r="C1768" t="s">
        <v>273</v>
      </c>
      <c r="D1768" t="s">
        <v>272</v>
      </c>
      <c r="E1768" t="s">
        <v>5257</v>
      </c>
      <c r="F1768" s="23">
        <v>44346</v>
      </c>
      <c r="G1768" s="1">
        <v>5723</v>
      </c>
    </row>
    <row r="1769" spans="1:7">
      <c r="A1769" t="s">
        <v>5711</v>
      </c>
      <c r="B1769" t="s">
        <v>94</v>
      </c>
      <c r="C1769" t="s">
        <v>3487</v>
      </c>
      <c r="D1769" t="s">
        <v>69</v>
      </c>
      <c r="E1769" t="s">
        <v>5258</v>
      </c>
      <c r="F1769" s="23">
        <v>44923</v>
      </c>
      <c r="G1769" s="1">
        <v>2228</v>
      </c>
    </row>
    <row r="1770" spans="1:7">
      <c r="A1770" t="s">
        <v>5711</v>
      </c>
      <c r="B1770" t="s">
        <v>106</v>
      </c>
      <c r="C1770" t="s">
        <v>2576</v>
      </c>
      <c r="D1770" t="s">
        <v>2575</v>
      </c>
      <c r="E1770" t="s">
        <v>5259</v>
      </c>
      <c r="F1770" s="23">
        <v>44346</v>
      </c>
      <c r="G1770" s="1">
        <v>6112</v>
      </c>
    </row>
    <row r="1771" spans="1:7">
      <c r="A1771" t="s">
        <v>5711</v>
      </c>
      <c r="B1771" t="s">
        <v>311</v>
      </c>
      <c r="C1771" t="s">
        <v>1960</v>
      </c>
      <c r="D1771" t="s">
        <v>1959</v>
      </c>
      <c r="E1771" t="s">
        <v>5260</v>
      </c>
      <c r="F1771" s="23">
        <v>44346</v>
      </c>
      <c r="G1771" s="1">
        <v>7010</v>
      </c>
    </row>
    <row r="1772" spans="1:7">
      <c r="A1772" t="s">
        <v>5711</v>
      </c>
      <c r="B1772" t="s">
        <v>106</v>
      </c>
      <c r="C1772" t="s">
        <v>2925</v>
      </c>
      <c r="D1772" t="s">
        <v>2924</v>
      </c>
      <c r="E1772" t="s">
        <v>5261</v>
      </c>
      <c r="F1772" s="23">
        <v>44686</v>
      </c>
      <c r="G1772" s="1">
        <v>6791</v>
      </c>
    </row>
    <row r="1773" spans="1:7">
      <c r="A1773" t="s">
        <v>5711</v>
      </c>
      <c r="B1773" t="s">
        <v>174</v>
      </c>
      <c r="C1773" t="s">
        <v>173</v>
      </c>
      <c r="D1773" t="s">
        <v>172</v>
      </c>
      <c r="E1773" t="s">
        <v>5262</v>
      </c>
      <c r="F1773" s="23">
        <v>44507</v>
      </c>
      <c r="G1773" s="1">
        <v>9067</v>
      </c>
    </row>
    <row r="1774" spans="1:7">
      <c r="A1774" t="s">
        <v>5711</v>
      </c>
      <c r="B1774" t="s">
        <v>94</v>
      </c>
      <c r="C1774" t="s">
        <v>3485</v>
      </c>
      <c r="D1774" t="s">
        <v>1807</v>
      </c>
      <c r="E1774" t="s">
        <v>5263</v>
      </c>
      <c r="F1774" s="23">
        <v>44373</v>
      </c>
      <c r="G1774" s="1">
        <v>4160</v>
      </c>
    </row>
    <row r="1775" spans="1:7">
      <c r="A1775" t="s">
        <v>5711</v>
      </c>
      <c r="B1775" t="s">
        <v>444</v>
      </c>
      <c r="C1775" t="s">
        <v>443</v>
      </c>
      <c r="D1775" t="s">
        <v>441</v>
      </c>
      <c r="E1775" t="s">
        <v>5264</v>
      </c>
      <c r="F1775" s="23">
        <v>44346</v>
      </c>
      <c r="G1775" s="1">
        <v>13231</v>
      </c>
    </row>
    <row r="1776" spans="1:7">
      <c r="A1776" t="s">
        <v>5711</v>
      </c>
      <c r="B1776" t="s">
        <v>1149</v>
      </c>
      <c r="C1776" t="s">
        <v>1148</v>
      </c>
      <c r="D1776" t="s">
        <v>1147</v>
      </c>
      <c r="E1776" t="s">
        <v>5265</v>
      </c>
      <c r="F1776" s="23">
        <v>44346</v>
      </c>
      <c r="G1776" s="1">
        <v>15817</v>
      </c>
    </row>
    <row r="1777" spans="1:7">
      <c r="A1777" t="s">
        <v>5711</v>
      </c>
      <c r="B1777" t="s">
        <v>94</v>
      </c>
      <c r="C1777" t="s">
        <v>850</v>
      </c>
      <c r="D1777" t="s">
        <v>849</v>
      </c>
      <c r="E1777" t="s">
        <v>5266</v>
      </c>
      <c r="F1777" s="23">
        <v>44346</v>
      </c>
      <c r="G1777" s="1">
        <v>15553</v>
      </c>
    </row>
    <row r="1778" spans="1:7">
      <c r="A1778" t="s">
        <v>5711</v>
      </c>
      <c r="B1778" t="s">
        <v>230</v>
      </c>
      <c r="C1778" t="s">
        <v>1156</v>
      </c>
      <c r="D1778" t="s">
        <v>1155</v>
      </c>
      <c r="E1778" t="s">
        <v>5267</v>
      </c>
      <c r="F1778" s="23">
        <v>44346</v>
      </c>
      <c r="G1778" s="1">
        <v>6880</v>
      </c>
    </row>
    <row r="1779" spans="1:7">
      <c r="A1779" t="s">
        <v>5711</v>
      </c>
      <c r="B1779" t="s">
        <v>94</v>
      </c>
      <c r="C1779" t="s">
        <v>3487</v>
      </c>
      <c r="D1779" t="s">
        <v>1248</v>
      </c>
      <c r="E1779" t="s">
        <v>5268</v>
      </c>
      <c r="F1779" s="23">
        <v>44346</v>
      </c>
      <c r="G1779" s="1">
        <v>19107</v>
      </c>
    </row>
    <row r="1780" spans="1:7">
      <c r="A1780" t="s">
        <v>5711</v>
      </c>
      <c r="B1780" t="s">
        <v>208</v>
      </c>
      <c r="C1780" t="s">
        <v>619</v>
      </c>
      <c r="D1780" t="s">
        <v>618</v>
      </c>
      <c r="E1780" t="s">
        <v>5269</v>
      </c>
      <c r="F1780" s="23">
        <v>44346</v>
      </c>
      <c r="G1780" s="1">
        <v>16775</v>
      </c>
    </row>
    <row r="1781" spans="1:7">
      <c r="A1781" t="s">
        <v>5711</v>
      </c>
      <c r="B1781" t="s">
        <v>298</v>
      </c>
      <c r="C1781" t="s">
        <v>2184</v>
      </c>
      <c r="D1781" t="s">
        <v>3093</v>
      </c>
      <c r="E1781" t="s">
        <v>5270</v>
      </c>
      <c r="F1781" s="23">
        <v>44346</v>
      </c>
      <c r="G1781" s="1">
        <v>14698</v>
      </c>
    </row>
    <row r="1782" spans="1:7">
      <c r="A1782" t="s">
        <v>5711</v>
      </c>
      <c r="B1782" t="s">
        <v>1223</v>
      </c>
      <c r="C1782" t="s">
        <v>1222</v>
      </c>
      <c r="D1782" t="s">
        <v>3454</v>
      </c>
      <c r="E1782" t="s">
        <v>5271</v>
      </c>
      <c r="F1782" s="23">
        <v>44377</v>
      </c>
      <c r="G1782" s="1">
        <v>8786</v>
      </c>
    </row>
    <row r="1783" spans="1:7">
      <c r="A1783" t="s">
        <v>5711</v>
      </c>
      <c r="B1783" t="s">
        <v>94</v>
      </c>
      <c r="C1783" t="s">
        <v>3327</v>
      </c>
      <c r="D1783" t="s">
        <v>5671</v>
      </c>
      <c r="E1783" t="s">
        <v>5272</v>
      </c>
      <c r="F1783" s="23">
        <v>44538</v>
      </c>
      <c r="G1783" s="1">
        <v>2029</v>
      </c>
    </row>
    <row r="1784" spans="1:7">
      <c r="A1784" t="s">
        <v>5711</v>
      </c>
      <c r="B1784" t="s">
        <v>298</v>
      </c>
      <c r="D1784" t="s">
        <v>2954</v>
      </c>
      <c r="E1784" t="s">
        <v>5273</v>
      </c>
      <c r="F1784" s="23">
        <v>44346</v>
      </c>
      <c r="G1784" s="1">
        <v>18769</v>
      </c>
    </row>
    <row r="1785" spans="1:7">
      <c r="A1785" t="s">
        <v>5711</v>
      </c>
      <c r="B1785" t="s">
        <v>94</v>
      </c>
      <c r="C1785" t="s">
        <v>2909</v>
      </c>
      <c r="D1785" t="s">
        <v>5672</v>
      </c>
      <c r="E1785" t="s">
        <v>5274</v>
      </c>
      <c r="F1785" s="23">
        <v>44346</v>
      </c>
      <c r="G1785" s="1">
        <v>15101</v>
      </c>
    </row>
    <row r="1786" spans="1:7">
      <c r="A1786" t="s">
        <v>5711</v>
      </c>
      <c r="B1786" t="s">
        <v>164</v>
      </c>
      <c r="C1786" t="s">
        <v>1211</v>
      </c>
      <c r="D1786" t="s">
        <v>1210</v>
      </c>
      <c r="E1786" t="s">
        <v>5275</v>
      </c>
      <c r="F1786" s="23">
        <v>44826</v>
      </c>
      <c r="G1786" s="1">
        <v>4784</v>
      </c>
    </row>
    <row r="1787" spans="1:7">
      <c r="A1787" t="s">
        <v>5711</v>
      </c>
      <c r="B1787" t="s">
        <v>94</v>
      </c>
      <c r="C1787" t="s">
        <v>1933</v>
      </c>
      <c r="D1787" t="s">
        <v>5673</v>
      </c>
      <c r="E1787" t="s">
        <v>5276</v>
      </c>
      <c r="F1787" s="23">
        <v>44458</v>
      </c>
      <c r="G1787" s="1">
        <v>5759</v>
      </c>
    </row>
    <row r="1788" spans="1:7">
      <c r="A1788" t="s">
        <v>5711</v>
      </c>
      <c r="B1788" t="s">
        <v>94</v>
      </c>
      <c r="C1788" t="s">
        <v>3485</v>
      </c>
      <c r="D1788" t="s">
        <v>1212</v>
      </c>
      <c r="E1788" t="s">
        <v>5277</v>
      </c>
      <c r="F1788" s="23">
        <v>44805</v>
      </c>
      <c r="G1788" s="1">
        <v>11708</v>
      </c>
    </row>
    <row r="1789" spans="1:7">
      <c r="A1789" t="s">
        <v>5711</v>
      </c>
      <c r="B1789" t="s">
        <v>94</v>
      </c>
      <c r="C1789" t="s">
        <v>3488</v>
      </c>
      <c r="D1789" t="s">
        <v>1806</v>
      </c>
      <c r="E1789" t="s">
        <v>5278</v>
      </c>
      <c r="F1789" s="23">
        <v>44369</v>
      </c>
      <c r="G1789" s="1">
        <v>7922</v>
      </c>
    </row>
    <row r="1790" spans="1:7">
      <c r="A1790" t="s">
        <v>5711</v>
      </c>
      <c r="B1790" t="s">
        <v>311</v>
      </c>
      <c r="C1790" t="s">
        <v>3276</v>
      </c>
      <c r="D1790" t="s">
        <v>3275</v>
      </c>
      <c r="E1790" t="s">
        <v>5279</v>
      </c>
      <c r="F1790" s="23">
        <v>44346</v>
      </c>
      <c r="G1790" s="1">
        <v>13150</v>
      </c>
    </row>
    <row r="1791" spans="1:7">
      <c r="A1791" t="s">
        <v>5711</v>
      </c>
      <c r="B1791" t="s">
        <v>114</v>
      </c>
      <c r="C1791" t="s">
        <v>574</v>
      </c>
      <c r="D1791" t="s">
        <v>573</v>
      </c>
      <c r="E1791" t="s">
        <v>5280</v>
      </c>
      <c r="F1791" s="23">
        <v>44346</v>
      </c>
      <c r="G1791" s="1">
        <v>6655</v>
      </c>
    </row>
    <row r="1792" spans="1:7">
      <c r="A1792" t="s">
        <v>5711</v>
      </c>
      <c r="B1792" t="s">
        <v>94</v>
      </c>
      <c r="C1792" t="s">
        <v>3303</v>
      </c>
      <c r="D1792" t="s">
        <v>5674</v>
      </c>
      <c r="E1792" t="s">
        <v>5281</v>
      </c>
      <c r="F1792" s="23">
        <v>44346</v>
      </c>
      <c r="G1792" s="1">
        <v>12681</v>
      </c>
    </row>
    <row r="1793" spans="1:7">
      <c r="A1793" t="s">
        <v>5711</v>
      </c>
      <c r="B1793" t="s">
        <v>298</v>
      </c>
      <c r="C1793" t="s">
        <v>2117</v>
      </c>
      <c r="D1793" t="s">
        <v>2116</v>
      </c>
      <c r="E1793" t="s">
        <v>5282</v>
      </c>
      <c r="F1793" s="23">
        <v>44346</v>
      </c>
      <c r="G1793" s="1">
        <v>2962</v>
      </c>
    </row>
    <row r="1794" spans="1:7">
      <c r="A1794" t="s">
        <v>5711</v>
      </c>
      <c r="B1794" t="s">
        <v>106</v>
      </c>
      <c r="C1794" t="s">
        <v>2645</v>
      </c>
      <c r="D1794" t="s">
        <v>2644</v>
      </c>
      <c r="E1794" t="s">
        <v>5283</v>
      </c>
      <c r="F1794" s="23">
        <v>44346</v>
      </c>
      <c r="G1794" s="1">
        <v>19139</v>
      </c>
    </row>
    <row r="1795" spans="1:7">
      <c r="A1795" t="s">
        <v>5711</v>
      </c>
      <c r="B1795" t="s">
        <v>106</v>
      </c>
      <c r="C1795" t="s">
        <v>1846</v>
      </c>
      <c r="D1795" t="s">
        <v>1845</v>
      </c>
      <c r="E1795" t="s">
        <v>5284</v>
      </c>
      <c r="F1795" s="23">
        <v>44346</v>
      </c>
      <c r="G1795" s="1">
        <v>3261</v>
      </c>
    </row>
    <row r="1796" spans="1:7">
      <c r="A1796" t="s">
        <v>5711</v>
      </c>
      <c r="B1796" t="s">
        <v>654</v>
      </c>
      <c r="C1796" t="s">
        <v>858</v>
      </c>
      <c r="D1796" t="s">
        <v>857</v>
      </c>
      <c r="E1796" t="s">
        <v>5285</v>
      </c>
      <c r="F1796" s="23">
        <v>44346</v>
      </c>
      <c r="G1796" s="1">
        <v>2005</v>
      </c>
    </row>
    <row r="1797" spans="1:7">
      <c r="A1797" t="s">
        <v>5711</v>
      </c>
      <c r="B1797" t="s">
        <v>298</v>
      </c>
      <c r="C1797" t="s">
        <v>820</v>
      </c>
      <c r="D1797" t="s">
        <v>2569</v>
      </c>
      <c r="E1797" t="s">
        <v>5286</v>
      </c>
      <c r="F1797" s="23">
        <v>44346</v>
      </c>
      <c r="G1797" s="1">
        <v>18257</v>
      </c>
    </row>
    <row r="1798" spans="1:7">
      <c r="A1798" t="s">
        <v>5711</v>
      </c>
      <c r="B1798" t="s">
        <v>233</v>
      </c>
      <c r="C1798" t="s">
        <v>900</v>
      </c>
      <c r="D1798" t="s">
        <v>899</v>
      </c>
      <c r="E1798" t="s">
        <v>5287</v>
      </c>
      <c r="F1798" s="23">
        <v>44346</v>
      </c>
      <c r="G1798" s="1">
        <v>11625</v>
      </c>
    </row>
    <row r="1799" spans="1:7">
      <c r="A1799" t="s">
        <v>5711</v>
      </c>
      <c r="B1799" t="s">
        <v>311</v>
      </c>
      <c r="C1799" t="s">
        <v>2549</v>
      </c>
      <c r="D1799" t="s">
        <v>2548</v>
      </c>
      <c r="E1799" t="s">
        <v>5288</v>
      </c>
      <c r="F1799" s="23">
        <v>44683</v>
      </c>
      <c r="G1799" s="1">
        <v>5648</v>
      </c>
    </row>
    <row r="1800" spans="1:7">
      <c r="A1800" t="s">
        <v>5711</v>
      </c>
      <c r="B1800" t="s">
        <v>94</v>
      </c>
      <c r="C1800" t="s">
        <v>1884</v>
      </c>
      <c r="D1800" t="s">
        <v>3186</v>
      </c>
      <c r="E1800" t="s">
        <v>5289</v>
      </c>
      <c r="F1800" s="23">
        <v>44346</v>
      </c>
      <c r="G1800" s="1">
        <v>10124</v>
      </c>
    </row>
    <row r="1801" spans="1:7">
      <c r="A1801" t="s">
        <v>5711</v>
      </c>
      <c r="B1801" t="s">
        <v>298</v>
      </c>
      <c r="C1801" t="s">
        <v>2737</v>
      </c>
      <c r="D1801" t="s">
        <v>3110</v>
      </c>
      <c r="E1801" t="s">
        <v>5290</v>
      </c>
      <c r="F1801" s="23">
        <v>44982</v>
      </c>
      <c r="G1801" s="1">
        <v>1012</v>
      </c>
    </row>
    <row r="1802" spans="1:7">
      <c r="A1802" t="s">
        <v>5711</v>
      </c>
      <c r="B1802" t="s">
        <v>132</v>
      </c>
      <c r="C1802" t="s">
        <v>131</v>
      </c>
      <c r="D1802" t="s">
        <v>130</v>
      </c>
      <c r="E1802" t="s">
        <v>5291</v>
      </c>
      <c r="F1802" s="23">
        <v>44346</v>
      </c>
      <c r="G1802" s="1">
        <v>16930</v>
      </c>
    </row>
    <row r="1803" spans="1:7">
      <c r="A1803" t="s">
        <v>5711</v>
      </c>
      <c r="B1803" t="s">
        <v>78</v>
      </c>
      <c r="C1803" t="s">
        <v>448</v>
      </c>
      <c r="D1803" t="s">
        <v>447</v>
      </c>
      <c r="E1803" t="s">
        <v>5292</v>
      </c>
      <c r="F1803" s="23">
        <v>44346</v>
      </c>
      <c r="G1803" s="1">
        <v>18608</v>
      </c>
    </row>
    <row r="1804" spans="1:7">
      <c r="A1804" t="s">
        <v>5711</v>
      </c>
      <c r="B1804" t="s">
        <v>94</v>
      </c>
      <c r="C1804" t="s">
        <v>940</v>
      </c>
      <c r="D1804" t="s">
        <v>2077</v>
      </c>
      <c r="E1804" t="s">
        <v>5293</v>
      </c>
      <c r="F1804" s="23">
        <v>44975</v>
      </c>
      <c r="G1804" s="1">
        <v>7037</v>
      </c>
    </row>
    <row r="1805" spans="1:7">
      <c r="A1805" t="s">
        <v>5711</v>
      </c>
      <c r="B1805" t="s">
        <v>233</v>
      </c>
      <c r="C1805" t="s">
        <v>1370</v>
      </c>
      <c r="D1805" t="s">
        <v>1369</v>
      </c>
      <c r="E1805" t="s">
        <v>5294</v>
      </c>
      <c r="F1805" s="23">
        <v>44346</v>
      </c>
      <c r="G1805" s="1">
        <v>16879</v>
      </c>
    </row>
    <row r="1806" spans="1:7">
      <c r="A1806" t="s">
        <v>5711</v>
      </c>
      <c r="B1806" t="s">
        <v>94</v>
      </c>
      <c r="C1806" t="s">
        <v>3458</v>
      </c>
      <c r="D1806" t="s">
        <v>3457</v>
      </c>
      <c r="E1806" t="s">
        <v>5295</v>
      </c>
      <c r="F1806" s="23">
        <v>44346</v>
      </c>
      <c r="G1806" s="1">
        <v>17981</v>
      </c>
    </row>
    <row r="1807" spans="1:7">
      <c r="A1807" t="s">
        <v>5711</v>
      </c>
      <c r="B1807" t="s">
        <v>236</v>
      </c>
      <c r="C1807" t="s">
        <v>250</v>
      </c>
      <c r="D1807" t="s">
        <v>249</v>
      </c>
      <c r="E1807" t="s">
        <v>5296</v>
      </c>
      <c r="F1807" s="23">
        <v>44346</v>
      </c>
      <c r="G1807" s="1">
        <v>14623</v>
      </c>
    </row>
    <row r="1808" spans="1:7">
      <c r="A1808" t="s">
        <v>5711</v>
      </c>
      <c r="B1808" t="s">
        <v>94</v>
      </c>
      <c r="C1808" t="s">
        <v>3485</v>
      </c>
      <c r="D1808" t="s">
        <v>1834</v>
      </c>
      <c r="E1808" t="s">
        <v>5297</v>
      </c>
      <c r="F1808" s="23">
        <v>44346</v>
      </c>
      <c r="G1808" s="1">
        <v>18318</v>
      </c>
    </row>
    <row r="1809" spans="1:7">
      <c r="A1809" t="s">
        <v>5711</v>
      </c>
      <c r="B1809" t="s">
        <v>106</v>
      </c>
      <c r="C1809" t="s">
        <v>2166</v>
      </c>
      <c r="D1809" t="s">
        <v>5675</v>
      </c>
      <c r="E1809" t="s">
        <v>5298</v>
      </c>
      <c r="F1809" s="23">
        <v>44719</v>
      </c>
      <c r="G1809" s="1">
        <v>9883</v>
      </c>
    </row>
    <row r="1810" spans="1:7">
      <c r="A1810" t="s">
        <v>5711</v>
      </c>
      <c r="B1810" t="s">
        <v>298</v>
      </c>
      <c r="C1810" t="s">
        <v>2684</v>
      </c>
      <c r="D1810" t="s">
        <v>2683</v>
      </c>
      <c r="E1810" t="s">
        <v>5299</v>
      </c>
      <c r="F1810" s="23">
        <v>44346</v>
      </c>
      <c r="G1810" s="1">
        <v>19935</v>
      </c>
    </row>
    <row r="1811" spans="1:7">
      <c r="A1811" t="s">
        <v>5711</v>
      </c>
      <c r="B1811" t="s">
        <v>37</v>
      </c>
      <c r="C1811" t="s">
        <v>1662</v>
      </c>
      <c r="D1811" t="s">
        <v>5676</v>
      </c>
      <c r="E1811" t="s">
        <v>5300</v>
      </c>
      <c r="F1811" s="23">
        <v>44346</v>
      </c>
      <c r="G1811" s="1">
        <v>13488</v>
      </c>
    </row>
    <row r="1812" spans="1:7">
      <c r="A1812" t="s">
        <v>5711</v>
      </c>
      <c r="B1812" t="s">
        <v>2062</v>
      </c>
      <c r="C1812" t="s">
        <v>3183</v>
      </c>
      <c r="D1812" t="s">
        <v>3182</v>
      </c>
      <c r="E1812" t="s">
        <v>5301</v>
      </c>
      <c r="F1812" s="23">
        <v>45023</v>
      </c>
      <c r="G1812" s="1">
        <v>6646</v>
      </c>
    </row>
    <row r="1813" spans="1:7">
      <c r="A1813" t="s">
        <v>5711</v>
      </c>
      <c r="B1813" t="s">
        <v>1323</v>
      </c>
      <c r="C1813" t="s">
        <v>1322</v>
      </c>
      <c r="D1813" t="s">
        <v>1321</v>
      </c>
      <c r="E1813" t="s">
        <v>5302</v>
      </c>
      <c r="F1813" s="23">
        <v>44944</v>
      </c>
      <c r="G1813" s="1">
        <v>2077</v>
      </c>
    </row>
    <row r="1814" spans="1:7">
      <c r="A1814" t="s">
        <v>5711</v>
      </c>
      <c r="B1814" t="s">
        <v>149</v>
      </c>
      <c r="C1814" t="s">
        <v>1385</v>
      </c>
      <c r="D1814" t="s">
        <v>1384</v>
      </c>
      <c r="E1814" t="s">
        <v>5303</v>
      </c>
      <c r="F1814" s="23">
        <v>44720</v>
      </c>
      <c r="G1814" s="1">
        <v>6094</v>
      </c>
    </row>
    <row r="1815" spans="1:7">
      <c r="A1815" t="s">
        <v>5711</v>
      </c>
      <c r="B1815" t="s">
        <v>101</v>
      </c>
      <c r="C1815" t="s">
        <v>932</v>
      </c>
      <c r="D1815" t="s">
        <v>5677</v>
      </c>
      <c r="E1815" t="s">
        <v>5304</v>
      </c>
      <c r="F1815" s="23">
        <v>44346</v>
      </c>
      <c r="G1815" s="1">
        <v>7922</v>
      </c>
    </row>
    <row r="1816" spans="1:7">
      <c r="A1816" t="s">
        <v>5711</v>
      </c>
      <c r="B1816" t="s">
        <v>106</v>
      </c>
      <c r="C1816" t="s">
        <v>2616</v>
      </c>
      <c r="D1816" t="s">
        <v>2615</v>
      </c>
      <c r="E1816" t="s">
        <v>5305</v>
      </c>
      <c r="F1816" s="23">
        <v>44476</v>
      </c>
      <c r="G1816" s="1">
        <v>6740</v>
      </c>
    </row>
    <row r="1817" spans="1:7">
      <c r="A1817" t="s">
        <v>5711</v>
      </c>
      <c r="B1817" t="s">
        <v>208</v>
      </c>
      <c r="C1817" t="s">
        <v>629</v>
      </c>
      <c r="D1817" t="s">
        <v>628</v>
      </c>
      <c r="E1817" t="s">
        <v>5306</v>
      </c>
      <c r="F1817" s="23">
        <v>44865</v>
      </c>
      <c r="G1817" s="1">
        <v>7568</v>
      </c>
    </row>
    <row r="1818" spans="1:7">
      <c r="A1818" t="s">
        <v>5711</v>
      </c>
      <c r="B1818" t="s">
        <v>106</v>
      </c>
      <c r="C1818" t="s">
        <v>2551</v>
      </c>
      <c r="D1818" t="s">
        <v>2550</v>
      </c>
      <c r="E1818" t="s">
        <v>5307</v>
      </c>
      <c r="F1818" s="23">
        <v>44896</v>
      </c>
      <c r="G1818" s="1">
        <v>7448</v>
      </c>
    </row>
    <row r="1819" spans="1:7">
      <c r="A1819" t="s">
        <v>5711</v>
      </c>
      <c r="B1819" t="s">
        <v>94</v>
      </c>
      <c r="C1819" t="s">
        <v>3490</v>
      </c>
      <c r="D1819" t="s">
        <v>854</v>
      </c>
      <c r="E1819" t="s">
        <v>5308</v>
      </c>
      <c r="F1819" s="23">
        <v>44827</v>
      </c>
      <c r="G1819" s="1">
        <v>8492</v>
      </c>
    </row>
    <row r="1820" spans="1:7">
      <c r="A1820" t="s">
        <v>5711</v>
      </c>
      <c r="B1820" t="s">
        <v>106</v>
      </c>
      <c r="C1820" t="s">
        <v>2712</v>
      </c>
      <c r="D1820" t="s">
        <v>2711</v>
      </c>
      <c r="E1820" t="s">
        <v>5309</v>
      </c>
      <c r="F1820" s="23">
        <v>44390</v>
      </c>
      <c r="G1820" s="1">
        <v>5525</v>
      </c>
    </row>
    <row r="1821" spans="1:7">
      <c r="A1821" t="s">
        <v>5711</v>
      </c>
      <c r="B1821" t="s">
        <v>333</v>
      </c>
      <c r="C1821" t="s">
        <v>332</v>
      </c>
      <c r="D1821" t="s">
        <v>331</v>
      </c>
      <c r="E1821" t="s">
        <v>5310</v>
      </c>
      <c r="F1821" s="23">
        <v>44496</v>
      </c>
      <c r="G1821" s="1">
        <v>7733</v>
      </c>
    </row>
    <row r="1822" spans="1:7">
      <c r="A1822" t="s">
        <v>5711</v>
      </c>
      <c r="B1822" t="s">
        <v>1149</v>
      </c>
      <c r="C1822" t="s">
        <v>1218</v>
      </c>
      <c r="D1822" t="s">
        <v>1217</v>
      </c>
      <c r="E1822" t="s">
        <v>5311</v>
      </c>
      <c r="F1822" s="23">
        <v>44346</v>
      </c>
      <c r="G1822" s="1">
        <v>16442</v>
      </c>
    </row>
    <row r="1823" spans="1:7">
      <c r="A1823" t="s">
        <v>5711</v>
      </c>
      <c r="B1823" t="s">
        <v>94</v>
      </c>
      <c r="C1823" t="s">
        <v>3487</v>
      </c>
      <c r="D1823" t="s">
        <v>708</v>
      </c>
      <c r="E1823" t="s">
        <v>5312</v>
      </c>
      <c r="F1823" s="23">
        <v>44346</v>
      </c>
      <c r="G1823" s="1">
        <v>15988</v>
      </c>
    </row>
    <row r="1824" spans="1:7">
      <c r="A1824" t="s">
        <v>5711</v>
      </c>
      <c r="B1824" t="s">
        <v>37</v>
      </c>
      <c r="C1824" t="s">
        <v>1270</v>
      </c>
      <c r="D1824" t="s">
        <v>1269</v>
      </c>
      <c r="E1824" t="s">
        <v>5313</v>
      </c>
      <c r="F1824" s="23">
        <v>44346</v>
      </c>
      <c r="G1824" s="1">
        <v>17392</v>
      </c>
    </row>
    <row r="1825" spans="1:7">
      <c r="A1825" t="s">
        <v>5711</v>
      </c>
      <c r="B1825" t="s">
        <v>106</v>
      </c>
      <c r="D1825" t="s">
        <v>2343</v>
      </c>
      <c r="E1825" t="s">
        <v>5314</v>
      </c>
      <c r="F1825" s="23">
        <v>44464</v>
      </c>
      <c r="G1825" s="1">
        <v>8210</v>
      </c>
    </row>
    <row r="1826" spans="1:7">
      <c r="A1826" t="s">
        <v>5711</v>
      </c>
      <c r="B1826" t="s">
        <v>298</v>
      </c>
      <c r="C1826" t="s">
        <v>365</v>
      </c>
      <c r="D1826" t="s">
        <v>2890</v>
      </c>
      <c r="E1826" t="s">
        <v>5315</v>
      </c>
      <c r="F1826" s="23">
        <v>44346</v>
      </c>
      <c r="G1826" s="1">
        <v>5005</v>
      </c>
    </row>
    <row r="1827" spans="1:7">
      <c r="A1827" t="s">
        <v>5711</v>
      </c>
      <c r="B1827" t="s">
        <v>72</v>
      </c>
      <c r="C1827" t="s">
        <v>103</v>
      </c>
      <c r="D1827" t="s">
        <v>102</v>
      </c>
      <c r="E1827" t="s">
        <v>5316</v>
      </c>
      <c r="F1827" s="23">
        <v>44346</v>
      </c>
      <c r="G1827" s="1">
        <v>12821</v>
      </c>
    </row>
    <row r="1828" spans="1:7">
      <c r="A1828" t="s">
        <v>5711</v>
      </c>
      <c r="B1828" t="s">
        <v>298</v>
      </c>
      <c r="C1828" t="s">
        <v>1916</v>
      </c>
      <c r="D1828" t="s">
        <v>1915</v>
      </c>
      <c r="E1828" t="s">
        <v>5317</v>
      </c>
      <c r="F1828" s="23">
        <v>44346</v>
      </c>
      <c r="G1828" s="1">
        <v>10969</v>
      </c>
    </row>
    <row r="1829" spans="1:7">
      <c r="A1829" t="s">
        <v>5711</v>
      </c>
      <c r="B1829" t="s">
        <v>43</v>
      </c>
      <c r="C1829" t="s">
        <v>1310</v>
      </c>
      <c r="D1829" t="s">
        <v>1309</v>
      </c>
      <c r="E1829" t="s">
        <v>5318</v>
      </c>
      <c r="F1829" s="23">
        <v>44551</v>
      </c>
      <c r="G1829" s="1">
        <v>5317</v>
      </c>
    </row>
    <row r="1830" spans="1:7">
      <c r="A1830" t="s">
        <v>5711</v>
      </c>
      <c r="B1830" t="s">
        <v>114</v>
      </c>
      <c r="C1830" t="s">
        <v>460</v>
      </c>
      <c r="D1830" t="s">
        <v>459</v>
      </c>
      <c r="E1830" t="s">
        <v>5319</v>
      </c>
      <c r="F1830" s="23">
        <v>44346</v>
      </c>
      <c r="G1830" s="1">
        <v>6068</v>
      </c>
    </row>
    <row r="1831" spans="1:7">
      <c r="A1831" t="s">
        <v>5711</v>
      </c>
      <c r="B1831" t="s">
        <v>106</v>
      </c>
      <c r="C1831" t="s">
        <v>3399</v>
      </c>
      <c r="D1831" t="s">
        <v>3398</v>
      </c>
      <c r="E1831" t="s">
        <v>5320</v>
      </c>
      <c r="F1831" s="23">
        <v>44593</v>
      </c>
      <c r="G1831" s="1">
        <v>8257</v>
      </c>
    </row>
    <row r="1832" spans="1:7">
      <c r="A1832" t="s">
        <v>5711</v>
      </c>
      <c r="B1832" t="s">
        <v>298</v>
      </c>
      <c r="C1832" t="s">
        <v>1894</v>
      </c>
      <c r="D1832" t="s">
        <v>1893</v>
      </c>
      <c r="E1832" t="s">
        <v>5321</v>
      </c>
      <c r="F1832" s="23">
        <v>44346</v>
      </c>
      <c r="G1832" s="1">
        <v>3136</v>
      </c>
    </row>
    <row r="1833" spans="1:7">
      <c r="A1833" t="s">
        <v>5711</v>
      </c>
      <c r="B1833" t="s">
        <v>233</v>
      </c>
      <c r="C1833" t="s">
        <v>2495</v>
      </c>
      <c r="D1833" t="s">
        <v>2494</v>
      </c>
      <c r="E1833" t="s">
        <v>5322</v>
      </c>
      <c r="F1833" s="23">
        <v>44346</v>
      </c>
      <c r="G1833" s="1">
        <v>13035</v>
      </c>
    </row>
    <row r="1834" spans="1:7">
      <c r="A1834" t="s">
        <v>5711</v>
      </c>
      <c r="B1834" t="s">
        <v>94</v>
      </c>
      <c r="C1834" t="s">
        <v>2408</v>
      </c>
      <c r="D1834" t="s">
        <v>2639</v>
      </c>
      <c r="E1834" t="s">
        <v>5323</v>
      </c>
      <c r="F1834" s="23">
        <v>44349</v>
      </c>
      <c r="G1834" s="1">
        <v>8316</v>
      </c>
    </row>
    <row r="1835" spans="1:7">
      <c r="A1835" t="s">
        <v>5711</v>
      </c>
      <c r="B1835" t="s">
        <v>298</v>
      </c>
      <c r="C1835" t="s">
        <v>820</v>
      </c>
      <c r="D1835" t="s">
        <v>2269</v>
      </c>
      <c r="E1835" t="s">
        <v>5324</v>
      </c>
      <c r="F1835" s="23">
        <v>44346</v>
      </c>
      <c r="G1835" s="1">
        <v>12988</v>
      </c>
    </row>
    <row r="1836" spans="1:7">
      <c r="A1836" t="s">
        <v>5711</v>
      </c>
      <c r="B1836" t="s">
        <v>94</v>
      </c>
      <c r="C1836" t="s">
        <v>3423</v>
      </c>
      <c r="D1836" t="s">
        <v>3422</v>
      </c>
      <c r="E1836" t="s">
        <v>5325</v>
      </c>
      <c r="F1836" s="23">
        <v>44922</v>
      </c>
      <c r="G1836" s="1">
        <v>9776</v>
      </c>
    </row>
    <row r="1837" spans="1:7">
      <c r="A1837" t="s">
        <v>5711</v>
      </c>
      <c r="B1837" t="s">
        <v>114</v>
      </c>
      <c r="C1837" t="s">
        <v>800</v>
      </c>
      <c r="D1837" t="s">
        <v>799</v>
      </c>
      <c r="E1837" t="s">
        <v>5326</v>
      </c>
      <c r="F1837" s="23">
        <v>44711</v>
      </c>
      <c r="G1837" s="1">
        <v>4280</v>
      </c>
    </row>
    <row r="1838" spans="1:7">
      <c r="A1838" t="s">
        <v>5711</v>
      </c>
      <c r="B1838" t="s">
        <v>37</v>
      </c>
      <c r="C1838" t="s">
        <v>455</v>
      </c>
      <c r="D1838" t="s">
        <v>454</v>
      </c>
      <c r="E1838" t="s">
        <v>5327</v>
      </c>
      <c r="F1838" s="23">
        <v>44351</v>
      </c>
      <c r="G1838" s="1">
        <v>2769</v>
      </c>
    </row>
    <row r="1839" spans="1:7">
      <c r="A1839" t="s">
        <v>5711</v>
      </c>
      <c r="B1839" t="s">
        <v>43</v>
      </c>
      <c r="C1839" t="s">
        <v>42</v>
      </c>
      <c r="D1839" t="s">
        <v>41</v>
      </c>
      <c r="E1839" t="s">
        <v>5328</v>
      </c>
      <c r="F1839" s="23">
        <v>44346</v>
      </c>
      <c r="G1839" s="1">
        <v>12754</v>
      </c>
    </row>
    <row r="1840" spans="1:7">
      <c r="A1840" t="s">
        <v>5711</v>
      </c>
      <c r="B1840" t="s">
        <v>97</v>
      </c>
      <c r="C1840" t="s">
        <v>391</v>
      </c>
      <c r="D1840" t="s">
        <v>390</v>
      </c>
      <c r="E1840" t="s">
        <v>5329</v>
      </c>
      <c r="F1840" s="23">
        <v>44346</v>
      </c>
      <c r="G1840" s="1">
        <v>2300</v>
      </c>
    </row>
    <row r="1841" spans="1:7">
      <c r="A1841" t="s">
        <v>5711</v>
      </c>
      <c r="B1841" t="s">
        <v>106</v>
      </c>
      <c r="C1841" t="s">
        <v>3440</v>
      </c>
      <c r="D1841" t="s">
        <v>3439</v>
      </c>
      <c r="E1841" t="s">
        <v>5330</v>
      </c>
      <c r="F1841" s="23">
        <v>44346</v>
      </c>
      <c r="G1841" s="1">
        <v>12879</v>
      </c>
    </row>
    <row r="1842" spans="1:7">
      <c r="A1842" t="s">
        <v>5711</v>
      </c>
      <c r="B1842" t="s">
        <v>94</v>
      </c>
      <c r="C1842" t="s">
        <v>2620</v>
      </c>
      <c r="D1842" t="s">
        <v>2619</v>
      </c>
      <c r="E1842" t="s">
        <v>5331</v>
      </c>
      <c r="F1842" s="23">
        <v>44346</v>
      </c>
      <c r="G1842" s="1">
        <v>16023</v>
      </c>
    </row>
    <row r="1843" spans="1:7">
      <c r="A1843" t="s">
        <v>5711</v>
      </c>
      <c r="B1843" t="s">
        <v>43</v>
      </c>
      <c r="C1843" t="s">
        <v>919</v>
      </c>
      <c r="D1843" t="s">
        <v>918</v>
      </c>
      <c r="E1843" t="s">
        <v>5332</v>
      </c>
      <c r="F1843" s="23">
        <v>44346</v>
      </c>
      <c r="G1843" s="1">
        <v>7558</v>
      </c>
    </row>
    <row r="1844" spans="1:7">
      <c r="A1844" t="s">
        <v>5711</v>
      </c>
      <c r="B1844" t="s">
        <v>94</v>
      </c>
      <c r="C1844" t="s">
        <v>3487</v>
      </c>
      <c r="D1844" t="s">
        <v>1777</v>
      </c>
      <c r="E1844" t="s">
        <v>5333</v>
      </c>
      <c r="F1844" s="23">
        <v>44614</v>
      </c>
      <c r="G1844" s="1">
        <v>10985</v>
      </c>
    </row>
    <row r="1845" spans="1:7">
      <c r="A1845" t="s">
        <v>5711</v>
      </c>
      <c r="B1845" t="s">
        <v>219</v>
      </c>
      <c r="C1845" t="s">
        <v>218</v>
      </c>
      <c r="D1845" t="s">
        <v>217</v>
      </c>
      <c r="E1845" t="s">
        <v>5334</v>
      </c>
      <c r="F1845" s="23">
        <v>44346</v>
      </c>
      <c r="G1845" s="1">
        <v>3072</v>
      </c>
    </row>
    <row r="1846" spans="1:7">
      <c r="A1846" t="s">
        <v>5711</v>
      </c>
      <c r="B1846" t="s">
        <v>733</v>
      </c>
      <c r="C1846" t="s">
        <v>927</v>
      </c>
      <c r="D1846" t="s">
        <v>926</v>
      </c>
      <c r="E1846" t="s">
        <v>5335</v>
      </c>
      <c r="F1846" s="23">
        <v>44428</v>
      </c>
      <c r="G1846" s="1">
        <v>8475</v>
      </c>
    </row>
    <row r="1847" spans="1:7">
      <c r="A1847" t="s">
        <v>5711</v>
      </c>
      <c r="B1847" t="s">
        <v>94</v>
      </c>
      <c r="C1847" t="s">
        <v>126</v>
      </c>
      <c r="D1847" t="s">
        <v>125</v>
      </c>
      <c r="E1847" t="s">
        <v>5336</v>
      </c>
      <c r="F1847" s="23">
        <v>44431</v>
      </c>
      <c r="G1847" s="1">
        <v>11431</v>
      </c>
    </row>
    <row r="1848" spans="1:7">
      <c r="A1848" t="s">
        <v>5711</v>
      </c>
      <c r="B1848" t="s">
        <v>106</v>
      </c>
      <c r="C1848" t="s">
        <v>1349</v>
      </c>
      <c r="D1848" t="s">
        <v>1348</v>
      </c>
      <c r="E1848" t="s">
        <v>5337</v>
      </c>
      <c r="F1848" s="23">
        <v>44752</v>
      </c>
      <c r="G1848" s="1">
        <v>5088</v>
      </c>
    </row>
    <row r="1849" spans="1:7">
      <c r="A1849" t="s">
        <v>5711</v>
      </c>
      <c r="B1849" t="s">
        <v>94</v>
      </c>
      <c r="D1849" t="s">
        <v>3434</v>
      </c>
      <c r="E1849" t="s">
        <v>5338</v>
      </c>
      <c r="F1849" s="23">
        <v>44805</v>
      </c>
      <c r="G1849" s="1">
        <v>1443</v>
      </c>
    </row>
    <row r="1850" spans="1:7">
      <c r="A1850" t="s">
        <v>5711</v>
      </c>
      <c r="B1850" t="s">
        <v>233</v>
      </c>
      <c r="C1850" t="s">
        <v>2753</v>
      </c>
      <c r="D1850" t="s">
        <v>2752</v>
      </c>
      <c r="E1850" t="s">
        <v>5339</v>
      </c>
      <c r="F1850" s="23">
        <v>44993</v>
      </c>
      <c r="G1850" s="1">
        <v>4920</v>
      </c>
    </row>
    <row r="1851" spans="1:7">
      <c r="A1851" t="s">
        <v>5711</v>
      </c>
      <c r="B1851" t="s">
        <v>106</v>
      </c>
      <c r="C1851" t="s">
        <v>984</v>
      </c>
      <c r="D1851" t="s">
        <v>2955</v>
      </c>
      <c r="E1851" t="s">
        <v>5340</v>
      </c>
      <c r="F1851" s="23">
        <v>44346</v>
      </c>
      <c r="G1851" s="1">
        <v>14222</v>
      </c>
    </row>
    <row r="1852" spans="1:7">
      <c r="A1852" t="s">
        <v>5711</v>
      </c>
      <c r="B1852" t="s">
        <v>94</v>
      </c>
      <c r="C1852" t="s">
        <v>3486</v>
      </c>
      <c r="D1852" t="s">
        <v>1776</v>
      </c>
      <c r="E1852" t="s">
        <v>5341</v>
      </c>
      <c r="F1852" s="23">
        <v>44775</v>
      </c>
      <c r="G1852" s="1">
        <v>2703</v>
      </c>
    </row>
    <row r="1853" spans="1:7">
      <c r="A1853" t="s">
        <v>5711</v>
      </c>
      <c r="B1853" t="s">
        <v>106</v>
      </c>
      <c r="D1853" t="s">
        <v>3066</v>
      </c>
      <c r="E1853" t="s">
        <v>5342</v>
      </c>
      <c r="F1853" s="23">
        <v>44346</v>
      </c>
      <c r="G1853" s="1">
        <v>13049</v>
      </c>
    </row>
    <row r="1854" spans="1:7">
      <c r="A1854" t="s">
        <v>5711</v>
      </c>
      <c r="B1854" t="s">
        <v>233</v>
      </c>
      <c r="C1854" t="s">
        <v>2305</v>
      </c>
      <c r="D1854" t="s">
        <v>2304</v>
      </c>
      <c r="E1854" t="s">
        <v>5343</v>
      </c>
      <c r="F1854" s="23">
        <v>44902</v>
      </c>
      <c r="G1854" s="1">
        <v>11493</v>
      </c>
    </row>
    <row r="1855" spans="1:7">
      <c r="A1855" t="s">
        <v>5711</v>
      </c>
      <c r="B1855" t="s">
        <v>101</v>
      </c>
      <c r="C1855" t="s">
        <v>1080</v>
      </c>
      <c r="D1855" t="s">
        <v>1079</v>
      </c>
      <c r="E1855" t="s">
        <v>5344</v>
      </c>
      <c r="F1855" s="23">
        <v>44346</v>
      </c>
      <c r="G1855" s="1">
        <v>10403</v>
      </c>
    </row>
    <row r="1856" spans="1:7">
      <c r="A1856" t="s">
        <v>5711</v>
      </c>
      <c r="B1856" t="s">
        <v>106</v>
      </c>
      <c r="C1856" t="s">
        <v>3408</v>
      </c>
      <c r="D1856" t="s">
        <v>3407</v>
      </c>
      <c r="E1856" t="s">
        <v>5345</v>
      </c>
      <c r="F1856" s="23">
        <v>44642</v>
      </c>
      <c r="G1856" s="1">
        <v>7703</v>
      </c>
    </row>
    <row r="1857" spans="1:7">
      <c r="A1857" t="s">
        <v>5711</v>
      </c>
      <c r="B1857" t="s">
        <v>106</v>
      </c>
      <c r="C1857" t="s">
        <v>2851</v>
      </c>
      <c r="D1857" t="s">
        <v>2850</v>
      </c>
      <c r="E1857" t="s">
        <v>5346</v>
      </c>
      <c r="F1857" s="23">
        <v>44362</v>
      </c>
      <c r="G1857" s="1">
        <v>3087</v>
      </c>
    </row>
    <row r="1858" spans="1:7">
      <c r="A1858" t="s">
        <v>5711</v>
      </c>
      <c r="B1858" t="s">
        <v>367</v>
      </c>
      <c r="C1858" t="s">
        <v>1053</v>
      </c>
      <c r="D1858" t="s">
        <v>1612</v>
      </c>
      <c r="E1858" t="s">
        <v>5347</v>
      </c>
      <c r="F1858" s="23">
        <v>44346</v>
      </c>
      <c r="G1858" s="1">
        <v>4334</v>
      </c>
    </row>
    <row r="1859" spans="1:7">
      <c r="A1859" t="s">
        <v>5711</v>
      </c>
      <c r="B1859" t="s">
        <v>298</v>
      </c>
      <c r="C1859" t="s">
        <v>3263</v>
      </c>
      <c r="D1859" t="s">
        <v>3378</v>
      </c>
      <c r="E1859" t="s">
        <v>5348</v>
      </c>
      <c r="F1859" s="23">
        <v>44346</v>
      </c>
      <c r="G1859" s="1">
        <v>14314</v>
      </c>
    </row>
    <row r="1860" spans="1:7">
      <c r="A1860" t="s">
        <v>5711</v>
      </c>
      <c r="B1860" t="s">
        <v>58</v>
      </c>
      <c r="C1860" t="s">
        <v>1208</v>
      </c>
      <c r="D1860" t="s">
        <v>1207</v>
      </c>
      <c r="E1860" t="s">
        <v>5349</v>
      </c>
      <c r="F1860" s="23">
        <v>44346</v>
      </c>
      <c r="G1860" s="1">
        <v>12248</v>
      </c>
    </row>
    <row r="1861" spans="1:7">
      <c r="A1861" t="s">
        <v>5711</v>
      </c>
      <c r="B1861" t="s">
        <v>106</v>
      </c>
      <c r="C1861" t="s">
        <v>2185</v>
      </c>
      <c r="D1861" t="s">
        <v>5678</v>
      </c>
      <c r="E1861" t="s">
        <v>5350</v>
      </c>
      <c r="F1861" s="23">
        <v>44346</v>
      </c>
      <c r="G1861" s="1">
        <v>15655</v>
      </c>
    </row>
    <row r="1862" spans="1:7">
      <c r="A1862" t="s">
        <v>5711</v>
      </c>
      <c r="B1862" t="s">
        <v>94</v>
      </c>
      <c r="C1862" t="s">
        <v>1973</v>
      </c>
      <c r="D1862" t="s">
        <v>1972</v>
      </c>
      <c r="E1862" t="s">
        <v>5351</v>
      </c>
      <c r="F1862" s="23">
        <v>44492</v>
      </c>
      <c r="G1862" s="1">
        <v>8347</v>
      </c>
    </row>
    <row r="1863" spans="1:7">
      <c r="A1863" t="s">
        <v>5711</v>
      </c>
      <c r="B1863" t="s">
        <v>37</v>
      </c>
      <c r="C1863" t="s">
        <v>752</v>
      </c>
      <c r="D1863" t="s">
        <v>751</v>
      </c>
      <c r="E1863" t="s">
        <v>5352</v>
      </c>
      <c r="F1863" s="23">
        <v>44346</v>
      </c>
      <c r="G1863" s="1">
        <v>2200</v>
      </c>
    </row>
    <row r="1864" spans="1:7">
      <c r="A1864" t="s">
        <v>5711</v>
      </c>
      <c r="B1864" t="s">
        <v>298</v>
      </c>
      <c r="D1864" t="s">
        <v>5679</v>
      </c>
      <c r="E1864" t="s">
        <v>5353</v>
      </c>
      <c r="F1864" s="23">
        <v>44368</v>
      </c>
      <c r="G1864" s="1">
        <v>7201</v>
      </c>
    </row>
    <row r="1865" spans="1:7">
      <c r="A1865" t="s">
        <v>5711</v>
      </c>
      <c r="B1865" t="s">
        <v>58</v>
      </c>
      <c r="C1865" t="s">
        <v>1318</v>
      </c>
      <c r="D1865" t="s">
        <v>1317</v>
      </c>
      <c r="E1865" t="s">
        <v>5354</v>
      </c>
      <c r="F1865" s="23">
        <v>44346</v>
      </c>
      <c r="G1865" s="1">
        <v>13216</v>
      </c>
    </row>
    <row r="1866" spans="1:7">
      <c r="A1866" t="s">
        <v>5711</v>
      </c>
      <c r="B1866" t="s">
        <v>94</v>
      </c>
      <c r="C1866" t="s">
        <v>3486</v>
      </c>
      <c r="D1866" t="s">
        <v>597</v>
      </c>
      <c r="E1866" t="s">
        <v>5355</v>
      </c>
      <c r="F1866" s="23">
        <v>44346</v>
      </c>
      <c r="G1866" s="1">
        <v>15738</v>
      </c>
    </row>
    <row r="1867" spans="1:7">
      <c r="A1867" t="s">
        <v>5711</v>
      </c>
      <c r="B1867" t="s">
        <v>68</v>
      </c>
      <c r="C1867" t="s">
        <v>238</v>
      </c>
      <c r="D1867" t="s">
        <v>553</v>
      </c>
      <c r="E1867" t="s">
        <v>5356</v>
      </c>
      <c r="F1867" s="23">
        <v>44346</v>
      </c>
      <c r="G1867" s="1">
        <v>5352</v>
      </c>
    </row>
    <row r="1868" spans="1:7">
      <c r="A1868" t="s">
        <v>5711</v>
      </c>
      <c r="B1868" t="s">
        <v>149</v>
      </c>
      <c r="C1868" t="s">
        <v>148</v>
      </c>
      <c r="D1868" t="s">
        <v>147</v>
      </c>
      <c r="E1868" t="s">
        <v>5357</v>
      </c>
      <c r="F1868" s="23">
        <v>44346</v>
      </c>
      <c r="G1868" s="1">
        <v>13057</v>
      </c>
    </row>
    <row r="1869" spans="1:7">
      <c r="A1869" t="s">
        <v>5711</v>
      </c>
      <c r="B1869" t="s">
        <v>94</v>
      </c>
      <c r="C1869" t="s">
        <v>2435</v>
      </c>
      <c r="D1869" t="s">
        <v>2434</v>
      </c>
      <c r="E1869" t="s">
        <v>5358</v>
      </c>
      <c r="F1869" s="23">
        <v>44346</v>
      </c>
      <c r="G1869" s="1">
        <v>17031</v>
      </c>
    </row>
    <row r="1870" spans="1:7">
      <c r="A1870" t="s">
        <v>5711</v>
      </c>
      <c r="B1870" t="s">
        <v>188</v>
      </c>
      <c r="C1870" t="s">
        <v>1184</v>
      </c>
      <c r="D1870" t="s">
        <v>1183</v>
      </c>
      <c r="E1870" t="s">
        <v>5359</v>
      </c>
      <c r="F1870" s="23">
        <v>44433</v>
      </c>
      <c r="G1870" s="1">
        <v>2838</v>
      </c>
    </row>
    <row r="1871" spans="1:7">
      <c r="A1871" t="s">
        <v>5711</v>
      </c>
      <c r="B1871" t="s">
        <v>94</v>
      </c>
      <c r="C1871" t="s">
        <v>3486</v>
      </c>
      <c r="D1871" t="s">
        <v>586</v>
      </c>
      <c r="E1871" t="s">
        <v>5360</v>
      </c>
      <c r="F1871" s="23">
        <v>44346</v>
      </c>
      <c r="G1871" s="1">
        <v>19435</v>
      </c>
    </row>
    <row r="1872" spans="1:7">
      <c r="A1872" t="s">
        <v>5711</v>
      </c>
      <c r="B1872" t="s">
        <v>106</v>
      </c>
      <c r="C1872" t="s">
        <v>2757</v>
      </c>
      <c r="D1872" t="s">
        <v>3061</v>
      </c>
      <c r="E1872" t="s">
        <v>5361</v>
      </c>
      <c r="F1872" s="23">
        <v>44346</v>
      </c>
      <c r="G1872" s="1">
        <v>14734</v>
      </c>
    </row>
    <row r="1873" spans="1:7">
      <c r="A1873" t="s">
        <v>5711</v>
      </c>
      <c r="B1873" t="s">
        <v>375</v>
      </c>
      <c r="C1873" t="s">
        <v>1717</v>
      </c>
      <c r="D1873" t="s">
        <v>1716</v>
      </c>
      <c r="E1873" t="s">
        <v>5362</v>
      </c>
      <c r="F1873" s="23">
        <v>44346</v>
      </c>
      <c r="G1873" s="1">
        <v>13024</v>
      </c>
    </row>
    <row r="1874" spans="1:7">
      <c r="A1874" t="s">
        <v>5711</v>
      </c>
      <c r="B1874" t="s">
        <v>37</v>
      </c>
      <c r="C1874" t="s">
        <v>411</v>
      </c>
      <c r="D1874" t="s">
        <v>410</v>
      </c>
      <c r="E1874" t="s">
        <v>5363</v>
      </c>
      <c r="F1874" s="23">
        <v>44346</v>
      </c>
      <c r="G1874" s="1">
        <v>826</v>
      </c>
    </row>
    <row r="1875" spans="1:7">
      <c r="A1875" t="s">
        <v>5711</v>
      </c>
      <c r="B1875" t="s">
        <v>311</v>
      </c>
      <c r="C1875" t="s">
        <v>201</v>
      </c>
      <c r="D1875" t="s">
        <v>2908</v>
      </c>
      <c r="E1875" t="s">
        <v>5364</v>
      </c>
      <c r="F1875" s="23">
        <v>44346</v>
      </c>
      <c r="G1875" s="1">
        <v>8064</v>
      </c>
    </row>
    <row r="1876" spans="1:7">
      <c r="A1876" t="s">
        <v>5711</v>
      </c>
      <c r="B1876" t="s">
        <v>94</v>
      </c>
      <c r="C1876" t="s">
        <v>3347</v>
      </c>
      <c r="D1876" t="s">
        <v>3346</v>
      </c>
      <c r="E1876" t="s">
        <v>5365</v>
      </c>
      <c r="F1876" s="23">
        <v>44346</v>
      </c>
      <c r="G1876" s="1">
        <v>8811</v>
      </c>
    </row>
    <row r="1877" spans="1:7">
      <c r="A1877" t="s">
        <v>5711</v>
      </c>
      <c r="B1877" t="s">
        <v>311</v>
      </c>
      <c r="C1877" t="s">
        <v>2307</v>
      </c>
      <c r="D1877" t="s">
        <v>2306</v>
      </c>
      <c r="E1877" t="s">
        <v>5366</v>
      </c>
      <c r="F1877" s="23">
        <v>44346</v>
      </c>
      <c r="G1877" s="1">
        <v>8916</v>
      </c>
    </row>
    <row r="1878" spans="1:7">
      <c r="A1878" t="s">
        <v>5711</v>
      </c>
      <c r="B1878" t="s">
        <v>106</v>
      </c>
      <c r="C1878" t="s">
        <v>2851</v>
      </c>
      <c r="D1878" t="s">
        <v>3128</v>
      </c>
      <c r="E1878" t="s">
        <v>5367</v>
      </c>
      <c r="F1878" s="23">
        <v>44346</v>
      </c>
      <c r="G1878" s="1">
        <v>15994</v>
      </c>
    </row>
    <row r="1879" spans="1:7">
      <c r="A1879" t="s">
        <v>5711</v>
      </c>
      <c r="B1879" t="s">
        <v>311</v>
      </c>
      <c r="C1879" t="s">
        <v>2743</v>
      </c>
      <c r="D1879" t="s">
        <v>2742</v>
      </c>
      <c r="E1879" t="s">
        <v>5368</v>
      </c>
      <c r="F1879" s="23">
        <v>44812</v>
      </c>
      <c r="G1879" s="1">
        <v>5931</v>
      </c>
    </row>
    <row r="1880" spans="1:7">
      <c r="A1880" t="s">
        <v>5711</v>
      </c>
      <c r="B1880" t="s">
        <v>1377</v>
      </c>
      <c r="C1880" t="s">
        <v>1379</v>
      </c>
      <c r="D1880" t="s">
        <v>1378</v>
      </c>
      <c r="E1880" t="s">
        <v>5369</v>
      </c>
      <c r="F1880" s="23">
        <v>44346</v>
      </c>
      <c r="G1880" s="1">
        <v>13974</v>
      </c>
    </row>
    <row r="1881" spans="1:7">
      <c r="A1881" t="s">
        <v>5711</v>
      </c>
      <c r="B1881" t="s">
        <v>298</v>
      </c>
      <c r="C1881" t="s">
        <v>361</v>
      </c>
      <c r="D1881" t="s">
        <v>360</v>
      </c>
      <c r="E1881" t="s">
        <v>5370</v>
      </c>
      <c r="F1881" s="23">
        <v>45004</v>
      </c>
      <c r="G1881" s="1">
        <v>3694</v>
      </c>
    </row>
    <row r="1882" spans="1:7">
      <c r="A1882" t="s">
        <v>5711</v>
      </c>
      <c r="B1882" t="s">
        <v>37</v>
      </c>
      <c r="C1882" t="s">
        <v>490</v>
      </c>
      <c r="D1882" t="s">
        <v>489</v>
      </c>
      <c r="E1882" t="s">
        <v>5371</v>
      </c>
      <c r="F1882" s="23">
        <v>44346</v>
      </c>
      <c r="G1882" s="1">
        <v>4492</v>
      </c>
    </row>
    <row r="1883" spans="1:7">
      <c r="A1883" t="s">
        <v>5711</v>
      </c>
      <c r="B1883" t="s">
        <v>684</v>
      </c>
      <c r="C1883" t="s">
        <v>683</v>
      </c>
      <c r="D1883" t="s">
        <v>5680</v>
      </c>
      <c r="E1883" t="s">
        <v>5372</v>
      </c>
      <c r="F1883" s="23">
        <v>44512</v>
      </c>
      <c r="G1883" s="1">
        <v>11193</v>
      </c>
    </row>
    <row r="1884" spans="1:7">
      <c r="A1884" t="s">
        <v>5711</v>
      </c>
      <c r="B1884" t="s">
        <v>94</v>
      </c>
      <c r="C1884" t="s">
        <v>3486</v>
      </c>
      <c r="D1884" t="s">
        <v>5681</v>
      </c>
      <c r="E1884" t="s">
        <v>5373</v>
      </c>
      <c r="F1884" s="23">
        <v>44346</v>
      </c>
      <c r="G1884" s="1">
        <v>15556</v>
      </c>
    </row>
    <row r="1885" spans="1:7">
      <c r="A1885" t="s">
        <v>5711</v>
      </c>
      <c r="B1885" t="s">
        <v>106</v>
      </c>
      <c r="C1885" t="s">
        <v>2342</v>
      </c>
      <c r="D1885" t="s">
        <v>2341</v>
      </c>
      <c r="E1885" t="s">
        <v>5374</v>
      </c>
      <c r="F1885" s="23">
        <v>44346</v>
      </c>
      <c r="G1885" s="1">
        <v>16568</v>
      </c>
    </row>
    <row r="1886" spans="1:7">
      <c r="A1886" t="s">
        <v>5711</v>
      </c>
      <c r="B1886" t="s">
        <v>1345</v>
      </c>
      <c r="C1886" t="s">
        <v>1677</v>
      </c>
      <c r="D1886" t="s">
        <v>1676</v>
      </c>
      <c r="E1886" t="s">
        <v>5375</v>
      </c>
      <c r="F1886" s="23">
        <v>44346</v>
      </c>
      <c r="G1886" s="1">
        <v>12706</v>
      </c>
    </row>
    <row r="1887" spans="1:7">
      <c r="A1887" t="s">
        <v>5711</v>
      </c>
      <c r="B1887" t="s">
        <v>298</v>
      </c>
      <c r="C1887" t="s">
        <v>3001</v>
      </c>
      <c r="D1887" t="s">
        <v>3479</v>
      </c>
      <c r="E1887" t="s">
        <v>5376</v>
      </c>
      <c r="F1887" s="23">
        <v>44639</v>
      </c>
      <c r="G1887" s="1">
        <v>5733</v>
      </c>
    </row>
    <row r="1888" spans="1:7">
      <c r="A1888" t="s">
        <v>5711</v>
      </c>
      <c r="B1888" t="s">
        <v>654</v>
      </c>
      <c r="C1888" t="s">
        <v>764</v>
      </c>
      <c r="D1888" t="s">
        <v>763</v>
      </c>
      <c r="E1888" t="s">
        <v>5377</v>
      </c>
      <c r="F1888" s="23">
        <v>45047</v>
      </c>
      <c r="G1888" s="1">
        <v>3753</v>
      </c>
    </row>
    <row r="1889" spans="1:7">
      <c r="A1889" t="s">
        <v>5711</v>
      </c>
      <c r="B1889" t="s">
        <v>233</v>
      </c>
      <c r="C1889" t="s">
        <v>2589</v>
      </c>
      <c r="D1889" t="s">
        <v>2588</v>
      </c>
      <c r="E1889" t="s">
        <v>5378</v>
      </c>
      <c r="F1889" s="23">
        <v>44346</v>
      </c>
      <c r="G1889" s="1">
        <v>15903</v>
      </c>
    </row>
    <row r="1890" spans="1:7">
      <c r="A1890" t="s">
        <v>5711</v>
      </c>
      <c r="B1890" t="s">
        <v>94</v>
      </c>
      <c r="C1890" t="s">
        <v>3265</v>
      </c>
      <c r="D1890" t="s">
        <v>655</v>
      </c>
      <c r="E1890" t="s">
        <v>5379</v>
      </c>
      <c r="F1890" s="23">
        <v>44717</v>
      </c>
      <c r="G1890" s="1">
        <v>3029</v>
      </c>
    </row>
    <row r="1891" spans="1:7">
      <c r="A1891" t="s">
        <v>5711</v>
      </c>
      <c r="B1891" t="s">
        <v>233</v>
      </c>
      <c r="C1891" t="s">
        <v>1946</v>
      </c>
      <c r="D1891" t="s">
        <v>2800</v>
      </c>
      <c r="E1891" t="s">
        <v>5380</v>
      </c>
      <c r="F1891" s="23">
        <v>45043</v>
      </c>
      <c r="G1891" s="1">
        <v>6370</v>
      </c>
    </row>
    <row r="1892" spans="1:7">
      <c r="A1892" t="s">
        <v>5711</v>
      </c>
      <c r="B1892" t="s">
        <v>467</v>
      </c>
      <c r="C1892" t="s">
        <v>466</v>
      </c>
      <c r="D1892" t="s">
        <v>465</v>
      </c>
      <c r="E1892" t="s">
        <v>5381</v>
      </c>
      <c r="F1892" s="23">
        <v>44346</v>
      </c>
      <c r="G1892" s="1">
        <v>14528</v>
      </c>
    </row>
    <row r="1893" spans="1:7">
      <c r="A1893" t="s">
        <v>5711</v>
      </c>
      <c r="B1893" t="s">
        <v>375</v>
      </c>
      <c r="C1893" t="s">
        <v>374</v>
      </c>
      <c r="D1893" t="s">
        <v>373</v>
      </c>
      <c r="E1893" t="s">
        <v>5382</v>
      </c>
      <c r="F1893" s="23">
        <v>44346</v>
      </c>
      <c r="G1893" s="1">
        <v>12370</v>
      </c>
    </row>
    <row r="1894" spans="1:7">
      <c r="A1894" t="s">
        <v>5711</v>
      </c>
      <c r="B1894" t="s">
        <v>298</v>
      </c>
      <c r="C1894" t="s">
        <v>1885</v>
      </c>
      <c r="D1894" t="s">
        <v>5682</v>
      </c>
      <c r="E1894" t="s">
        <v>5383</v>
      </c>
      <c r="F1894" s="23">
        <v>44346</v>
      </c>
      <c r="G1894" s="1">
        <v>9942</v>
      </c>
    </row>
    <row r="1895" spans="1:7">
      <c r="A1895" t="s">
        <v>5711</v>
      </c>
      <c r="B1895" t="s">
        <v>208</v>
      </c>
      <c r="C1895" t="s">
        <v>345</v>
      </c>
      <c r="D1895" t="s">
        <v>344</v>
      </c>
      <c r="E1895" t="s">
        <v>5384</v>
      </c>
      <c r="F1895" s="23">
        <v>44346</v>
      </c>
      <c r="G1895" s="1">
        <v>19101</v>
      </c>
    </row>
    <row r="1896" spans="1:7">
      <c r="A1896" t="s">
        <v>5711</v>
      </c>
      <c r="B1896" t="s">
        <v>94</v>
      </c>
      <c r="C1896" t="s">
        <v>2633</v>
      </c>
      <c r="D1896" t="s">
        <v>5683</v>
      </c>
      <c r="E1896" t="s">
        <v>5385</v>
      </c>
      <c r="F1896" s="23">
        <v>44346</v>
      </c>
      <c r="G1896" s="1">
        <v>989</v>
      </c>
    </row>
    <row r="1897" spans="1:7">
      <c r="A1897" t="s">
        <v>5711</v>
      </c>
      <c r="B1897" t="s">
        <v>94</v>
      </c>
      <c r="C1897" t="s">
        <v>2140</v>
      </c>
      <c r="D1897" t="s">
        <v>2139</v>
      </c>
      <c r="E1897" t="s">
        <v>5386</v>
      </c>
      <c r="F1897" s="23">
        <v>44991</v>
      </c>
      <c r="G1897" s="1">
        <v>3893</v>
      </c>
    </row>
    <row r="1898" spans="1:7">
      <c r="A1898" t="s">
        <v>5711</v>
      </c>
      <c r="B1898" t="s">
        <v>311</v>
      </c>
      <c r="C1898" t="s">
        <v>2103</v>
      </c>
      <c r="D1898" t="s">
        <v>2102</v>
      </c>
      <c r="E1898" t="s">
        <v>5387</v>
      </c>
      <c r="F1898" s="23">
        <v>44346</v>
      </c>
      <c r="G1898" s="1">
        <v>7855</v>
      </c>
    </row>
    <row r="1899" spans="1:7">
      <c r="A1899" t="s">
        <v>5711</v>
      </c>
      <c r="B1899" t="s">
        <v>46</v>
      </c>
      <c r="C1899" t="s">
        <v>1035</v>
      </c>
      <c r="D1899" t="s">
        <v>1034</v>
      </c>
      <c r="E1899" t="s">
        <v>5388</v>
      </c>
      <c r="F1899" s="23">
        <v>44421</v>
      </c>
      <c r="G1899" s="1">
        <v>668</v>
      </c>
    </row>
    <row r="1900" spans="1:7">
      <c r="A1900" t="s">
        <v>5711</v>
      </c>
      <c r="B1900" t="s">
        <v>94</v>
      </c>
      <c r="C1900" t="s">
        <v>2560</v>
      </c>
      <c r="D1900" t="s">
        <v>2559</v>
      </c>
      <c r="E1900" t="s">
        <v>5389</v>
      </c>
      <c r="F1900" s="23">
        <v>44442</v>
      </c>
      <c r="G1900" s="1">
        <v>10330</v>
      </c>
    </row>
    <row r="1901" spans="1:7">
      <c r="A1901" t="s">
        <v>5711</v>
      </c>
      <c r="B1901" t="s">
        <v>1006</v>
      </c>
      <c r="C1901" t="s">
        <v>1742</v>
      </c>
      <c r="D1901" t="s">
        <v>1741</v>
      </c>
      <c r="E1901" t="s">
        <v>5390</v>
      </c>
      <c r="F1901" s="23">
        <v>44346</v>
      </c>
      <c r="G1901" s="1">
        <v>15855</v>
      </c>
    </row>
    <row r="1902" spans="1:7">
      <c r="A1902" t="s">
        <v>5711</v>
      </c>
      <c r="B1902" t="s">
        <v>94</v>
      </c>
      <c r="C1902" t="s">
        <v>3486</v>
      </c>
      <c r="D1902" t="s">
        <v>1440</v>
      </c>
      <c r="E1902" t="s">
        <v>5391</v>
      </c>
      <c r="F1902" s="23">
        <v>44974</v>
      </c>
      <c r="G1902" s="1">
        <v>4194</v>
      </c>
    </row>
    <row r="1903" spans="1:7">
      <c r="A1903" t="s">
        <v>5711</v>
      </c>
      <c r="B1903" t="s">
        <v>94</v>
      </c>
      <c r="C1903" t="s">
        <v>3489</v>
      </c>
      <c r="D1903" t="s">
        <v>1068</v>
      </c>
      <c r="E1903" t="s">
        <v>5392</v>
      </c>
      <c r="F1903" s="23">
        <v>44346</v>
      </c>
      <c r="G1903" s="1">
        <v>12507</v>
      </c>
    </row>
    <row r="1904" spans="1:7">
      <c r="A1904" t="s">
        <v>5711</v>
      </c>
      <c r="B1904" t="s">
        <v>311</v>
      </c>
      <c r="C1904" t="s">
        <v>3298</v>
      </c>
      <c r="D1904" t="s">
        <v>3297</v>
      </c>
      <c r="E1904" t="s">
        <v>5393</v>
      </c>
      <c r="F1904" s="23">
        <v>44346</v>
      </c>
      <c r="G1904" s="1">
        <v>13135</v>
      </c>
    </row>
    <row r="1905" spans="1:7">
      <c r="A1905" t="s">
        <v>5711</v>
      </c>
      <c r="B1905" t="s">
        <v>233</v>
      </c>
      <c r="C1905" t="s">
        <v>921</v>
      </c>
      <c r="D1905" t="s">
        <v>2705</v>
      </c>
      <c r="E1905" t="s">
        <v>5394</v>
      </c>
      <c r="F1905" s="23">
        <v>44346</v>
      </c>
      <c r="G1905" s="1">
        <v>19709</v>
      </c>
    </row>
    <row r="1906" spans="1:7">
      <c r="A1906" t="s">
        <v>5711</v>
      </c>
      <c r="B1906" t="s">
        <v>94</v>
      </c>
      <c r="C1906" t="s">
        <v>2682</v>
      </c>
      <c r="D1906" t="s">
        <v>3304</v>
      </c>
      <c r="E1906" t="s">
        <v>5395</v>
      </c>
      <c r="F1906" s="23">
        <v>44694</v>
      </c>
      <c r="G1906" s="1">
        <v>9147</v>
      </c>
    </row>
    <row r="1907" spans="1:7">
      <c r="A1907" t="s">
        <v>5711</v>
      </c>
      <c r="B1907" t="s">
        <v>233</v>
      </c>
      <c r="C1907" t="s">
        <v>1922</v>
      </c>
      <c r="D1907" t="s">
        <v>3036</v>
      </c>
      <c r="E1907" t="s">
        <v>5396</v>
      </c>
      <c r="F1907" s="23">
        <v>44346</v>
      </c>
      <c r="G1907" s="1">
        <v>4871</v>
      </c>
    </row>
    <row r="1908" spans="1:7">
      <c r="A1908" t="s">
        <v>5711</v>
      </c>
      <c r="B1908" t="s">
        <v>208</v>
      </c>
      <c r="C1908" t="s">
        <v>275</v>
      </c>
      <c r="D1908" t="s">
        <v>1362</v>
      </c>
      <c r="E1908" t="s">
        <v>5397</v>
      </c>
      <c r="F1908" s="23">
        <v>44346</v>
      </c>
      <c r="G1908" s="1">
        <v>12047</v>
      </c>
    </row>
    <row r="1909" spans="1:7">
      <c r="A1909" t="s">
        <v>5711</v>
      </c>
      <c r="B1909" t="s">
        <v>1361</v>
      </c>
      <c r="C1909" t="s">
        <v>1360</v>
      </c>
      <c r="D1909" t="s">
        <v>1359</v>
      </c>
      <c r="E1909" t="s">
        <v>5398</v>
      </c>
      <c r="F1909" s="23">
        <v>44701</v>
      </c>
      <c r="G1909" s="1">
        <v>3895</v>
      </c>
    </row>
    <row r="1910" spans="1:7">
      <c r="A1910" t="s">
        <v>5711</v>
      </c>
      <c r="B1910" t="s">
        <v>94</v>
      </c>
      <c r="C1910" t="s">
        <v>2005</v>
      </c>
      <c r="D1910" t="s">
        <v>3270</v>
      </c>
      <c r="E1910" t="s">
        <v>5399</v>
      </c>
      <c r="F1910" s="23">
        <v>45032</v>
      </c>
      <c r="G1910" s="1">
        <v>5212</v>
      </c>
    </row>
    <row r="1911" spans="1:7">
      <c r="A1911" t="s">
        <v>5711</v>
      </c>
      <c r="B1911" t="s">
        <v>106</v>
      </c>
      <c r="C1911" t="s">
        <v>2224</v>
      </c>
      <c r="D1911" t="s">
        <v>5684</v>
      </c>
      <c r="E1911" t="s">
        <v>5400</v>
      </c>
      <c r="F1911" s="23">
        <v>44346</v>
      </c>
      <c r="G1911" s="1">
        <v>10237</v>
      </c>
    </row>
    <row r="1912" spans="1:7">
      <c r="A1912" t="s">
        <v>5711</v>
      </c>
      <c r="B1912" t="s">
        <v>298</v>
      </c>
      <c r="C1912" t="s">
        <v>1697</v>
      </c>
      <c r="D1912" t="s">
        <v>1696</v>
      </c>
      <c r="E1912" t="s">
        <v>5401</v>
      </c>
      <c r="F1912" s="23">
        <v>44346</v>
      </c>
      <c r="G1912" s="1">
        <v>14771</v>
      </c>
    </row>
    <row r="1913" spans="1:7">
      <c r="A1913" t="s">
        <v>5711</v>
      </c>
      <c r="B1913" t="s">
        <v>208</v>
      </c>
      <c r="C1913" t="s">
        <v>1401</v>
      </c>
      <c r="D1913" t="s">
        <v>1400</v>
      </c>
      <c r="E1913" t="s">
        <v>5402</v>
      </c>
      <c r="F1913" s="23">
        <v>44811</v>
      </c>
      <c r="G1913" s="1">
        <v>697</v>
      </c>
    </row>
    <row r="1914" spans="1:7">
      <c r="A1914" t="s">
        <v>5711</v>
      </c>
      <c r="B1914" t="s">
        <v>94</v>
      </c>
      <c r="C1914" t="s">
        <v>3485</v>
      </c>
      <c r="D1914" t="s">
        <v>528</v>
      </c>
      <c r="E1914" t="s">
        <v>5403</v>
      </c>
      <c r="F1914" s="23">
        <v>44346</v>
      </c>
      <c r="G1914" s="1">
        <v>12059</v>
      </c>
    </row>
    <row r="1915" spans="1:7">
      <c r="A1915" t="s">
        <v>5711</v>
      </c>
      <c r="B1915" t="s">
        <v>2062</v>
      </c>
      <c r="C1915" t="s">
        <v>2061</v>
      </c>
      <c r="D1915" t="s">
        <v>2060</v>
      </c>
      <c r="E1915" t="s">
        <v>5404</v>
      </c>
      <c r="F1915" s="23">
        <v>44346</v>
      </c>
      <c r="G1915" s="1">
        <v>13517</v>
      </c>
    </row>
    <row r="1916" spans="1:7">
      <c r="A1916" t="s">
        <v>5711</v>
      </c>
      <c r="B1916" t="s">
        <v>94</v>
      </c>
      <c r="C1916" t="s">
        <v>1870</v>
      </c>
      <c r="D1916" t="s">
        <v>1869</v>
      </c>
      <c r="E1916" t="s">
        <v>5405</v>
      </c>
      <c r="F1916" s="23">
        <v>44950</v>
      </c>
      <c r="G1916" s="1">
        <v>5089</v>
      </c>
    </row>
    <row r="1917" spans="1:7">
      <c r="A1917" t="s">
        <v>5711</v>
      </c>
      <c r="B1917" t="s">
        <v>244</v>
      </c>
      <c r="C1917" t="s">
        <v>645</v>
      </c>
      <c r="D1917" t="s">
        <v>644</v>
      </c>
      <c r="E1917" t="s">
        <v>5406</v>
      </c>
      <c r="F1917" s="23">
        <v>44364</v>
      </c>
      <c r="G1917" s="1">
        <v>1973</v>
      </c>
    </row>
    <row r="1918" spans="1:7">
      <c r="A1918" t="s">
        <v>5711</v>
      </c>
      <c r="B1918" t="s">
        <v>37</v>
      </c>
      <c r="C1918" t="s">
        <v>1678</v>
      </c>
      <c r="D1918" t="s">
        <v>5685</v>
      </c>
      <c r="E1918" t="s">
        <v>5407</v>
      </c>
      <c r="F1918" s="23">
        <v>44346</v>
      </c>
      <c r="G1918" s="1">
        <v>5825</v>
      </c>
    </row>
    <row r="1919" spans="1:7">
      <c r="A1919" t="s">
        <v>5711</v>
      </c>
      <c r="B1919" t="s">
        <v>426</v>
      </c>
      <c r="C1919" t="s">
        <v>843</v>
      </c>
      <c r="D1919" t="s">
        <v>842</v>
      </c>
      <c r="E1919" t="s">
        <v>5408</v>
      </c>
      <c r="F1919" s="23">
        <v>44636</v>
      </c>
      <c r="G1919" s="1">
        <v>2876</v>
      </c>
    </row>
    <row r="1920" spans="1:7">
      <c r="A1920" t="s">
        <v>5711</v>
      </c>
      <c r="B1920" t="s">
        <v>1149</v>
      </c>
      <c r="C1920" t="s">
        <v>1218</v>
      </c>
      <c r="D1920" t="s">
        <v>5686</v>
      </c>
      <c r="E1920" t="s">
        <v>5409</v>
      </c>
      <c r="F1920" s="23">
        <v>45014</v>
      </c>
      <c r="G1920" s="1">
        <v>3343</v>
      </c>
    </row>
    <row r="1921" spans="1:7">
      <c r="A1921" t="s">
        <v>5711</v>
      </c>
      <c r="B1921" t="s">
        <v>188</v>
      </c>
      <c r="C1921" t="s">
        <v>997</v>
      </c>
      <c r="D1921" t="s">
        <v>996</v>
      </c>
      <c r="E1921" t="s">
        <v>5410</v>
      </c>
      <c r="F1921" s="23">
        <v>44460</v>
      </c>
      <c r="G1921" s="1">
        <v>6331</v>
      </c>
    </row>
    <row r="1922" spans="1:7">
      <c r="A1922" t="s">
        <v>5711</v>
      </c>
      <c r="B1922" t="s">
        <v>94</v>
      </c>
      <c r="C1922" t="s">
        <v>2755</v>
      </c>
      <c r="D1922" t="s">
        <v>2805</v>
      </c>
      <c r="E1922" t="s">
        <v>5411</v>
      </c>
      <c r="F1922" s="23">
        <v>44346</v>
      </c>
      <c r="G1922" s="1">
        <v>10400</v>
      </c>
    </row>
    <row r="1923" spans="1:7">
      <c r="A1923" t="s">
        <v>5711</v>
      </c>
      <c r="B1923" t="s">
        <v>311</v>
      </c>
      <c r="C1923" t="s">
        <v>2515</v>
      </c>
      <c r="D1923" t="s">
        <v>2514</v>
      </c>
      <c r="E1923" t="s">
        <v>5412</v>
      </c>
      <c r="F1923" s="23">
        <v>44935</v>
      </c>
      <c r="G1923" s="1">
        <v>4620</v>
      </c>
    </row>
    <row r="1924" spans="1:7">
      <c r="A1924" t="s">
        <v>5711</v>
      </c>
      <c r="B1924" t="s">
        <v>94</v>
      </c>
      <c r="C1924" t="s">
        <v>3486</v>
      </c>
      <c r="D1924" t="s">
        <v>976</v>
      </c>
      <c r="E1924" t="s">
        <v>5413</v>
      </c>
      <c r="F1924" s="23">
        <v>44457</v>
      </c>
      <c r="G1924" s="1">
        <v>10179</v>
      </c>
    </row>
    <row r="1925" spans="1:7">
      <c r="A1925" t="s">
        <v>5711</v>
      </c>
      <c r="B1925" t="s">
        <v>94</v>
      </c>
      <c r="C1925" t="s">
        <v>2836</v>
      </c>
      <c r="D1925" t="s">
        <v>2835</v>
      </c>
      <c r="E1925" t="s">
        <v>5414</v>
      </c>
      <c r="F1925" s="23">
        <v>44346</v>
      </c>
      <c r="G1925" s="1">
        <v>15421</v>
      </c>
    </row>
    <row r="1926" spans="1:7">
      <c r="A1926" t="s">
        <v>5711</v>
      </c>
      <c r="B1926" t="s">
        <v>737</v>
      </c>
      <c r="C1926" t="s">
        <v>1133</v>
      </c>
      <c r="D1926" t="s">
        <v>1132</v>
      </c>
      <c r="E1926" t="s">
        <v>5415</v>
      </c>
      <c r="F1926" s="23">
        <v>44346</v>
      </c>
      <c r="G1926" s="1">
        <v>3482</v>
      </c>
    </row>
    <row r="1927" spans="1:7">
      <c r="A1927" t="s">
        <v>5711</v>
      </c>
      <c r="B1927" t="s">
        <v>298</v>
      </c>
      <c r="C1927" t="s">
        <v>837</v>
      </c>
      <c r="D1927" t="s">
        <v>2317</v>
      </c>
      <c r="E1927" t="s">
        <v>5416</v>
      </c>
      <c r="F1927" s="23">
        <v>44472</v>
      </c>
      <c r="G1927" s="1">
        <v>5015</v>
      </c>
    </row>
    <row r="1928" spans="1:7">
      <c r="A1928" t="s">
        <v>5711</v>
      </c>
      <c r="B1928" t="s">
        <v>106</v>
      </c>
      <c r="C1928" t="s">
        <v>2353</v>
      </c>
      <c r="D1928" t="s">
        <v>2352</v>
      </c>
      <c r="E1928" t="s">
        <v>5417</v>
      </c>
      <c r="F1928" s="23">
        <v>44875</v>
      </c>
      <c r="G1928" s="1">
        <v>10868</v>
      </c>
    </row>
    <row r="1929" spans="1:7">
      <c r="A1929" t="s">
        <v>5711</v>
      </c>
      <c r="B1929" t="s">
        <v>94</v>
      </c>
      <c r="C1929" t="s">
        <v>3490</v>
      </c>
      <c r="D1929" t="s">
        <v>98</v>
      </c>
      <c r="E1929" t="s">
        <v>5418</v>
      </c>
      <c r="F1929" s="23">
        <v>44639</v>
      </c>
      <c r="G1929" s="1">
        <v>7201</v>
      </c>
    </row>
    <row r="1930" spans="1:7">
      <c r="A1930" t="s">
        <v>5711</v>
      </c>
      <c r="B1930" t="s">
        <v>43</v>
      </c>
      <c r="C1930" t="s">
        <v>1712</v>
      </c>
      <c r="D1930" t="s">
        <v>1711</v>
      </c>
      <c r="E1930" t="s">
        <v>5419</v>
      </c>
      <c r="F1930" s="23">
        <v>44635</v>
      </c>
      <c r="G1930" s="1">
        <v>7731</v>
      </c>
    </row>
    <row r="1931" spans="1:7">
      <c r="A1931" t="s">
        <v>5711</v>
      </c>
      <c r="B1931" t="s">
        <v>255</v>
      </c>
      <c r="C1931" t="s">
        <v>1425</v>
      </c>
      <c r="D1931" t="s">
        <v>1424</v>
      </c>
      <c r="E1931" t="s">
        <v>5420</v>
      </c>
      <c r="F1931" s="23">
        <v>44346</v>
      </c>
      <c r="G1931" s="1">
        <v>16025</v>
      </c>
    </row>
    <row r="1932" spans="1:7">
      <c r="A1932" t="s">
        <v>5711</v>
      </c>
      <c r="B1932" t="s">
        <v>233</v>
      </c>
      <c r="C1932" t="s">
        <v>2689</v>
      </c>
      <c r="D1932" t="s">
        <v>2688</v>
      </c>
      <c r="E1932" t="s">
        <v>5421</v>
      </c>
      <c r="F1932" s="23">
        <v>44896</v>
      </c>
      <c r="G1932" s="1">
        <v>758</v>
      </c>
    </row>
    <row r="1933" spans="1:7">
      <c r="A1933" t="s">
        <v>5711</v>
      </c>
      <c r="B1933" t="s">
        <v>106</v>
      </c>
      <c r="C1933" t="s">
        <v>2538</v>
      </c>
      <c r="D1933" t="s">
        <v>2537</v>
      </c>
      <c r="E1933" t="s">
        <v>5422</v>
      </c>
      <c r="F1933" s="23">
        <v>44346</v>
      </c>
      <c r="G1933" s="1">
        <v>17927</v>
      </c>
    </row>
    <row r="1934" spans="1:7">
      <c r="A1934" t="s">
        <v>5711</v>
      </c>
      <c r="B1934" t="s">
        <v>106</v>
      </c>
      <c r="C1934" t="s">
        <v>2170</v>
      </c>
      <c r="D1934" t="s">
        <v>3283</v>
      </c>
      <c r="E1934" t="s">
        <v>5423</v>
      </c>
      <c r="F1934" s="23">
        <v>44346</v>
      </c>
      <c r="G1934" s="1">
        <v>15552</v>
      </c>
    </row>
    <row r="1935" spans="1:7">
      <c r="A1935" t="s">
        <v>5711</v>
      </c>
      <c r="B1935" t="s">
        <v>78</v>
      </c>
      <c r="C1935" t="s">
        <v>1685</v>
      </c>
      <c r="D1935" t="s">
        <v>1684</v>
      </c>
      <c r="E1935" t="s">
        <v>5424</v>
      </c>
      <c r="F1935" s="23">
        <v>44346</v>
      </c>
      <c r="G1935" s="1">
        <v>3286</v>
      </c>
    </row>
    <row r="1936" spans="1:7">
      <c r="A1936" t="s">
        <v>5711</v>
      </c>
      <c r="B1936" t="s">
        <v>37</v>
      </c>
      <c r="C1936" t="s">
        <v>1792</v>
      </c>
      <c r="D1936" t="s">
        <v>1791</v>
      </c>
      <c r="E1936" t="s">
        <v>5425</v>
      </c>
      <c r="F1936" s="23">
        <v>44622</v>
      </c>
      <c r="G1936" s="1">
        <v>11531</v>
      </c>
    </row>
    <row r="1937" spans="1:7">
      <c r="A1937" t="s">
        <v>5711</v>
      </c>
      <c r="B1937" t="s">
        <v>94</v>
      </c>
      <c r="C1937" t="s">
        <v>3282</v>
      </c>
      <c r="D1937" t="s">
        <v>3281</v>
      </c>
      <c r="E1937" t="s">
        <v>5426</v>
      </c>
      <c r="F1937" s="23">
        <v>44346</v>
      </c>
      <c r="G1937" s="1">
        <v>16723</v>
      </c>
    </row>
    <row r="1938" spans="1:7">
      <c r="A1938" t="s">
        <v>5711</v>
      </c>
      <c r="B1938" t="s">
        <v>233</v>
      </c>
      <c r="C1938" t="s">
        <v>3170</v>
      </c>
      <c r="D1938" t="s">
        <v>3169</v>
      </c>
      <c r="E1938" t="s">
        <v>5427</v>
      </c>
      <c r="F1938" s="23">
        <v>44586</v>
      </c>
      <c r="G1938" s="1">
        <v>515</v>
      </c>
    </row>
    <row r="1939" spans="1:7">
      <c r="A1939" t="s">
        <v>5711</v>
      </c>
      <c r="B1939" t="s">
        <v>43</v>
      </c>
      <c r="C1939" t="s">
        <v>762</v>
      </c>
      <c r="D1939" t="s">
        <v>761</v>
      </c>
      <c r="E1939" t="s">
        <v>5428</v>
      </c>
      <c r="F1939" s="23">
        <v>44346</v>
      </c>
      <c r="G1939" s="1">
        <v>6930</v>
      </c>
    </row>
    <row r="1940" spans="1:7">
      <c r="A1940" t="s">
        <v>5711</v>
      </c>
      <c r="B1940" t="s">
        <v>233</v>
      </c>
      <c r="C1940" t="s">
        <v>536</v>
      </c>
      <c r="D1940" t="s">
        <v>535</v>
      </c>
      <c r="E1940" t="s">
        <v>5429</v>
      </c>
      <c r="F1940" s="23">
        <v>44346</v>
      </c>
      <c r="G1940" s="1">
        <v>15421</v>
      </c>
    </row>
    <row r="1941" spans="1:7">
      <c r="A1941" t="s">
        <v>5711</v>
      </c>
      <c r="B1941" t="s">
        <v>106</v>
      </c>
      <c r="C1941" t="s">
        <v>2961</v>
      </c>
      <c r="D1941" t="s">
        <v>2960</v>
      </c>
      <c r="E1941" t="s">
        <v>5430</v>
      </c>
      <c r="F1941" s="23">
        <v>45043</v>
      </c>
      <c r="G1941" s="1">
        <v>8437</v>
      </c>
    </row>
    <row r="1942" spans="1:7">
      <c r="A1942" t="s">
        <v>5711</v>
      </c>
      <c r="B1942" t="s">
        <v>1109</v>
      </c>
      <c r="C1942" t="s">
        <v>1108</v>
      </c>
      <c r="D1942" t="s">
        <v>1107</v>
      </c>
      <c r="E1942" t="s">
        <v>5431</v>
      </c>
      <c r="F1942" s="23">
        <v>44503</v>
      </c>
      <c r="G1942" s="1">
        <v>5988</v>
      </c>
    </row>
    <row r="1943" spans="1:7">
      <c r="A1943" t="s">
        <v>5711</v>
      </c>
      <c r="B1943" t="s">
        <v>311</v>
      </c>
      <c r="C1943" t="s">
        <v>2618</v>
      </c>
      <c r="D1943" t="s">
        <v>2617</v>
      </c>
      <c r="E1943" t="s">
        <v>5432</v>
      </c>
      <c r="F1943" s="23">
        <v>44346</v>
      </c>
      <c r="G1943" s="1">
        <v>14546</v>
      </c>
    </row>
    <row r="1944" spans="1:7">
      <c r="A1944" t="s">
        <v>5711</v>
      </c>
      <c r="B1944" t="s">
        <v>755</v>
      </c>
      <c r="C1944" t="s">
        <v>754</v>
      </c>
      <c r="D1944" t="s">
        <v>753</v>
      </c>
      <c r="E1944" t="s">
        <v>5433</v>
      </c>
      <c r="F1944" s="23">
        <v>44346</v>
      </c>
      <c r="G1944" s="1">
        <v>18938</v>
      </c>
    </row>
    <row r="1945" spans="1:7">
      <c r="A1945" t="s">
        <v>5711</v>
      </c>
      <c r="B1945" t="s">
        <v>298</v>
      </c>
      <c r="C1945" t="s">
        <v>1900</v>
      </c>
      <c r="D1945" t="s">
        <v>1899</v>
      </c>
      <c r="E1945" t="s">
        <v>5434</v>
      </c>
      <c r="F1945" s="23">
        <v>44346</v>
      </c>
      <c r="G1945" s="1">
        <v>18930</v>
      </c>
    </row>
    <row r="1946" spans="1:7">
      <c r="A1946" t="s">
        <v>5711</v>
      </c>
      <c r="B1946" t="s">
        <v>135</v>
      </c>
      <c r="C1946" t="s">
        <v>1708</v>
      </c>
      <c r="D1946" t="s">
        <v>1707</v>
      </c>
      <c r="E1946" t="s">
        <v>5435</v>
      </c>
      <c r="F1946" s="23">
        <v>44721</v>
      </c>
      <c r="G1946" s="1">
        <v>11666</v>
      </c>
    </row>
    <row r="1947" spans="1:7">
      <c r="A1947" t="s">
        <v>5711</v>
      </c>
      <c r="B1947" t="s">
        <v>298</v>
      </c>
      <c r="C1947" t="s">
        <v>1461</v>
      </c>
      <c r="D1947" t="s">
        <v>1460</v>
      </c>
      <c r="E1947" t="s">
        <v>5436</v>
      </c>
      <c r="F1947" s="23">
        <v>44346</v>
      </c>
      <c r="G1947" s="1">
        <v>13168</v>
      </c>
    </row>
    <row r="1948" spans="1:7">
      <c r="A1948" t="s">
        <v>5711</v>
      </c>
      <c r="B1948" t="s">
        <v>182</v>
      </c>
      <c r="C1948" t="s">
        <v>181</v>
      </c>
      <c r="D1948" t="s">
        <v>180</v>
      </c>
      <c r="E1948" t="s">
        <v>5437</v>
      </c>
      <c r="F1948" s="23">
        <v>44678</v>
      </c>
      <c r="G1948" s="1">
        <v>9518</v>
      </c>
    </row>
    <row r="1949" spans="1:7">
      <c r="A1949" t="s">
        <v>5711</v>
      </c>
      <c r="B1949" t="s">
        <v>122</v>
      </c>
      <c r="C1949" t="s">
        <v>402</v>
      </c>
      <c r="D1949" t="s">
        <v>401</v>
      </c>
      <c r="E1949" t="s">
        <v>5438</v>
      </c>
      <c r="F1949" s="23">
        <v>44346</v>
      </c>
      <c r="G1949" s="1">
        <v>17639</v>
      </c>
    </row>
    <row r="1950" spans="1:7">
      <c r="A1950" t="s">
        <v>5711</v>
      </c>
      <c r="B1950" t="s">
        <v>106</v>
      </c>
      <c r="C1950" t="s">
        <v>2402</v>
      </c>
      <c r="D1950" t="s">
        <v>2401</v>
      </c>
      <c r="E1950" t="s">
        <v>5439</v>
      </c>
      <c r="F1950" s="23">
        <v>44487</v>
      </c>
      <c r="G1950" s="1">
        <v>6662</v>
      </c>
    </row>
    <row r="1951" spans="1:7">
      <c r="A1951" t="s">
        <v>5711</v>
      </c>
      <c r="B1951" t="s">
        <v>106</v>
      </c>
      <c r="C1951" t="s">
        <v>2340</v>
      </c>
      <c r="D1951" t="s">
        <v>2339</v>
      </c>
      <c r="E1951" t="s">
        <v>5440</v>
      </c>
      <c r="F1951" s="23">
        <v>44346</v>
      </c>
      <c r="G1951" s="1">
        <v>7385</v>
      </c>
    </row>
    <row r="1952" spans="1:7">
      <c r="A1952" t="s">
        <v>5711</v>
      </c>
      <c r="B1952" t="s">
        <v>94</v>
      </c>
      <c r="C1952" t="s">
        <v>3488</v>
      </c>
      <c r="D1952" t="s">
        <v>866</v>
      </c>
      <c r="E1952" t="s">
        <v>5441</v>
      </c>
      <c r="F1952" s="23">
        <v>44892</v>
      </c>
      <c r="G1952" s="1">
        <v>6041</v>
      </c>
    </row>
    <row r="1953" spans="1:7">
      <c r="A1953" t="s">
        <v>5711</v>
      </c>
      <c r="B1953" t="s">
        <v>106</v>
      </c>
      <c r="D1953" t="s">
        <v>5687</v>
      </c>
      <c r="E1953" t="s">
        <v>5442</v>
      </c>
      <c r="F1953" s="23">
        <v>44457</v>
      </c>
      <c r="G1953" s="1">
        <v>2827</v>
      </c>
    </row>
    <row r="1954" spans="1:7">
      <c r="A1954" t="s">
        <v>5711</v>
      </c>
      <c r="B1954" t="s">
        <v>233</v>
      </c>
      <c r="C1954" t="s">
        <v>2935</v>
      </c>
      <c r="D1954" t="s">
        <v>2934</v>
      </c>
      <c r="E1954" t="s">
        <v>5443</v>
      </c>
      <c r="F1954" s="23">
        <v>44346</v>
      </c>
      <c r="G1954" s="1">
        <v>14987</v>
      </c>
    </row>
    <row r="1955" spans="1:7">
      <c r="A1955" t="s">
        <v>5711</v>
      </c>
      <c r="B1955" t="s">
        <v>174</v>
      </c>
      <c r="C1955" t="s">
        <v>1176</v>
      </c>
      <c r="D1955" t="s">
        <v>1175</v>
      </c>
      <c r="E1955" t="s">
        <v>5444</v>
      </c>
      <c r="F1955" s="23">
        <v>44977</v>
      </c>
      <c r="G1955" s="1">
        <v>5766</v>
      </c>
    </row>
    <row r="1956" spans="1:7">
      <c r="A1956" t="s">
        <v>5711</v>
      </c>
      <c r="B1956" t="s">
        <v>94</v>
      </c>
      <c r="C1956" t="s">
        <v>2614</v>
      </c>
      <c r="D1956" t="s">
        <v>2613</v>
      </c>
      <c r="E1956" t="s">
        <v>5445</v>
      </c>
      <c r="F1956" s="23">
        <v>44491</v>
      </c>
      <c r="G1956" s="1">
        <v>8934</v>
      </c>
    </row>
    <row r="1957" spans="1:7">
      <c r="A1957" t="s">
        <v>5711</v>
      </c>
      <c r="B1957" t="s">
        <v>94</v>
      </c>
      <c r="C1957" t="s">
        <v>3486</v>
      </c>
      <c r="D1957" t="s">
        <v>1069</v>
      </c>
      <c r="E1957" t="s">
        <v>5446</v>
      </c>
      <c r="F1957" s="23">
        <v>44346</v>
      </c>
      <c r="G1957" s="1">
        <v>17209</v>
      </c>
    </row>
    <row r="1958" spans="1:7">
      <c r="A1958" t="s">
        <v>5711</v>
      </c>
      <c r="B1958" t="s">
        <v>298</v>
      </c>
      <c r="C1958" t="s">
        <v>365</v>
      </c>
      <c r="D1958" t="s">
        <v>2659</v>
      </c>
      <c r="E1958" t="s">
        <v>5447</v>
      </c>
      <c r="F1958" s="23">
        <v>44346</v>
      </c>
      <c r="G1958" s="1">
        <v>19495</v>
      </c>
    </row>
    <row r="1959" spans="1:7">
      <c r="A1959" t="s">
        <v>5711</v>
      </c>
      <c r="B1959" t="s">
        <v>311</v>
      </c>
      <c r="C1959" t="s">
        <v>310</v>
      </c>
      <c r="D1959" t="s">
        <v>309</v>
      </c>
      <c r="E1959" t="s">
        <v>5448</v>
      </c>
      <c r="F1959" s="23">
        <v>44346</v>
      </c>
      <c r="G1959" s="1">
        <v>17200</v>
      </c>
    </row>
    <row r="1960" spans="1:7">
      <c r="A1960" t="s">
        <v>5711</v>
      </c>
      <c r="B1960" t="s">
        <v>298</v>
      </c>
      <c r="C1960" t="s">
        <v>748</v>
      </c>
      <c r="D1960" t="s">
        <v>5688</v>
      </c>
      <c r="E1960" t="s">
        <v>5449</v>
      </c>
      <c r="F1960" s="23">
        <v>44672</v>
      </c>
      <c r="G1960" s="1">
        <v>3907</v>
      </c>
    </row>
    <row r="1961" spans="1:7">
      <c r="A1961" t="s">
        <v>5711</v>
      </c>
      <c r="B1961" t="s">
        <v>68</v>
      </c>
      <c r="C1961" t="s">
        <v>1001</v>
      </c>
      <c r="D1961" t="s">
        <v>1000</v>
      </c>
      <c r="E1961" t="s">
        <v>5450</v>
      </c>
      <c r="F1961" s="23">
        <v>44528</v>
      </c>
      <c r="G1961" s="1">
        <v>3133</v>
      </c>
    </row>
    <row r="1962" spans="1:7">
      <c r="A1962" t="s">
        <v>5711</v>
      </c>
      <c r="B1962" t="s">
        <v>94</v>
      </c>
      <c r="C1962" t="s">
        <v>3054</v>
      </c>
      <c r="D1962" t="s">
        <v>3053</v>
      </c>
      <c r="E1962" t="s">
        <v>5451</v>
      </c>
      <c r="F1962" s="23">
        <v>44991</v>
      </c>
      <c r="G1962" s="1">
        <v>7793</v>
      </c>
    </row>
    <row r="1963" spans="1:7">
      <c r="A1963" t="s">
        <v>5711</v>
      </c>
      <c r="B1963" t="s">
        <v>106</v>
      </c>
      <c r="C1963" t="s">
        <v>1383</v>
      </c>
      <c r="D1963" t="s">
        <v>1382</v>
      </c>
      <c r="E1963" t="s">
        <v>5452</v>
      </c>
      <c r="F1963" s="23">
        <v>44346</v>
      </c>
      <c r="G1963" s="1">
        <v>19943</v>
      </c>
    </row>
    <row r="1964" spans="1:7">
      <c r="A1964" t="s">
        <v>5711</v>
      </c>
      <c r="B1964" t="s">
        <v>97</v>
      </c>
      <c r="C1964" t="s">
        <v>624</v>
      </c>
      <c r="D1964" t="s">
        <v>623</v>
      </c>
      <c r="E1964" t="s">
        <v>5453</v>
      </c>
      <c r="F1964" s="23">
        <v>44346</v>
      </c>
      <c r="G1964" s="1">
        <v>1407</v>
      </c>
    </row>
    <row r="1965" spans="1:7">
      <c r="A1965" t="s">
        <v>5711</v>
      </c>
      <c r="B1965" t="s">
        <v>106</v>
      </c>
      <c r="C1965" t="s">
        <v>3185</v>
      </c>
      <c r="D1965" t="s">
        <v>3184</v>
      </c>
      <c r="E1965" t="s">
        <v>5454</v>
      </c>
      <c r="F1965" s="23">
        <v>44784</v>
      </c>
      <c r="G1965" s="1">
        <v>3847</v>
      </c>
    </row>
    <row r="1966" spans="1:7">
      <c r="A1966" t="s">
        <v>5711</v>
      </c>
      <c r="B1966" t="s">
        <v>188</v>
      </c>
      <c r="C1966" t="s">
        <v>1587</v>
      </c>
      <c r="D1966" t="s">
        <v>1586</v>
      </c>
      <c r="E1966" t="s">
        <v>5455</v>
      </c>
      <c r="F1966" s="23">
        <v>44346</v>
      </c>
      <c r="G1966" s="1">
        <v>18197</v>
      </c>
    </row>
    <row r="1967" spans="1:7">
      <c r="A1967" t="s">
        <v>5711</v>
      </c>
      <c r="B1967" t="s">
        <v>106</v>
      </c>
      <c r="C1967" t="s">
        <v>2508</v>
      </c>
      <c r="D1967" t="s">
        <v>2507</v>
      </c>
      <c r="E1967" t="s">
        <v>5456</v>
      </c>
      <c r="F1967" s="23">
        <v>44346</v>
      </c>
      <c r="G1967" s="1">
        <v>19331</v>
      </c>
    </row>
    <row r="1968" spans="1:7">
      <c r="A1968" t="s">
        <v>5711</v>
      </c>
      <c r="B1968" t="s">
        <v>135</v>
      </c>
      <c r="C1968" t="s">
        <v>942</v>
      </c>
      <c r="D1968" t="s">
        <v>941</v>
      </c>
      <c r="E1968" t="s">
        <v>5457</v>
      </c>
      <c r="F1968" s="23">
        <v>44346</v>
      </c>
      <c r="G1968" s="1">
        <v>12509</v>
      </c>
    </row>
    <row r="1969" spans="1:7">
      <c r="A1969" t="s">
        <v>5711</v>
      </c>
      <c r="B1969" t="s">
        <v>298</v>
      </c>
      <c r="C1969" t="s">
        <v>1220</v>
      </c>
      <c r="D1969" t="s">
        <v>2811</v>
      </c>
      <c r="E1969" t="s">
        <v>5458</v>
      </c>
      <c r="F1969" s="23">
        <v>44610</v>
      </c>
      <c r="G1969" s="1">
        <v>9474</v>
      </c>
    </row>
    <row r="1970" spans="1:7">
      <c r="A1970" t="s">
        <v>5711</v>
      </c>
      <c r="B1970" t="s">
        <v>311</v>
      </c>
      <c r="C1970" t="s">
        <v>2307</v>
      </c>
      <c r="D1970" t="s">
        <v>2964</v>
      </c>
      <c r="E1970" t="s">
        <v>5459</v>
      </c>
      <c r="F1970" s="23">
        <v>45070</v>
      </c>
      <c r="G1970" s="1">
        <v>7935</v>
      </c>
    </row>
    <row r="1971" spans="1:7">
      <c r="A1971" t="s">
        <v>5711</v>
      </c>
      <c r="B1971" t="s">
        <v>94</v>
      </c>
      <c r="C1971" t="s">
        <v>3265</v>
      </c>
      <c r="D1971" t="s">
        <v>117</v>
      </c>
      <c r="E1971" t="s">
        <v>5460</v>
      </c>
      <c r="F1971" s="23">
        <v>44386</v>
      </c>
      <c r="G1971" s="1">
        <v>10049</v>
      </c>
    </row>
    <row r="1972" spans="1:7">
      <c r="A1972" t="s">
        <v>5711</v>
      </c>
      <c r="B1972" t="s">
        <v>68</v>
      </c>
      <c r="C1972" t="s">
        <v>1670</v>
      </c>
      <c r="D1972" t="s">
        <v>1669</v>
      </c>
      <c r="E1972" t="s">
        <v>5461</v>
      </c>
      <c r="F1972" s="23">
        <v>44346</v>
      </c>
      <c r="G1972" s="1">
        <v>9070</v>
      </c>
    </row>
    <row r="1973" spans="1:7">
      <c r="A1973" t="s">
        <v>5711</v>
      </c>
      <c r="B1973" t="s">
        <v>106</v>
      </c>
      <c r="C1973" t="s">
        <v>2714</v>
      </c>
      <c r="D1973" t="s">
        <v>2713</v>
      </c>
      <c r="E1973" t="s">
        <v>5462</v>
      </c>
      <c r="F1973" s="23">
        <v>44346</v>
      </c>
      <c r="G1973" s="1">
        <v>12141</v>
      </c>
    </row>
    <row r="1974" spans="1:7">
      <c r="A1974" t="s">
        <v>5711</v>
      </c>
      <c r="B1974" t="s">
        <v>94</v>
      </c>
      <c r="C1974" t="s">
        <v>3172</v>
      </c>
      <c r="D1974" t="s">
        <v>3171</v>
      </c>
      <c r="E1974" t="s">
        <v>5463</v>
      </c>
      <c r="F1974" s="23">
        <v>44346</v>
      </c>
      <c r="G1974" s="1">
        <v>14921</v>
      </c>
    </row>
    <row r="1975" spans="1:7">
      <c r="A1975" t="s">
        <v>5711</v>
      </c>
      <c r="B1975" t="s">
        <v>94</v>
      </c>
      <c r="C1975" t="s">
        <v>2941</v>
      </c>
      <c r="D1975" t="s">
        <v>2940</v>
      </c>
      <c r="E1975" t="s">
        <v>5464</v>
      </c>
      <c r="F1975" s="23">
        <v>44346</v>
      </c>
      <c r="G1975" s="1">
        <v>15878</v>
      </c>
    </row>
    <row r="1976" spans="1:7">
      <c r="A1976" t="s">
        <v>5711</v>
      </c>
      <c r="B1976" t="s">
        <v>101</v>
      </c>
      <c r="C1976" t="s">
        <v>1786</v>
      </c>
      <c r="D1976" t="s">
        <v>1785</v>
      </c>
      <c r="E1976" t="s">
        <v>5465</v>
      </c>
      <c r="F1976" s="23">
        <v>44346</v>
      </c>
      <c r="G1976" s="1">
        <v>16334</v>
      </c>
    </row>
    <row r="1977" spans="1:7">
      <c r="A1977" t="s">
        <v>5711</v>
      </c>
      <c r="B1977" t="s">
        <v>208</v>
      </c>
      <c r="C1977" t="s">
        <v>701</v>
      </c>
      <c r="D1977" t="s">
        <v>5689</v>
      </c>
      <c r="E1977" t="s">
        <v>5466</v>
      </c>
      <c r="F1977" s="23">
        <v>44346</v>
      </c>
      <c r="G1977" s="1">
        <v>15818</v>
      </c>
    </row>
    <row r="1978" spans="1:7">
      <c r="A1978" t="s">
        <v>5711</v>
      </c>
      <c r="B1978" t="s">
        <v>94</v>
      </c>
      <c r="C1978" t="s">
        <v>3468</v>
      </c>
      <c r="D1978" t="s">
        <v>3467</v>
      </c>
      <c r="E1978" t="s">
        <v>5467</v>
      </c>
      <c r="F1978" s="23">
        <v>44346</v>
      </c>
      <c r="G1978" s="1">
        <v>19460</v>
      </c>
    </row>
    <row r="1979" spans="1:7">
      <c r="A1979" t="s">
        <v>5711</v>
      </c>
      <c r="B1979" t="s">
        <v>97</v>
      </c>
      <c r="C1979" t="s">
        <v>1549</v>
      </c>
      <c r="D1979" t="s">
        <v>1548</v>
      </c>
      <c r="E1979" t="s">
        <v>5468</v>
      </c>
      <c r="F1979" s="23">
        <v>44948</v>
      </c>
      <c r="G1979" s="1">
        <v>2435</v>
      </c>
    </row>
    <row r="1980" spans="1:7">
      <c r="A1980" t="s">
        <v>5711</v>
      </c>
      <c r="B1980" t="s">
        <v>106</v>
      </c>
      <c r="C1980" t="s">
        <v>1300</v>
      </c>
      <c r="D1980" t="s">
        <v>5690</v>
      </c>
      <c r="E1980" t="s">
        <v>5469</v>
      </c>
      <c r="F1980" s="23">
        <v>44346</v>
      </c>
      <c r="G1980" s="1">
        <v>18347</v>
      </c>
    </row>
    <row r="1981" spans="1:7">
      <c r="A1981" t="s">
        <v>5711</v>
      </c>
      <c r="B1981" t="s">
        <v>94</v>
      </c>
      <c r="C1981" t="s">
        <v>3486</v>
      </c>
      <c r="D1981" t="s">
        <v>239</v>
      </c>
      <c r="E1981" t="s">
        <v>5470</v>
      </c>
      <c r="F1981" s="23">
        <v>44346</v>
      </c>
      <c r="G1981" s="1">
        <v>7033</v>
      </c>
    </row>
    <row r="1982" spans="1:7">
      <c r="A1982" t="s">
        <v>5711</v>
      </c>
      <c r="B1982" t="s">
        <v>298</v>
      </c>
      <c r="C1982" t="s">
        <v>3221</v>
      </c>
      <c r="D1982" t="s">
        <v>3220</v>
      </c>
      <c r="E1982" t="s">
        <v>5471</v>
      </c>
      <c r="F1982" s="23">
        <v>44346</v>
      </c>
      <c r="G1982" s="1">
        <v>16859</v>
      </c>
    </row>
    <row r="1983" spans="1:7">
      <c r="A1983" t="s">
        <v>5711</v>
      </c>
      <c r="B1983" t="s">
        <v>720</v>
      </c>
      <c r="C1983" t="s">
        <v>719</v>
      </c>
      <c r="D1983" t="s">
        <v>718</v>
      </c>
      <c r="E1983" t="s">
        <v>5472</v>
      </c>
      <c r="F1983" s="23">
        <v>44729</v>
      </c>
      <c r="G1983" s="1">
        <v>3821</v>
      </c>
    </row>
    <row r="1984" spans="1:7">
      <c r="A1984" t="s">
        <v>5711</v>
      </c>
      <c r="B1984" t="s">
        <v>298</v>
      </c>
      <c r="C1984" t="s">
        <v>3124</v>
      </c>
      <c r="D1984" t="s">
        <v>3123</v>
      </c>
      <c r="E1984" t="s">
        <v>5473</v>
      </c>
      <c r="F1984" s="23">
        <v>44773</v>
      </c>
      <c r="G1984" s="1">
        <v>6743</v>
      </c>
    </row>
    <row r="1985" spans="1:7">
      <c r="A1985" t="s">
        <v>5711</v>
      </c>
      <c r="B1985" t="s">
        <v>94</v>
      </c>
      <c r="C1985" t="s">
        <v>1954</v>
      </c>
      <c r="D1985" t="s">
        <v>1953</v>
      </c>
      <c r="E1985" t="s">
        <v>5474</v>
      </c>
      <c r="F1985" s="23">
        <v>44346</v>
      </c>
      <c r="G1985" s="1">
        <v>12952</v>
      </c>
    </row>
    <row r="1986" spans="1:7">
      <c r="A1986" t="s">
        <v>5711</v>
      </c>
      <c r="B1986" t="s">
        <v>94</v>
      </c>
      <c r="C1986" t="s">
        <v>2656</v>
      </c>
      <c r="D1986" t="s">
        <v>2655</v>
      </c>
      <c r="E1986" t="s">
        <v>5475</v>
      </c>
      <c r="F1986" s="23">
        <v>44346</v>
      </c>
      <c r="G1986" s="1">
        <v>16188</v>
      </c>
    </row>
    <row r="1987" spans="1:7">
      <c r="A1987" t="s">
        <v>5711</v>
      </c>
      <c r="B1987" t="s">
        <v>78</v>
      </c>
      <c r="C1987" t="s">
        <v>638</v>
      </c>
      <c r="D1987" t="s">
        <v>637</v>
      </c>
      <c r="E1987" t="s">
        <v>5476</v>
      </c>
      <c r="F1987" s="23">
        <v>44346</v>
      </c>
      <c r="G1987" s="1">
        <v>19558</v>
      </c>
    </row>
    <row r="1988" spans="1:7">
      <c r="A1988" t="s">
        <v>5711</v>
      </c>
      <c r="B1988" t="s">
        <v>311</v>
      </c>
      <c r="C1988" t="s">
        <v>2761</v>
      </c>
      <c r="D1988" t="s">
        <v>2760</v>
      </c>
      <c r="E1988" t="s">
        <v>5477</v>
      </c>
      <c r="F1988" s="23">
        <v>44346</v>
      </c>
      <c r="G1988" s="1">
        <v>8426</v>
      </c>
    </row>
    <row r="1989" spans="1:7">
      <c r="A1989" t="s">
        <v>5711</v>
      </c>
      <c r="B1989" t="s">
        <v>106</v>
      </c>
      <c r="C1989" t="s">
        <v>5712</v>
      </c>
      <c r="D1989" t="s">
        <v>212</v>
      </c>
      <c r="E1989" t="s">
        <v>5478</v>
      </c>
      <c r="F1989" s="23">
        <v>44940</v>
      </c>
      <c r="G1989" s="1">
        <v>2422</v>
      </c>
    </row>
    <row r="1990" spans="1:7">
      <c r="A1990" t="s">
        <v>5711</v>
      </c>
      <c r="B1990" t="s">
        <v>101</v>
      </c>
      <c r="C1990" t="s">
        <v>1797</v>
      </c>
      <c r="D1990" t="s">
        <v>1796</v>
      </c>
      <c r="E1990" t="s">
        <v>5479</v>
      </c>
      <c r="F1990" s="23">
        <v>44346</v>
      </c>
      <c r="G1990" s="1">
        <v>2923</v>
      </c>
    </row>
    <row r="1991" spans="1:7">
      <c r="A1991" t="s">
        <v>5711</v>
      </c>
      <c r="B1991" t="s">
        <v>106</v>
      </c>
      <c r="C1991" t="s">
        <v>2218</v>
      </c>
      <c r="D1991" t="s">
        <v>3079</v>
      </c>
      <c r="E1991" t="s">
        <v>5480</v>
      </c>
      <c r="F1991" s="23">
        <v>44346</v>
      </c>
      <c r="G1991" s="1">
        <v>11642</v>
      </c>
    </row>
    <row r="1992" spans="1:7">
      <c r="A1992" t="s">
        <v>5711</v>
      </c>
      <c r="B1992" t="s">
        <v>37</v>
      </c>
      <c r="C1992" t="s">
        <v>171</v>
      </c>
      <c r="D1992" t="s">
        <v>170</v>
      </c>
      <c r="E1992" t="s">
        <v>5481</v>
      </c>
      <c r="F1992" s="23">
        <v>44346</v>
      </c>
      <c r="G1992" s="1">
        <v>13290</v>
      </c>
    </row>
    <row r="1993" spans="1:7">
      <c r="A1993" t="s">
        <v>5711</v>
      </c>
      <c r="B1993" t="s">
        <v>298</v>
      </c>
      <c r="C1993" t="s">
        <v>2443</v>
      </c>
      <c r="D1993" t="s">
        <v>3438</v>
      </c>
      <c r="E1993" t="s">
        <v>5482</v>
      </c>
      <c r="F1993" s="23">
        <v>44346</v>
      </c>
      <c r="G1993" s="1">
        <v>13564</v>
      </c>
    </row>
    <row r="1994" spans="1:7">
      <c r="A1994" t="s">
        <v>5711</v>
      </c>
      <c r="B1994" t="s">
        <v>43</v>
      </c>
      <c r="C1994" t="s">
        <v>1140</v>
      </c>
      <c r="D1994" t="s">
        <v>1139</v>
      </c>
      <c r="E1994" t="s">
        <v>5483</v>
      </c>
      <c r="F1994" s="23">
        <v>44644</v>
      </c>
      <c r="G1994" s="1">
        <v>9312</v>
      </c>
    </row>
    <row r="1995" spans="1:7">
      <c r="A1995" t="s">
        <v>5711</v>
      </c>
      <c r="B1995" t="s">
        <v>94</v>
      </c>
      <c r="C1995" t="s">
        <v>1770</v>
      </c>
      <c r="D1995" t="s">
        <v>1769</v>
      </c>
      <c r="E1995" t="s">
        <v>5484</v>
      </c>
      <c r="F1995" s="23">
        <v>44847</v>
      </c>
      <c r="G1995" s="1">
        <v>6042</v>
      </c>
    </row>
    <row r="1996" spans="1:7">
      <c r="A1996" t="s">
        <v>5711</v>
      </c>
      <c r="B1996" t="s">
        <v>94</v>
      </c>
      <c r="C1996" t="s">
        <v>3486</v>
      </c>
      <c r="D1996" t="s">
        <v>372</v>
      </c>
      <c r="E1996" t="s">
        <v>5485</v>
      </c>
      <c r="F1996" s="23">
        <v>44772</v>
      </c>
      <c r="G1996" s="1">
        <v>2125</v>
      </c>
    </row>
    <row r="1997" spans="1:7">
      <c r="A1997" t="s">
        <v>5711</v>
      </c>
      <c r="B1997" t="s">
        <v>94</v>
      </c>
      <c r="C1997" t="s">
        <v>3487</v>
      </c>
      <c r="D1997" t="s">
        <v>1209</v>
      </c>
      <c r="E1997" t="s">
        <v>5486</v>
      </c>
      <c r="F1997" s="23">
        <v>44346</v>
      </c>
      <c r="G1997" s="1">
        <v>5156</v>
      </c>
    </row>
    <row r="1998" spans="1:7">
      <c r="A1998" t="s">
        <v>5711</v>
      </c>
      <c r="B1998" t="s">
        <v>94</v>
      </c>
      <c r="C1998" t="s">
        <v>3486</v>
      </c>
      <c r="D1998" t="s">
        <v>5691</v>
      </c>
      <c r="E1998" t="s">
        <v>5487</v>
      </c>
      <c r="F1998" s="23">
        <v>44372</v>
      </c>
      <c r="G1998" s="1">
        <v>7070</v>
      </c>
    </row>
    <row r="1999" spans="1:7">
      <c r="A1999" t="s">
        <v>5711</v>
      </c>
      <c r="B1999" t="s">
        <v>311</v>
      </c>
      <c r="C1999" t="s">
        <v>2323</v>
      </c>
      <c r="D1999" t="s">
        <v>2915</v>
      </c>
      <c r="E1999" t="s">
        <v>5488</v>
      </c>
      <c r="F1999" s="23">
        <v>44346</v>
      </c>
      <c r="G1999" s="1">
        <v>13110</v>
      </c>
    </row>
    <row r="2000" spans="1:7">
      <c r="A2000" t="s">
        <v>5711</v>
      </c>
      <c r="B2000" t="s">
        <v>106</v>
      </c>
      <c r="C2000" t="s">
        <v>1368</v>
      </c>
      <c r="D2000" t="s">
        <v>5692</v>
      </c>
      <c r="E2000" t="s">
        <v>5489</v>
      </c>
      <c r="F2000" s="23">
        <v>44346</v>
      </c>
      <c r="G2000" s="1">
        <v>13407</v>
      </c>
    </row>
    <row r="2001" spans="1:7">
      <c r="A2001" t="s">
        <v>5711</v>
      </c>
      <c r="B2001" t="s">
        <v>94</v>
      </c>
      <c r="C2001" t="s">
        <v>3486</v>
      </c>
      <c r="D2001" t="s">
        <v>1817</v>
      </c>
      <c r="E2001" t="s">
        <v>5490</v>
      </c>
      <c r="F2001" s="23">
        <v>44346</v>
      </c>
      <c r="G2001" s="1">
        <v>16690</v>
      </c>
    </row>
    <row r="2002" spans="1:7">
      <c r="A2002" t="s">
        <v>5711</v>
      </c>
      <c r="B2002" t="s">
        <v>37</v>
      </c>
      <c r="C2002" t="s">
        <v>796</v>
      </c>
      <c r="D2002" t="s">
        <v>795</v>
      </c>
      <c r="E2002" t="s">
        <v>5491</v>
      </c>
      <c r="F2002" s="23">
        <v>44346</v>
      </c>
      <c r="G2002" s="1">
        <v>16044</v>
      </c>
    </row>
    <row r="2003" spans="1:7">
      <c r="A2003" t="s">
        <v>5711</v>
      </c>
      <c r="B2003" t="s">
        <v>106</v>
      </c>
      <c r="C2003" t="s">
        <v>2751</v>
      </c>
      <c r="D2003" t="s">
        <v>2750</v>
      </c>
      <c r="E2003" t="s">
        <v>5492</v>
      </c>
      <c r="F2003" s="23">
        <v>44346</v>
      </c>
      <c r="G2003" s="1">
        <v>16348</v>
      </c>
    </row>
  </sheetData>
  <autoFilter ref="A3:G2003" xr:uid="{B8A600A4-D178-470C-BEB6-EBFC39E71D9E}"/>
  <sortState xmlns:xlrd2="http://schemas.microsoft.com/office/spreadsheetml/2017/richdata2" ref="A4:G2003">
    <sortCondition ref="D3:D2003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4F0E-215E-4940-9365-B51C8051626F}">
  <dimension ref="A1:D24"/>
  <sheetViews>
    <sheetView showGridLines="0" zoomScale="160" zoomScaleNormal="160" workbookViewId="0"/>
  </sheetViews>
  <sheetFormatPr defaultRowHeight="14.25"/>
  <cols>
    <col min="1" max="1" width="11.625" customWidth="1"/>
    <col min="2" max="2" width="8.75" customWidth="1"/>
    <col min="3" max="3" width="12.625" customWidth="1"/>
  </cols>
  <sheetData>
    <row r="1" spans="1:4" ht="20.25" thickBot="1">
      <c r="A1" s="4" t="s">
        <v>5715</v>
      </c>
      <c r="B1" s="4"/>
      <c r="C1" s="4"/>
      <c r="D1" s="4"/>
    </row>
    <row r="2" spans="1:4" ht="15" thickTop="1"/>
    <row r="3" spans="1:4" ht="15">
      <c r="A3" s="62" t="s">
        <v>5693</v>
      </c>
      <c r="B3" s="62" t="s">
        <v>3491</v>
      </c>
      <c r="C3" s="62" t="s">
        <v>5717</v>
      </c>
    </row>
    <row r="4" spans="1:4">
      <c r="A4" s="12" t="s">
        <v>5694</v>
      </c>
      <c r="B4" s="12">
        <v>98134</v>
      </c>
      <c r="C4" s="63">
        <v>45050</v>
      </c>
    </row>
    <row r="5" spans="1:4">
      <c r="A5" s="12" t="s">
        <v>5695</v>
      </c>
      <c r="B5" s="12">
        <v>93538</v>
      </c>
      <c r="C5" s="63">
        <v>44804</v>
      </c>
    </row>
    <row r="6" spans="1:4">
      <c r="A6" s="12" t="s">
        <v>5696</v>
      </c>
      <c r="B6" s="12">
        <v>70523</v>
      </c>
      <c r="C6" s="63">
        <v>45025</v>
      </c>
    </row>
    <row r="7" spans="1:4">
      <c r="A7" s="12" t="s">
        <v>1656</v>
      </c>
      <c r="B7" s="12">
        <v>82660</v>
      </c>
      <c r="C7" s="63">
        <v>45039</v>
      </c>
    </row>
    <row r="8" spans="1:4">
      <c r="A8" s="12" t="s">
        <v>5697</v>
      </c>
      <c r="B8" s="12">
        <v>130069</v>
      </c>
      <c r="C8" s="63">
        <v>44988</v>
      </c>
    </row>
    <row r="9" spans="1:4">
      <c r="A9" s="12" t="s">
        <v>5698</v>
      </c>
      <c r="B9" s="12">
        <v>116083</v>
      </c>
      <c r="C9" s="63">
        <v>45020</v>
      </c>
    </row>
    <row r="10" spans="1:4">
      <c r="A10" s="12" t="s">
        <v>5699</v>
      </c>
      <c r="B10" s="12">
        <v>127974</v>
      </c>
      <c r="C10" s="63">
        <v>44578</v>
      </c>
    </row>
    <row r="11" spans="1:4">
      <c r="A11" s="12" t="s">
        <v>5700</v>
      </c>
      <c r="B11" s="12">
        <v>143434</v>
      </c>
      <c r="C11" s="63">
        <v>45072</v>
      </c>
    </row>
    <row r="12" spans="1:4">
      <c r="A12" s="12" t="s">
        <v>5701</v>
      </c>
      <c r="B12" s="12">
        <v>212082</v>
      </c>
      <c r="C12" s="63">
        <v>45067</v>
      </c>
    </row>
    <row r="13" spans="1:4">
      <c r="A13" s="12" t="s">
        <v>5702</v>
      </c>
      <c r="B13" s="12">
        <v>110385</v>
      </c>
      <c r="C13" s="63">
        <v>44995</v>
      </c>
    </row>
    <row r="14" spans="1:4" ht="15">
      <c r="A14" s="64" t="s">
        <v>2235</v>
      </c>
      <c r="B14" s="64">
        <v>200950</v>
      </c>
      <c r="C14" s="65">
        <v>45004</v>
      </c>
    </row>
    <row r="15" spans="1:4">
      <c r="A15" s="12" t="s">
        <v>5703</v>
      </c>
      <c r="B15" s="12">
        <v>141338</v>
      </c>
      <c r="C15" s="63">
        <v>45014</v>
      </c>
    </row>
    <row r="16" spans="1:4">
      <c r="A16" s="12" t="s">
        <v>5704</v>
      </c>
      <c r="B16" s="12">
        <v>174226</v>
      </c>
      <c r="C16" s="63">
        <v>44950</v>
      </c>
    </row>
    <row r="17" spans="1:3">
      <c r="A17" s="12" t="s">
        <v>5705</v>
      </c>
      <c r="B17" s="12">
        <v>355635</v>
      </c>
      <c r="C17" s="63">
        <v>45019</v>
      </c>
    </row>
    <row r="18" spans="1:3" ht="15">
      <c r="A18" s="64" t="s">
        <v>5706</v>
      </c>
      <c r="B18" s="64">
        <v>359572</v>
      </c>
      <c r="C18" s="65">
        <v>45057</v>
      </c>
    </row>
    <row r="19" spans="1:3">
      <c r="A19" s="12" t="s">
        <v>5707</v>
      </c>
      <c r="B19" s="12">
        <v>665410</v>
      </c>
      <c r="C19" s="63">
        <v>45029</v>
      </c>
    </row>
    <row r="20" spans="1:3" ht="15">
      <c r="A20" s="64" t="s">
        <v>5708</v>
      </c>
      <c r="B20" s="64">
        <v>381269</v>
      </c>
      <c r="C20" s="65">
        <v>45033</v>
      </c>
    </row>
    <row r="21" spans="1:3">
      <c r="A21" s="12" t="s">
        <v>5709</v>
      </c>
      <c r="B21" s="12">
        <v>255065</v>
      </c>
      <c r="C21" s="63">
        <v>45064</v>
      </c>
    </row>
    <row r="22" spans="1:3">
      <c r="A22" s="12" t="s">
        <v>5710</v>
      </c>
      <c r="B22" s="12">
        <v>485278</v>
      </c>
      <c r="C22" s="63">
        <v>45068</v>
      </c>
    </row>
    <row r="23" spans="1:3">
      <c r="A23" s="12" t="s">
        <v>5711</v>
      </c>
      <c r="B23" s="12">
        <v>16058563</v>
      </c>
      <c r="C23" s="63">
        <v>45073</v>
      </c>
    </row>
    <row r="24" spans="1:3">
      <c r="A24" s="12" t="s">
        <v>5716</v>
      </c>
      <c r="B24" s="12">
        <v>20262188</v>
      </c>
      <c r="C24" s="63">
        <v>45073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D00F-153F-4ED1-85E8-6BAC3D63948A}">
  <dimension ref="A1:I35"/>
  <sheetViews>
    <sheetView zoomScale="175" zoomScaleNormal="175" workbookViewId="0"/>
  </sheetViews>
  <sheetFormatPr defaultRowHeight="14.25"/>
  <cols>
    <col min="1" max="1" width="3.75" customWidth="1"/>
    <col min="2" max="3" width="13.75" customWidth="1"/>
    <col min="4" max="4" width="13.125" customWidth="1"/>
    <col min="5" max="6" width="14.5" customWidth="1"/>
    <col min="7" max="7" width="13.125" customWidth="1"/>
    <col min="8" max="8" width="13.25" customWidth="1"/>
  </cols>
  <sheetData>
    <row r="1" spans="1:9" ht="20.25" thickBot="1">
      <c r="A1" s="4" t="s">
        <v>5718</v>
      </c>
      <c r="B1" s="4"/>
      <c r="C1" s="4"/>
      <c r="D1" s="4"/>
    </row>
    <row r="2" spans="1:9" ht="15" thickTop="1"/>
    <row r="3" spans="1:9" ht="17.25" thickBot="1">
      <c r="B3" s="26" t="s">
        <v>5724</v>
      </c>
      <c r="C3" s="26"/>
      <c r="E3" s="26" t="s">
        <v>5725</v>
      </c>
      <c r="F3" s="26"/>
      <c r="H3" s="26" t="s">
        <v>5730</v>
      </c>
      <c r="I3" s="26"/>
    </row>
    <row r="4" spans="1:9" ht="15" thickTop="1">
      <c r="B4" t="s">
        <v>5719</v>
      </c>
      <c r="C4" t="s">
        <v>5878</v>
      </c>
      <c r="E4" t="s">
        <v>5726</v>
      </c>
      <c r="F4" t="s">
        <v>5883</v>
      </c>
      <c r="H4" t="s">
        <v>5731</v>
      </c>
    </row>
    <row r="5" spans="1:9">
      <c r="B5" t="s">
        <v>5720</v>
      </c>
      <c r="C5" t="s">
        <v>5879</v>
      </c>
      <c r="E5" t="s">
        <v>5727</v>
      </c>
      <c r="F5" t="s">
        <v>5884</v>
      </c>
    </row>
    <row r="6" spans="1:9">
      <c r="B6" t="s">
        <v>5721</v>
      </c>
      <c r="C6" t="s">
        <v>5880</v>
      </c>
      <c r="E6" t="s">
        <v>5728</v>
      </c>
      <c r="F6" t="s">
        <v>5885</v>
      </c>
    </row>
    <row r="7" spans="1:9">
      <c r="B7" t="s">
        <v>5722</v>
      </c>
      <c r="C7" t="s">
        <v>5881</v>
      </c>
      <c r="E7" t="s">
        <v>5729</v>
      </c>
      <c r="F7" t="s">
        <v>5886</v>
      </c>
    </row>
    <row r="8" spans="1:9">
      <c r="B8" t="s">
        <v>5723</v>
      </c>
      <c r="C8" t="s">
        <v>5882</v>
      </c>
    </row>
    <row r="11" spans="1:9" ht="17.25" thickBot="1">
      <c r="B11" s="26" t="s">
        <v>5736</v>
      </c>
      <c r="C11" s="26"/>
    </row>
    <row r="12" spans="1:9" ht="15" thickTop="1">
      <c r="B12" s="8">
        <v>8</v>
      </c>
      <c r="C12" s="8">
        <v>4</v>
      </c>
      <c r="D12">
        <f>primeiro^segundo</f>
        <v>4096</v>
      </c>
    </row>
    <row r="13" spans="1:9">
      <c r="B13" s="8" t="s">
        <v>3489</v>
      </c>
      <c r="C13" s="8" t="s">
        <v>3490</v>
      </c>
    </row>
    <row r="15" spans="1:9" ht="17.25" thickBot="1">
      <c r="B15" s="26" t="s">
        <v>5734</v>
      </c>
      <c r="C15" s="26"/>
    </row>
    <row r="16" spans="1:9" ht="16.5" thickTop="1" thickBot="1">
      <c r="B16" s="29" t="s">
        <v>5733</v>
      </c>
      <c r="C16" s="29" t="s">
        <v>5735</v>
      </c>
    </row>
    <row r="17" spans="2:6" ht="15" thickBot="1">
      <c r="B17" s="27">
        <v>1.1200000000000001</v>
      </c>
      <c r="C17" s="27">
        <f>(B17&gt;E$18)*E$17</f>
        <v>0.02</v>
      </c>
      <c r="E17" s="35">
        <v>0.02</v>
      </c>
    </row>
    <row r="18" spans="2:6" ht="15" thickBot="1">
      <c r="B18" s="27">
        <v>1.1299999999999999</v>
      </c>
      <c r="C18" s="27">
        <f t="shared" ref="C18:C22" si="0">(B18&gt;E$18)*E$17</f>
        <v>0.02</v>
      </c>
      <c r="E18" s="35">
        <v>1.1000000000000001</v>
      </c>
    </row>
    <row r="19" spans="2:6">
      <c r="B19" s="27">
        <v>1.2</v>
      </c>
      <c r="C19" s="27">
        <f t="shared" si="0"/>
        <v>0.02</v>
      </c>
    </row>
    <row r="20" spans="2:6">
      <c r="B20" s="27">
        <v>1.01</v>
      </c>
      <c r="C20" s="27">
        <f t="shared" si="0"/>
        <v>0</v>
      </c>
      <c r="E20" t="s">
        <v>5884</v>
      </c>
    </row>
    <row r="21" spans="2:6">
      <c r="B21" s="27">
        <v>1.17</v>
      </c>
      <c r="C21" s="27">
        <f t="shared" si="0"/>
        <v>0.02</v>
      </c>
    </row>
    <row r="22" spans="2:6">
      <c r="B22" s="27">
        <v>1.1000000000000001</v>
      </c>
      <c r="C22" s="27">
        <f t="shared" si="0"/>
        <v>0</v>
      </c>
    </row>
    <row r="23" spans="2:6" ht="15" thickBot="1"/>
    <row r="24" spans="2:6" ht="20.25" thickBot="1">
      <c r="B24" s="4" t="s">
        <v>5769</v>
      </c>
      <c r="C24" s="4"/>
      <c r="D24" s="4"/>
      <c r="E24" s="30" t="s">
        <v>5759</v>
      </c>
      <c r="F24" s="43">
        <v>5.04</v>
      </c>
    </row>
    <row r="25" spans="2:6" ht="15" thickTop="1">
      <c r="B25" s="32" t="s">
        <v>5732</v>
      </c>
      <c r="C25" s="40" t="s">
        <v>5752</v>
      </c>
      <c r="D25" s="40" t="s">
        <v>5753</v>
      </c>
    </row>
    <row r="26" spans="2:6">
      <c r="B26" s="32" t="s">
        <v>5741</v>
      </c>
      <c r="C26" s="40">
        <v>175.83</v>
      </c>
      <c r="D26" s="40" cm="1">
        <f t="array" ref="D26:D35">C26:C35*F24</f>
        <v>886.18320000000006</v>
      </c>
    </row>
    <row r="27" spans="2:6">
      <c r="B27" s="32" t="s">
        <v>5742</v>
      </c>
      <c r="C27" s="40">
        <v>330.89</v>
      </c>
      <c r="D27" s="40">
        <v>1667.6856</v>
      </c>
    </row>
    <row r="28" spans="2:6">
      <c r="B28" s="32" t="s">
        <v>5743</v>
      </c>
      <c r="C28" s="40"/>
      <c r="D28" s="40">
        <v>0</v>
      </c>
    </row>
    <row r="29" spans="2:6">
      <c r="B29" s="32" t="s">
        <v>5744</v>
      </c>
      <c r="C29" s="40">
        <v>167.85</v>
      </c>
      <c r="D29" s="40">
        <v>845.96399999999994</v>
      </c>
    </row>
    <row r="30" spans="2:6">
      <c r="B30" s="32" t="s">
        <v>5745</v>
      </c>
      <c r="C30" s="40">
        <v>244.72</v>
      </c>
      <c r="D30" s="40">
        <v>1233.3887999999999</v>
      </c>
    </row>
    <row r="31" spans="2:6">
      <c r="B31" s="32" t="s">
        <v>5746</v>
      </c>
      <c r="C31" s="40"/>
      <c r="D31" s="40">
        <v>0</v>
      </c>
    </row>
    <row r="32" spans="2:6">
      <c r="B32" s="32" t="s">
        <v>5747</v>
      </c>
      <c r="C32" s="40">
        <v>18.43</v>
      </c>
      <c r="D32" s="40">
        <v>92.887199999999993</v>
      </c>
    </row>
    <row r="33" spans="2:4">
      <c r="B33" s="32" t="s">
        <v>5748</v>
      </c>
      <c r="C33" s="40">
        <v>185.71</v>
      </c>
      <c r="D33" s="40">
        <v>935.97840000000008</v>
      </c>
    </row>
    <row r="34" spans="2:4">
      <c r="B34" s="32" t="s">
        <v>5749</v>
      </c>
      <c r="C34" s="40"/>
      <c r="D34" s="40">
        <v>0</v>
      </c>
    </row>
    <row r="35" spans="2:4">
      <c r="B35" s="32" t="s">
        <v>5750</v>
      </c>
      <c r="C35" s="40">
        <v>95.45</v>
      </c>
      <c r="D35" s="40">
        <v>481.06800000000004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64AE-1BE3-44E3-AA74-56BC08B8F452}">
  <dimension ref="A1:I15"/>
  <sheetViews>
    <sheetView zoomScale="205" zoomScaleNormal="205" workbookViewId="0"/>
  </sheetViews>
  <sheetFormatPr defaultRowHeight="14.25"/>
  <cols>
    <col min="1" max="1" width="3.625" style="32" customWidth="1"/>
    <col min="2" max="2" width="11.125" style="32" bestFit="1" customWidth="1"/>
    <col min="3" max="4" width="12.125" style="40" customWidth="1"/>
    <col min="5" max="5" width="10.25" style="32" customWidth="1"/>
    <col min="6" max="6" width="12.5" style="40" customWidth="1"/>
    <col min="7" max="7" width="7.875" style="32" customWidth="1"/>
    <col min="8" max="8" width="18.25" style="32" bestFit="1" customWidth="1"/>
    <col min="9" max="9" width="13.875" style="40" bestFit="1" customWidth="1"/>
    <col min="10" max="16384" width="9" style="32"/>
  </cols>
  <sheetData>
    <row r="1" spans="1:9" ht="20.25" thickBot="1">
      <c r="A1" s="34" t="s">
        <v>5751</v>
      </c>
      <c r="B1" s="33"/>
      <c r="C1" s="39"/>
      <c r="D1" s="39"/>
      <c r="E1" s="33"/>
      <c r="F1" s="39"/>
      <c r="H1" s="32" t="s">
        <v>5759</v>
      </c>
      <c r="I1" s="37">
        <v>5.04</v>
      </c>
    </row>
    <row r="2" spans="1:9" ht="15" thickTop="1"/>
    <row r="3" spans="1:9" ht="17.25" thickBot="1">
      <c r="B3" s="32" t="s">
        <v>5732</v>
      </c>
      <c r="C3" s="40" t="s">
        <v>5752</v>
      </c>
      <c r="D3" s="40" t="s">
        <v>5753</v>
      </c>
      <c r="E3" s="32" t="s">
        <v>2</v>
      </c>
      <c r="F3" s="40" t="s">
        <v>5768</v>
      </c>
      <c r="H3" s="38" t="s">
        <v>5760</v>
      </c>
      <c r="I3" s="41"/>
    </row>
    <row r="4" spans="1:9" ht="15" thickTop="1">
      <c r="B4" s="32" t="s">
        <v>5741</v>
      </c>
      <c r="C4" s="40">
        <v>175.83</v>
      </c>
      <c r="D4" s="40" cm="1">
        <f t="array" ref="D4:D13">C4:C13*I1</f>
        <v>886.18320000000006</v>
      </c>
      <c r="E4" s="32">
        <v>44</v>
      </c>
      <c r="F4" s="40" cm="1">
        <f t="array" ref="F4:F13">E4:E13*_xlfn.ANCHORARRAY(D4)</f>
        <v>38992.060799999999</v>
      </c>
      <c r="G4" s="42"/>
      <c r="H4" s="32" t="s">
        <v>5757</v>
      </c>
      <c r="I4" s="40">
        <f>SUM(C4:C13)</f>
        <v>1218.8800000000001</v>
      </c>
    </row>
    <row r="5" spans="1:9">
      <c r="B5" s="32" t="s">
        <v>5742</v>
      </c>
      <c r="C5" s="40">
        <v>330.89</v>
      </c>
      <c r="D5" s="40">
        <v>1667.6856</v>
      </c>
      <c r="E5" s="32">
        <v>69</v>
      </c>
      <c r="F5" s="40">
        <v>115070.3064</v>
      </c>
      <c r="G5" s="42"/>
      <c r="H5" s="32" t="s">
        <v>5758</v>
      </c>
      <c r="I5" s="40">
        <f>AVERAGE(C4:C13)</f>
        <v>174.12571428571431</v>
      </c>
    </row>
    <row r="6" spans="1:9">
      <c r="B6" s="32" t="s">
        <v>5743</v>
      </c>
      <c r="D6" s="40">
        <v>0</v>
      </c>
      <c r="E6" s="32">
        <v>0</v>
      </c>
      <c r="F6" s="40">
        <v>0</v>
      </c>
      <c r="G6" s="42"/>
      <c r="H6" s="32" t="s">
        <v>5756</v>
      </c>
      <c r="I6" s="40">
        <f>MAX(C4:C13)</f>
        <v>330.89</v>
      </c>
    </row>
    <row r="7" spans="1:9">
      <c r="B7" s="32" t="s">
        <v>5744</v>
      </c>
      <c r="C7" s="40">
        <v>167.85</v>
      </c>
      <c r="D7" s="40">
        <v>845.96399999999994</v>
      </c>
      <c r="E7" s="32">
        <v>32</v>
      </c>
      <c r="F7" s="40">
        <v>27070.847999999998</v>
      </c>
      <c r="G7" s="42"/>
      <c r="H7" s="32" t="s">
        <v>5755</v>
      </c>
      <c r="I7" s="40">
        <f>MIN(C4:C13)</f>
        <v>18.43</v>
      </c>
    </row>
    <row r="8" spans="1:9">
      <c r="B8" s="32" t="s">
        <v>5745</v>
      </c>
      <c r="C8" s="40">
        <v>244.72</v>
      </c>
      <c r="D8" s="40">
        <v>1233.3887999999999</v>
      </c>
      <c r="E8" s="32">
        <v>72</v>
      </c>
      <c r="F8" s="40">
        <v>88803.993600000002</v>
      </c>
      <c r="G8" s="42"/>
    </row>
    <row r="9" spans="1:9" ht="17.25" thickBot="1">
      <c r="B9" s="32" t="s">
        <v>5746</v>
      </c>
      <c r="D9" s="40">
        <v>0</v>
      </c>
      <c r="F9" s="40">
        <v>0</v>
      </c>
      <c r="G9" s="42"/>
      <c r="H9" s="38" t="s">
        <v>5761</v>
      </c>
      <c r="I9" s="41"/>
    </row>
    <row r="10" spans="1:9" ht="15" thickTop="1">
      <c r="B10" s="32" t="s">
        <v>5747</v>
      </c>
      <c r="C10" s="40">
        <v>18.43</v>
      </c>
      <c r="D10" s="40">
        <v>92.887199999999993</v>
      </c>
      <c r="E10" s="32">
        <v>85</v>
      </c>
      <c r="F10" s="40">
        <v>7895.4119999999994</v>
      </c>
      <c r="G10" s="42"/>
      <c r="H10" s="32" t="s">
        <v>5757</v>
      </c>
      <c r="I10" s="40">
        <f>SUM(_xlfn.ANCHORARRAY(D4))</f>
        <v>6143.1552000000001</v>
      </c>
    </row>
    <row r="11" spans="1:9">
      <c r="B11" s="32" t="s">
        <v>5748</v>
      </c>
      <c r="C11" s="40">
        <v>185.71</v>
      </c>
      <c r="D11" s="40">
        <v>935.97840000000008</v>
      </c>
      <c r="E11" s="32">
        <v>14</v>
      </c>
      <c r="F11" s="40">
        <v>13103.697600000001</v>
      </c>
      <c r="G11" s="42"/>
      <c r="H11" s="32" t="s">
        <v>5758</v>
      </c>
      <c r="I11" s="40">
        <f>AVERAGE(_xlfn.ANCHORARRAY(D4))</f>
        <v>614.31551999999999</v>
      </c>
    </row>
    <row r="12" spans="1:9">
      <c r="B12" s="32" t="s">
        <v>5749</v>
      </c>
      <c r="D12" s="40">
        <v>0</v>
      </c>
      <c r="F12" s="40">
        <v>0</v>
      </c>
      <c r="G12" s="42"/>
      <c r="H12" s="32" t="s">
        <v>5756</v>
      </c>
      <c r="I12" s="40">
        <f>MAX(_xlfn.ANCHORARRAY(D4))</f>
        <v>1667.6856</v>
      </c>
    </row>
    <row r="13" spans="1:9">
      <c r="B13" s="32" t="s">
        <v>5750</v>
      </c>
      <c r="C13" s="40">
        <v>95.45</v>
      </c>
      <c r="D13" s="40">
        <v>481.06800000000004</v>
      </c>
      <c r="E13" s="32">
        <v>92</v>
      </c>
      <c r="F13" s="40">
        <v>44258.256000000001</v>
      </c>
      <c r="G13" s="42"/>
      <c r="H13" s="32" t="s">
        <v>5755</v>
      </c>
      <c r="I13" s="40">
        <f>MIN(C4:C13)*I1</f>
        <v>92.887199999999993</v>
      </c>
    </row>
    <row r="14" spans="1:9">
      <c r="H14" s="32" t="s">
        <v>5770</v>
      </c>
      <c r="I14" s="40">
        <f>SUMPRODUCT(E4:E13,_xlfn.ANCHORARRAY(D4))</f>
        <v>335194.57440000004</v>
      </c>
    </row>
    <row r="15" spans="1:9">
      <c r="F15" s="40">
        <f>SUM(F4:F14)</f>
        <v>335194.57440000004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A341-AB79-4D2B-9D02-257A16535812}">
  <dimension ref="A1:H15"/>
  <sheetViews>
    <sheetView zoomScale="220" zoomScaleNormal="220" workbookViewId="0"/>
  </sheetViews>
  <sheetFormatPr defaultRowHeight="14.25"/>
  <cols>
    <col min="1" max="1" width="9" style="32"/>
    <col min="2" max="2" width="11.125" style="32" bestFit="1" customWidth="1"/>
    <col min="3" max="3" width="11.125" style="32" customWidth="1"/>
    <col min="4" max="5" width="12.125" style="40" customWidth="1"/>
    <col min="6" max="6" width="9" style="32"/>
    <col min="7" max="7" width="18.25" style="32" bestFit="1" customWidth="1"/>
    <col min="8" max="16384" width="9" style="32"/>
  </cols>
  <sheetData>
    <row r="1" spans="1:8" ht="20.25" thickBot="1">
      <c r="A1" s="34" t="s">
        <v>5762</v>
      </c>
      <c r="B1" s="33"/>
      <c r="C1" s="33"/>
      <c r="D1" s="39"/>
      <c r="E1" s="39"/>
      <c r="G1" s="32" t="s">
        <v>5759</v>
      </c>
      <c r="H1" s="37">
        <v>5.04</v>
      </c>
    </row>
    <row r="2" spans="1:8" ht="15" thickTop="1"/>
    <row r="3" spans="1:8" ht="17.25" thickBot="1">
      <c r="B3" s="32" t="s">
        <v>5732</v>
      </c>
      <c r="C3" s="32" t="s">
        <v>5763</v>
      </c>
      <c r="D3" s="40" t="s">
        <v>5752</v>
      </c>
      <c r="E3" s="40" t="s">
        <v>5753</v>
      </c>
      <c r="G3" s="38" t="s">
        <v>5760</v>
      </c>
      <c r="H3" s="36"/>
    </row>
    <row r="4" spans="1:8" ht="15" thickTop="1">
      <c r="B4" s="32" t="s">
        <v>5741</v>
      </c>
      <c r="C4" s="32" t="s">
        <v>5764</v>
      </c>
      <c r="D4" s="40">
        <v>499.5</v>
      </c>
      <c r="E4" s="40" cm="1">
        <f t="array" ref="E4:E15">D4:D15*H1</f>
        <v>2517.48</v>
      </c>
      <c r="G4" s="32" t="s">
        <v>5757</v>
      </c>
    </row>
    <row r="5" spans="1:8">
      <c r="B5" s="32" t="s">
        <v>5742</v>
      </c>
      <c r="C5" s="32" t="s">
        <v>5764</v>
      </c>
      <c r="D5" s="40">
        <v>425.76</v>
      </c>
      <c r="E5" s="40">
        <v>2145.8303999999998</v>
      </c>
      <c r="G5" s="32" t="s">
        <v>5758</v>
      </c>
    </row>
    <row r="6" spans="1:8">
      <c r="B6" s="32" t="s">
        <v>5743</v>
      </c>
      <c r="C6" s="32" t="s">
        <v>5764</v>
      </c>
      <c r="E6" s="40">
        <v>0</v>
      </c>
      <c r="G6" s="32" t="s">
        <v>5756</v>
      </c>
    </row>
    <row r="7" spans="1:8">
      <c r="B7" s="32" t="s">
        <v>5744</v>
      </c>
      <c r="C7" s="32" t="s">
        <v>5764</v>
      </c>
      <c r="D7" s="40">
        <v>396.85</v>
      </c>
      <c r="E7" s="40">
        <v>2000.124</v>
      </c>
      <c r="G7" s="32" t="s">
        <v>5755</v>
      </c>
    </row>
    <row r="8" spans="1:8">
      <c r="B8" s="32" t="s">
        <v>5745</v>
      </c>
      <c r="C8" s="32" t="s">
        <v>2268</v>
      </c>
      <c r="D8" s="40">
        <v>244.72</v>
      </c>
      <c r="E8" s="40">
        <v>1233.3887999999999</v>
      </c>
      <c r="G8" s="66">
        <v>100</v>
      </c>
      <c r="H8" s="32">
        <f>_xlfn.MINIFS(valores_usd,valores_usd,"&gt;="&amp;G8)</f>
        <v>111.11</v>
      </c>
    </row>
    <row r="9" spans="1:8">
      <c r="B9" s="32" t="s">
        <v>5746</v>
      </c>
      <c r="C9" s="32" t="s">
        <v>2268</v>
      </c>
      <c r="D9" s="40">
        <v>201.06</v>
      </c>
      <c r="E9" s="40">
        <v>1013.3424</v>
      </c>
      <c r="G9" s="66">
        <v>200</v>
      </c>
      <c r="H9" s="32">
        <f>_xlfn.MINIFS(valores_usd,valores_usd,"&gt;="&amp;G9)</f>
        <v>201.06</v>
      </c>
    </row>
    <row r="10" spans="1:8">
      <c r="B10" s="32" t="s">
        <v>5747</v>
      </c>
      <c r="C10" s="32" t="s">
        <v>2268</v>
      </c>
      <c r="E10" s="40">
        <v>0</v>
      </c>
      <c r="G10" s="66">
        <v>300</v>
      </c>
      <c r="H10" s="32">
        <f>_xlfn.MINIFS(valores_usd,valores_usd,"&gt;="&amp;G10)</f>
        <v>396.85</v>
      </c>
    </row>
    <row r="11" spans="1:8">
      <c r="B11" s="32" t="s">
        <v>5748</v>
      </c>
      <c r="C11" s="32" t="s">
        <v>2268</v>
      </c>
      <c r="D11" s="40">
        <v>289.95</v>
      </c>
      <c r="E11" s="40">
        <v>1461.348</v>
      </c>
    </row>
    <row r="12" spans="1:8">
      <c r="B12" s="32" t="s">
        <v>5749</v>
      </c>
      <c r="C12" s="32" t="s">
        <v>5765</v>
      </c>
      <c r="E12" s="40">
        <v>0</v>
      </c>
    </row>
    <row r="13" spans="1:8">
      <c r="B13" s="32" t="s">
        <v>5750</v>
      </c>
      <c r="C13" s="32" t="s">
        <v>5765</v>
      </c>
      <c r="D13" s="40">
        <v>123.45</v>
      </c>
      <c r="E13" s="40">
        <v>622.18799999999999</v>
      </c>
    </row>
    <row r="14" spans="1:8">
      <c r="B14" s="32" t="s">
        <v>5766</v>
      </c>
      <c r="C14" s="32" t="s">
        <v>5765</v>
      </c>
      <c r="D14" s="40">
        <v>116.99</v>
      </c>
      <c r="E14" s="40">
        <v>589.62959999999998</v>
      </c>
    </row>
    <row r="15" spans="1:8">
      <c r="B15" s="32" t="s">
        <v>5767</v>
      </c>
      <c r="C15" s="32" t="s">
        <v>5765</v>
      </c>
      <c r="D15" s="40">
        <v>111.11</v>
      </c>
      <c r="E15" s="40">
        <v>559.99440000000004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F211-1C68-4CF3-A8AC-D29A5F166F7A}">
  <dimension ref="A1:Q15"/>
  <sheetViews>
    <sheetView zoomScale="190" zoomScaleNormal="190" workbookViewId="0"/>
  </sheetViews>
  <sheetFormatPr defaultRowHeight="14.25"/>
  <cols>
    <col min="1" max="1" width="13" customWidth="1"/>
    <col min="6" max="6" width="15" bestFit="1" customWidth="1"/>
    <col min="7" max="7" width="9.375" bestFit="1" customWidth="1"/>
    <col min="8" max="13" width="15" customWidth="1"/>
    <col min="15" max="15" width="12.375" bestFit="1" customWidth="1"/>
  </cols>
  <sheetData>
    <row r="1" spans="1:17" ht="20.25" thickBot="1">
      <c r="A1" s="34" t="s">
        <v>5754</v>
      </c>
      <c r="B1" s="4"/>
      <c r="C1" s="4"/>
      <c r="D1" s="4"/>
    </row>
    <row r="2" spans="1:17" ht="15" thickTop="1"/>
    <row r="3" spans="1:17" ht="17.25" thickBot="1">
      <c r="A3" s="26" t="str">
        <f>"Taxa de "&amp;TEXT(D5,"0%")&amp;" quando Acima de "&amp;TEXT(D6,"0%")</f>
        <v>Taxa de 7% quando Acima de 115%</v>
      </c>
      <c r="B3" s="26"/>
      <c r="F3" s="21" t="s">
        <v>31</v>
      </c>
      <c r="G3" s="21" t="s">
        <v>5887</v>
      </c>
      <c r="H3" s="21" t="s">
        <v>5888</v>
      </c>
      <c r="I3" s="21" t="s">
        <v>5889</v>
      </c>
      <c r="J3" s="21"/>
      <c r="K3" s="21"/>
      <c r="L3" s="21"/>
      <c r="M3" s="21"/>
      <c r="O3" s="21" t="s">
        <v>5732</v>
      </c>
    </row>
    <row r="4" spans="1:17" ht="16.5" thickTop="1" thickBot="1">
      <c r="A4" s="29" t="s">
        <v>5733</v>
      </c>
      <c r="B4" s="29" t="s">
        <v>5735</v>
      </c>
      <c r="F4" t="s">
        <v>5777</v>
      </c>
      <c r="G4" t="str">
        <f>LEFT(F4,3)</f>
        <v>000</v>
      </c>
      <c r="H4" t="str" cm="1">
        <f t="array" ref="H4:H9">RIGHT(F4:F9)</f>
        <v>0</v>
      </c>
      <c r="I4" t="str" cm="1">
        <f t="array" ref="I4:I9">MID(F4:F9,5,3)</f>
        <v>213</v>
      </c>
      <c r="J4" t="str">
        <f>_xlfn.TEXTJOIN("-",TRUE,G4:I4)</f>
        <v>000-0-213</v>
      </c>
      <c r="O4" s="32" t="s">
        <v>5741</v>
      </c>
      <c r="Q4" t="str">
        <f>_xlfn.TEXTJOIN(";",TRUE,O4:O13)</f>
        <v>A;B;C;D;E;F;G;H;I;J</v>
      </c>
    </row>
    <row r="5" spans="1:17" ht="15" thickBot="1">
      <c r="A5" s="27">
        <v>1.1200000000000001</v>
      </c>
      <c r="B5" s="27">
        <f>(A5&gt;D$6)*D$5</f>
        <v>0</v>
      </c>
      <c r="D5" s="35">
        <v>7.0000000000000007E-2</v>
      </c>
      <c r="F5" t="s">
        <v>5782</v>
      </c>
      <c r="G5" t="str">
        <f t="shared" ref="G5:G9" si="0">LEFT(F5,3)</f>
        <v>000</v>
      </c>
      <c r="H5" t="str">
        <v>1</v>
      </c>
      <c r="I5" t="str">
        <v>340</v>
      </c>
      <c r="J5" t="str">
        <f t="shared" ref="J5:J9" si="1">_xlfn.TEXTJOIN("-",TRUE,G5:I5)</f>
        <v>000-1-340</v>
      </c>
      <c r="O5" s="32" t="s">
        <v>5742</v>
      </c>
    </row>
    <row r="6" spans="1:17" ht="15" thickBot="1">
      <c r="A6" s="27">
        <v>0.98</v>
      </c>
      <c r="B6" s="27">
        <f t="shared" ref="B6:B7" si="2">(A6&gt;D$6)*D$5</f>
        <v>0</v>
      </c>
      <c r="D6" s="35">
        <v>1.1499999999999999</v>
      </c>
      <c r="F6" t="s">
        <v>5781</v>
      </c>
      <c r="G6" t="str">
        <f t="shared" si="0"/>
        <v>000</v>
      </c>
      <c r="H6" t="str">
        <v>3</v>
      </c>
      <c r="I6" t="str">
        <v>581</v>
      </c>
      <c r="J6" t="str">
        <f t="shared" si="1"/>
        <v>000-3-581</v>
      </c>
      <c r="O6" s="32" t="s">
        <v>5743</v>
      </c>
      <c r="Q6" t="str" cm="1">
        <f t="array" ref="Q6:Q15">TRANSPOSE(_xlfn.TEXTSPLIT(Q4,";"))</f>
        <v>A</v>
      </c>
    </row>
    <row r="7" spans="1:17">
      <c r="A7" s="27">
        <v>1.2</v>
      </c>
      <c r="B7" s="27">
        <f t="shared" si="2"/>
        <v>7.0000000000000007E-2</v>
      </c>
      <c r="F7" t="s">
        <v>5780</v>
      </c>
      <c r="G7" t="str">
        <f t="shared" si="0"/>
        <v>001</v>
      </c>
      <c r="H7" t="str">
        <v>2</v>
      </c>
      <c r="I7" t="str">
        <v>428</v>
      </c>
      <c r="J7" t="str">
        <f t="shared" si="1"/>
        <v>001-2-428</v>
      </c>
      <c r="O7" s="32" t="s">
        <v>5744</v>
      </c>
      <c r="Q7" t="str">
        <v>B</v>
      </c>
    </row>
    <row r="8" spans="1:17">
      <c r="F8" t="s">
        <v>5779</v>
      </c>
      <c r="G8" t="str">
        <f t="shared" si="0"/>
        <v>001</v>
      </c>
      <c r="H8" t="str">
        <v>4</v>
      </c>
      <c r="I8" t="str">
        <v>550</v>
      </c>
      <c r="J8" t="str">
        <f t="shared" si="1"/>
        <v>001-4-550</v>
      </c>
      <c r="O8" s="32" t="s">
        <v>5745</v>
      </c>
      <c r="Q8" t="str">
        <v>C</v>
      </c>
    </row>
    <row r="9" spans="1:17" ht="17.25" thickBot="1">
      <c r="A9" s="26" t="s">
        <v>5774</v>
      </c>
      <c r="B9" s="26"/>
      <c r="C9" s="26"/>
      <c r="D9" s="26"/>
      <c r="F9" t="s">
        <v>5778</v>
      </c>
      <c r="G9" t="str">
        <f t="shared" si="0"/>
        <v>002</v>
      </c>
      <c r="H9" t="str">
        <v>4</v>
      </c>
      <c r="I9" t="str">
        <v>526</v>
      </c>
      <c r="J9" t="str">
        <f t="shared" si="1"/>
        <v>002-4-526</v>
      </c>
      <c r="O9" s="32" t="s">
        <v>5746</v>
      </c>
      <c r="Q9" t="str">
        <v>D</v>
      </c>
    </row>
    <row r="10" spans="1:17" ht="15" thickTop="1">
      <c r="A10" t="s">
        <v>5771</v>
      </c>
      <c r="O10" s="32" t="s">
        <v>5747</v>
      </c>
      <c r="Q10" t="str">
        <v>E</v>
      </c>
    </row>
    <row r="11" spans="1:17" ht="15.75" thickBot="1">
      <c r="A11" t="s">
        <v>5772</v>
      </c>
      <c r="F11" s="21" t="s">
        <v>5784</v>
      </c>
      <c r="G11" s="21" t="s">
        <v>5890</v>
      </c>
      <c r="H11" s="21"/>
      <c r="I11" s="21"/>
      <c r="J11" s="21"/>
      <c r="K11" s="21"/>
      <c r="L11" s="21"/>
      <c r="M11" s="21"/>
      <c r="O11" s="32" t="s">
        <v>5748</v>
      </c>
      <c r="Q11" t="str">
        <v>F</v>
      </c>
    </row>
    <row r="12" spans="1:17">
      <c r="A12" t="s">
        <v>5773</v>
      </c>
      <c r="F12" s="44" t="s">
        <v>5785</v>
      </c>
      <c r="G12" t="str">
        <f>TEXT(F12,"00\.000\.0000-00")</f>
        <v>10997.869.0001-06</v>
      </c>
      <c r="H12" s="44"/>
      <c r="I12" s="44"/>
      <c r="J12" s="44"/>
      <c r="K12" s="44"/>
      <c r="L12" s="44"/>
      <c r="M12" s="44"/>
      <c r="O12" s="32" t="s">
        <v>5749</v>
      </c>
      <c r="Q12" t="str">
        <v>G</v>
      </c>
    </row>
    <row r="13" spans="1:17">
      <c r="A13" t="s">
        <v>5775</v>
      </c>
      <c r="F13" s="44" t="s">
        <v>5786</v>
      </c>
      <c r="G13" t="str">
        <f t="shared" ref="G13:G14" si="3">TEXT(F13,"00\.000\.0000-00")</f>
        <v>50123.456.0001-07</v>
      </c>
      <c r="H13" s="44"/>
      <c r="I13" s="44"/>
      <c r="J13" s="44"/>
      <c r="K13" s="44"/>
      <c r="L13" s="44"/>
      <c r="M13" s="44"/>
      <c r="O13" s="32" t="s">
        <v>5750</v>
      </c>
      <c r="Q13" t="str">
        <v>H</v>
      </c>
    </row>
    <row r="14" spans="1:17">
      <c r="A14" t="s">
        <v>5776</v>
      </c>
      <c r="F14" s="44" t="s">
        <v>5787</v>
      </c>
      <c r="G14" t="str">
        <f t="shared" si="3"/>
        <v>791.123.0001-05</v>
      </c>
      <c r="H14" s="44"/>
      <c r="I14" s="44"/>
      <c r="J14" s="44"/>
      <c r="K14" s="44"/>
      <c r="L14" s="44"/>
      <c r="M14" s="44"/>
      <c r="Q14" t="str">
        <v>I</v>
      </c>
    </row>
    <row r="15" spans="1:17">
      <c r="A15" t="s">
        <v>5783</v>
      </c>
      <c r="Q15" t="str">
        <v>J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A3A8-1989-4FFB-976D-8100D649C953}">
  <dimension ref="A1:D32"/>
  <sheetViews>
    <sheetView zoomScale="160" zoomScaleNormal="160" workbookViewId="0"/>
  </sheetViews>
  <sheetFormatPr defaultRowHeight="14.25"/>
  <cols>
    <col min="1" max="1" width="12.25" customWidth="1"/>
    <col min="2" max="2" width="17.875" customWidth="1"/>
    <col min="3" max="3" width="11.875" bestFit="1" customWidth="1"/>
  </cols>
  <sheetData>
    <row r="1" spans="1:4" ht="20.25" thickBot="1">
      <c r="A1" s="34" t="s">
        <v>5788</v>
      </c>
      <c r="B1" s="4"/>
      <c r="C1" s="4"/>
      <c r="D1" s="4"/>
    </row>
    <row r="2" spans="1:4" ht="15" thickTop="1"/>
    <row r="3" spans="1:4" ht="17.25" thickBot="1">
      <c r="A3" s="26" t="s">
        <v>5789</v>
      </c>
      <c r="B3" s="26"/>
    </row>
    <row r="4" spans="1:4" ht="15" thickTop="1">
      <c r="A4" t="s">
        <v>5791</v>
      </c>
      <c r="B4" s="1">
        <v>1000000</v>
      </c>
    </row>
    <row r="5" spans="1:4">
      <c r="A5" t="s">
        <v>5790</v>
      </c>
      <c r="B5">
        <v>120</v>
      </c>
    </row>
    <row r="6" spans="1:4">
      <c r="A6" t="s">
        <v>5735</v>
      </c>
      <c r="B6" s="45">
        <v>0.01</v>
      </c>
    </row>
    <row r="7" spans="1:4">
      <c r="A7" t="s">
        <v>5792</v>
      </c>
      <c r="B7" s="46">
        <f>PV(B6,B5,,B4)</f>
        <v>-302994.77968602703</v>
      </c>
    </row>
    <row r="9" spans="1:4" ht="17.25" thickBot="1">
      <c r="A9" s="26" t="s">
        <v>5791</v>
      </c>
      <c r="B9" s="26"/>
    </row>
    <row r="10" spans="1:4" ht="15" thickTop="1">
      <c r="A10" t="s">
        <v>5789</v>
      </c>
      <c r="B10" s="46">
        <v>-302994.78000000003</v>
      </c>
    </row>
    <row r="11" spans="1:4">
      <c r="A11" t="s">
        <v>5790</v>
      </c>
      <c r="B11">
        <v>120</v>
      </c>
    </row>
    <row r="12" spans="1:4">
      <c r="A12" t="s">
        <v>5735</v>
      </c>
      <c r="B12" s="45">
        <v>0.01</v>
      </c>
    </row>
    <row r="13" spans="1:4">
      <c r="A13" t="s">
        <v>5792</v>
      </c>
      <c r="B13" s="46">
        <f>FV(B12,B11,,B10)</f>
        <v>1000000.0010362323</v>
      </c>
    </row>
    <row r="15" spans="1:4" ht="17.25" thickBot="1">
      <c r="A15" s="26" t="s">
        <v>5793</v>
      </c>
      <c r="B15" s="26"/>
    </row>
    <row r="16" spans="1:4" ht="15" thickTop="1">
      <c r="A16" t="s">
        <v>5789</v>
      </c>
      <c r="B16" s="46">
        <v>-163593.73562323282</v>
      </c>
    </row>
    <row r="17" spans="1:3">
      <c r="A17" t="s">
        <v>5790</v>
      </c>
      <c r="B17">
        <v>120</v>
      </c>
    </row>
    <row r="18" spans="1:3">
      <c r="A18" t="s">
        <v>5735</v>
      </c>
      <c r="B18" s="45">
        <v>0.01</v>
      </c>
    </row>
    <row r="19" spans="1:3">
      <c r="A19" t="s">
        <v>5791</v>
      </c>
      <c r="B19" s="46">
        <v>1000000</v>
      </c>
    </row>
    <row r="20" spans="1:3">
      <c r="A20" t="s">
        <v>5792</v>
      </c>
      <c r="B20" s="46">
        <f>PMT(B18,B17,B16,B19)</f>
        <v>-2000.0000000000023</v>
      </c>
    </row>
    <row r="22" spans="1:3" ht="17.25" thickBot="1">
      <c r="A22" s="26" t="s">
        <v>5794</v>
      </c>
      <c r="B22" s="26"/>
    </row>
    <row r="23" spans="1:3" ht="15" thickTop="1">
      <c r="A23" t="s">
        <v>5795</v>
      </c>
      <c r="C23" s="46">
        <v>10000</v>
      </c>
    </row>
    <row r="24" spans="1:3">
      <c r="A24" t="s">
        <v>5797</v>
      </c>
      <c r="B24" s="45">
        <v>1.1299999999999999E-2</v>
      </c>
      <c r="C24" s="46">
        <f>C23*(1+B24)</f>
        <v>10113</v>
      </c>
    </row>
    <row r="25" spans="1:3">
      <c r="A25" t="s">
        <v>5798</v>
      </c>
      <c r="B25" s="45">
        <v>1.43E-2</v>
      </c>
      <c r="C25" s="46">
        <f t="shared" ref="C25:C31" si="0">C24*(1+B25)</f>
        <v>10257.615900000001</v>
      </c>
    </row>
    <row r="26" spans="1:3">
      <c r="A26" t="s">
        <v>5799</v>
      </c>
      <c r="B26" s="45">
        <v>1.9699999999999999E-2</v>
      </c>
      <c r="C26" s="46">
        <f t="shared" si="0"/>
        <v>10459.690933230002</v>
      </c>
    </row>
    <row r="27" spans="1:3">
      <c r="A27" t="s">
        <v>5800</v>
      </c>
      <c r="B27" s="45">
        <v>1.0200000000000001E-2</v>
      </c>
      <c r="C27" s="46">
        <f t="shared" si="0"/>
        <v>10566.379780748948</v>
      </c>
    </row>
    <row r="28" spans="1:3">
      <c r="A28" t="s">
        <v>5801</v>
      </c>
      <c r="B28" s="45">
        <v>1.2800000000000001E-2</v>
      </c>
      <c r="C28" s="46">
        <f t="shared" si="0"/>
        <v>10701.629441942534</v>
      </c>
    </row>
    <row r="29" spans="1:3">
      <c r="A29" t="s">
        <v>5802</v>
      </c>
      <c r="B29" s="45">
        <v>-8.3999999999999995E-3</v>
      </c>
      <c r="C29" s="46">
        <f t="shared" si="0"/>
        <v>10611.735754630217</v>
      </c>
    </row>
    <row r="30" spans="1:3">
      <c r="A30" t="s">
        <v>5803</v>
      </c>
      <c r="B30" s="45">
        <v>-3.3E-3</v>
      </c>
      <c r="C30" s="46">
        <f t="shared" si="0"/>
        <v>10576.717026639937</v>
      </c>
    </row>
    <row r="31" spans="1:3">
      <c r="A31" t="s">
        <v>5796</v>
      </c>
      <c r="B31" s="45">
        <v>4.4000000000000003E-3</v>
      </c>
      <c r="C31" s="46">
        <f t="shared" si="0"/>
        <v>10623.254581557152</v>
      </c>
    </row>
    <row r="32" spans="1:3">
      <c r="A32" t="s">
        <v>5792</v>
      </c>
      <c r="B32" s="1">
        <f>FVSCHEDULE(C23,B24:B31)</f>
        <v>10623.254581557152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1291-F09E-437C-AD93-AE8C51604A1A}">
  <sheetPr>
    <tabColor theme="9" tint="0.79998168889431442"/>
  </sheetPr>
  <dimension ref="A1:F238"/>
  <sheetViews>
    <sheetView zoomScale="85" zoomScaleNormal="85" workbookViewId="0"/>
  </sheetViews>
  <sheetFormatPr defaultRowHeight="14.25"/>
  <cols>
    <col min="1" max="1" width="20.125" style="23" customWidth="1"/>
    <col min="2" max="2" width="9.375" customWidth="1"/>
    <col min="3" max="3" width="10.625" customWidth="1"/>
    <col min="4" max="4" width="27.25" customWidth="1"/>
    <col min="5" max="5" width="28.5" customWidth="1"/>
    <col min="6" max="6" width="18.5" customWidth="1"/>
  </cols>
  <sheetData>
    <row r="1" spans="1:6">
      <c r="A1" s="23" t="s">
        <v>5805</v>
      </c>
      <c r="B1" t="s">
        <v>6</v>
      </c>
      <c r="C1" t="s">
        <v>5893</v>
      </c>
      <c r="D1" t="s">
        <v>5894</v>
      </c>
      <c r="E1" t="s">
        <v>5895</v>
      </c>
      <c r="F1" t="s">
        <v>9</v>
      </c>
    </row>
    <row r="2" spans="1:6">
      <c r="A2" s="23">
        <v>45078</v>
      </c>
      <c r="B2">
        <v>1.06</v>
      </c>
      <c r="F2">
        <f>Tabela1[[#This Row],[Valores]]*3</f>
        <v>3.18</v>
      </c>
    </row>
    <row r="3" spans="1:6">
      <c r="A3" s="23">
        <v>45079</v>
      </c>
      <c r="B3">
        <v>1.1299999999999999</v>
      </c>
      <c r="F3">
        <f>Tabela1[[#This Row],[Valores]]*3</f>
        <v>3.3899999999999997</v>
      </c>
    </row>
    <row r="4" spans="1:6">
      <c r="A4" s="23">
        <v>45080</v>
      </c>
      <c r="B4">
        <v>1.0900000000000001</v>
      </c>
      <c r="F4">
        <f>Tabela1[[#This Row],[Valores]]*3</f>
        <v>3.2700000000000005</v>
      </c>
    </row>
    <row r="5" spans="1:6">
      <c r="A5" s="23">
        <v>45081</v>
      </c>
      <c r="B5">
        <v>1.1000000000000001</v>
      </c>
      <c r="F5">
        <f>Tabela1[[#This Row],[Valores]]*3</f>
        <v>3.3000000000000003</v>
      </c>
    </row>
    <row r="6" spans="1:6">
      <c r="A6" s="23">
        <v>45082</v>
      </c>
      <c r="B6">
        <v>1.04</v>
      </c>
      <c r="F6">
        <f>Tabela1[[#This Row],[Valores]]*3</f>
        <v>3.12</v>
      </c>
    </row>
    <row r="7" spans="1:6">
      <c r="A7" s="23">
        <v>45083</v>
      </c>
      <c r="B7">
        <v>0.98</v>
      </c>
      <c r="F7">
        <f>Tabela1[[#This Row],[Valores]]*3</f>
        <v>2.94</v>
      </c>
    </row>
    <row r="8" spans="1:6">
      <c r="A8" s="23">
        <v>45084</v>
      </c>
      <c r="B8">
        <v>0.97</v>
      </c>
      <c r="F8">
        <f>Tabela1[[#This Row],[Valores]]*3</f>
        <v>2.91</v>
      </c>
    </row>
    <row r="9" spans="1:6">
      <c r="A9" s="23">
        <v>45085</v>
      </c>
      <c r="B9">
        <v>1.04</v>
      </c>
      <c r="F9">
        <f>Tabela1[[#This Row],[Valores]]*3</f>
        <v>3.12</v>
      </c>
    </row>
    <row r="10" spans="1:6">
      <c r="A10" s="23">
        <v>45086</v>
      </c>
      <c r="B10">
        <v>1.04</v>
      </c>
      <c r="F10">
        <f>Tabela1[[#This Row],[Valores]]*3</f>
        <v>3.12</v>
      </c>
    </row>
    <row r="11" spans="1:6">
      <c r="A11" s="23">
        <v>45087</v>
      </c>
      <c r="B11">
        <v>0.99</v>
      </c>
      <c r="F11">
        <f>Tabela1[[#This Row],[Valores]]*3</f>
        <v>2.9699999999999998</v>
      </c>
    </row>
    <row r="12" spans="1:6">
      <c r="A12" s="23">
        <v>45088</v>
      </c>
      <c r="B12">
        <v>0.97</v>
      </c>
      <c r="F12">
        <f>Tabela1[[#This Row],[Valores]]*3</f>
        <v>2.91</v>
      </c>
    </row>
    <row r="13" spans="1:6">
      <c r="A13" s="23">
        <v>45089</v>
      </c>
      <c r="B13">
        <v>0.98</v>
      </c>
      <c r="F13">
        <f>Tabela1[[#This Row],[Valores]]*3</f>
        <v>2.94</v>
      </c>
    </row>
    <row r="14" spans="1:6">
      <c r="A14" s="23">
        <v>45090</v>
      </c>
      <c r="B14">
        <v>0.91</v>
      </c>
      <c r="F14">
        <f>Tabela1[[#This Row],[Valores]]*3</f>
        <v>2.73</v>
      </c>
    </row>
    <row r="15" spans="1:6">
      <c r="A15" s="23">
        <v>45091</v>
      </c>
      <c r="B15">
        <v>0.88</v>
      </c>
      <c r="F15">
        <f>Tabela1[[#This Row],[Valores]]*3</f>
        <v>2.64</v>
      </c>
    </row>
    <row r="16" spans="1:6">
      <c r="A16" s="23">
        <v>45092</v>
      </c>
      <c r="B16">
        <v>0.92</v>
      </c>
      <c r="F16">
        <f>Tabela1[[#This Row],[Valores]]*3</f>
        <v>2.7600000000000002</v>
      </c>
    </row>
    <row r="17" spans="1:6">
      <c r="A17" s="23">
        <v>45093</v>
      </c>
      <c r="B17">
        <v>0.89</v>
      </c>
      <c r="F17">
        <f>Tabela1[[#This Row],[Valores]]*3</f>
        <v>2.67</v>
      </c>
    </row>
    <row r="18" spans="1:6">
      <c r="A18" s="23">
        <v>45094</v>
      </c>
      <c r="B18">
        <v>0.94</v>
      </c>
      <c r="F18">
        <f>Tabela1[[#This Row],[Valores]]*3</f>
        <v>2.82</v>
      </c>
    </row>
    <row r="19" spans="1:6">
      <c r="A19" s="23">
        <v>45095</v>
      </c>
      <c r="B19">
        <v>0.96</v>
      </c>
      <c r="F19">
        <f>Tabela1[[#This Row],[Valores]]*3</f>
        <v>2.88</v>
      </c>
    </row>
    <row r="20" spans="1:6">
      <c r="A20" s="23">
        <v>45096</v>
      </c>
      <c r="B20">
        <v>1.04</v>
      </c>
      <c r="F20">
        <f>Tabela1[[#This Row],[Valores]]*3</f>
        <v>3.12</v>
      </c>
    </row>
    <row r="21" spans="1:6">
      <c r="A21" s="23">
        <v>45097</v>
      </c>
      <c r="B21">
        <v>0.97</v>
      </c>
      <c r="F21">
        <f>Tabela1[[#This Row],[Valores]]*3</f>
        <v>2.91</v>
      </c>
    </row>
    <row r="22" spans="1:6">
      <c r="A22" s="23">
        <v>45098</v>
      </c>
      <c r="B22">
        <v>1.02</v>
      </c>
      <c r="F22">
        <f>Tabela1[[#This Row],[Valores]]*3</f>
        <v>3.06</v>
      </c>
    </row>
    <row r="23" spans="1:6">
      <c r="A23" s="23">
        <v>45099</v>
      </c>
      <c r="B23">
        <v>1.05</v>
      </c>
      <c r="F23">
        <f>Tabela1[[#This Row],[Valores]]*3</f>
        <v>3.1500000000000004</v>
      </c>
    </row>
    <row r="24" spans="1:6">
      <c r="A24" s="23">
        <v>45100</v>
      </c>
      <c r="B24">
        <v>1.03</v>
      </c>
      <c r="F24">
        <f>Tabela1[[#This Row],[Valores]]*3</f>
        <v>3.09</v>
      </c>
    </row>
    <row r="25" spans="1:6">
      <c r="A25" s="23">
        <v>45101</v>
      </c>
      <c r="B25">
        <v>1.07</v>
      </c>
      <c r="F25">
        <f>Tabela1[[#This Row],[Valores]]*3</f>
        <v>3.21</v>
      </c>
    </row>
    <row r="26" spans="1:6">
      <c r="A26" s="23">
        <v>45102</v>
      </c>
      <c r="B26">
        <v>1.1200000000000001</v>
      </c>
      <c r="F26">
        <f>Tabela1[[#This Row],[Valores]]*3</f>
        <v>3.3600000000000003</v>
      </c>
    </row>
    <row r="27" spans="1:6">
      <c r="A27" s="23">
        <v>45103</v>
      </c>
      <c r="B27">
        <v>1.1399999999999999</v>
      </c>
      <c r="F27">
        <f>Tabela1[[#This Row],[Valores]]*3</f>
        <v>3.42</v>
      </c>
    </row>
    <row r="28" spans="1:6">
      <c r="A28" s="23">
        <v>45104</v>
      </c>
      <c r="B28">
        <v>1.17</v>
      </c>
      <c r="F28">
        <f>Tabela1[[#This Row],[Valores]]*3</f>
        <v>3.51</v>
      </c>
    </row>
    <row r="29" spans="1:6">
      <c r="A29" s="23">
        <v>45105</v>
      </c>
      <c r="B29">
        <v>1.17</v>
      </c>
      <c r="F29">
        <f>Tabela1[[#This Row],[Valores]]*3</f>
        <v>3.51</v>
      </c>
    </row>
    <row r="30" spans="1:6">
      <c r="A30" s="23">
        <v>45106</v>
      </c>
      <c r="B30">
        <v>1.1399999999999999</v>
      </c>
      <c r="F30">
        <f>Tabela1[[#This Row],[Valores]]*3</f>
        <v>3.42</v>
      </c>
    </row>
    <row r="31" spans="1:6">
      <c r="A31" s="23">
        <v>45107</v>
      </c>
      <c r="B31">
        <v>1.1200000000000001</v>
      </c>
      <c r="F31">
        <f>Tabela1[[#This Row],[Valores]]*3</f>
        <v>3.3600000000000003</v>
      </c>
    </row>
    <row r="32" spans="1:6">
      <c r="A32" s="23">
        <v>45108</v>
      </c>
      <c r="B32">
        <v>1.1000000000000001</v>
      </c>
      <c r="F32">
        <f>Tabela1[[#This Row],[Valores]]*3</f>
        <v>3.3000000000000003</v>
      </c>
    </row>
    <row r="33" spans="1:6">
      <c r="A33" s="23">
        <v>45109</v>
      </c>
      <c r="B33">
        <v>1.1299999999999999</v>
      </c>
      <c r="F33">
        <f>Tabela1[[#This Row],[Valores]]*3</f>
        <v>3.3899999999999997</v>
      </c>
    </row>
    <row r="34" spans="1:6">
      <c r="A34" s="23">
        <v>45110</v>
      </c>
      <c r="B34">
        <v>1.1200000000000001</v>
      </c>
      <c r="F34">
        <f>Tabela1[[#This Row],[Valores]]*3</f>
        <v>3.3600000000000003</v>
      </c>
    </row>
    <row r="35" spans="1:6">
      <c r="A35" s="23">
        <v>45111</v>
      </c>
      <c r="B35">
        <v>1.06</v>
      </c>
      <c r="F35">
        <f>Tabela1[[#This Row],[Valores]]*3</f>
        <v>3.18</v>
      </c>
    </row>
    <row r="36" spans="1:6">
      <c r="A36" s="23">
        <v>45112</v>
      </c>
      <c r="B36">
        <v>1.1200000000000001</v>
      </c>
      <c r="F36">
        <f>Tabela1[[#This Row],[Valores]]*3</f>
        <v>3.3600000000000003</v>
      </c>
    </row>
    <row r="37" spans="1:6">
      <c r="A37" s="23">
        <v>45113</v>
      </c>
      <c r="B37">
        <v>1.0900000000000001</v>
      </c>
      <c r="F37">
        <f>Tabela1[[#This Row],[Valores]]*3</f>
        <v>3.2700000000000005</v>
      </c>
    </row>
    <row r="38" spans="1:6">
      <c r="A38" s="23">
        <v>45114</v>
      </c>
      <c r="B38">
        <v>1.01</v>
      </c>
      <c r="F38">
        <f>Tabela1[[#This Row],[Valores]]*3</f>
        <v>3.0300000000000002</v>
      </c>
    </row>
    <row r="39" spans="1:6">
      <c r="A39" s="23">
        <v>45115</v>
      </c>
      <c r="B39">
        <v>0.96</v>
      </c>
      <c r="F39">
        <f>Tabela1[[#This Row],[Valores]]*3</f>
        <v>2.88</v>
      </c>
    </row>
    <row r="40" spans="1:6">
      <c r="A40" s="23">
        <v>45116</v>
      </c>
      <c r="B40">
        <v>0.99</v>
      </c>
      <c r="F40">
        <f>Tabela1[[#This Row],[Valores]]*3</f>
        <v>2.9699999999999998</v>
      </c>
    </row>
    <row r="41" spans="1:6">
      <c r="A41" s="23">
        <v>45117</v>
      </c>
      <c r="B41">
        <v>0.95</v>
      </c>
      <c r="F41">
        <f>Tabela1[[#This Row],[Valores]]*3</f>
        <v>2.8499999999999996</v>
      </c>
    </row>
    <row r="42" spans="1:6">
      <c r="A42" s="23">
        <v>45118</v>
      </c>
      <c r="B42">
        <v>0.93</v>
      </c>
      <c r="F42">
        <f>Tabela1[[#This Row],[Valores]]*3</f>
        <v>2.79</v>
      </c>
    </row>
    <row r="43" spans="1:6">
      <c r="A43" s="23">
        <v>45119</v>
      </c>
      <c r="B43">
        <v>0.92</v>
      </c>
      <c r="F43">
        <f>Tabela1[[#This Row],[Valores]]*3</f>
        <v>2.7600000000000002</v>
      </c>
    </row>
    <row r="44" spans="1:6">
      <c r="A44" s="23">
        <v>45120</v>
      </c>
      <c r="B44">
        <v>0.97</v>
      </c>
      <c r="F44">
        <f>Tabela1[[#This Row],[Valores]]*3</f>
        <v>2.91</v>
      </c>
    </row>
    <row r="45" spans="1:6">
      <c r="A45" s="23">
        <v>45121</v>
      </c>
      <c r="B45">
        <v>0.89</v>
      </c>
      <c r="F45">
        <f>Tabela1[[#This Row],[Valores]]*3</f>
        <v>2.67</v>
      </c>
    </row>
    <row r="46" spans="1:6">
      <c r="A46" s="23">
        <v>45122</v>
      </c>
      <c r="B46">
        <v>0.81</v>
      </c>
      <c r="F46">
        <f>Tabela1[[#This Row],[Valores]]*3</f>
        <v>2.4300000000000002</v>
      </c>
    </row>
    <row r="47" spans="1:6">
      <c r="A47" s="23">
        <v>45123</v>
      </c>
      <c r="B47">
        <v>0.85</v>
      </c>
      <c r="F47">
        <f>Tabela1[[#This Row],[Valores]]*3</f>
        <v>2.5499999999999998</v>
      </c>
    </row>
    <row r="48" spans="1:6">
      <c r="A48" s="23">
        <v>45124</v>
      </c>
      <c r="B48">
        <v>0.79</v>
      </c>
      <c r="F48">
        <f>Tabela1[[#This Row],[Valores]]*3</f>
        <v>2.37</v>
      </c>
    </row>
    <row r="49" spans="1:6">
      <c r="A49" s="23">
        <v>45125</v>
      </c>
      <c r="B49">
        <v>0.78</v>
      </c>
      <c r="F49">
        <f>Tabela1[[#This Row],[Valores]]*3</f>
        <v>2.34</v>
      </c>
    </row>
    <row r="50" spans="1:6">
      <c r="A50" s="23">
        <v>45126</v>
      </c>
      <c r="B50">
        <v>0.86</v>
      </c>
      <c r="F50">
        <f>Tabela1[[#This Row],[Valores]]*3</f>
        <v>2.58</v>
      </c>
    </row>
    <row r="51" spans="1:6">
      <c r="A51" s="23">
        <v>45127</v>
      </c>
      <c r="B51">
        <v>0.85</v>
      </c>
      <c r="F51">
        <f>Tabela1[[#This Row],[Valores]]*3</f>
        <v>2.5499999999999998</v>
      </c>
    </row>
    <row r="52" spans="1:6">
      <c r="A52" s="23">
        <v>45128</v>
      </c>
      <c r="B52">
        <v>0.85</v>
      </c>
      <c r="F52">
        <f>Tabela1[[#This Row],[Valores]]*3</f>
        <v>2.5499999999999998</v>
      </c>
    </row>
    <row r="53" spans="1:6">
      <c r="A53" s="23">
        <v>45129</v>
      </c>
      <c r="B53">
        <v>0.88</v>
      </c>
      <c r="F53">
        <f>Tabela1[[#This Row],[Valores]]*3</f>
        <v>2.64</v>
      </c>
    </row>
    <row r="54" spans="1:6">
      <c r="A54" s="23">
        <v>45130</v>
      </c>
      <c r="B54">
        <v>0.89</v>
      </c>
      <c r="F54">
        <f>Tabela1[[#This Row],[Valores]]*3</f>
        <v>2.67</v>
      </c>
    </row>
    <row r="55" spans="1:6">
      <c r="A55" s="23">
        <v>45131</v>
      </c>
      <c r="B55">
        <v>0.86</v>
      </c>
      <c r="F55">
        <f>Tabela1[[#This Row],[Valores]]*3</f>
        <v>2.58</v>
      </c>
    </row>
    <row r="56" spans="1:6">
      <c r="A56" s="23">
        <v>45132</v>
      </c>
      <c r="B56">
        <v>0.81</v>
      </c>
      <c r="F56">
        <f>Tabela1[[#This Row],[Valores]]*3</f>
        <v>2.4300000000000002</v>
      </c>
    </row>
    <row r="57" spans="1:6">
      <c r="A57" s="23">
        <v>45133</v>
      </c>
      <c r="B57">
        <v>0.83</v>
      </c>
      <c r="F57">
        <f>Tabela1[[#This Row],[Valores]]*3</f>
        <v>2.4899999999999998</v>
      </c>
    </row>
    <row r="58" spans="1:6">
      <c r="A58" s="23">
        <v>45134</v>
      </c>
      <c r="B58">
        <v>0.85</v>
      </c>
      <c r="F58">
        <f>Tabela1[[#This Row],[Valores]]*3</f>
        <v>2.5499999999999998</v>
      </c>
    </row>
    <row r="59" spans="1:6">
      <c r="A59" s="23">
        <v>45135</v>
      </c>
      <c r="B59">
        <v>0.8</v>
      </c>
      <c r="F59">
        <f>Tabela1[[#This Row],[Valores]]*3</f>
        <v>2.4000000000000004</v>
      </c>
    </row>
    <row r="60" spans="1:6">
      <c r="A60" s="23">
        <v>45136</v>
      </c>
      <c r="B60">
        <v>0.78</v>
      </c>
      <c r="F60">
        <f>Tabela1[[#This Row],[Valores]]*3</f>
        <v>2.34</v>
      </c>
    </row>
    <row r="61" spans="1:6">
      <c r="A61" s="23">
        <v>45137</v>
      </c>
      <c r="B61">
        <v>0.78</v>
      </c>
      <c r="F61">
        <f>Tabela1[[#This Row],[Valores]]*3</f>
        <v>2.34</v>
      </c>
    </row>
    <row r="62" spans="1:6">
      <c r="A62" s="23">
        <v>45138</v>
      </c>
      <c r="B62">
        <v>0.84</v>
      </c>
      <c r="F62">
        <f>Tabela1[[#This Row],[Valores]]*3</f>
        <v>2.52</v>
      </c>
    </row>
    <row r="63" spans="1:6">
      <c r="A63" s="23">
        <v>45139</v>
      </c>
      <c r="B63">
        <v>0.91</v>
      </c>
      <c r="F63">
        <f>Tabela1[[#This Row],[Valores]]*3</f>
        <v>2.73</v>
      </c>
    </row>
    <row r="64" spans="1:6">
      <c r="A64" s="23">
        <v>45140</v>
      </c>
      <c r="B64">
        <v>0.91</v>
      </c>
      <c r="F64">
        <f>Tabela1[[#This Row],[Valores]]*3</f>
        <v>2.73</v>
      </c>
    </row>
    <row r="65" spans="1:6">
      <c r="A65" s="23">
        <v>45141</v>
      </c>
      <c r="B65">
        <v>0.91</v>
      </c>
      <c r="F65">
        <f>Tabela1[[#This Row],[Valores]]*3</f>
        <v>2.73</v>
      </c>
    </row>
    <row r="66" spans="1:6">
      <c r="A66" s="23">
        <v>45142</v>
      </c>
      <c r="B66">
        <v>0.88</v>
      </c>
      <c r="F66">
        <f>Tabela1[[#This Row],[Valores]]*3</f>
        <v>2.64</v>
      </c>
    </row>
    <row r="67" spans="1:6">
      <c r="A67" s="23">
        <v>45143</v>
      </c>
      <c r="B67">
        <v>0.91</v>
      </c>
      <c r="F67">
        <f>Tabela1[[#This Row],[Valores]]*3</f>
        <v>2.73</v>
      </c>
    </row>
    <row r="68" spans="1:6">
      <c r="A68" s="23">
        <v>45144</v>
      </c>
      <c r="B68">
        <v>0.88</v>
      </c>
      <c r="F68">
        <f>Tabela1[[#This Row],[Valores]]*3</f>
        <v>2.64</v>
      </c>
    </row>
    <row r="69" spans="1:6">
      <c r="A69" s="23">
        <v>45145</v>
      </c>
      <c r="B69">
        <v>0.89</v>
      </c>
      <c r="F69">
        <f>Tabela1[[#This Row],[Valores]]*3</f>
        <v>2.67</v>
      </c>
    </row>
    <row r="70" spans="1:6">
      <c r="A70" s="23">
        <v>45146</v>
      </c>
      <c r="B70">
        <v>0.9</v>
      </c>
      <c r="F70">
        <f>Tabela1[[#This Row],[Valores]]*3</f>
        <v>2.7</v>
      </c>
    </row>
    <row r="71" spans="1:6">
      <c r="A71" s="23">
        <v>45147</v>
      </c>
      <c r="B71">
        <v>0.91</v>
      </c>
      <c r="F71">
        <f>Tabela1[[#This Row],[Valores]]*3</f>
        <v>2.73</v>
      </c>
    </row>
    <row r="72" spans="1:6">
      <c r="A72" s="23">
        <v>45148</v>
      </c>
      <c r="B72">
        <v>0.88</v>
      </c>
      <c r="F72">
        <f>Tabela1[[#This Row],[Valores]]*3</f>
        <v>2.64</v>
      </c>
    </row>
    <row r="73" spans="1:6">
      <c r="A73" s="23">
        <v>45149</v>
      </c>
      <c r="B73">
        <v>0.89</v>
      </c>
      <c r="F73">
        <f>Tabela1[[#This Row],[Valores]]*3</f>
        <v>2.67</v>
      </c>
    </row>
    <row r="74" spans="1:6">
      <c r="A74" s="23">
        <v>45150</v>
      </c>
      <c r="B74">
        <v>0.93</v>
      </c>
      <c r="F74">
        <f>Tabela1[[#This Row],[Valores]]*3</f>
        <v>2.79</v>
      </c>
    </row>
    <row r="75" spans="1:6">
      <c r="A75" s="23">
        <v>45151</v>
      </c>
      <c r="B75">
        <v>0.92</v>
      </c>
      <c r="F75">
        <f>Tabela1[[#This Row],[Valores]]*3</f>
        <v>2.7600000000000002</v>
      </c>
    </row>
    <row r="76" spans="1:6">
      <c r="A76" s="23">
        <v>45152</v>
      </c>
      <c r="B76">
        <v>0.85</v>
      </c>
      <c r="F76">
        <f>Tabela1[[#This Row],[Valores]]*3</f>
        <v>2.5499999999999998</v>
      </c>
    </row>
    <row r="77" spans="1:6">
      <c r="A77" s="23">
        <v>45153</v>
      </c>
      <c r="B77">
        <v>0.87</v>
      </c>
      <c r="F77">
        <f>Tabela1[[#This Row],[Valores]]*3</f>
        <v>2.61</v>
      </c>
    </row>
    <row r="78" spans="1:6">
      <c r="A78" s="23">
        <v>45154</v>
      </c>
      <c r="B78">
        <v>0.84</v>
      </c>
      <c r="F78">
        <f>Tabela1[[#This Row],[Valores]]*3</f>
        <v>2.52</v>
      </c>
    </row>
    <row r="79" spans="1:6">
      <c r="A79" s="23">
        <v>45155</v>
      </c>
      <c r="B79">
        <v>0.83</v>
      </c>
      <c r="F79">
        <f>Tabela1[[#This Row],[Valores]]*3</f>
        <v>2.4899999999999998</v>
      </c>
    </row>
    <row r="80" spans="1:6">
      <c r="A80" s="23">
        <v>45156</v>
      </c>
      <c r="B80">
        <v>0.88</v>
      </c>
      <c r="F80">
        <f>Tabela1[[#This Row],[Valores]]*3</f>
        <v>2.64</v>
      </c>
    </row>
    <row r="81" spans="1:6">
      <c r="A81" s="23">
        <v>45157</v>
      </c>
      <c r="B81">
        <v>0.81</v>
      </c>
      <c r="F81">
        <f>Tabela1[[#This Row],[Valores]]*3</f>
        <v>2.4300000000000002</v>
      </c>
    </row>
    <row r="82" spans="1:6">
      <c r="A82" s="23">
        <v>45158</v>
      </c>
      <c r="B82">
        <v>0.85</v>
      </c>
      <c r="F82">
        <f>Tabela1[[#This Row],[Valores]]*3</f>
        <v>2.5499999999999998</v>
      </c>
    </row>
    <row r="83" spans="1:6">
      <c r="A83" s="23">
        <v>45159</v>
      </c>
      <c r="B83">
        <v>0.94</v>
      </c>
      <c r="F83">
        <f>Tabela1[[#This Row],[Valores]]*3</f>
        <v>2.82</v>
      </c>
    </row>
    <row r="84" spans="1:6">
      <c r="A84" s="23">
        <v>45160</v>
      </c>
      <c r="B84">
        <v>0.95</v>
      </c>
      <c r="F84">
        <f>Tabela1[[#This Row],[Valores]]*3</f>
        <v>2.8499999999999996</v>
      </c>
    </row>
    <row r="85" spans="1:6">
      <c r="A85" s="23">
        <v>45161</v>
      </c>
      <c r="B85">
        <v>0.95</v>
      </c>
      <c r="F85">
        <f>Tabela1[[#This Row],[Valores]]*3</f>
        <v>2.8499999999999996</v>
      </c>
    </row>
    <row r="86" spans="1:6">
      <c r="A86" s="23">
        <v>45162</v>
      </c>
      <c r="B86">
        <v>0.98</v>
      </c>
      <c r="F86">
        <f>Tabela1[[#This Row],[Valores]]*3</f>
        <v>2.94</v>
      </c>
    </row>
    <row r="87" spans="1:6">
      <c r="A87" s="23">
        <v>45163</v>
      </c>
      <c r="B87">
        <v>0.89</v>
      </c>
      <c r="F87">
        <f>Tabela1[[#This Row],[Valores]]*3</f>
        <v>2.67</v>
      </c>
    </row>
    <row r="88" spans="1:6">
      <c r="A88" s="23">
        <v>45164</v>
      </c>
      <c r="B88">
        <v>0.94</v>
      </c>
      <c r="F88">
        <f>Tabela1[[#This Row],[Valores]]*3</f>
        <v>2.82</v>
      </c>
    </row>
    <row r="89" spans="1:6">
      <c r="A89" s="23">
        <v>45165</v>
      </c>
      <c r="B89">
        <v>0.95</v>
      </c>
      <c r="F89">
        <f>Tabela1[[#This Row],[Valores]]*3</f>
        <v>2.8499999999999996</v>
      </c>
    </row>
    <row r="90" spans="1:6">
      <c r="A90" s="23">
        <v>45166</v>
      </c>
      <c r="B90">
        <v>0.94</v>
      </c>
      <c r="F90">
        <f>Tabela1[[#This Row],[Valores]]*3</f>
        <v>2.82</v>
      </c>
    </row>
    <row r="91" spans="1:6">
      <c r="A91" s="23">
        <v>45167</v>
      </c>
      <c r="B91">
        <v>0.93</v>
      </c>
      <c r="F91">
        <f>Tabela1[[#This Row],[Valores]]*3</f>
        <v>2.79</v>
      </c>
    </row>
    <row r="92" spans="1:6">
      <c r="A92" s="23">
        <v>45168</v>
      </c>
      <c r="B92">
        <v>0.92</v>
      </c>
      <c r="F92">
        <f>Tabela1[[#This Row],[Valores]]*3</f>
        <v>2.7600000000000002</v>
      </c>
    </row>
    <row r="93" spans="1:6">
      <c r="A93" s="23">
        <v>45169</v>
      </c>
      <c r="B93">
        <v>0.99</v>
      </c>
      <c r="F93">
        <f>Tabela1[[#This Row],[Valores]]*3</f>
        <v>2.9699999999999998</v>
      </c>
    </row>
    <row r="94" spans="1:6">
      <c r="A94" s="23">
        <v>45170</v>
      </c>
      <c r="B94">
        <v>1</v>
      </c>
      <c r="F94">
        <f>Tabela1[[#This Row],[Valores]]*3</f>
        <v>3</v>
      </c>
    </row>
    <row r="95" spans="1:6">
      <c r="A95" s="23">
        <v>45171</v>
      </c>
      <c r="B95">
        <v>1</v>
      </c>
      <c r="F95">
        <f>Tabela1[[#This Row],[Valores]]*3</f>
        <v>3</v>
      </c>
    </row>
    <row r="96" spans="1:6">
      <c r="A96" s="23">
        <v>45172</v>
      </c>
      <c r="B96">
        <v>1.01</v>
      </c>
      <c r="F96">
        <f>Tabela1[[#This Row],[Valores]]*3</f>
        <v>3.0300000000000002</v>
      </c>
    </row>
    <row r="97" spans="1:6">
      <c r="A97" s="23">
        <v>45173</v>
      </c>
      <c r="B97">
        <v>0.93</v>
      </c>
      <c r="F97">
        <f>Tabela1[[#This Row],[Valores]]*3</f>
        <v>2.79</v>
      </c>
    </row>
    <row r="98" spans="1:6">
      <c r="A98" s="23">
        <v>45174</v>
      </c>
      <c r="B98">
        <v>0.97</v>
      </c>
      <c r="F98">
        <f>Tabela1[[#This Row],[Valores]]*3</f>
        <v>2.91</v>
      </c>
    </row>
    <row r="99" spans="1:6">
      <c r="A99" s="23">
        <v>45175</v>
      </c>
      <c r="B99">
        <v>0.95</v>
      </c>
      <c r="F99">
        <f>Tabela1[[#This Row],[Valores]]*3</f>
        <v>2.8499999999999996</v>
      </c>
    </row>
    <row r="100" spans="1:6">
      <c r="A100" s="23">
        <v>45176</v>
      </c>
      <c r="B100">
        <v>0.93</v>
      </c>
      <c r="F100">
        <f>Tabela1[[#This Row],[Valores]]*3</f>
        <v>2.79</v>
      </c>
    </row>
    <row r="101" spans="1:6">
      <c r="A101" s="23">
        <v>45177</v>
      </c>
      <c r="B101">
        <v>0.85</v>
      </c>
      <c r="F101">
        <f>Tabela1[[#This Row],[Valores]]*3</f>
        <v>2.5499999999999998</v>
      </c>
    </row>
    <row r="102" spans="1:6">
      <c r="A102" s="23">
        <v>45178</v>
      </c>
      <c r="B102">
        <v>0.87</v>
      </c>
      <c r="F102">
        <f>Tabela1[[#This Row],[Valores]]*3</f>
        <v>2.61</v>
      </c>
    </row>
    <row r="103" spans="1:6">
      <c r="A103" s="23">
        <v>45179</v>
      </c>
      <c r="B103">
        <v>0.91</v>
      </c>
      <c r="F103">
        <f>Tabela1[[#This Row],[Valores]]*3</f>
        <v>2.73</v>
      </c>
    </row>
    <row r="104" spans="1:6">
      <c r="A104" s="23">
        <v>45180</v>
      </c>
      <c r="B104">
        <v>0.95</v>
      </c>
      <c r="F104">
        <f>Tabela1[[#This Row],[Valores]]*3</f>
        <v>2.8499999999999996</v>
      </c>
    </row>
    <row r="105" spans="1:6">
      <c r="A105" s="23">
        <v>45181</v>
      </c>
      <c r="B105">
        <v>0.98</v>
      </c>
      <c r="F105">
        <f>Tabela1[[#This Row],[Valores]]*3</f>
        <v>2.94</v>
      </c>
    </row>
    <row r="106" spans="1:6">
      <c r="A106" s="23">
        <v>45182</v>
      </c>
      <c r="B106">
        <v>0.96</v>
      </c>
      <c r="F106">
        <f>Tabela1[[#This Row],[Valores]]*3</f>
        <v>2.88</v>
      </c>
    </row>
    <row r="107" spans="1:6">
      <c r="A107" s="23">
        <v>45183</v>
      </c>
      <c r="B107">
        <v>0.95</v>
      </c>
      <c r="F107">
        <f>Tabela1[[#This Row],[Valores]]*3</f>
        <v>2.8499999999999996</v>
      </c>
    </row>
    <row r="108" spans="1:6">
      <c r="A108" s="23">
        <v>45184</v>
      </c>
      <c r="B108">
        <v>0.94</v>
      </c>
      <c r="F108">
        <f>Tabela1[[#This Row],[Valores]]*3</f>
        <v>2.82</v>
      </c>
    </row>
    <row r="109" spans="1:6">
      <c r="A109" s="23">
        <v>45185</v>
      </c>
      <c r="B109">
        <v>0.97</v>
      </c>
      <c r="F109">
        <f>Tabela1[[#This Row],[Valores]]*3</f>
        <v>2.91</v>
      </c>
    </row>
    <row r="110" spans="1:6">
      <c r="A110" s="23">
        <v>45186</v>
      </c>
      <c r="B110">
        <v>1.01</v>
      </c>
      <c r="F110">
        <f>Tabela1[[#This Row],[Valores]]*3</f>
        <v>3.0300000000000002</v>
      </c>
    </row>
    <row r="111" spans="1:6">
      <c r="A111" s="23">
        <v>45187</v>
      </c>
      <c r="B111">
        <v>1.02</v>
      </c>
      <c r="F111">
        <f>Tabela1[[#This Row],[Valores]]*3</f>
        <v>3.06</v>
      </c>
    </row>
    <row r="112" spans="1:6">
      <c r="A112" s="23">
        <v>45188</v>
      </c>
      <c r="B112">
        <v>1.04</v>
      </c>
      <c r="F112">
        <f>Tabela1[[#This Row],[Valores]]*3</f>
        <v>3.12</v>
      </c>
    </row>
    <row r="113" spans="1:6">
      <c r="A113" s="23">
        <v>45189</v>
      </c>
      <c r="B113">
        <v>1.1200000000000001</v>
      </c>
      <c r="F113">
        <f>Tabela1[[#This Row],[Valores]]*3</f>
        <v>3.3600000000000003</v>
      </c>
    </row>
    <row r="114" spans="1:6">
      <c r="A114" s="23">
        <v>45190</v>
      </c>
      <c r="B114">
        <v>1.08</v>
      </c>
      <c r="F114">
        <f>Tabela1[[#This Row],[Valores]]*3</f>
        <v>3.24</v>
      </c>
    </row>
    <row r="115" spans="1:6">
      <c r="A115" s="23">
        <v>45191</v>
      </c>
      <c r="B115">
        <v>1.1000000000000001</v>
      </c>
      <c r="F115">
        <f>Tabela1[[#This Row],[Valores]]*3</f>
        <v>3.3000000000000003</v>
      </c>
    </row>
    <row r="116" spans="1:6">
      <c r="A116" s="23">
        <v>45192</v>
      </c>
      <c r="B116">
        <v>1.1000000000000001</v>
      </c>
      <c r="F116">
        <f>Tabela1[[#This Row],[Valores]]*3</f>
        <v>3.3000000000000003</v>
      </c>
    </row>
    <row r="117" spans="1:6">
      <c r="A117" s="23">
        <v>45193</v>
      </c>
      <c r="B117">
        <v>1.1200000000000001</v>
      </c>
      <c r="F117">
        <f>Tabela1[[#This Row],[Valores]]*3</f>
        <v>3.3600000000000003</v>
      </c>
    </row>
    <row r="118" spans="1:6">
      <c r="A118" s="23">
        <v>45194</v>
      </c>
      <c r="B118">
        <v>1.1000000000000001</v>
      </c>
      <c r="F118">
        <f>Tabela1[[#This Row],[Valores]]*3</f>
        <v>3.3000000000000003</v>
      </c>
    </row>
    <row r="119" spans="1:6">
      <c r="A119" s="23">
        <v>45195</v>
      </c>
      <c r="B119">
        <v>1.1299999999999999</v>
      </c>
      <c r="F119">
        <f>Tabela1[[#This Row],[Valores]]*3</f>
        <v>3.3899999999999997</v>
      </c>
    </row>
    <row r="120" spans="1:6">
      <c r="A120" s="23">
        <v>45196</v>
      </c>
      <c r="B120">
        <v>1.0900000000000001</v>
      </c>
      <c r="F120">
        <f>Tabela1[[#This Row],[Valores]]*3</f>
        <v>3.2700000000000005</v>
      </c>
    </row>
    <row r="121" spans="1:6">
      <c r="A121" s="23">
        <v>45197</v>
      </c>
      <c r="B121">
        <v>1.1200000000000001</v>
      </c>
      <c r="F121">
        <f>Tabela1[[#This Row],[Valores]]*3</f>
        <v>3.3600000000000003</v>
      </c>
    </row>
    <row r="122" spans="1:6">
      <c r="A122" s="23">
        <v>45198</v>
      </c>
      <c r="B122">
        <v>1.18</v>
      </c>
      <c r="F122">
        <f>Tabela1[[#This Row],[Valores]]*3</f>
        <v>3.54</v>
      </c>
    </row>
    <row r="123" spans="1:6">
      <c r="A123" s="23">
        <v>45199</v>
      </c>
      <c r="B123">
        <v>1.19</v>
      </c>
      <c r="F123">
        <f>Tabela1[[#This Row],[Valores]]*3</f>
        <v>3.57</v>
      </c>
    </row>
    <row r="124" spans="1:6">
      <c r="A124" s="23">
        <v>45200</v>
      </c>
      <c r="B124">
        <v>1.1399999999999999</v>
      </c>
      <c r="F124">
        <f>Tabela1[[#This Row],[Valores]]*3</f>
        <v>3.42</v>
      </c>
    </row>
    <row r="125" spans="1:6">
      <c r="A125" s="23">
        <v>45201</v>
      </c>
      <c r="B125">
        <v>1.1299999999999999</v>
      </c>
      <c r="F125">
        <f>Tabela1[[#This Row],[Valores]]*3</f>
        <v>3.3899999999999997</v>
      </c>
    </row>
    <row r="126" spans="1:6">
      <c r="A126" s="23">
        <v>45202</v>
      </c>
      <c r="B126">
        <v>1.1299999999999999</v>
      </c>
      <c r="F126">
        <f>Tabela1[[#This Row],[Valores]]*3</f>
        <v>3.3899999999999997</v>
      </c>
    </row>
    <row r="127" spans="1:6">
      <c r="A127" s="23">
        <v>45203</v>
      </c>
      <c r="B127">
        <v>1.21</v>
      </c>
      <c r="F127">
        <f>Tabela1[[#This Row],[Valores]]*3</f>
        <v>3.63</v>
      </c>
    </row>
    <row r="128" spans="1:6">
      <c r="A128" s="23">
        <v>45204</v>
      </c>
      <c r="B128">
        <v>1.22</v>
      </c>
      <c r="F128">
        <f>Tabela1[[#This Row],[Valores]]*3</f>
        <v>3.66</v>
      </c>
    </row>
    <row r="129" spans="1:6">
      <c r="A129" s="23">
        <v>45205</v>
      </c>
      <c r="B129">
        <v>1.21</v>
      </c>
      <c r="F129">
        <f>Tabela1[[#This Row],[Valores]]*3</f>
        <v>3.63</v>
      </c>
    </row>
    <row r="130" spans="1:6">
      <c r="A130" s="23">
        <v>45206</v>
      </c>
      <c r="B130">
        <v>1.25</v>
      </c>
      <c r="F130">
        <f>Tabela1[[#This Row],[Valores]]*3</f>
        <v>3.75</v>
      </c>
    </row>
    <row r="131" spans="1:6">
      <c r="A131" s="23">
        <v>45207</v>
      </c>
      <c r="B131">
        <v>1.25</v>
      </c>
      <c r="F131">
        <f>Tabela1[[#This Row],[Valores]]*3</f>
        <v>3.75</v>
      </c>
    </row>
    <row r="132" spans="1:6">
      <c r="A132" s="23">
        <v>45208</v>
      </c>
      <c r="B132">
        <v>1.19</v>
      </c>
      <c r="F132">
        <f>Tabela1[[#This Row],[Valores]]*3</f>
        <v>3.57</v>
      </c>
    </row>
    <row r="133" spans="1:6">
      <c r="A133" s="23">
        <v>45209</v>
      </c>
      <c r="B133">
        <v>1.18</v>
      </c>
      <c r="F133">
        <f>Tabela1[[#This Row],[Valores]]*3</f>
        <v>3.54</v>
      </c>
    </row>
    <row r="134" spans="1:6">
      <c r="A134" s="23">
        <v>45210</v>
      </c>
      <c r="B134">
        <v>1.1299999999999999</v>
      </c>
      <c r="F134">
        <f>Tabela1[[#This Row],[Valores]]*3</f>
        <v>3.3899999999999997</v>
      </c>
    </row>
    <row r="135" spans="1:6">
      <c r="A135" s="23">
        <v>45211</v>
      </c>
      <c r="B135">
        <v>1.1100000000000001</v>
      </c>
      <c r="F135">
        <f>Tabela1[[#This Row],[Valores]]*3</f>
        <v>3.33</v>
      </c>
    </row>
    <row r="136" spans="1:6">
      <c r="A136" s="23">
        <v>45212</v>
      </c>
      <c r="B136">
        <v>1.07</v>
      </c>
      <c r="F136">
        <f>Tabela1[[#This Row],[Valores]]*3</f>
        <v>3.21</v>
      </c>
    </row>
    <row r="137" spans="1:6">
      <c r="A137" s="23">
        <v>45213</v>
      </c>
      <c r="B137">
        <v>1.0900000000000001</v>
      </c>
      <c r="F137">
        <f>Tabela1[[#This Row],[Valores]]*3</f>
        <v>3.2700000000000005</v>
      </c>
    </row>
    <row r="138" spans="1:6">
      <c r="A138" s="23">
        <v>45214</v>
      </c>
      <c r="B138">
        <v>1.06</v>
      </c>
      <c r="F138">
        <f>Tabela1[[#This Row],[Valores]]*3</f>
        <v>3.18</v>
      </c>
    </row>
    <row r="139" spans="1:6">
      <c r="A139" s="23">
        <v>45215</v>
      </c>
      <c r="B139">
        <v>1.06</v>
      </c>
      <c r="F139">
        <f>Tabela1[[#This Row],[Valores]]*3</f>
        <v>3.18</v>
      </c>
    </row>
    <row r="140" spans="1:6">
      <c r="A140" s="23">
        <v>45216</v>
      </c>
      <c r="B140">
        <v>1.0900000000000001</v>
      </c>
      <c r="F140">
        <f>Tabela1[[#This Row],[Valores]]*3</f>
        <v>3.2700000000000005</v>
      </c>
    </row>
    <row r="141" spans="1:6">
      <c r="A141" s="23">
        <v>45217</v>
      </c>
      <c r="B141">
        <v>1.1000000000000001</v>
      </c>
      <c r="F141">
        <f>Tabela1[[#This Row],[Valores]]*3</f>
        <v>3.3000000000000003</v>
      </c>
    </row>
    <row r="142" spans="1:6">
      <c r="A142" s="23">
        <v>45218</v>
      </c>
      <c r="B142">
        <v>1.1100000000000001</v>
      </c>
      <c r="F142">
        <f>Tabela1[[#This Row],[Valores]]*3</f>
        <v>3.33</v>
      </c>
    </row>
    <row r="143" spans="1:6">
      <c r="A143" s="23">
        <v>45219</v>
      </c>
      <c r="B143">
        <v>1.06</v>
      </c>
      <c r="F143">
        <f>Tabela1[[#This Row],[Valores]]*3</f>
        <v>3.18</v>
      </c>
    </row>
    <row r="144" spans="1:6">
      <c r="A144" s="23">
        <v>45220</v>
      </c>
      <c r="B144">
        <v>1.03</v>
      </c>
      <c r="F144">
        <f>Tabela1[[#This Row],[Valores]]*3</f>
        <v>3.09</v>
      </c>
    </row>
    <row r="145" spans="1:6">
      <c r="A145" s="23">
        <v>45221</v>
      </c>
      <c r="B145">
        <v>1.02</v>
      </c>
      <c r="F145">
        <f>Tabela1[[#This Row],[Valores]]*3</f>
        <v>3.06</v>
      </c>
    </row>
    <row r="146" spans="1:6">
      <c r="A146" s="23">
        <v>45222</v>
      </c>
      <c r="B146">
        <v>1.04</v>
      </c>
      <c r="F146">
        <f>Tabela1[[#This Row],[Valores]]*3</f>
        <v>3.12</v>
      </c>
    </row>
    <row r="147" spans="1:6">
      <c r="A147" s="23">
        <v>45223</v>
      </c>
      <c r="B147">
        <v>0.99</v>
      </c>
      <c r="F147">
        <f>Tabela1[[#This Row],[Valores]]*3</f>
        <v>2.9699999999999998</v>
      </c>
    </row>
    <row r="148" spans="1:6">
      <c r="A148" s="23">
        <v>45224</v>
      </c>
      <c r="B148">
        <v>0.95</v>
      </c>
      <c r="F148">
        <f>Tabela1[[#This Row],[Valores]]*3</f>
        <v>2.8499999999999996</v>
      </c>
    </row>
    <row r="149" spans="1:6">
      <c r="A149" s="23">
        <v>45225</v>
      </c>
      <c r="B149">
        <v>0.98</v>
      </c>
      <c r="F149">
        <f>Tabela1[[#This Row],[Valores]]*3</f>
        <v>2.94</v>
      </c>
    </row>
    <row r="150" spans="1:6">
      <c r="A150" s="23">
        <v>45226</v>
      </c>
      <c r="B150">
        <v>0.97</v>
      </c>
      <c r="F150">
        <f>Tabela1[[#This Row],[Valores]]*3</f>
        <v>2.91</v>
      </c>
    </row>
    <row r="151" spans="1:6">
      <c r="A151" s="23">
        <v>45227</v>
      </c>
      <c r="B151">
        <v>0.96</v>
      </c>
      <c r="F151">
        <f>Tabela1[[#This Row],[Valores]]*3</f>
        <v>2.88</v>
      </c>
    </row>
    <row r="152" spans="1:6">
      <c r="A152" s="23">
        <v>45228</v>
      </c>
      <c r="B152">
        <v>1.02</v>
      </c>
      <c r="F152">
        <f>Tabela1[[#This Row],[Valores]]*3</f>
        <v>3.06</v>
      </c>
    </row>
    <row r="153" spans="1:6">
      <c r="A153" s="23">
        <v>45229</v>
      </c>
      <c r="B153">
        <v>1.0900000000000001</v>
      </c>
      <c r="F153">
        <f>Tabela1[[#This Row],[Valores]]*3</f>
        <v>3.2700000000000005</v>
      </c>
    </row>
    <row r="154" spans="1:6">
      <c r="A154" s="23">
        <v>45230</v>
      </c>
      <c r="B154">
        <v>1.1000000000000001</v>
      </c>
      <c r="F154">
        <f>Tabela1[[#This Row],[Valores]]*3</f>
        <v>3.3000000000000003</v>
      </c>
    </row>
    <row r="155" spans="1:6">
      <c r="A155" s="23">
        <v>45231</v>
      </c>
      <c r="B155">
        <v>1.03</v>
      </c>
      <c r="F155">
        <f>Tabela1[[#This Row],[Valores]]*3</f>
        <v>3.09</v>
      </c>
    </row>
    <row r="156" spans="1:6">
      <c r="A156" s="23">
        <v>45232</v>
      </c>
      <c r="B156">
        <v>1.02</v>
      </c>
      <c r="F156">
        <f>Tabela1[[#This Row],[Valores]]*3</f>
        <v>3.06</v>
      </c>
    </row>
    <row r="157" spans="1:6">
      <c r="A157" s="23">
        <v>45233</v>
      </c>
      <c r="B157">
        <v>1.07</v>
      </c>
      <c r="F157">
        <f>Tabela1[[#This Row],[Valores]]*3</f>
        <v>3.21</v>
      </c>
    </row>
    <row r="158" spans="1:6">
      <c r="A158" s="23">
        <v>45234</v>
      </c>
      <c r="B158">
        <v>1.1100000000000001</v>
      </c>
      <c r="F158">
        <f>Tabela1[[#This Row],[Valores]]*3</f>
        <v>3.33</v>
      </c>
    </row>
    <row r="159" spans="1:6">
      <c r="A159" s="23">
        <v>45235</v>
      </c>
      <c r="B159">
        <v>1.1399999999999999</v>
      </c>
      <c r="F159">
        <f>Tabela1[[#This Row],[Valores]]*3</f>
        <v>3.42</v>
      </c>
    </row>
    <row r="160" spans="1:6">
      <c r="A160" s="23">
        <v>45236</v>
      </c>
      <c r="B160">
        <v>1.18</v>
      </c>
      <c r="F160">
        <f>Tabela1[[#This Row],[Valores]]*3</f>
        <v>3.54</v>
      </c>
    </row>
    <row r="161" spans="1:6">
      <c r="A161" s="23">
        <v>45237</v>
      </c>
      <c r="B161">
        <v>1.22</v>
      </c>
      <c r="F161">
        <f>Tabela1[[#This Row],[Valores]]*3</f>
        <v>3.66</v>
      </c>
    </row>
    <row r="162" spans="1:6">
      <c r="A162" s="23">
        <v>45238</v>
      </c>
      <c r="B162">
        <v>1.18</v>
      </c>
      <c r="F162">
        <f>Tabela1[[#This Row],[Valores]]*3</f>
        <v>3.54</v>
      </c>
    </row>
    <row r="163" spans="1:6">
      <c r="A163" s="23">
        <v>45239</v>
      </c>
      <c r="B163">
        <v>1.19</v>
      </c>
      <c r="F163">
        <f>Tabela1[[#This Row],[Valores]]*3</f>
        <v>3.57</v>
      </c>
    </row>
    <row r="164" spans="1:6">
      <c r="A164" s="23">
        <v>45240</v>
      </c>
      <c r="B164">
        <v>1.26</v>
      </c>
      <c r="F164">
        <f>Tabela1[[#This Row],[Valores]]*3</f>
        <v>3.7800000000000002</v>
      </c>
    </row>
    <row r="165" spans="1:6">
      <c r="A165" s="23">
        <v>45241</v>
      </c>
      <c r="B165">
        <v>1.28</v>
      </c>
      <c r="F165">
        <f>Tabela1[[#This Row],[Valores]]*3</f>
        <v>3.84</v>
      </c>
    </row>
    <row r="166" spans="1:6">
      <c r="A166" s="23">
        <v>45242</v>
      </c>
      <c r="B166">
        <v>1.22</v>
      </c>
      <c r="F166">
        <f>Tabela1[[#This Row],[Valores]]*3</f>
        <v>3.66</v>
      </c>
    </row>
    <row r="167" spans="1:6">
      <c r="A167" s="23">
        <v>45243</v>
      </c>
      <c r="B167">
        <v>1.23</v>
      </c>
      <c r="F167">
        <f>Tabela1[[#This Row],[Valores]]*3</f>
        <v>3.69</v>
      </c>
    </row>
    <row r="168" spans="1:6">
      <c r="A168" s="23">
        <v>45244</v>
      </c>
      <c r="B168">
        <v>1.17</v>
      </c>
      <c r="F168">
        <f>Tabela1[[#This Row],[Valores]]*3</f>
        <v>3.51</v>
      </c>
    </row>
    <row r="169" spans="1:6">
      <c r="A169" s="23">
        <v>45245</v>
      </c>
      <c r="B169">
        <v>1.1200000000000001</v>
      </c>
      <c r="F169">
        <f>Tabela1[[#This Row],[Valores]]*3</f>
        <v>3.3600000000000003</v>
      </c>
    </row>
    <row r="170" spans="1:6">
      <c r="A170" s="23">
        <v>45246</v>
      </c>
      <c r="B170">
        <v>1.1499999999999999</v>
      </c>
      <c r="F170">
        <f>Tabela1[[#This Row],[Valores]]*3</f>
        <v>3.4499999999999997</v>
      </c>
    </row>
    <row r="171" spans="1:6">
      <c r="A171" s="23">
        <v>45247</v>
      </c>
      <c r="B171">
        <v>1.17</v>
      </c>
      <c r="F171">
        <f>Tabela1[[#This Row],[Valores]]*3</f>
        <v>3.51</v>
      </c>
    </row>
    <row r="172" spans="1:6">
      <c r="A172" s="23">
        <v>45248</v>
      </c>
      <c r="B172">
        <v>1.21</v>
      </c>
      <c r="F172">
        <f>Tabela1[[#This Row],[Valores]]*3</f>
        <v>3.63</v>
      </c>
    </row>
    <row r="173" spans="1:6">
      <c r="A173" s="23">
        <v>45249</v>
      </c>
      <c r="B173">
        <v>1.25</v>
      </c>
      <c r="F173">
        <f>Tabela1[[#This Row],[Valores]]*3</f>
        <v>3.75</v>
      </c>
    </row>
    <row r="174" spans="1:6">
      <c r="A174" s="23">
        <v>45250</v>
      </c>
      <c r="B174">
        <v>1.23</v>
      </c>
      <c r="F174">
        <f>Tabela1[[#This Row],[Valores]]*3</f>
        <v>3.69</v>
      </c>
    </row>
    <row r="175" spans="1:6">
      <c r="A175" s="23">
        <v>45251</v>
      </c>
      <c r="B175">
        <v>1.24</v>
      </c>
      <c r="F175">
        <f>Tabela1[[#This Row],[Valores]]*3</f>
        <v>3.7199999999999998</v>
      </c>
    </row>
    <row r="176" spans="1:6">
      <c r="A176" s="23">
        <v>45252</v>
      </c>
      <c r="B176">
        <v>1.28</v>
      </c>
      <c r="F176">
        <f>Tabela1[[#This Row],[Valores]]*3</f>
        <v>3.84</v>
      </c>
    </row>
    <row r="177" spans="1:6">
      <c r="A177" s="23">
        <v>45253</v>
      </c>
      <c r="B177">
        <v>1.3</v>
      </c>
      <c r="F177">
        <f>Tabela1[[#This Row],[Valores]]*3</f>
        <v>3.9000000000000004</v>
      </c>
    </row>
    <row r="178" spans="1:6">
      <c r="A178" s="23">
        <v>45254</v>
      </c>
      <c r="B178">
        <v>1.33</v>
      </c>
      <c r="F178">
        <f>Tabela1[[#This Row],[Valores]]*3</f>
        <v>3.99</v>
      </c>
    </row>
    <row r="179" spans="1:6">
      <c r="A179" s="23">
        <v>45255</v>
      </c>
      <c r="B179">
        <v>1.39</v>
      </c>
      <c r="F179">
        <f>Tabela1[[#This Row],[Valores]]*3</f>
        <v>4.17</v>
      </c>
    </row>
    <row r="180" spans="1:6">
      <c r="A180" s="23">
        <v>45256</v>
      </c>
      <c r="B180">
        <v>1.42</v>
      </c>
      <c r="F180">
        <f>Tabela1[[#This Row],[Valores]]*3</f>
        <v>4.26</v>
      </c>
    </row>
    <row r="181" spans="1:6">
      <c r="A181" s="23">
        <v>45257</v>
      </c>
      <c r="B181">
        <v>1.35</v>
      </c>
      <c r="F181">
        <f>Tabela1[[#This Row],[Valores]]*3</f>
        <v>4.0500000000000007</v>
      </c>
    </row>
    <row r="182" spans="1:6">
      <c r="A182" s="23">
        <v>45258</v>
      </c>
      <c r="B182">
        <v>1.33</v>
      </c>
      <c r="F182">
        <f>Tabela1[[#This Row],[Valores]]*3</f>
        <v>3.99</v>
      </c>
    </row>
    <row r="183" spans="1:6">
      <c r="A183" s="23">
        <v>45259</v>
      </c>
      <c r="B183">
        <v>1.32</v>
      </c>
      <c r="F183">
        <f>Tabela1[[#This Row],[Valores]]*3</f>
        <v>3.96</v>
      </c>
    </row>
    <row r="184" spans="1:6">
      <c r="A184" s="23">
        <v>45260</v>
      </c>
      <c r="B184">
        <v>1.29</v>
      </c>
      <c r="F184">
        <f>Tabela1[[#This Row],[Valores]]*3</f>
        <v>3.87</v>
      </c>
    </row>
    <row r="185" spans="1:6">
      <c r="A185" s="23">
        <v>45261</v>
      </c>
      <c r="B185">
        <v>1.37</v>
      </c>
      <c r="F185">
        <f>Tabela1[[#This Row],[Valores]]*3</f>
        <v>4.1100000000000003</v>
      </c>
    </row>
    <row r="186" spans="1:6">
      <c r="A186" s="23">
        <v>45262</v>
      </c>
      <c r="B186">
        <v>1.33</v>
      </c>
      <c r="F186">
        <f>Tabela1[[#This Row],[Valores]]*3</f>
        <v>3.99</v>
      </c>
    </row>
    <row r="187" spans="1:6">
      <c r="A187" s="23">
        <v>45263</v>
      </c>
      <c r="B187">
        <v>1.27</v>
      </c>
      <c r="F187">
        <f>Tabela1[[#This Row],[Valores]]*3</f>
        <v>3.81</v>
      </c>
    </row>
    <row r="188" spans="1:6">
      <c r="A188" s="23">
        <v>45264</v>
      </c>
      <c r="B188">
        <v>1.28</v>
      </c>
      <c r="F188">
        <f>Tabela1[[#This Row],[Valores]]*3</f>
        <v>3.84</v>
      </c>
    </row>
    <row r="189" spans="1:6">
      <c r="A189" s="23">
        <v>45265</v>
      </c>
      <c r="B189">
        <v>1.23</v>
      </c>
      <c r="F189">
        <f>Tabela1[[#This Row],[Valores]]*3</f>
        <v>3.69</v>
      </c>
    </row>
    <row r="190" spans="1:6">
      <c r="A190" s="23">
        <v>45266</v>
      </c>
      <c r="B190">
        <v>1.2</v>
      </c>
      <c r="C190">
        <v>1.2</v>
      </c>
      <c r="D190" s="70">
        <v>1.2</v>
      </c>
      <c r="E190" s="70">
        <v>1.2</v>
      </c>
      <c r="F190">
        <f>Tabela1[[#This Row],[Valores]]*3</f>
        <v>3.5999999999999996</v>
      </c>
    </row>
    <row r="191" spans="1:6">
      <c r="A191" s="23">
        <v>45267</v>
      </c>
      <c r="C191">
        <f t="shared" ref="C191:C238" si="0">_xlfn.FORECAST.ETS(A191,$B$2:$B$190,$A$2:$A$190,1,1)</f>
        <v>1.2015867861142218</v>
      </c>
      <c r="D191" s="70">
        <f t="shared" ref="D191:D238" si="1">C191-_xlfn.FORECAST.ETS.CONFINT(A191,$B$2:$B$190,$A$2:$A$190,0.95,1,1)</f>
        <v>1.1162222008371452</v>
      </c>
      <c r="E191" s="70">
        <f t="shared" ref="E191:E238" si="2">C191+_xlfn.FORECAST.ETS.CONFINT(A191,$B$2:$B$190,$A$2:$A$190,0.95,1,1)</f>
        <v>1.2869513713912983</v>
      </c>
      <c r="F191">
        <f>Tabela1[[#This Row],[Valores]]*3</f>
        <v>0</v>
      </c>
    </row>
    <row r="192" spans="1:6">
      <c r="A192" s="23">
        <v>45268</v>
      </c>
      <c r="C192">
        <f t="shared" si="0"/>
        <v>1.2031735722284433</v>
      </c>
      <c r="D192" s="70">
        <f t="shared" si="1"/>
        <v>1.0825101647623523</v>
      </c>
      <c r="E192" s="70">
        <f t="shared" si="2"/>
        <v>1.3238369796945344</v>
      </c>
      <c r="F192">
        <f>Tabela1[[#This Row],[Valores]]*3</f>
        <v>0</v>
      </c>
    </row>
    <row r="193" spans="1:6">
      <c r="A193" s="23">
        <v>45269</v>
      </c>
      <c r="C193">
        <f t="shared" si="0"/>
        <v>1.2047603583426651</v>
      </c>
      <c r="D193" s="70">
        <f t="shared" si="1"/>
        <v>1.0569538283081124</v>
      </c>
      <c r="E193" s="70">
        <f t="shared" si="2"/>
        <v>1.3525668883772179</v>
      </c>
      <c r="F193">
        <f>Tabela1[[#This Row],[Valores]]*3</f>
        <v>0</v>
      </c>
    </row>
    <row r="194" spans="1:6">
      <c r="A194" s="23">
        <v>45270</v>
      </c>
      <c r="C194">
        <f t="shared" si="0"/>
        <v>1.206347144456887</v>
      </c>
      <c r="D194" s="70">
        <f t="shared" si="1"/>
        <v>1.0356179312204468</v>
      </c>
      <c r="E194" s="70">
        <f t="shared" si="2"/>
        <v>1.3770763576933271</v>
      </c>
      <c r="F194">
        <f>Tabela1[[#This Row],[Valores]]*3</f>
        <v>0</v>
      </c>
    </row>
    <row r="195" spans="1:6">
      <c r="A195" s="23">
        <v>45271</v>
      </c>
      <c r="C195">
        <f t="shared" si="0"/>
        <v>1.2079339305711085</v>
      </c>
      <c r="D195" s="70">
        <f t="shared" si="1"/>
        <v>1.0169764633958525</v>
      </c>
      <c r="E195" s="70">
        <f t="shared" si="2"/>
        <v>1.3988913977463646</v>
      </c>
      <c r="F195">
        <f>Tabela1[[#This Row],[Valores]]*3</f>
        <v>0</v>
      </c>
    </row>
    <row r="196" spans="1:6">
      <c r="A196" s="23">
        <v>45272</v>
      </c>
      <c r="C196">
        <f t="shared" si="0"/>
        <v>1.2095207166853303</v>
      </c>
      <c r="D196" s="70">
        <f t="shared" si="1"/>
        <v>1.0002466023088858</v>
      </c>
      <c r="E196" s="70">
        <f t="shared" si="2"/>
        <v>1.4187948310617748</v>
      </c>
      <c r="F196">
        <f>Tabela1[[#This Row],[Valores]]*3</f>
        <v>0</v>
      </c>
    </row>
    <row r="197" spans="1:6">
      <c r="A197" s="23">
        <v>45273</v>
      </c>
      <c r="C197">
        <f t="shared" si="0"/>
        <v>1.2111075027995521</v>
      </c>
      <c r="D197" s="70">
        <f t="shared" si="1"/>
        <v>0.98496334333323432</v>
      </c>
      <c r="E197" s="70">
        <f t="shared" si="2"/>
        <v>1.43725166226587</v>
      </c>
      <c r="F197">
        <f>Tabela1[[#This Row],[Valores]]*3</f>
        <v>0</v>
      </c>
    </row>
    <row r="198" spans="1:6">
      <c r="A198" s="23">
        <v>45274</v>
      </c>
      <c r="C198">
        <f t="shared" si="0"/>
        <v>1.2126942889137737</v>
      </c>
      <c r="D198" s="70">
        <f t="shared" si="1"/>
        <v>0.97082377276461518</v>
      </c>
      <c r="E198" s="70">
        <f t="shared" si="2"/>
        <v>1.4545648050629323</v>
      </c>
      <c r="F198">
        <f>Tabela1[[#This Row],[Valores]]*3</f>
        <v>0</v>
      </c>
    </row>
    <row r="199" spans="1:6">
      <c r="A199" s="23">
        <v>45275</v>
      </c>
      <c r="C199">
        <f t="shared" si="0"/>
        <v>1.2142810750279955</v>
      </c>
      <c r="D199" s="70">
        <f t="shared" si="1"/>
        <v>0.95761754686930078</v>
      </c>
      <c r="E199" s="70">
        <f t="shared" si="2"/>
        <v>1.4709446031866902</v>
      </c>
      <c r="F199">
        <f>Tabela1[[#This Row],[Valores]]*3</f>
        <v>0</v>
      </c>
    </row>
    <row r="200" spans="1:6">
      <c r="A200" s="23">
        <v>45276</v>
      </c>
      <c r="C200">
        <f t="shared" si="0"/>
        <v>1.2158678611422173</v>
      </c>
      <c r="D200" s="70">
        <f t="shared" si="1"/>
        <v>0.94519156785302227</v>
      </c>
      <c r="E200" s="70">
        <f t="shared" si="2"/>
        <v>1.4865441544314124</v>
      </c>
      <c r="F200">
        <f>Tabela1[[#This Row],[Valores]]*3</f>
        <v>0</v>
      </c>
    </row>
    <row r="201" spans="1:6">
      <c r="A201" s="23">
        <v>45277</v>
      </c>
      <c r="C201">
        <f t="shared" si="0"/>
        <v>1.2174546472564389</v>
      </c>
      <c r="D201" s="70">
        <f t="shared" si="1"/>
        <v>0.93343030262694615</v>
      </c>
      <c r="E201" s="70">
        <f t="shared" si="2"/>
        <v>1.5014789918859317</v>
      </c>
      <c r="F201">
        <f>Tabela1[[#This Row],[Valores]]*3</f>
        <v>0</v>
      </c>
    </row>
    <row r="202" spans="1:6">
      <c r="A202" s="23">
        <v>45278</v>
      </c>
      <c r="C202">
        <f t="shared" si="0"/>
        <v>1.2190414333706607</v>
      </c>
      <c r="D202" s="70">
        <f t="shared" si="1"/>
        <v>0.92224402933653238</v>
      </c>
      <c r="E202" s="70">
        <f t="shared" si="2"/>
        <v>1.5158388374047891</v>
      </c>
      <c r="F202">
        <f>Tabela1[[#This Row],[Valores]]*3</f>
        <v>0</v>
      </c>
    </row>
    <row r="203" spans="1:6">
      <c r="A203" s="23">
        <v>45279</v>
      </c>
      <c r="C203">
        <f t="shared" si="0"/>
        <v>1.2206282194848823</v>
      </c>
      <c r="D203" s="70">
        <f t="shared" si="1"/>
        <v>0.91156142667051765</v>
      </c>
      <c r="E203" s="70">
        <f t="shared" si="2"/>
        <v>1.529695012299247</v>
      </c>
      <c r="F203">
        <f>Tabela1[[#This Row],[Valores]]*3</f>
        <v>0</v>
      </c>
    </row>
    <row r="204" spans="1:6">
      <c r="A204" s="23">
        <v>45280</v>
      </c>
      <c r="C204">
        <f t="shared" si="0"/>
        <v>1.2222150055991041</v>
      </c>
      <c r="D204" s="70">
        <f t="shared" si="1"/>
        <v>0.90132469247962554</v>
      </c>
      <c r="E204" s="70">
        <f t="shared" si="2"/>
        <v>1.5431053187185828</v>
      </c>
      <c r="F204">
        <f>Tabela1[[#This Row],[Valores]]*3</f>
        <v>0</v>
      </c>
    </row>
    <row r="205" spans="1:6">
      <c r="A205" s="23">
        <v>45281</v>
      </c>
      <c r="C205">
        <f t="shared" si="0"/>
        <v>1.2238017917133259</v>
      </c>
      <c r="D205" s="70">
        <f t="shared" si="1"/>
        <v>0.89148621050218058</v>
      </c>
      <c r="E205" s="70">
        <f t="shared" si="2"/>
        <v>1.5561173729244713</v>
      </c>
      <c r="F205">
        <f>Tabela1[[#This Row],[Valores]]*3</f>
        <v>0</v>
      </c>
    </row>
    <row r="206" spans="1:6">
      <c r="A206" s="23">
        <v>45282</v>
      </c>
      <c r="C206">
        <f t="shared" si="0"/>
        <v>1.2253885778275475</v>
      </c>
      <c r="D206" s="70">
        <f t="shared" si="1"/>
        <v>0.88200620440087429</v>
      </c>
      <c r="E206" s="70">
        <f t="shared" si="2"/>
        <v>1.5687709512542207</v>
      </c>
      <c r="F206">
        <f>Tabela1[[#This Row],[Valores]]*3</f>
        <v>0</v>
      </c>
    </row>
    <row r="207" spans="1:6">
      <c r="A207" s="23">
        <v>45283</v>
      </c>
      <c r="C207">
        <f t="shared" si="0"/>
        <v>1.2269753639417693</v>
      </c>
      <c r="D207" s="70">
        <f t="shared" si="1"/>
        <v>0.8728510436509378</v>
      </c>
      <c r="E207" s="70">
        <f t="shared" si="2"/>
        <v>1.5810996842326008</v>
      </c>
      <c r="F207">
        <f>Tabela1[[#This Row],[Valores]]*3</f>
        <v>0</v>
      </c>
    </row>
    <row r="208" spans="1:6">
      <c r="A208" s="23">
        <v>45284</v>
      </c>
      <c r="C208">
        <f t="shared" si="0"/>
        <v>1.2285621500559911</v>
      </c>
      <c r="D208" s="70">
        <f t="shared" si="1"/>
        <v>0.86399199272841865</v>
      </c>
      <c r="E208" s="70">
        <f t="shared" si="2"/>
        <v>1.5931323073835637</v>
      </c>
      <c r="F208">
        <f>Tabela1[[#This Row],[Valores]]*3</f>
        <v>0</v>
      </c>
    </row>
    <row r="209" spans="1:6">
      <c r="A209" s="23">
        <v>45285</v>
      </c>
      <c r="C209">
        <f t="shared" si="0"/>
        <v>1.2301489361702127</v>
      </c>
      <c r="D209" s="70">
        <f t="shared" si="1"/>
        <v>0.85540426958830862</v>
      </c>
      <c r="E209" s="70">
        <f t="shared" si="2"/>
        <v>1.6048936027521168</v>
      </c>
      <c r="F209">
        <f>Tabela1[[#This Row],[Valores]]*3</f>
        <v>0</v>
      </c>
    </row>
    <row r="210" spans="1:6">
      <c r="A210" s="23">
        <v>45286</v>
      </c>
      <c r="C210">
        <f t="shared" si="0"/>
        <v>1.2317357222844345</v>
      </c>
      <c r="D210" s="70">
        <f t="shared" si="1"/>
        <v>0.84706632481582522</v>
      </c>
      <c r="E210" s="70">
        <f t="shared" si="2"/>
        <v>1.6164051197530438</v>
      </c>
      <c r="F210">
        <f>Tabela1[[#This Row],[Valores]]*3</f>
        <v>0</v>
      </c>
    </row>
    <row r="211" spans="1:6">
      <c r="A211" s="23">
        <v>45287</v>
      </c>
      <c r="C211">
        <f t="shared" si="0"/>
        <v>1.2333225083986563</v>
      </c>
      <c r="D211" s="70">
        <f t="shared" si="1"/>
        <v>0.83895928136053977</v>
      </c>
      <c r="E211" s="70">
        <f t="shared" si="2"/>
        <v>1.6276857354367729</v>
      </c>
      <c r="F211">
        <f>Tabela1[[#This Row],[Valores]]*3</f>
        <v>0</v>
      </c>
    </row>
    <row r="212" spans="1:6">
      <c r="A212" s="23">
        <v>45288</v>
      </c>
      <c r="C212">
        <f t="shared" si="0"/>
        <v>1.2349092945128779</v>
      </c>
      <c r="D212" s="70">
        <f t="shared" si="1"/>
        <v>0.83106649319165848</v>
      </c>
      <c r="E212" s="70">
        <f t="shared" si="2"/>
        <v>1.6387520958340973</v>
      </c>
      <c r="F212">
        <f>Tabela1[[#This Row],[Valores]]*3</f>
        <v>0</v>
      </c>
    </row>
    <row r="213" spans="1:6">
      <c r="A213" s="23">
        <v>45289</v>
      </c>
      <c r="C213">
        <f t="shared" si="0"/>
        <v>1.2364960806270997</v>
      </c>
      <c r="D213" s="70">
        <f t="shared" si="1"/>
        <v>0.82337319341283988</v>
      </c>
      <c r="E213" s="70">
        <f t="shared" si="2"/>
        <v>1.6496189678413595</v>
      </c>
      <c r="F213">
        <f>Tabela1[[#This Row],[Valores]]*3</f>
        <v>0</v>
      </c>
    </row>
    <row r="214" spans="1:6">
      <c r="A214" s="23">
        <v>45290</v>
      </c>
      <c r="C214">
        <f t="shared" si="0"/>
        <v>1.2380828667413215</v>
      </c>
      <c r="D214" s="70">
        <f t="shared" si="1"/>
        <v>0.81586621062982889</v>
      </c>
      <c r="E214" s="70">
        <f t="shared" si="2"/>
        <v>1.6602995228528141</v>
      </c>
      <c r="F214">
        <f>Tabela1[[#This Row],[Valores]]*3</f>
        <v>0</v>
      </c>
    </row>
    <row r="215" spans="1:6">
      <c r="A215" s="23">
        <v>45291</v>
      </c>
      <c r="C215">
        <f t="shared" si="0"/>
        <v>1.2396696528555431</v>
      </c>
      <c r="D215" s="70">
        <f t="shared" si="1"/>
        <v>0.80853373806025719</v>
      </c>
      <c r="E215" s="70">
        <f t="shared" si="2"/>
        <v>1.6708055676508291</v>
      </c>
      <c r="F215">
        <f>Tabela1[[#This Row],[Valores]]*3</f>
        <v>0</v>
      </c>
    </row>
    <row r="216" spans="1:6">
      <c r="A216" s="23">
        <v>45292</v>
      </c>
      <c r="C216">
        <f t="shared" si="0"/>
        <v>1.2412564389697649</v>
      </c>
      <c r="D216" s="70">
        <f t="shared" si="1"/>
        <v>0.80136514387555258</v>
      </c>
      <c r="E216" s="70">
        <f t="shared" si="2"/>
        <v>1.6811477340639773</v>
      </c>
      <c r="F216">
        <f>Tabela1[[#This Row],[Valores]]*3</f>
        <v>0</v>
      </c>
    </row>
    <row r="217" spans="1:6">
      <c r="A217" s="23">
        <v>45293</v>
      </c>
      <c r="C217">
        <f t="shared" si="0"/>
        <v>1.2428432250839867</v>
      </c>
      <c r="D217" s="70">
        <f t="shared" si="1"/>
        <v>0.79435081412023179</v>
      </c>
      <c r="E217" s="70">
        <f t="shared" si="2"/>
        <v>1.6913356360477416</v>
      </c>
      <c r="F217">
        <f>Tabela1[[#This Row],[Valores]]*3</f>
        <v>0</v>
      </c>
    </row>
    <row r="218" spans="1:6">
      <c r="A218" s="23">
        <v>45294</v>
      </c>
      <c r="C218">
        <f t="shared" si="0"/>
        <v>1.2444300111982083</v>
      </c>
      <c r="D218" s="70">
        <f t="shared" si="1"/>
        <v>0.78748202162188075</v>
      </c>
      <c r="E218" s="70">
        <f t="shared" si="2"/>
        <v>1.7013780007745358</v>
      </c>
      <c r="F218">
        <f>Tabela1[[#This Row],[Valores]]*3</f>
        <v>0</v>
      </c>
    </row>
    <row r="219" spans="1:6">
      <c r="A219" s="23">
        <v>45295</v>
      </c>
      <c r="C219">
        <f t="shared" si="0"/>
        <v>1.2460167973124301</v>
      </c>
      <c r="D219" s="70">
        <f t="shared" si="1"/>
        <v>0.78075081582314709</v>
      </c>
      <c r="E219" s="70">
        <f t="shared" si="2"/>
        <v>1.7112827788017131</v>
      </c>
      <c r="F219">
        <f>Tabela1[[#This Row],[Valores]]*3</f>
        <v>0</v>
      </c>
    </row>
    <row r="220" spans="1:6">
      <c r="A220" s="23">
        <v>45296</v>
      </c>
      <c r="C220">
        <f t="shared" si="0"/>
        <v>1.2476035834266519</v>
      </c>
      <c r="D220" s="70">
        <f t="shared" si="1"/>
        <v>0.77414992959523266</v>
      </c>
      <c r="E220" s="70">
        <f t="shared" si="2"/>
        <v>1.721057237258071</v>
      </c>
      <c r="F220">
        <f>Tabela1[[#This Row],[Valores]]*3</f>
        <v>0</v>
      </c>
    </row>
    <row r="221" spans="1:6">
      <c r="A221" s="23">
        <v>45297</v>
      </c>
      <c r="C221">
        <f t="shared" si="0"/>
        <v>1.2491903695408735</v>
      </c>
      <c r="D221" s="70">
        <f t="shared" si="1"/>
        <v>0.76767269994039133</v>
      </c>
      <c r="E221" s="70">
        <f t="shared" si="2"/>
        <v>1.7307080391413556</v>
      </c>
      <c r="F221">
        <f>Tabela1[[#This Row],[Valores]]*3</f>
        <v>0</v>
      </c>
    </row>
    <row r="222" spans="1:6">
      <c r="A222" s="23">
        <v>45298</v>
      </c>
      <c r="C222">
        <f t="shared" si="0"/>
        <v>1.2507771556550953</v>
      </c>
      <c r="D222" s="70">
        <f t="shared" si="1"/>
        <v>0.76131300013511871</v>
      </c>
      <c r="E222" s="70">
        <f t="shared" si="2"/>
        <v>1.7402413111750719</v>
      </c>
      <c r="F222">
        <f>Tabela1[[#This Row],[Valores]]*3</f>
        <v>0</v>
      </c>
    </row>
    <row r="223" spans="1:6">
      <c r="A223" s="23">
        <v>45299</v>
      </c>
      <c r="C223">
        <f t="shared" si="0"/>
        <v>1.2523639417693171</v>
      </c>
      <c r="D223" s="70">
        <f t="shared" si="1"/>
        <v>0.75506518135988254</v>
      </c>
      <c r="E223" s="70">
        <f t="shared" si="2"/>
        <v>1.7496627021787516</v>
      </c>
      <c r="F223">
        <f>Tabela1[[#This Row],[Valores]]*3</f>
        <v>0</v>
      </c>
    </row>
    <row r="224" spans="1:6">
      <c r="A224" s="23">
        <v>45300</v>
      </c>
      <c r="C224">
        <f t="shared" si="0"/>
        <v>1.2539507278835387</v>
      </c>
      <c r="D224" s="70">
        <f t="shared" si="1"/>
        <v>0.74892402224379395</v>
      </c>
      <c r="E224" s="70">
        <f t="shared" si="2"/>
        <v>1.7589774335232833</v>
      </c>
      <c r="F224">
        <f>Tabela1[[#This Row],[Valores]]*3</f>
        <v>0</v>
      </c>
    </row>
    <row r="225" spans="1:6">
      <c r="A225" s="23">
        <v>45301</v>
      </c>
      <c r="C225">
        <f t="shared" si="0"/>
        <v>1.2555375139977605</v>
      </c>
      <c r="D225" s="70">
        <f t="shared" si="1"/>
        <v>0.74288468505128136</v>
      </c>
      <c r="E225" s="70">
        <f t="shared" si="2"/>
        <v>1.7681903429442396</v>
      </c>
      <c r="F225">
        <f>Tabela1[[#This Row],[Valores]]*3</f>
        <v>0</v>
      </c>
    </row>
    <row r="226" spans="1:6">
      <c r="A226" s="23">
        <v>45302</v>
      </c>
      <c r="C226">
        <f t="shared" si="0"/>
        <v>1.2571243001119823</v>
      </c>
      <c r="D226" s="70">
        <f t="shared" si="1"/>
        <v>0.73694267747286135</v>
      </c>
      <c r="E226" s="70">
        <f t="shared" si="2"/>
        <v>1.7773059227511032</v>
      </c>
      <c r="F226">
        <f>Tabela1[[#This Row],[Valores]]*3</f>
        <v>0</v>
      </c>
    </row>
    <row r="227" spans="1:6">
      <c r="A227" s="23">
        <v>45303</v>
      </c>
      <c r="C227">
        <f t="shared" si="0"/>
        <v>1.2587110862262039</v>
      </c>
      <c r="D227" s="70">
        <f t="shared" si="1"/>
        <v>0.7310938191684615</v>
      </c>
      <c r="E227" s="70">
        <f t="shared" si="2"/>
        <v>1.7863283532839462</v>
      </c>
      <c r="F227">
        <f>Tabela1[[#This Row],[Valores]]*3</f>
        <v>0</v>
      </c>
    </row>
    <row r="228" spans="1:6">
      <c r="A228" s="23">
        <v>45304</v>
      </c>
      <c r="C228">
        <f t="shared" si="0"/>
        <v>1.2602978723404257</v>
      </c>
      <c r="D228" s="70">
        <f t="shared" si="1"/>
        <v>0.72533421236052664</v>
      </c>
      <c r="E228" s="70">
        <f t="shared" si="2"/>
        <v>1.7952615323203247</v>
      </c>
      <c r="F228">
        <f>Tabela1[[#This Row],[Valores]]*3</f>
        <v>0</v>
      </c>
    </row>
    <row r="229" spans="1:6">
      <c r="A229" s="23">
        <v>45305</v>
      </c>
      <c r="C229">
        <f t="shared" si="0"/>
        <v>1.2618846584546473</v>
      </c>
      <c r="D229" s="70">
        <f t="shared" si="1"/>
        <v>0.7196602158937111</v>
      </c>
      <c r="E229" s="70">
        <f t="shared" si="2"/>
        <v>1.8041091010155834</v>
      </c>
      <c r="F229">
        <f>Tabela1[[#This Row],[Valores]]*3</f>
        <v>0</v>
      </c>
    </row>
    <row r="230" spans="1:6">
      <c r="A230" s="23">
        <v>45306</v>
      </c>
      <c r="C230">
        <f t="shared" si="0"/>
        <v>1.2634714445688691</v>
      </c>
      <c r="D230" s="70">
        <f t="shared" si="1"/>
        <v>0.71406842227467693</v>
      </c>
      <c r="E230" s="70">
        <f t="shared" si="2"/>
        <v>1.8128744668630612</v>
      </c>
      <c r="F230">
        <f>Tabela1[[#This Row],[Valores]]*3</f>
        <v>0</v>
      </c>
    </row>
    <row r="231" spans="1:6">
      <c r="A231" s="23">
        <v>45307</v>
      </c>
      <c r="C231">
        <f t="shared" si="0"/>
        <v>1.2650582306830909</v>
      </c>
      <c r="D231" s="70">
        <f t="shared" si="1"/>
        <v>0.70855563728415816</v>
      </c>
      <c r="E231" s="70">
        <f t="shared" si="2"/>
        <v>1.8215608240820236</v>
      </c>
      <c r="F231">
        <f>Tabela1[[#This Row],[Valores]]*3</f>
        <v>0</v>
      </c>
    </row>
    <row r="232" spans="1:6">
      <c r="A232" s="23">
        <v>45308</v>
      </c>
      <c r="C232">
        <f t="shared" si="0"/>
        <v>1.2666450167973125</v>
      </c>
      <c r="D232" s="70">
        <f t="shared" si="1"/>
        <v>0.70311886181781358</v>
      </c>
      <c r="E232" s="70">
        <f t="shared" si="2"/>
        <v>1.8301711717768114</v>
      </c>
      <c r="F232">
        <f>Tabela1[[#This Row],[Valores]]*3</f>
        <v>0</v>
      </c>
    </row>
    <row r="233" spans="1:6">
      <c r="A233" s="23">
        <v>45309</v>
      </c>
      <c r="C233">
        <f t="shared" si="0"/>
        <v>1.2682318029115343</v>
      </c>
      <c r="D233" s="70">
        <f t="shared" si="1"/>
        <v>0.69775527566528639</v>
      </c>
      <c r="E233" s="70">
        <f t="shared" si="2"/>
        <v>1.838708330157782</v>
      </c>
      <c r="F233">
        <f>Tabela1[[#This Row],[Valores]]*3</f>
        <v>0</v>
      </c>
    </row>
    <row r="234" spans="1:6">
      <c r="A234" s="23">
        <v>45310</v>
      </c>
      <c r="C234">
        <f t="shared" si="0"/>
        <v>1.2698185890257561</v>
      </c>
      <c r="D234" s="70">
        <f t="shared" si="1"/>
        <v>0.69246222298062043</v>
      </c>
      <c r="E234" s="70">
        <f t="shared" si="2"/>
        <v>1.8471749550708916</v>
      </c>
      <c r="F234">
        <f>Tabela1[[#This Row],[Valores]]*3</f>
        <v>0</v>
      </c>
    </row>
    <row r="235" spans="1:6">
      <c r="A235" s="23">
        <v>45311</v>
      </c>
      <c r="C235">
        <f t="shared" si="0"/>
        <v>1.2714053751399776</v>
      </c>
      <c r="D235" s="70">
        <f t="shared" si="1"/>
        <v>0.68723719923348392</v>
      </c>
      <c r="E235" s="70">
        <f t="shared" si="2"/>
        <v>1.8555735510464713</v>
      </c>
      <c r="F235">
        <f>Tabela1[[#This Row],[Valores]]*3</f>
        <v>0</v>
      </c>
    </row>
    <row r="236" spans="1:6">
      <c r="A236" s="23">
        <v>45312</v>
      </c>
      <c r="C236">
        <f t="shared" si="0"/>
        <v>1.2729921612541995</v>
      </c>
      <c r="D236" s="70">
        <f t="shared" si="1"/>
        <v>0.68207783946093758</v>
      </c>
      <c r="E236" s="70">
        <f t="shared" si="2"/>
        <v>1.8639064830474612</v>
      </c>
      <c r="F236">
        <f>Tabela1[[#This Row],[Valores]]*3</f>
        <v>0</v>
      </c>
    </row>
    <row r="237" spans="1:6">
      <c r="A237" s="23">
        <v>45313</v>
      </c>
      <c r="C237">
        <f t="shared" si="0"/>
        <v>1.2745789473684213</v>
      </c>
      <c r="D237" s="70">
        <f t="shared" si="1"/>
        <v>0.67698190766484267</v>
      </c>
      <c r="E237" s="70">
        <f t="shared" si="2"/>
        <v>1.8721759870719998</v>
      </c>
      <c r="F237">
        <f>Tabela1[[#This Row],[Valores]]*3</f>
        <v>0</v>
      </c>
    </row>
    <row r="238" spans="1:6">
      <c r="A238" s="23">
        <v>45314</v>
      </c>
      <c r="C238">
        <f t="shared" si="0"/>
        <v>1.2761657334826428</v>
      </c>
      <c r="D238" s="70">
        <f t="shared" si="1"/>
        <v>0.67194728722134678</v>
      </c>
      <c r="E238" s="70">
        <f t="shared" si="2"/>
        <v>1.8803841797439389</v>
      </c>
      <c r="F238">
        <f>Tabela1[[#This Row],[Valores]]*3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DD70-9037-4D69-B5CD-D4177CA19282}">
  <dimension ref="A1:Q248"/>
  <sheetViews>
    <sheetView zoomScaleNormal="100" workbookViewId="0"/>
  </sheetViews>
  <sheetFormatPr defaultRowHeight="14.25"/>
  <cols>
    <col min="1" max="1" width="10" style="1" customWidth="1"/>
    <col min="2" max="2" width="10" style="2" customWidth="1"/>
    <col min="3" max="3" width="18.75" style="1" customWidth="1"/>
    <col min="5" max="5" width="12.5" customWidth="1"/>
    <col min="6" max="6" width="10.125" customWidth="1"/>
    <col min="7" max="7" width="18.75" customWidth="1"/>
    <col min="8" max="8" width="41.875" customWidth="1"/>
    <col min="9" max="9" width="8.5" customWidth="1"/>
    <col min="10" max="10" width="13.625" bestFit="1" customWidth="1"/>
  </cols>
  <sheetData>
    <row r="1" spans="1:17" ht="20.25" thickBot="1">
      <c r="A1" s="3" t="s">
        <v>5804</v>
      </c>
      <c r="B1" s="5"/>
      <c r="C1" s="3"/>
      <c r="E1" s="4" t="s">
        <v>5740</v>
      </c>
      <c r="F1" s="4"/>
      <c r="G1" s="4"/>
      <c r="H1" s="4"/>
      <c r="J1" s="4" t="s">
        <v>3</v>
      </c>
      <c r="K1" s="4"/>
      <c r="L1" s="4"/>
    </row>
    <row r="2" spans="1:17" ht="15" thickTop="1"/>
    <row r="3" spans="1:17" s="8" customFormat="1">
      <c r="A3" s="9" t="s">
        <v>0</v>
      </c>
      <c r="B3" s="10" t="s">
        <v>2</v>
      </c>
      <c r="C3" s="9" t="s">
        <v>1</v>
      </c>
      <c r="F3" s="11" t="s">
        <v>0</v>
      </c>
      <c r="G3" s="10" t="s">
        <v>2</v>
      </c>
      <c r="H3" s="10"/>
      <c r="J3" s="11" t="s">
        <v>0</v>
      </c>
      <c r="K3" s="10" t="s">
        <v>2</v>
      </c>
      <c r="L3" s="11" t="s">
        <v>1</v>
      </c>
    </row>
    <row r="4" spans="1:17">
      <c r="A4" s="1">
        <v>2.59</v>
      </c>
      <c r="B4" s="2">
        <v>16320</v>
      </c>
      <c r="C4" s="1">
        <f>A4*B4</f>
        <v>42268.799999999996</v>
      </c>
      <c r="E4" s="30" t="s">
        <v>5737</v>
      </c>
      <c r="F4" s="6">
        <f>AVERAGE(preços)</f>
        <v>2.4894214876033049</v>
      </c>
      <c r="G4" s="67">
        <f>ROUND(AVERAGE(unidades),2)</f>
        <v>41228.639999999999</v>
      </c>
      <c r="H4" s="1"/>
      <c r="J4" s="6">
        <v>1</v>
      </c>
      <c r="K4" s="2"/>
      <c r="L4" s="6"/>
    </row>
    <row r="5" spans="1:17">
      <c r="A5" s="1">
        <v>3.1900000000000004</v>
      </c>
      <c r="B5" s="2">
        <v>11560</v>
      </c>
      <c r="C5" s="1">
        <f t="shared" ref="C5:C68" si="0">A5*B5</f>
        <v>36876.400000000001</v>
      </c>
      <c r="E5" s="30" t="s">
        <v>5738</v>
      </c>
      <c r="F5" s="6">
        <f>_xlfn.STDEV.P(preços)</f>
        <v>0.86225276492028069</v>
      </c>
      <c r="G5" s="67">
        <f>_xlfn.STDEV.P(unidades)</f>
        <v>37903.073135290411</v>
      </c>
      <c r="H5" s="1"/>
      <c r="J5" s="6">
        <v>2</v>
      </c>
      <c r="K5" s="2"/>
      <c r="L5" s="6"/>
    </row>
    <row r="6" spans="1:17">
      <c r="A6" s="1">
        <v>3.84</v>
      </c>
      <c r="B6" s="2">
        <v>9020</v>
      </c>
      <c r="C6" s="1">
        <f t="shared" si="0"/>
        <v>34636.799999999996</v>
      </c>
      <c r="E6" s="30" t="s">
        <v>5739</v>
      </c>
      <c r="F6" s="31">
        <f>CORREL(preços,unidades)</f>
        <v>-0.82458251367524982</v>
      </c>
      <c r="G6" s="31"/>
      <c r="H6" s="31"/>
      <c r="J6" s="6">
        <v>3</v>
      </c>
      <c r="K6" s="2"/>
      <c r="L6" s="6"/>
    </row>
    <row r="7" spans="1:17">
      <c r="A7" s="1">
        <v>1.98</v>
      </c>
      <c r="B7" s="2">
        <v>29120</v>
      </c>
      <c r="C7" s="1">
        <f t="shared" si="0"/>
        <v>57657.599999999999</v>
      </c>
      <c r="J7" s="6">
        <v>4</v>
      </c>
      <c r="K7" s="2"/>
      <c r="L7" s="6"/>
    </row>
    <row r="8" spans="1:17">
      <c r="A8" s="1">
        <v>2.08</v>
      </c>
      <c r="B8" s="2">
        <v>38680</v>
      </c>
      <c r="C8" s="1">
        <f t="shared" si="0"/>
        <v>80454.400000000009</v>
      </c>
      <c r="J8" s="6">
        <v>5</v>
      </c>
      <c r="K8" s="2"/>
      <c r="L8" s="6"/>
    </row>
    <row r="9" spans="1:17">
      <c r="A9" s="1">
        <v>1.2200000000000002</v>
      </c>
      <c r="B9" s="2">
        <v>82570</v>
      </c>
      <c r="C9" s="1">
        <f t="shared" si="0"/>
        <v>100735.40000000002</v>
      </c>
      <c r="J9" s="6">
        <v>6</v>
      </c>
      <c r="K9" s="2"/>
      <c r="L9" s="6"/>
    </row>
    <row r="10" spans="1:17">
      <c r="A10" s="1">
        <v>3.47</v>
      </c>
      <c r="B10" s="2">
        <v>9620</v>
      </c>
      <c r="C10" s="1">
        <f t="shared" si="0"/>
        <v>33381.4</v>
      </c>
      <c r="J10" s="6">
        <v>7</v>
      </c>
      <c r="K10" s="2"/>
      <c r="L10" s="6"/>
    </row>
    <row r="11" spans="1:17">
      <c r="A11" s="1">
        <v>2.98</v>
      </c>
      <c r="B11" s="2">
        <v>12180</v>
      </c>
      <c r="C11" s="1">
        <f t="shared" si="0"/>
        <v>36296.400000000001</v>
      </c>
      <c r="J11" s="6">
        <v>50</v>
      </c>
      <c r="K11" s="2"/>
      <c r="L11" s="6"/>
    </row>
    <row r="12" spans="1:17">
      <c r="A12" s="1">
        <v>4.03</v>
      </c>
      <c r="B12" s="2">
        <v>12170</v>
      </c>
      <c r="C12" s="1">
        <f t="shared" si="0"/>
        <v>49045.100000000006</v>
      </c>
      <c r="J12" s="6">
        <v>200</v>
      </c>
      <c r="K12" s="2"/>
      <c r="L12" s="6"/>
    </row>
    <row r="13" spans="1:17">
      <c r="A13" s="1">
        <v>1.8900000000000001</v>
      </c>
      <c r="B13" s="2">
        <v>44410</v>
      </c>
      <c r="C13" s="1">
        <f t="shared" si="0"/>
        <v>83934.900000000009</v>
      </c>
      <c r="J13" s="6">
        <v>500</v>
      </c>
      <c r="K13" s="2"/>
      <c r="L13" s="6"/>
    </row>
    <row r="14" spans="1:17">
      <c r="A14" s="1">
        <v>2.08</v>
      </c>
      <c r="B14" s="2">
        <v>27490</v>
      </c>
      <c r="C14" s="1">
        <f t="shared" si="0"/>
        <v>57179.200000000004</v>
      </c>
      <c r="J14" s="6">
        <v>800</v>
      </c>
      <c r="K14" s="2"/>
      <c r="L14" s="6"/>
    </row>
    <row r="15" spans="1:17" ht="15.75">
      <c r="A15" s="1">
        <v>2.81</v>
      </c>
      <c r="B15" s="2">
        <v>19660</v>
      </c>
      <c r="C15" s="1">
        <f t="shared" si="0"/>
        <v>55244.6</v>
      </c>
      <c r="J15" s="7">
        <v>1000</v>
      </c>
      <c r="K15" s="2"/>
      <c r="L15" s="6"/>
      <c r="Q15" s="88" t="s">
        <v>5939</v>
      </c>
    </row>
    <row r="16" spans="1:17">
      <c r="A16" s="1">
        <v>2.4899999999999998</v>
      </c>
      <c r="B16" s="2">
        <v>31860</v>
      </c>
      <c r="C16" s="1">
        <f t="shared" si="0"/>
        <v>79331.399999999994</v>
      </c>
    </row>
    <row r="17" spans="1:17">
      <c r="A17" s="1">
        <v>3.4499999999999997</v>
      </c>
      <c r="B17" s="2">
        <v>7770</v>
      </c>
      <c r="C17" s="1">
        <f t="shared" si="0"/>
        <v>26806.499999999996</v>
      </c>
      <c r="Q17" t="s">
        <v>5931</v>
      </c>
    </row>
    <row r="18" spans="1:17">
      <c r="A18" s="1">
        <v>3.12</v>
      </c>
      <c r="B18" s="2">
        <v>9990</v>
      </c>
      <c r="C18" s="1">
        <f t="shared" si="0"/>
        <v>31168.799999999999</v>
      </c>
      <c r="Q18" t="s">
        <v>5932</v>
      </c>
    </row>
    <row r="19" spans="1:17">
      <c r="A19" s="1">
        <v>0.93</v>
      </c>
      <c r="B19" s="2">
        <v>182280</v>
      </c>
      <c r="C19" s="1">
        <f t="shared" si="0"/>
        <v>169520.40000000002</v>
      </c>
      <c r="Q19" t="s">
        <v>5933</v>
      </c>
    </row>
    <row r="20" spans="1:17">
      <c r="A20" s="1">
        <v>2.52</v>
      </c>
      <c r="B20" s="2">
        <v>38550</v>
      </c>
      <c r="C20" s="1">
        <f t="shared" si="0"/>
        <v>97146</v>
      </c>
    </row>
    <row r="21" spans="1:17">
      <c r="A21" s="1">
        <v>2.9099999999999997</v>
      </c>
      <c r="B21" s="2">
        <v>29230</v>
      </c>
      <c r="C21" s="1">
        <f t="shared" si="0"/>
        <v>85059.299999999988</v>
      </c>
      <c r="Q21" t="s">
        <v>5934</v>
      </c>
    </row>
    <row r="22" spans="1:17">
      <c r="A22" s="1">
        <v>1.9300000000000002</v>
      </c>
      <c r="B22" s="2">
        <v>30450</v>
      </c>
      <c r="C22" s="1">
        <f t="shared" si="0"/>
        <v>58768.500000000007</v>
      </c>
      <c r="Q22" t="s">
        <v>5935</v>
      </c>
    </row>
    <row r="23" spans="1:17">
      <c r="A23" s="1">
        <v>1.91</v>
      </c>
      <c r="B23" s="2">
        <v>47870</v>
      </c>
      <c r="C23" s="1">
        <f t="shared" si="0"/>
        <v>91431.7</v>
      </c>
      <c r="Q23" t="s">
        <v>5936</v>
      </c>
    </row>
    <row r="24" spans="1:17">
      <c r="A24" s="1">
        <v>3.18</v>
      </c>
      <c r="B24" s="2">
        <v>16430</v>
      </c>
      <c r="C24" s="1">
        <f t="shared" si="0"/>
        <v>52247.4</v>
      </c>
      <c r="Q24" t="s">
        <v>5937</v>
      </c>
    </row>
    <row r="25" spans="1:17">
      <c r="A25" s="1">
        <v>1.74</v>
      </c>
      <c r="B25" s="2">
        <v>47600</v>
      </c>
      <c r="C25" s="1">
        <f t="shared" si="0"/>
        <v>82824</v>
      </c>
      <c r="Q25" t="s">
        <v>5938</v>
      </c>
    </row>
    <row r="26" spans="1:17">
      <c r="A26" s="1">
        <v>3.3</v>
      </c>
      <c r="B26" s="2">
        <v>13960</v>
      </c>
      <c r="C26" s="1">
        <f t="shared" si="0"/>
        <v>46068</v>
      </c>
    </row>
    <row r="27" spans="1:17">
      <c r="A27" s="1">
        <v>3.61</v>
      </c>
      <c r="B27" s="2">
        <v>10380</v>
      </c>
      <c r="C27" s="1">
        <f t="shared" si="0"/>
        <v>37471.799999999996</v>
      </c>
    </row>
    <row r="28" spans="1:17">
      <c r="A28" s="1">
        <v>1.56</v>
      </c>
      <c r="B28" s="2">
        <v>56480</v>
      </c>
      <c r="C28" s="1">
        <f t="shared" si="0"/>
        <v>88108.800000000003</v>
      </c>
    </row>
    <row r="29" spans="1:17">
      <c r="A29" s="1">
        <v>3.2199999999999998</v>
      </c>
      <c r="B29" s="2">
        <v>14370</v>
      </c>
      <c r="C29" s="1">
        <f t="shared" si="0"/>
        <v>46271.399999999994</v>
      </c>
    </row>
    <row r="30" spans="1:17">
      <c r="A30" s="1">
        <v>1.59</v>
      </c>
      <c r="B30" s="2">
        <v>40340</v>
      </c>
      <c r="C30" s="1">
        <f t="shared" si="0"/>
        <v>64140.600000000006</v>
      </c>
    </row>
    <row r="31" spans="1:17">
      <c r="A31" s="1">
        <v>3.65</v>
      </c>
      <c r="B31" s="2">
        <v>12120</v>
      </c>
      <c r="C31" s="1">
        <f t="shared" si="0"/>
        <v>44238</v>
      </c>
    </row>
    <row r="32" spans="1:17">
      <c r="A32" s="1">
        <v>3.6199999999999997</v>
      </c>
      <c r="B32" s="2">
        <v>13360</v>
      </c>
      <c r="C32" s="1">
        <f t="shared" si="0"/>
        <v>48363.199999999997</v>
      </c>
    </row>
    <row r="33" spans="1:8" ht="20.25" thickBot="1">
      <c r="A33" s="1">
        <v>1.8</v>
      </c>
      <c r="B33" s="2">
        <v>39510</v>
      </c>
      <c r="C33" s="1">
        <f t="shared" si="0"/>
        <v>71118</v>
      </c>
      <c r="E33" s="4" t="s">
        <v>5805</v>
      </c>
      <c r="F33" s="4"/>
      <c r="G33" s="4"/>
      <c r="H33" s="4"/>
    </row>
    <row r="34" spans="1:8" ht="15.75" thickTop="1">
      <c r="A34" s="1">
        <v>1.19</v>
      </c>
      <c r="B34" s="2">
        <v>116660</v>
      </c>
      <c r="C34" s="1">
        <f t="shared" si="0"/>
        <v>138825.4</v>
      </c>
      <c r="E34" t="s">
        <v>5806</v>
      </c>
      <c r="F34" t="s">
        <v>0</v>
      </c>
      <c r="G34" t="s">
        <v>5807</v>
      </c>
      <c r="H34" s="86" t="s">
        <v>5922</v>
      </c>
    </row>
    <row r="35" spans="1:8" ht="15">
      <c r="A35" s="1">
        <v>2.8</v>
      </c>
      <c r="B35" s="2">
        <v>18750</v>
      </c>
      <c r="C35" s="1">
        <f t="shared" si="0"/>
        <v>52500</v>
      </c>
      <c r="E35" s="23">
        <v>45077</v>
      </c>
      <c r="F35" s="47">
        <v>1.06</v>
      </c>
      <c r="G35" s="47">
        <v>1.06</v>
      </c>
      <c r="H35" s="87">
        <f>INT(153086*F35^-1.953)</f>
        <v>136619</v>
      </c>
    </row>
    <row r="36" spans="1:8" ht="15">
      <c r="A36" s="1">
        <v>2.35</v>
      </c>
      <c r="B36" s="2">
        <v>25900</v>
      </c>
      <c r="C36" s="1">
        <f t="shared" si="0"/>
        <v>60865</v>
      </c>
      <c r="E36" s="23">
        <v>45078</v>
      </c>
      <c r="F36" s="47">
        <v>1.1299999999999999</v>
      </c>
      <c r="G36" s="47">
        <v>1.1299999999999999</v>
      </c>
      <c r="H36" s="87">
        <f t="shared" ref="H36:H99" si="1">INT(153086*F36^-1.953)</f>
        <v>120579</v>
      </c>
    </row>
    <row r="37" spans="1:8" ht="15">
      <c r="A37" s="1">
        <v>1.9300000000000002</v>
      </c>
      <c r="B37" s="2">
        <v>38910</v>
      </c>
      <c r="C37" s="1">
        <f t="shared" si="0"/>
        <v>75096.3</v>
      </c>
      <c r="E37" s="23">
        <v>45079</v>
      </c>
      <c r="F37" s="47">
        <v>1.0900000000000001</v>
      </c>
      <c r="G37" s="47">
        <v>1.0900000000000001</v>
      </c>
      <c r="H37" s="87">
        <f t="shared" si="1"/>
        <v>129372</v>
      </c>
    </row>
    <row r="38" spans="1:8" ht="15">
      <c r="A38" s="1">
        <v>1.06</v>
      </c>
      <c r="B38" s="2">
        <v>110650</v>
      </c>
      <c r="C38" s="1">
        <f t="shared" si="0"/>
        <v>117289</v>
      </c>
      <c r="E38" s="23">
        <v>45080</v>
      </c>
      <c r="F38" s="47">
        <v>1.1000000000000001</v>
      </c>
      <c r="G38" s="47">
        <v>1.1000000000000001</v>
      </c>
      <c r="H38" s="87">
        <f t="shared" si="1"/>
        <v>127085</v>
      </c>
    </row>
    <row r="39" spans="1:8" ht="15">
      <c r="A39" s="1">
        <v>3.7199999999999998</v>
      </c>
      <c r="B39" s="2">
        <v>9230</v>
      </c>
      <c r="C39" s="1">
        <f t="shared" si="0"/>
        <v>34335.599999999999</v>
      </c>
      <c r="E39" s="23">
        <v>45081</v>
      </c>
      <c r="F39" s="47">
        <v>1.04</v>
      </c>
      <c r="G39" s="47">
        <v>1.04</v>
      </c>
      <c r="H39" s="87">
        <f t="shared" si="1"/>
        <v>141797</v>
      </c>
    </row>
    <row r="40" spans="1:8" ht="15">
      <c r="A40" s="1">
        <v>1.5</v>
      </c>
      <c r="B40" s="2">
        <v>81040</v>
      </c>
      <c r="C40" s="1">
        <f t="shared" si="0"/>
        <v>121560</v>
      </c>
      <c r="E40" s="23">
        <v>45082</v>
      </c>
      <c r="F40" s="47">
        <v>0.98</v>
      </c>
      <c r="G40" s="47">
        <v>0.98</v>
      </c>
      <c r="H40" s="87">
        <f t="shared" si="1"/>
        <v>159246</v>
      </c>
    </row>
    <row r="41" spans="1:8" ht="15">
      <c r="A41" s="1">
        <v>2.7800000000000002</v>
      </c>
      <c r="B41" s="2">
        <v>14370</v>
      </c>
      <c r="C41" s="1">
        <f t="shared" si="0"/>
        <v>39948.600000000006</v>
      </c>
      <c r="E41" s="23">
        <v>45083</v>
      </c>
      <c r="F41" s="47">
        <v>0.97</v>
      </c>
      <c r="G41" s="47">
        <v>0.97</v>
      </c>
      <c r="H41" s="87">
        <f t="shared" si="1"/>
        <v>162468</v>
      </c>
    </row>
    <row r="42" spans="1:8" ht="15">
      <c r="A42" s="1">
        <v>2.3099999999999996</v>
      </c>
      <c r="B42" s="2">
        <v>36290</v>
      </c>
      <c r="C42" s="1">
        <f t="shared" si="0"/>
        <v>83829.89999999998</v>
      </c>
      <c r="E42" s="23">
        <v>45084</v>
      </c>
      <c r="F42" s="47">
        <v>1.04</v>
      </c>
      <c r="G42" s="47">
        <v>1.04</v>
      </c>
      <c r="H42" s="87">
        <f t="shared" si="1"/>
        <v>141797</v>
      </c>
    </row>
    <row r="43" spans="1:8" ht="15">
      <c r="A43" s="1">
        <v>2.84</v>
      </c>
      <c r="B43" s="2">
        <v>28160</v>
      </c>
      <c r="C43" s="1">
        <f t="shared" si="0"/>
        <v>79974.399999999994</v>
      </c>
      <c r="E43" s="23">
        <v>45085</v>
      </c>
      <c r="F43" s="47">
        <v>1.04</v>
      </c>
      <c r="G43" s="47">
        <v>1.04</v>
      </c>
      <c r="H43" s="87">
        <f t="shared" si="1"/>
        <v>141797</v>
      </c>
    </row>
    <row r="44" spans="1:8" ht="15">
      <c r="A44" s="1">
        <v>2.91</v>
      </c>
      <c r="B44" s="2">
        <v>18030</v>
      </c>
      <c r="C44" s="1">
        <f t="shared" si="0"/>
        <v>52467.3</v>
      </c>
      <c r="E44" s="23">
        <v>45086</v>
      </c>
      <c r="F44" s="47">
        <v>0.99</v>
      </c>
      <c r="G44" s="47">
        <v>0.99</v>
      </c>
      <c r="H44" s="87">
        <f t="shared" si="1"/>
        <v>156120</v>
      </c>
    </row>
    <row r="45" spans="1:8" ht="15">
      <c r="A45" s="1">
        <v>2.7300000000000004</v>
      </c>
      <c r="B45" s="2">
        <v>23380</v>
      </c>
      <c r="C45" s="1">
        <f t="shared" si="0"/>
        <v>63827.400000000009</v>
      </c>
      <c r="E45" s="23">
        <v>45087</v>
      </c>
      <c r="F45" s="47">
        <v>0.97</v>
      </c>
      <c r="G45" s="47">
        <v>0.97</v>
      </c>
      <c r="H45" s="87">
        <f t="shared" si="1"/>
        <v>162468</v>
      </c>
    </row>
    <row r="46" spans="1:8" ht="15">
      <c r="A46" s="1">
        <v>3.5</v>
      </c>
      <c r="B46" s="2">
        <v>13910</v>
      </c>
      <c r="C46" s="1">
        <f t="shared" si="0"/>
        <v>48685</v>
      </c>
      <c r="E46" s="23">
        <v>45088</v>
      </c>
      <c r="F46" s="47">
        <v>0.98</v>
      </c>
      <c r="G46" s="47">
        <v>0.98</v>
      </c>
      <c r="H46" s="87">
        <f t="shared" si="1"/>
        <v>159246</v>
      </c>
    </row>
    <row r="47" spans="1:8" ht="15">
      <c r="A47" s="1">
        <v>1.73</v>
      </c>
      <c r="B47" s="2">
        <v>42150</v>
      </c>
      <c r="C47" s="1">
        <f t="shared" si="0"/>
        <v>72919.5</v>
      </c>
      <c r="E47" s="23">
        <v>45089</v>
      </c>
      <c r="F47" s="47">
        <v>0.91</v>
      </c>
      <c r="G47" s="47">
        <v>0.91</v>
      </c>
      <c r="H47" s="87">
        <f t="shared" si="1"/>
        <v>184046</v>
      </c>
    </row>
    <row r="48" spans="1:8" ht="15">
      <c r="A48" s="1">
        <v>1.34</v>
      </c>
      <c r="B48" s="2">
        <v>76390</v>
      </c>
      <c r="C48" s="1">
        <f t="shared" si="0"/>
        <v>102362.6</v>
      </c>
      <c r="E48" s="23">
        <v>45090</v>
      </c>
      <c r="F48" s="47">
        <v>0.88</v>
      </c>
      <c r="G48" s="47">
        <v>0.88</v>
      </c>
      <c r="H48" s="87">
        <f t="shared" si="1"/>
        <v>196499</v>
      </c>
    </row>
    <row r="49" spans="1:8" ht="15">
      <c r="A49" s="1">
        <v>2</v>
      </c>
      <c r="B49" s="2">
        <v>55550</v>
      </c>
      <c r="C49" s="1">
        <f t="shared" si="0"/>
        <v>111100</v>
      </c>
      <c r="E49" s="23">
        <v>45091</v>
      </c>
      <c r="F49" s="47">
        <v>0.92</v>
      </c>
      <c r="G49" s="47">
        <v>0.92</v>
      </c>
      <c r="H49" s="87">
        <f t="shared" si="1"/>
        <v>180159</v>
      </c>
    </row>
    <row r="50" spans="1:8" ht="15">
      <c r="A50" s="1">
        <v>3.3800000000000003</v>
      </c>
      <c r="B50" s="2">
        <v>11030</v>
      </c>
      <c r="C50" s="1">
        <f t="shared" si="0"/>
        <v>37281.4</v>
      </c>
      <c r="E50" s="23">
        <v>45092</v>
      </c>
      <c r="F50" s="47">
        <v>0.89</v>
      </c>
      <c r="G50" s="47">
        <v>0.89</v>
      </c>
      <c r="H50" s="87">
        <f t="shared" si="1"/>
        <v>192210</v>
      </c>
    </row>
    <row r="51" spans="1:8" ht="15">
      <c r="A51" s="1">
        <v>1.2</v>
      </c>
      <c r="B51" s="2">
        <v>114190</v>
      </c>
      <c r="C51" s="1">
        <f t="shared" si="0"/>
        <v>137028</v>
      </c>
      <c r="E51" s="23">
        <v>45093</v>
      </c>
      <c r="F51" s="47">
        <v>0.94</v>
      </c>
      <c r="G51" s="47">
        <v>0.94</v>
      </c>
      <c r="H51" s="87">
        <f t="shared" si="1"/>
        <v>172749</v>
      </c>
    </row>
    <row r="52" spans="1:8" ht="15">
      <c r="A52" s="1">
        <v>2.57</v>
      </c>
      <c r="B52" s="2">
        <v>15830</v>
      </c>
      <c r="C52" s="1">
        <f t="shared" si="0"/>
        <v>40683.1</v>
      </c>
      <c r="E52" s="23">
        <v>45094</v>
      </c>
      <c r="F52" s="47">
        <v>0.96</v>
      </c>
      <c r="G52" s="47">
        <v>0.96</v>
      </c>
      <c r="H52" s="87">
        <f t="shared" si="1"/>
        <v>165790</v>
      </c>
    </row>
    <row r="53" spans="1:8" ht="15">
      <c r="A53" s="1">
        <v>1.08</v>
      </c>
      <c r="B53" s="2">
        <v>144490</v>
      </c>
      <c r="C53" s="1">
        <f t="shared" si="0"/>
        <v>156049.20000000001</v>
      </c>
      <c r="E53" s="23">
        <v>45095</v>
      </c>
      <c r="F53" s="47">
        <v>1.04</v>
      </c>
      <c r="G53" s="47">
        <v>1.04</v>
      </c>
      <c r="H53" s="87">
        <f t="shared" si="1"/>
        <v>141797</v>
      </c>
    </row>
    <row r="54" spans="1:8" ht="15">
      <c r="A54" s="1">
        <v>3.06</v>
      </c>
      <c r="B54" s="2">
        <v>24770</v>
      </c>
      <c r="C54" s="1">
        <f t="shared" si="0"/>
        <v>75796.2</v>
      </c>
      <c r="E54" s="23">
        <v>45096</v>
      </c>
      <c r="F54" s="47">
        <v>0.97</v>
      </c>
      <c r="G54" s="47">
        <v>0.97</v>
      </c>
      <c r="H54" s="87">
        <f t="shared" si="1"/>
        <v>162468</v>
      </c>
    </row>
    <row r="55" spans="1:8" ht="15">
      <c r="A55" s="1">
        <v>1.46</v>
      </c>
      <c r="B55" s="2">
        <v>109590</v>
      </c>
      <c r="C55" s="1">
        <f t="shared" si="0"/>
        <v>160001.4</v>
      </c>
      <c r="E55" s="23">
        <v>45097</v>
      </c>
      <c r="F55" s="47">
        <v>1.02</v>
      </c>
      <c r="G55" s="47">
        <v>1.02</v>
      </c>
      <c r="H55" s="87">
        <f t="shared" si="1"/>
        <v>147278</v>
      </c>
    </row>
    <row r="56" spans="1:8" ht="15">
      <c r="A56" s="1">
        <v>1.0799999999999998</v>
      </c>
      <c r="B56" s="2">
        <v>87040</v>
      </c>
      <c r="C56" s="1">
        <f t="shared" si="0"/>
        <v>94003.199999999983</v>
      </c>
      <c r="E56" s="23">
        <v>45098</v>
      </c>
      <c r="F56" s="47">
        <v>1.05</v>
      </c>
      <c r="G56" s="47">
        <v>1.05</v>
      </c>
      <c r="H56" s="87">
        <f t="shared" si="1"/>
        <v>139172</v>
      </c>
    </row>
    <row r="57" spans="1:8" ht="15">
      <c r="A57" s="1">
        <v>2.88</v>
      </c>
      <c r="B57" s="2">
        <v>21910</v>
      </c>
      <c r="C57" s="1">
        <f t="shared" si="0"/>
        <v>63100.799999999996</v>
      </c>
      <c r="E57" s="23">
        <v>45099</v>
      </c>
      <c r="F57" s="47">
        <v>1.03</v>
      </c>
      <c r="G57" s="47">
        <v>1.03</v>
      </c>
      <c r="H57" s="87">
        <f t="shared" si="1"/>
        <v>144498</v>
      </c>
    </row>
    <row r="58" spans="1:8" ht="15">
      <c r="A58" s="1">
        <v>1.32</v>
      </c>
      <c r="B58" s="2">
        <v>88510</v>
      </c>
      <c r="C58" s="1">
        <f t="shared" si="0"/>
        <v>116833.20000000001</v>
      </c>
      <c r="E58" s="23">
        <v>45100</v>
      </c>
      <c r="F58" s="47">
        <v>1.07</v>
      </c>
      <c r="G58" s="47">
        <v>1.07</v>
      </c>
      <c r="H58" s="87">
        <f t="shared" si="1"/>
        <v>134137</v>
      </c>
    </row>
    <row r="59" spans="1:8" ht="15">
      <c r="A59" s="1">
        <v>2.36</v>
      </c>
      <c r="B59" s="2">
        <v>34920</v>
      </c>
      <c r="C59" s="1">
        <f t="shared" si="0"/>
        <v>82411.199999999997</v>
      </c>
      <c r="E59" s="23">
        <v>45101</v>
      </c>
      <c r="F59" s="47">
        <v>1.1200000000000001</v>
      </c>
      <c r="G59" s="47">
        <v>1.1200000000000001</v>
      </c>
      <c r="H59" s="87">
        <f t="shared" si="1"/>
        <v>122690</v>
      </c>
    </row>
    <row r="60" spans="1:8" ht="15">
      <c r="A60" s="1">
        <v>2.59</v>
      </c>
      <c r="B60" s="2">
        <v>29960</v>
      </c>
      <c r="C60" s="1">
        <f t="shared" si="0"/>
        <v>77596.399999999994</v>
      </c>
      <c r="E60" s="23">
        <v>45102</v>
      </c>
      <c r="F60" s="47">
        <v>1.1399999999999999</v>
      </c>
      <c r="G60" s="47">
        <v>1.1399999999999999</v>
      </c>
      <c r="H60" s="87">
        <f t="shared" si="1"/>
        <v>118522</v>
      </c>
    </row>
    <row r="61" spans="1:8" ht="15">
      <c r="A61" s="1">
        <v>2.16</v>
      </c>
      <c r="B61" s="2">
        <v>44640</v>
      </c>
      <c r="C61" s="1">
        <f t="shared" si="0"/>
        <v>96422.400000000009</v>
      </c>
      <c r="E61" s="23">
        <v>45103</v>
      </c>
      <c r="F61" s="47">
        <v>1.17</v>
      </c>
      <c r="G61" s="47">
        <v>1.17</v>
      </c>
      <c r="H61" s="87">
        <f t="shared" si="1"/>
        <v>112659</v>
      </c>
    </row>
    <row r="62" spans="1:8" ht="15">
      <c r="A62" s="1">
        <v>1.84</v>
      </c>
      <c r="B62" s="2">
        <v>51640</v>
      </c>
      <c r="C62" s="1">
        <f t="shared" si="0"/>
        <v>95017.600000000006</v>
      </c>
      <c r="E62" s="23">
        <v>45104</v>
      </c>
      <c r="F62" s="47">
        <v>1.17</v>
      </c>
      <c r="G62" s="47">
        <v>1.17</v>
      </c>
      <c r="H62" s="87">
        <f t="shared" si="1"/>
        <v>112659</v>
      </c>
    </row>
    <row r="63" spans="1:8" ht="15">
      <c r="A63" s="1">
        <v>1.3599999999999999</v>
      </c>
      <c r="B63" s="2">
        <v>90680</v>
      </c>
      <c r="C63" s="1">
        <f t="shared" si="0"/>
        <v>123324.79999999999</v>
      </c>
      <c r="E63" s="23">
        <v>45105</v>
      </c>
      <c r="F63" s="47">
        <v>1.1399999999999999</v>
      </c>
      <c r="G63" s="47">
        <v>1.1399999999999999</v>
      </c>
      <c r="H63" s="87">
        <f t="shared" si="1"/>
        <v>118522</v>
      </c>
    </row>
    <row r="64" spans="1:8" ht="15">
      <c r="A64" s="1">
        <v>1.2100000000000002</v>
      </c>
      <c r="B64" s="2">
        <v>55090</v>
      </c>
      <c r="C64" s="1">
        <f t="shared" si="0"/>
        <v>66658.900000000009</v>
      </c>
      <c r="E64" s="23">
        <v>45106</v>
      </c>
      <c r="F64" s="47">
        <v>1.1200000000000001</v>
      </c>
      <c r="G64" s="47">
        <v>1.1200000000000001</v>
      </c>
      <c r="H64" s="87">
        <f t="shared" si="1"/>
        <v>122690</v>
      </c>
    </row>
    <row r="65" spans="1:8" ht="15">
      <c r="A65" s="1">
        <v>2.2400000000000002</v>
      </c>
      <c r="B65" s="2">
        <v>41940</v>
      </c>
      <c r="C65" s="1">
        <f t="shared" si="0"/>
        <v>93945.600000000006</v>
      </c>
      <c r="E65" s="23">
        <v>45107</v>
      </c>
      <c r="F65" s="47">
        <v>1.1000000000000001</v>
      </c>
      <c r="G65" s="47">
        <v>1.1000000000000001</v>
      </c>
      <c r="H65" s="87">
        <f t="shared" si="1"/>
        <v>127085</v>
      </c>
    </row>
    <row r="66" spans="1:8" ht="15">
      <c r="A66" s="1">
        <v>2.2000000000000002</v>
      </c>
      <c r="B66" s="2">
        <v>29410</v>
      </c>
      <c r="C66" s="1">
        <f t="shared" si="0"/>
        <v>64702.000000000007</v>
      </c>
      <c r="E66" s="23">
        <v>45108</v>
      </c>
      <c r="F66" s="47">
        <v>1.1299999999999999</v>
      </c>
      <c r="G66" s="47">
        <v>1.1299999999999999</v>
      </c>
      <c r="H66" s="87">
        <f t="shared" si="1"/>
        <v>120579</v>
      </c>
    </row>
    <row r="67" spans="1:8" ht="15">
      <c r="A67" s="1">
        <v>2.4899999999999998</v>
      </c>
      <c r="B67" s="2">
        <v>40460</v>
      </c>
      <c r="C67" s="1">
        <f t="shared" si="0"/>
        <v>100745.4</v>
      </c>
      <c r="E67" s="23">
        <v>45109</v>
      </c>
      <c r="F67" s="47">
        <v>1.1200000000000001</v>
      </c>
      <c r="G67" s="47">
        <v>1.1200000000000001</v>
      </c>
      <c r="H67" s="87">
        <f t="shared" si="1"/>
        <v>122690</v>
      </c>
    </row>
    <row r="68" spans="1:8" ht="15">
      <c r="A68" s="1">
        <v>2.71</v>
      </c>
      <c r="B68" s="2">
        <v>23150</v>
      </c>
      <c r="C68" s="1">
        <f t="shared" si="0"/>
        <v>62736.5</v>
      </c>
      <c r="E68" s="23">
        <v>45110</v>
      </c>
      <c r="F68" s="47">
        <v>1.06</v>
      </c>
      <c r="G68" s="47">
        <v>1.06</v>
      </c>
      <c r="H68" s="87">
        <f t="shared" si="1"/>
        <v>136619</v>
      </c>
    </row>
    <row r="69" spans="1:8" ht="15">
      <c r="A69" s="1">
        <v>3.25</v>
      </c>
      <c r="B69" s="2">
        <v>13660</v>
      </c>
      <c r="C69" s="1">
        <f t="shared" ref="C69:C132" si="2">A69*B69</f>
        <v>44395</v>
      </c>
      <c r="E69" s="23">
        <v>45111</v>
      </c>
      <c r="F69" s="47">
        <v>1.1200000000000001</v>
      </c>
      <c r="G69" s="47">
        <v>1.1200000000000001</v>
      </c>
      <c r="H69" s="87">
        <f t="shared" si="1"/>
        <v>122690</v>
      </c>
    </row>
    <row r="70" spans="1:8" ht="15">
      <c r="A70" s="1">
        <v>3.53</v>
      </c>
      <c r="B70" s="2">
        <v>17250</v>
      </c>
      <c r="C70" s="1">
        <f t="shared" si="2"/>
        <v>60892.5</v>
      </c>
      <c r="E70" s="23">
        <v>45112</v>
      </c>
      <c r="F70" s="47">
        <v>1.0900000000000001</v>
      </c>
      <c r="G70" s="47">
        <v>1.0900000000000001</v>
      </c>
      <c r="H70" s="87">
        <f t="shared" si="1"/>
        <v>129372</v>
      </c>
    </row>
    <row r="71" spans="1:8" ht="15">
      <c r="A71" s="1">
        <v>1.91</v>
      </c>
      <c r="B71" s="2">
        <v>51650</v>
      </c>
      <c r="C71" s="1">
        <f t="shared" si="2"/>
        <v>98651.5</v>
      </c>
      <c r="E71" s="23">
        <v>45113</v>
      </c>
      <c r="F71" s="47">
        <v>1.01</v>
      </c>
      <c r="G71" s="47">
        <v>1.01</v>
      </c>
      <c r="H71" s="87">
        <f t="shared" si="1"/>
        <v>150139</v>
      </c>
    </row>
    <row r="72" spans="1:8" ht="15">
      <c r="A72" s="1">
        <v>3.03</v>
      </c>
      <c r="B72" s="2">
        <v>20760</v>
      </c>
      <c r="C72" s="1">
        <f t="shared" si="2"/>
        <v>62902.799999999996</v>
      </c>
      <c r="E72" s="23">
        <v>45114</v>
      </c>
      <c r="F72" s="47">
        <v>0.96</v>
      </c>
      <c r="G72" s="47">
        <v>0.96</v>
      </c>
      <c r="H72" s="87">
        <f t="shared" si="1"/>
        <v>165790</v>
      </c>
    </row>
    <row r="73" spans="1:8" ht="15">
      <c r="A73" s="1">
        <v>3.4099999999999997</v>
      </c>
      <c r="B73" s="2">
        <v>15500</v>
      </c>
      <c r="C73" s="1">
        <f t="shared" si="2"/>
        <v>52854.999999999993</v>
      </c>
      <c r="E73" s="23">
        <v>45115</v>
      </c>
      <c r="F73" s="47">
        <v>0.99</v>
      </c>
      <c r="G73" s="47">
        <v>0.99</v>
      </c>
      <c r="H73" s="87">
        <f t="shared" si="1"/>
        <v>156120</v>
      </c>
    </row>
    <row r="74" spans="1:8" ht="15">
      <c r="A74" s="1">
        <v>2.5299999999999998</v>
      </c>
      <c r="B74" s="2">
        <v>24750</v>
      </c>
      <c r="C74" s="1">
        <f t="shared" si="2"/>
        <v>62617.499999999993</v>
      </c>
      <c r="E74" s="23">
        <v>45116</v>
      </c>
      <c r="F74" s="47">
        <v>0.95</v>
      </c>
      <c r="G74" s="47">
        <v>0.95</v>
      </c>
      <c r="H74" s="87">
        <f t="shared" si="1"/>
        <v>169215</v>
      </c>
    </row>
    <row r="75" spans="1:8" ht="15">
      <c r="A75" s="1">
        <v>3.31</v>
      </c>
      <c r="B75" s="2">
        <v>20340</v>
      </c>
      <c r="C75" s="1">
        <f t="shared" si="2"/>
        <v>67325.399999999994</v>
      </c>
      <c r="E75" s="23">
        <v>45117</v>
      </c>
      <c r="F75" s="47">
        <v>0.93</v>
      </c>
      <c r="G75" s="47">
        <v>0.93</v>
      </c>
      <c r="H75" s="87">
        <f t="shared" si="1"/>
        <v>176395</v>
      </c>
    </row>
    <row r="76" spans="1:8" ht="15">
      <c r="A76" s="1">
        <v>2.83</v>
      </c>
      <c r="B76" s="2">
        <v>28160</v>
      </c>
      <c r="C76" s="1">
        <f t="shared" si="2"/>
        <v>79692.800000000003</v>
      </c>
      <c r="E76" s="23">
        <v>45118</v>
      </c>
      <c r="F76" s="47">
        <v>0.92</v>
      </c>
      <c r="G76" s="47">
        <v>0.92</v>
      </c>
      <c r="H76" s="87">
        <f t="shared" si="1"/>
        <v>180159</v>
      </c>
    </row>
    <row r="77" spans="1:8" ht="15">
      <c r="A77" s="1">
        <v>3.39</v>
      </c>
      <c r="B77" s="2">
        <v>15310</v>
      </c>
      <c r="C77" s="1">
        <f t="shared" si="2"/>
        <v>51900.9</v>
      </c>
      <c r="E77" s="23">
        <v>45119</v>
      </c>
      <c r="F77" s="47">
        <v>0.97</v>
      </c>
      <c r="G77" s="47">
        <v>0.97</v>
      </c>
      <c r="H77" s="87">
        <f t="shared" si="1"/>
        <v>162468</v>
      </c>
    </row>
    <row r="78" spans="1:8" ht="15">
      <c r="A78" s="1">
        <v>3.66</v>
      </c>
      <c r="B78" s="2">
        <v>13450</v>
      </c>
      <c r="C78" s="1">
        <f t="shared" si="2"/>
        <v>49227</v>
      </c>
      <c r="E78" s="23">
        <v>45120</v>
      </c>
      <c r="F78" s="47">
        <v>0.89</v>
      </c>
      <c r="G78" s="47">
        <v>0.89</v>
      </c>
      <c r="H78" s="87">
        <f t="shared" si="1"/>
        <v>192210</v>
      </c>
    </row>
    <row r="79" spans="1:8" ht="15">
      <c r="A79" s="1">
        <v>3.76</v>
      </c>
      <c r="B79" s="2">
        <v>15060</v>
      </c>
      <c r="C79" s="1">
        <f t="shared" si="2"/>
        <v>56625.599999999999</v>
      </c>
      <c r="E79" s="23">
        <v>45121</v>
      </c>
      <c r="F79" s="47">
        <v>0.81</v>
      </c>
      <c r="G79" s="47">
        <v>0.81</v>
      </c>
      <c r="H79" s="87">
        <f t="shared" si="1"/>
        <v>231027</v>
      </c>
    </row>
    <row r="80" spans="1:8" ht="15">
      <c r="A80" s="1">
        <v>2.62</v>
      </c>
      <c r="B80" s="2">
        <v>25560</v>
      </c>
      <c r="C80" s="1">
        <f t="shared" si="2"/>
        <v>66967.199999999997</v>
      </c>
      <c r="E80" s="23">
        <v>45122</v>
      </c>
      <c r="F80" s="47">
        <v>0.85</v>
      </c>
      <c r="G80" s="47">
        <v>0.85</v>
      </c>
      <c r="H80" s="87">
        <f t="shared" si="1"/>
        <v>210271</v>
      </c>
    </row>
    <row r="81" spans="1:8" ht="15">
      <c r="A81" s="1">
        <v>1.1400000000000001</v>
      </c>
      <c r="B81" s="2">
        <v>79170</v>
      </c>
      <c r="C81" s="1">
        <f t="shared" si="2"/>
        <v>90253.8</v>
      </c>
      <c r="E81" s="23">
        <v>45123</v>
      </c>
      <c r="F81" s="47">
        <v>0.79</v>
      </c>
      <c r="G81" s="47">
        <v>0.79</v>
      </c>
      <c r="H81" s="87">
        <f t="shared" si="1"/>
        <v>242588</v>
      </c>
    </row>
    <row r="82" spans="1:8" ht="15">
      <c r="A82" s="1">
        <v>3.04</v>
      </c>
      <c r="B82" s="2">
        <v>19130</v>
      </c>
      <c r="C82" s="1">
        <f t="shared" si="2"/>
        <v>58155.199999999997</v>
      </c>
      <c r="E82" s="23">
        <v>45124</v>
      </c>
      <c r="F82" s="47">
        <v>0.78</v>
      </c>
      <c r="G82" s="47">
        <v>0.78</v>
      </c>
      <c r="H82" s="87">
        <f t="shared" si="1"/>
        <v>248699</v>
      </c>
    </row>
    <row r="83" spans="1:8" ht="15">
      <c r="A83" s="1">
        <v>1.35</v>
      </c>
      <c r="B83" s="2">
        <v>129080</v>
      </c>
      <c r="C83" s="1">
        <f t="shared" si="2"/>
        <v>174258</v>
      </c>
      <c r="E83" s="23">
        <v>45125</v>
      </c>
      <c r="F83" s="47">
        <v>0.86</v>
      </c>
      <c r="G83" s="47">
        <v>0.86</v>
      </c>
      <c r="H83" s="87">
        <f t="shared" si="1"/>
        <v>205522</v>
      </c>
    </row>
    <row r="84" spans="1:8" ht="15">
      <c r="A84" s="1">
        <v>2.2999999999999998</v>
      </c>
      <c r="B84" s="2">
        <v>25190</v>
      </c>
      <c r="C84" s="1">
        <f t="shared" si="2"/>
        <v>57936.999999999993</v>
      </c>
      <c r="E84" s="23">
        <v>45126</v>
      </c>
      <c r="F84" s="47">
        <v>0.85</v>
      </c>
      <c r="G84" s="47">
        <v>0.85</v>
      </c>
      <c r="H84" s="87">
        <f t="shared" si="1"/>
        <v>210271</v>
      </c>
    </row>
    <row r="85" spans="1:8" ht="15">
      <c r="A85" s="1">
        <v>1.6300000000000001</v>
      </c>
      <c r="B85" s="2">
        <v>53410</v>
      </c>
      <c r="C85" s="1">
        <f t="shared" si="2"/>
        <v>87058.3</v>
      </c>
      <c r="E85" s="23">
        <v>45127</v>
      </c>
      <c r="F85" s="47">
        <v>0.85</v>
      </c>
      <c r="G85" s="47">
        <v>0.85</v>
      </c>
      <c r="H85" s="87">
        <f t="shared" si="1"/>
        <v>210271</v>
      </c>
    </row>
    <row r="86" spans="1:8" ht="15">
      <c r="A86" s="1">
        <v>1.66</v>
      </c>
      <c r="B86" s="2">
        <v>65010</v>
      </c>
      <c r="C86" s="1">
        <f t="shared" si="2"/>
        <v>107916.59999999999</v>
      </c>
      <c r="E86" s="23">
        <v>45128</v>
      </c>
      <c r="F86" s="47">
        <v>0.88</v>
      </c>
      <c r="G86" s="47">
        <v>0.88</v>
      </c>
      <c r="H86" s="87">
        <f t="shared" si="1"/>
        <v>196499</v>
      </c>
    </row>
    <row r="87" spans="1:8" ht="15">
      <c r="A87" s="1">
        <v>2.42</v>
      </c>
      <c r="B87" s="2">
        <v>20750</v>
      </c>
      <c r="C87" s="1">
        <f t="shared" si="2"/>
        <v>50215</v>
      </c>
      <c r="E87" s="23">
        <v>45129</v>
      </c>
      <c r="F87" s="47">
        <v>0.89</v>
      </c>
      <c r="G87" s="47">
        <v>0.89</v>
      </c>
      <c r="H87" s="87">
        <f t="shared" si="1"/>
        <v>192210</v>
      </c>
    </row>
    <row r="88" spans="1:8" ht="15">
      <c r="A88" s="1">
        <v>2.13</v>
      </c>
      <c r="B88" s="2">
        <v>37380</v>
      </c>
      <c r="C88" s="1">
        <f t="shared" si="2"/>
        <v>79619.399999999994</v>
      </c>
      <c r="E88" s="23">
        <v>45130</v>
      </c>
      <c r="F88" s="47">
        <v>0.86</v>
      </c>
      <c r="G88" s="47">
        <v>0.86</v>
      </c>
      <c r="H88" s="87">
        <f t="shared" si="1"/>
        <v>205522</v>
      </c>
    </row>
    <row r="89" spans="1:8" ht="15">
      <c r="A89" s="1">
        <v>3.58</v>
      </c>
      <c r="B89" s="2">
        <v>9990</v>
      </c>
      <c r="C89" s="1">
        <f t="shared" si="2"/>
        <v>35764.199999999997</v>
      </c>
      <c r="E89" s="23">
        <v>45131</v>
      </c>
      <c r="F89" s="47">
        <v>0.81</v>
      </c>
      <c r="G89" s="47">
        <v>0.81</v>
      </c>
      <c r="H89" s="87">
        <f t="shared" si="1"/>
        <v>231027</v>
      </c>
    </row>
    <row r="90" spans="1:8" ht="15">
      <c r="A90" s="1">
        <v>4.1399999999999997</v>
      </c>
      <c r="B90" s="2">
        <v>8590</v>
      </c>
      <c r="C90" s="1">
        <f t="shared" si="2"/>
        <v>35562.6</v>
      </c>
      <c r="E90" s="23">
        <v>45132</v>
      </c>
      <c r="F90" s="47">
        <v>0.83</v>
      </c>
      <c r="G90" s="47">
        <v>0.83</v>
      </c>
      <c r="H90" s="87">
        <f t="shared" si="1"/>
        <v>220280</v>
      </c>
    </row>
    <row r="91" spans="1:8" ht="15">
      <c r="A91" s="1">
        <v>1.19</v>
      </c>
      <c r="B91" s="2">
        <v>86880</v>
      </c>
      <c r="C91" s="1">
        <f t="shared" si="2"/>
        <v>103387.2</v>
      </c>
      <c r="E91" s="23">
        <v>45133</v>
      </c>
      <c r="F91" s="47">
        <v>0.85</v>
      </c>
      <c r="G91" s="47">
        <v>0.85</v>
      </c>
      <c r="H91" s="87">
        <f t="shared" si="1"/>
        <v>210271</v>
      </c>
    </row>
    <row r="92" spans="1:8" ht="15">
      <c r="A92" s="1">
        <v>3.37</v>
      </c>
      <c r="B92" s="2">
        <v>13930</v>
      </c>
      <c r="C92" s="1">
        <f t="shared" si="2"/>
        <v>46944.1</v>
      </c>
      <c r="E92" s="23">
        <v>45134</v>
      </c>
      <c r="F92" s="47">
        <v>0.8</v>
      </c>
      <c r="G92" s="47">
        <v>0.8</v>
      </c>
      <c r="H92" s="87">
        <f t="shared" si="1"/>
        <v>236701</v>
      </c>
    </row>
    <row r="93" spans="1:8" ht="15">
      <c r="A93" s="1">
        <v>3.02</v>
      </c>
      <c r="B93" s="2">
        <v>13210</v>
      </c>
      <c r="C93" s="1">
        <f t="shared" si="2"/>
        <v>39894.199999999997</v>
      </c>
      <c r="E93" s="23">
        <v>45135</v>
      </c>
      <c r="F93" s="47">
        <v>0.78</v>
      </c>
      <c r="G93" s="47">
        <v>0.78</v>
      </c>
      <c r="H93" s="87">
        <f t="shared" si="1"/>
        <v>248699</v>
      </c>
    </row>
    <row r="94" spans="1:8" ht="15">
      <c r="A94" s="1">
        <v>2.57</v>
      </c>
      <c r="B94" s="2">
        <v>23440</v>
      </c>
      <c r="C94" s="1">
        <f t="shared" si="2"/>
        <v>60240.799999999996</v>
      </c>
      <c r="E94" s="23">
        <v>45136</v>
      </c>
      <c r="F94" s="47">
        <v>0.78</v>
      </c>
      <c r="G94" s="47">
        <v>0.78</v>
      </c>
      <c r="H94" s="87">
        <f t="shared" si="1"/>
        <v>248699</v>
      </c>
    </row>
    <row r="95" spans="1:8" ht="15">
      <c r="A95" s="1">
        <v>1.9399999999999997</v>
      </c>
      <c r="B95" s="2">
        <v>36140</v>
      </c>
      <c r="C95" s="1">
        <f t="shared" si="2"/>
        <v>70111.599999999991</v>
      </c>
      <c r="E95" s="23">
        <v>45137</v>
      </c>
      <c r="F95" s="47">
        <v>0.84</v>
      </c>
      <c r="G95" s="47">
        <v>0.84</v>
      </c>
      <c r="H95" s="87">
        <f t="shared" si="1"/>
        <v>215187</v>
      </c>
    </row>
    <row r="96" spans="1:8" ht="15">
      <c r="A96" s="1">
        <v>3.81</v>
      </c>
      <c r="B96" s="2">
        <v>6820</v>
      </c>
      <c r="C96" s="1">
        <f t="shared" si="2"/>
        <v>25984.2</v>
      </c>
      <c r="E96" s="23">
        <v>45138</v>
      </c>
      <c r="F96" s="47">
        <v>0.91</v>
      </c>
      <c r="G96" s="47">
        <v>0.91</v>
      </c>
      <c r="H96" s="87">
        <f t="shared" si="1"/>
        <v>184046</v>
      </c>
    </row>
    <row r="97" spans="1:8" ht="15">
      <c r="A97" s="1">
        <v>2.71</v>
      </c>
      <c r="B97" s="2">
        <v>26010</v>
      </c>
      <c r="C97" s="1">
        <f t="shared" si="2"/>
        <v>70487.100000000006</v>
      </c>
      <c r="E97" s="23">
        <v>45139</v>
      </c>
      <c r="F97" s="47">
        <v>0.91</v>
      </c>
      <c r="G97" s="47">
        <v>0.91</v>
      </c>
      <c r="H97" s="87">
        <f t="shared" si="1"/>
        <v>184046</v>
      </c>
    </row>
    <row r="98" spans="1:8" ht="15">
      <c r="A98" s="1">
        <v>1.39</v>
      </c>
      <c r="B98" s="2">
        <v>56580</v>
      </c>
      <c r="C98" s="1">
        <f t="shared" si="2"/>
        <v>78646.2</v>
      </c>
      <c r="E98" s="23">
        <v>45140</v>
      </c>
      <c r="F98" s="47">
        <v>0.91</v>
      </c>
      <c r="G98" s="47">
        <v>0.91</v>
      </c>
      <c r="H98" s="87">
        <f t="shared" si="1"/>
        <v>184046</v>
      </c>
    </row>
    <row r="99" spans="1:8" ht="15">
      <c r="A99" s="1">
        <v>2.62</v>
      </c>
      <c r="B99" s="2">
        <v>25230</v>
      </c>
      <c r="C99" s="1">
        <f t="shared" si="2"/>
        <v>66102.600000000006</v>
      </c>
      <c r="E99" s="23">
        <v>45141</v>
      </c>
      <c r="F99" s="47">
        <v>0.88</v>
      </c>
      <c r="G99" s="47">
        <v>0.88</v>
      </c>
      <c r="H99" s="87">
        <f t="shared" si="1"/>
        <v>196499</v>
      </c>
    </row>
    <row r="100" spans="1:8" ht="15">
      <c r="A100" s="1">
        <v>2.1900000000000004</v>
      </c>
      <c r="B100" s="2">
        <v>40360</v>
      </c>
      <c r="C100" s="1">
        <f t="shared" si="2"/>
        <v>88388.400000000009</v>
      </c>
      <c r="E100" s="23">
        <v>45142</v>
      </c>
      <c r="F100" s="47">
        <v>0.91</v>
      </c>
      <c r="G100" s="47">
        <v>0.91</v>
      </c>
      <c r="H100" s="87">
        <f t="shared" ref="H100:H163" si="3">INT(153086*F100^-1.953)</f>
        <v>184046</v>
      </c>
    </row>
    <row r="101" spans="1:8" ht="15">
      <c r="A101" s="1">
        <v>3.71</v>
      </c>
      <c r="B101" s="2">
        <v>8980</v>
      </c>
      <c r="C101" s="1">
        <f t="shared" si="2"/>
        <v>33315.800000000003</v>
      </c>
      <c r="E101" s="23">
        <v>45143</v>
      </c>
      <c r="F101" s="47">
        <v>0.88</v>
      </c>
      <c r="G101" s="47">
        <v>0.88</v>
      </c>
      <c r="H101" s="87">
        <f t="shared" si="3"/>
        <v>196499</v>
      </c>
    </row>
    <row r="102" spans="1:8" ht="15">
      <c r="A102" s="1">
        <v>1.61</v>
      </c>
      <c r="B102" s="2">
        <v>46590</v>
      </c>
      <c r="C102" s="1">
        <f t="shared" si="2"/>
        <v>75009.900000000009</v>
      </c>
      <c r="E102" s="23">
        <v>45144</v>
      </c>
      <c r="F102" s="47">
        <v>0.89</v>
      </c>
      <c r="G102" s="47">
        <v>0.89</v>
      </c>
      <c r="H102" s="87">
        <f t="shared" si="3"/>
        <v>192210</v>
      </c>
    </row>
    <row r="103" spans="1:8" ht="15">
      <c r="A103" s="1">
        <v>1.55</v>
      </c>
      <c r="B103" s="2">
        <v>78500</v>
      </c>
      <c r="C103" s="1">
        <f t="shared" si="2"/>
        <v>121675</v>
      </c>
      <c r="E103" s="23">
        <v>45145</v>
      </c>
      <c r="F103" s="47">
        <v>0.9</v>
      </c>
      <c r="G103" s="47">
        <v>0.9</v>
      </c>
      <c r="H103" s="87">
        <f t="shared" si="3"/>
        <v>188061</v>
      </c>
    </row>
    <row r="104" spans="1:8" ht="15">
      <c r="A104" s="1">
        <v>3.13</v>
      </c>
      <c r="B104" s="2">
        <v>14050</v>
      </c>
      <c r="C104" s="1">
        <f t="shared" si="2"/>
        <v>43976.5</v>
      </c>
      <c r="E104" s="23">
        <v>45146</v>
      </c>
      <c r="F104" s="47">
        <v>0.91</v>
      </c>
      <c r="G104" s="47">
        <v>0.91</v>
      </c>
      <c r="H104" s="87">
        <f t="shared" si="3"/>
        <v>184046</v>
      </c>
    </row>
    <row r="105" spans="1:8" ht="15">
      <c r="A105" s="1">
        <v>2.17</v>
      </c>
      <c r="B105" s="2">
        <v>42290</v>
      </c>
      <c r="C105" s="1">
        <f t="shared" si="2"/>
        <v>91769.3</v>
      </c>
      <c r="E105" s="23">
        <v>45147</v>
      </c>
      <c r="F105" s="47">
        <v>0.88</v>
      </c>
      <c r="G105" s="47">
        <v>0.88</v>
      </c>
      <c r="H105" s="87">
        <f t="shared" si="3"/>
        <v>196499</v>
      </c>
    </row>
    <row r="106" spans="1:8" ht="15">
      <c r="A106" s="1">
        <v>3.8299999999999996</v>
      </c>
      <c r="B106" s="2">
        <v>7420</v>
      </c>
      <c r="C106" s="1">
        <f t="shared" si="2"/>
        <v>28418.6</v>
      </c>
      <c r="E106" s="23">
        <v>45148</v>
      </c>
      <c r="F106" s="47">
        <v>0.89</v>
      </c>
      <c r="G106" s="47">
        <v>0.89</v>
      </c>
      <c r="H106" s="87">
        <f t="shared" si="3"/>
        <v>192210</v>
      </c>
    </row>
    <row r="107" spans="1:8" ht="15">
      <c r="A107" s="1">
        <v>1.73</v>
      </c>
      <c r="B107" s="2">
        <v>74510</v>
      </c>
      <c r="C107" s="1">
        <f t="shared" si="2"/>
        <v>128902.3</v>
      </c>
      <c r="E107" s="23">
        <v>45149</v>
      </c>
      <c r="F107" s="47">
        <v>0.93</v>
      </c>
      <c r="G107" s="47">
        <v>0.93</v>
      </c>
      <c r="H107" s="87">
        <f t="shared" si="3"/>
        <v>176395</v>
      </c>
    </row>
    <row r="108" spans="1:8" ht="15">
      <c r="A108" s="1">
        <v>0.81</v>
      </c>
      <c r="B108" s="2">
        <v>136810</v>
      </c>
      <c r="C108" s="1">
        <f t="shared" si="2"/>
        <v>110816.1</v>
      </c>
      <c r="E108" s="23">
        <v>45150</v>
      </c>
      <c r="F108" s="47">
        <v>0.92</v>
      </c>
      <c r="G108" s="47">
        <v>0.92</v>
      </c>
      <c r="H108" s="87">
        <f t="shared" si="3"/>
        <v>180159</v>
      </c>
    </row>
    <row r="109" spans="1:8" ht="15">
      <c r="A109" s="1">
        <v>3.57</v>
      </c>
      <c r="B109" s="2">
        <v>17400</v>
      </c>
      <c r="C109" s="1">
        <f t="shared" si="2"/>
        <v>62118</v>
      </c>
      <c r="E109" s="23">
        <v>45151</v>
      </c>
      <c r="F109" s="47">
        <v>0.85</v>
      </c>
      <c r="G109" s="47">
        <v>0.85</v>
      </c>
      <c r="H109" s="87">
        <f t="shared" si="3"/>
        <v>210271</v>
      </c>
    </row>
    <row r="110" spans="1:8" ht="15">
      <c r="A110" s="1">
        <v>2.83</v>
      </c>
      <c r="B110" s="2">
        <v>25920</v>
      </c>
      <c r="C110" s="1">
        <f t="shared" si="2"/>
        <v>73353.600000000006</v>
      </c>
      <c r="E110" s="23">
        <v>45152</v>
      </c>
      <c r="F110" s="47">
        <v>0.87</v>
      </c>
      <c r="G110" s="47">
        <v>0.87</v>
      </c>
      <c r="H110" s="87">
        <f t="shared" si="3"/>
        <v>200934</v>
      </c>
    </row>
    <row r="111" spans="1:8" ht="15">
      <c r="A111" s="1">
        <v>3.8800000000000003</v>
      </c>
      <c r="B111" s="2">
        <v>9850</v>
      </c>
      <c r="C111" s="1">
        <f t="shared" si="2"/>
        <v>38218</v>
      </c>
      <c r="E111" s="23">
        <v>45153</v>
      </c>
      <c r="F111" s="47">
        <v>0.84</v>
      </c>
      <c r="G111" s="47">
        <v>0.84</v>
      </c>
      <c r="H111" s="87">
        <f t="shared" si="3"/>
        <v>215187</v>
      </c>
    </row>
    <row r="112" spans="1:8" ht="15">
      <c r="A112" s="1">
        <v>2.0099999999999998</v>
      </c>
      <c r="B112" s="2">
        <v>28450</v>
      </c>
      <c r="C112" s="1">
        <f t="shared" si="2"/>
        <v>57184.499999999993</v>
      </c>
      <c r="E112" s="23">
        <v>45154</v>
      </c>
      <c r="F112" s="47">
        <v>0.83</v>
      </c>
      <c r="G112" s="47">
        <v>0.83</v>
      </c>
      <c r="H112" s="87">
        <f t="shared" si="3"/>
        <v>220280</v>
      </c>
    </row>
    <row r="113" spans="1:8" ht="15">
      <c r="A113" s="1">
        <v>1.4100000000000001</v>
      </c>
      <c r="B113" s="2">
        <v>98700</v>
      </c>
      <c r="C113" s="1">
        <f t="shared" si="2"/>
        <v>139167</v>
      </c>
      <c r="E113" s="23">
        <v>45155</v>
      </c>
      <c r="F113" s="47">
        <v>0.88</v>
      </c>
      <c r="G113" s="47">
        <v>0.88</v>
      </c>
      <c r="H113" s="87">
        <f t="shared" si="3"/>
        <v>196499</v>
      </c>
    </row>
    <row r="114" spans="1:8" ht="15">
      <c r="A114" s="1">
        <v>3.7199999999999998</v>
      </c>
      <c r="B114" s="2">
        <v>16260</v>
      </c>
      <c r="C114" s="1">
        <f t="shared" si="2"/>
        <v>60487.199999999997</v>
      </c>
      <c r="E114" s="23">
        <v>45156</v>
      </c>
      <c r="F114" s="47">
        <v>0.81</v>
      </c>
      <c r="G114" s="47">
        <v>0.81</v>
      </c>
      <c r="H114" s="87">
        <f t="shared" si="3"/>
        <v>231027</v>
      </c>
    </row>
    <row r="115" spans="1:8" ht="15">
      <c r="A115" s="1">
        <v>1.33</v>
      </c>
      <c r="B115" s="2">
        <v>105500</v>
      </c>
      <c r="C115" s="1">
        <f t="shared" si="2"/>
        <v>140315</v>
      </c>
      <c r="E115" s="23">
        <v>45157</v>
      </c>
      <c r="F115" s="47">
        <v>0.85</v>
      </c>
      <c r="G115" s="47">
        <v>0.85</v>
      </c>
      <c r="H115" s="87">
        <f t="shared" si="3"/>
        <v>210271</v>
      </c>
    </row>
    <row r="116" spans="1:8" ht="15">
      <c r="A116" s="1">
        <v>1.29</v>
      </c>
      <c r="B116" s="2">
        <v>94940</v>
      </c>
      <c r="C116" s="1">
        <f t="shared" si="2"/>
        <v>122472.6</v>
      </c>
      <c r="E116" s="23">
        <v>45158</v>
      </c>
      <c r="F116" s="47">
        <v>0.94</v>
      </c>
      <c r="G116" s="47">
        <v>0.94</v>
      </c>
      <c r="H116" s="87">
        <f t="shared" si="3"/>
        <v>172749</v>
      </c>
    </row>
    <row r="117" spans="1:8" ht="15">
      <c r="A117" s="1">
        <v>1.64</v>
      </c>
      <c r="B117" s="2">
        <v>52590</v>
      </c>
      <c r="C117" s="1">
        <f t="shared" si="2"/>
        <v>86247.599999999991</v>
      </c>
      <c r="E117" s="23">
        <v>45159</v>
      </c>
      <c r="F117" s="47">
        <v>0.95</v>
      </c>
      <c r="G117" s="47">
        <v>0.95</v>
      </c>
      <c r="H117" s="87">
        <f t="shared" si="3"/>
        <v>169215</v>
      </c>
    </row>
    <row r="118" spans="1:8" ht="15">
      <c r="A118" s="1">
        <v>3.39</v>
      </c>
      <c r="B118" s="2">
        <v>18360</v>
      </c>
      <c r="C118" s="1">
        <f t="shared" si="2"/>
        <v>62240.4</v>
      </c>
      <c r="E118" s="23">
        <v>45160</v>
      </c>
      <c r="F118" s="47">
        <v>0.95</v>
      </c>
      <c r="G118" s="47">
        <v>0.95</v>
      </c>
      <c r="H118" s="87">
        <f t="shared" si="3"/>
        <v>169215</v>
      </c>
    </row>
    <row r="119" spans="1:8" ht="15">
      <c r="A119" s="1">
        <v>2.78</v>
      </c>
      <c r="B119" s="2">
        <v>20940</v>
      </c>
      <c r="C119" s="1">
        <f t="shared" si="2"/>
        <v>58213.2</v>
      </c>
      <c r="E119" s="23">
        <v>45161</v>
      </c>
      <c r="F119" s="47">
        <v>0.98</v>
      </c>
      <c r="G119" s="47">
        <v>0.98</v>
      </c>
      <c r="H119" s="87">
        <f t="shared" si="3"/>
        <v>159246</v>
      </c>
    </row>
    <row r="120" spans="1:8" ht="15">
      <c r="A120" s="1">
        <v>1.8</v>
      </c>
      <c r="B120" s="2">
        <v>56800</v>
      </c>
      <c r="C120" s="1">
        <f t="shared" si="2"/>
        <v>102240</v>
      </c>
      <c r="E120" s="23">
        <v>45162</v>
      </c>
      <c r="F120" s="47">
        <v>0.89</v>
      </c>
      <c r="G120" s="47">
        <v>0.89</v>
      </c>
      <c r="H120" s="87">
        <f t="shared" si="3"/>
        <v>192210</v>
      </c>
    </row>
    <row r="121" spans="1:8" ht="15">
      <c r="A121" s="1">
        <v>3.5100000000000002</v>
      </c>
      <c r="B121" s="2">
        <v>17760</v>
      </c>
      <c r="C121" s="1">
        <f t="shared" si="2"/>
        <v>62337.600000000006</v>
      </c>
      <c r="E121" s="23">
        <v>45163</v>
      </c>
      <c r="F121" s="47">
        <v>0.94</v>
      </c>
      <c r="G121" s="47">
        <v>0.94</v>
      </c>
      <c r="H121" s="87">
        <f t="shared" si="3"/>
        <v>172749</v>
      </c>
    </row>
    <row r="122" spans="1:8" ht="15">
      <c r="A122" s="1">
        <v>3.3400000000000003</v>
      </c>
      <c r="B122" s="2">
        <v>14670</v>
      </c>
      <c r="C122" s="1">
        <f t="shared" si="2"/>
        <v>48997.8</v>
      </c>
      <c r="E122" s="23">
        <v>45164</v>
      </c>
      <c r="F122" s="47">
        <v>0.95</v>
      </c>
      <c r="G122" s="47">
        <v>0.95</v>
      </c>
      <c r="H122" s="87">
        <f t="shared" si="3"/>
        <v>169215</v>
      </c>
    </row>
    <row r="123" spans="1:8" ht="15">
      <c r="A123" s="1">
        <v>3.66</v>
      </c>
      <c r="B123" s="2">
        <v>11110</v>
      </c>
      <c r="C123" s="1">
        <f t="shared" si="2"/>
        <v>40662.6</v>
      </c>
      <c r="E123" s="23">
        <v>45165</v>
      </c>
      <c r="F123" s="47">
        <v>0.94</v>
      </c>
      <c r="G123" s="47">
        <v>0.94</v>
      </c>
      <c r="H123" s="87">
        <f t="shared" si="3"/>
        <v>172749</v>
      </c>
    </row>
    <row r="124" spans="1:8" ht="15">
      <c r="A124" s="1">
        <v>0.95000000000000007</v>
      </c>
      <c r="B124" s="2">
        <v>127510</v>
      </c>
      <c r="C124" s="1">
        <f t="shared" si="2"/>
        <v>121134.50000000001</v>
      </c>
      <c r="E124" s="23">
        <v>45166</v>
      </c>
      <c r="F124" s="47">
        <v>0.93</v>
      </c>
      <c r="G124" s="47">
        <v>0.93</v>
      </c>
      <c r="H124" s="87">
        <f t="shared" si="3"/>
        <v>176395</v>
      </c>
    </row>
    <row r="125" spans="1:8" ht="15">
      <c r="A125" s="1">
        <v>2.2200000000000002</v>
      </c>
      <c r="B125" s="2">
        <v>26210</v>
      </c>
      <c r="C125" s="1">
        <f t="shared" si="2"/>
        <v>58186.200000000004</v>
      </c>
      <c r="E125" s="23">
        <v>45167</v>
      </c>
      <c r="F125" s="47">
        <v>0.92</v>
      </c>
      <c r="G125" s="47">
        <v>0.92</v>
      </c>
      <c r="H125" s="87">
        <f t="shared" si="3"/>
        <v>180159</v>
      </c>
    </row>
    <row r="126" spans="1:8" ht="15">
      <c r="A126" s="1">
        <v>3.56</v>
      </c>
      <c r="B126" s="2">
        <v>10580</v>
      </c>
      <c r="C126" s="1">
        <f t="shared" si="2"/>
        <v>37664.800000000003</v>
      </c>
      <c r="E126" s="23">
        <v>45168</v>
      </c>
      <c r="F126" s="47">
        <v>0.99</v>
      </c>
      <c r="G126" s="47">
        <v>0.99</v>
      </c>
      <c r="H126" s="87">
        <f t="shared" si="3"/>
        <v>156120</v>
      </c>
    </row>
    <row r="127" spans="1:8" ht="15">
      <c r="A127" s="1">
        <v>4.0599999999999996</v>
      </c>
      <c r="B127" s="2">
        <v>12470</v>
      </c>
      <c r="C127" s="1">
        <f t="shared" si="2"/>
        <v>50628.2</v>
      </c>
      <c r="E127" s="23">
        <v>45169</v>
      </c>
      <c r="F127" s="47">
        <v>1</v>
      </c>
      <c r="G127" s="47">
        <v>1</v>
      </c>
      <c r="H127" s="87">
        <f t="shared" si="3"/>
        <v>153086</v>
      </c>
    </row>
    <row r="128" spans="1:8" ht="15">
      <c r="A128" s="1">
        <v>2.7800000000000002</v>
      </c>
      <c r="B128" s="2">
        <v>13220</v>
      </c>
      <c r="C128" s="1">
        <f t="shared" si="2"/>
        <v>36751.600000000006</v>
      </c>
      <c r="E128" s="23">
        <v>45170</v>
      </c>
      <c r="F128" s="47">
        <v>1</v>
      </c>
      <c r="G128" s="47">
        <v>1</v>
      </c>
      <c r="H128" s="87">
        <f t="shared" si="3"/>
        <v>153086</v>
      </c>
    </row>
    <row r="129" spans="1:8" ht="15">
      <c r="A129" s="1">
        <v>1.94</v>
      </c>
      <c r="B129" s="2">
        <v>33650</v>
      </c>
      <c r="C129" s="1">
        <f t="shared" si="2"/>
        <v>65281</v>
      </c>
      <c r="E129" s="23">
        <v>45171</v>
      </c>
      <c r="F129" s="47">
        <v>1.01</v>
      </c>
      <c r="G129" s="47">
        <v>1.01</v>
      </c>
      <c r="H129" s="87">
        <f t="shared" si="3"/>
        <v>150139</v>
      </c>
    </row>
    <row r="130" spans="1:8" ht="15">
      <c r="A130" s="1">
        <v>4.04</v>
      </c>
      <c r="B130" s="2">
        <v>10300</v>
      </c>
      <c r="C130" s="1">
        <f t="shared" si="2"/>
        <v>41612</v>
      </c>
      <c r="E130" s="23">
        <v>45172</v>
      </c>
      <c r="F130" s="47">
        <v>0.93</v>
      </c>
      <c r="G130" s="47">
        <v>0.93</v>
      </c>
      <c r="H130" s="87">
        <f t="shared" si="3"/>
        <v>176395</v>
      </c>
    </row>
    <row r="131" spans="1:8" ht="15">
      <c r="A131" s="1">
        <v>1.7</v>
      </c>
      <c r="B131" s="2">
        <v>73130</v>
      </c>
      <c r="C131" s="1">
        <f t="shared" si="2"/>
        <v>124321</v>
      </c>
      <c r="E131" s="23">
        <v>45173</v>
      </c>
      <c r="F131" s="47">
        <v>0.97</v>
      </c>
      <c r="G131" s="47">
        <v>0.97</v>
      </c>
      <c r="H131" s="87">
        <f t="shared" si="3"/>
        <v>162468</v>
      </c>
    </row>
    <row r="132" spans="1:8" ht="15">
      <c r="A132" s="1">
        <v>3.1900000000000004</v>
      </c>
      <c r="B132" s="2">
        <v>20930</v>
      </c>
      <c r="C132" s="1">
        <f t="shared" si="2"/>
        <v>66766.700000000012</v>
      </c>
      <c r="E132" s="23">
        <v>45174</v>
      </c>
      <c r="F132" s="47">
        <v>0.95</v>
      </c>
      <c r="G132" s="47">
        <v>0.95</v>
      </c>
      <c r="H132" s="87">
        <f t="shared" si="3"/>
        <v>169215</v>
      </c>
    </row>
    <row r="133" spans="1:8" ht="15">
      <c r="A133" s="1">
        <v>3.89</v>
      </c>
      <c r="B133" s="2">
        <v>8320</v>
      </c>
      <c r="C133" s="1">
        <f t="shared" ref="C133:C196" si="4">A133*B133</f>
        <v>32364.799999999999</v>
      </c>
      <c r="E133" s="23">
        <v>45175</v>
      </c>
      <c r="F133" s="47">
        <v>0.93</v>
      </c>
      <c r="G133" s="47">
        <v>0.93</v>
      </c>
      <c r="H133" s="87">
        <f t="shared" si="3"/>
        <v>176395</v>
      </c>
    </row>
    <row r="134" spans="1:8" ht="15">
      <c r="A134" s="1">
        <v>3.1199999999999997</v>
      </c>
      <c r="B134" s="2">
        <v>12400</v>
      </c>
      <c r="C134" s="1">
        <f t="shared" si="4"/>
        <v>38687.999999999993</v>
      </c>
      <c r="E134" s="23">
        <v>45176</v>
      </c>
      <c r="F134" s="47">
        <v>0.85</v>
      </c>
      <c r="G134" s="47">
        <v>0.85</v>
      </c>
      <c r="H134" s="87">
        <f t="shared" si="3"/>
        <v>210271</v>
      </c>
    </row>
    <row r="135" spans="1:8" ht="15">
      <c r="A135" s="1">
        <v>3.25</v>
      </c>
      <c r="B135" s="2">
        <v>14430</v>
      </c>
      <c r="C135" s="1">
        <f t="shared" si="4"/>
        <v>46897.5</v>
      </c>
      <c r="E135" s="23">
        <v>45177</v>
      </c>
      <c r="F135" s="47">
        <v>0.87</v>
      </c>
      <c r="G135" s="47">
        <v>0.87</v>
      </c>
      <c r="H135" s="87">
        <f t="shared" si="3"/>
        <v>200934</v>
      </c>
    </row>
    <row r="136" spans="1:8" ht="15">
      <c r="A136" s="1">
        <v>1.0699999999999998</v>
      </c>
      <c r="B136" s="2">
        <v>110810</v>
      </c>
      <c r="C136" s="1">
        <f t="shared" si="4"/>
        <v>118566.69999999998</v>
      </c>
      <c r="E136" s="23">
        <v>45178</v>
      </c>
      <c r="F136" s="47">
        <v>0.91</v>
      </c>
      <c r="G136" s="47">
        <v>0.91</v>
      </c>
      <c r="H136" s="87">
        <f t="shared" si="3"/>
        <v>184046</v>
      </c>
    </row>
    <row r="137" spans="1:8" ht="15">
      <c r="A137" s="1">
        <v>2.56</v>
      </c>
      <c r="B137" s="2">
        <v>21630</v>
      </c>
      <c r="C137" s="1">
        <f t="shared" si="4"/>
        <v>55372.800000000003</v>
      </c>
      <c r="E137" s="23">
        <v>45179</v>
      </c>
      <c r="F137" s="47">
        <v>0.95</v>
      </c>
      <c r="G137" s="47">
        <v>0.95</v>
      </c>
      <c r="H137" s="87">
        <f t="shared" si="3"/>
        <v>169215</v>
      </c>
    </row>
    <row r="138" spans="1:8" ht="15">
      <c r="A138" s="1">
        <v>1.46</v>
      </c>
      <c r="B138" s="2">
        <v>73670</v>
      </c>
      <c r="C138" s="1">
        <f t="shared" si="4"/>
        <v>107558.2</v>
      </c>
      <c r="E138" s="23">
        <v>45180</v>
      </c>
      <c r="F138" s="47">
        <v>0.98</v>
      </c>
      <c r="G138" s="47">
        <v>0.98</v>
      </c>
      <c r="H138" s="87">
        <f t="shared" si="3"/>
        <v>159246</v>
      </c>
    </row>
    <row r="139" spans="1:8" ht="15">
      <c r="A139" s="1">
        <v>2.92</v>
      </c>
      <c r="B139" s="2">
        <v>24140</v>
      </c>
      <c r="C139" s="1">
        <f t="shared" si="4"/>
        <v>70488.800000000003</v>
      </c>
      <c r="E139" s="23">
        <v>45181</v>
      </c>
      <c r="F139" s="47">
        <v>0.96</v>
      </c>
      <c r="G139" s="47">
        <v>0.96</v>
      </c>
      <c r="H139" s="87">
        <f t="shared" si="3"/>
        <v>165790</v>
      </c>
    </row>
    <row r="140" spans="1:8" ht="15">
      <c r="A140" s="1">
        <v>2.0099999999999998</v>
      </c>
      <c r="B140" s="2">
        <v>38510</v>
      </c>
      <c r="C140" s="1">
        <f t="shared" si="4"/>
        <v>77405.099999999991</v>
      </c>
      <c r="E140" s="23">
        <v>45182</v>
      </c>
      <c r="F140" s="47">
        <v>0.95</v>
      </c>
      <c r="G140" s="47">
        <v>0.95</v>
      </c>
      <c r="H140" s="87">
        <f t="shared" si="3"/>
        <v>169215</v>
      </c>
    </row>
    <row r="141" spans="1:8" ht="15">
      <c r="A141" s="1">
        <v>2.5500000000000003</v>
      </c>
      <c r="B141" s="2">
        <v>27280</v>
      </c>
      <c r="C141" s="1">
        <f t="shared" si="4"/>
        <v>69564</v>
      </c>
      <c r="E141" s="23">
        <v>45183</v>
      </c>
      <c r="F141" s="47">
        <v>0.94</v>
      </c>
      <c r="G141" s="47">
        <v>0.94</v>
      </c>
      <c r="H141" s="87">
        <f t="shared" si="3"/>
        <v>172749</v>
      </c>
    </row>
    <row r="142" spans="1:8" ht="15">
      <c r="A142" s="1">
        <v>2.2800000000000002</v>
      </c>
      <c r="B142" s="2">
        <v>38630</v>
      </c>
      <c r="C142" s="1">
        <f t="shared" si="4"/>
        <v>88076.400000000009</v>
      </c>
      <c r="E142" s="23">
        <v>45184</v>
      </c>
      <c r="F142" s="47">
        <v>0.97</v>
      </c>
      <c r="G142" s="47">
        <v>0.97</v>
      </c>
      <c r="H142" s="87">
        <f t="shared" si="3"/>
        <v>162468</v>
      </c>
    </row>
    <row r="143" spans="1:8" ht="15">
      <c r="A143" s="1">
        <v>0.93</v>
      </c>
      <c r="B143" s="2">
        <v>175960</v>
      </c>
      <c r="C143" s="1">
        <f t="shared" si="4"/>
        <v>163642.80000000002</v>
      </c>
      <c r="E143" s="23">
        <v>45185</v>
      </c>
      <c r="F143" s="47">
        <v>1.01</v>
      </c>
      <c r="G143" s="47">
        <v>1.01</v>
      </c>
      <c r="H143" s="87">
        <f t="shared" si="3"/>
        <v>150139</v>
      </c>
    </row>
    <row r="144" spans="1:8" ht="15">
      <c r="A144" s="1">
        <v>1.42</v>
      </c>
      <c r="B144" s="2">
        <v>84430</v>
      </c>
      <c r="C144" s="1">
        <f t="shared" si="4"/>
        <v>119890.59999999999</v>
      </c>
      <c r="E144" s="23">
        <v>45186</v>
      </c>
      <c r="F144" s="47">
        <v>1.02</v>
      </c>
      <c r="G144" s="47">
        <v>1.02</v>
      </c>
      <c r="H144" s="87">
        <f t="shared" si="3"/>
        <v>147278</v>
      </c>
    </row>
    <row r="145" spans="1:8" ht="15">
      <c r="A145" s="1">
        <v>3.65</v>
      </c>
      <c r="B145" s="2">
        <v>10980</v>
      </c>
      <c r="C145" s="1">
        <f t="shared" si="4"/>
        <v>40077</v>
      </c>
      <c r="E145" s="23">
        <v>45187</v>
      </c>
      <c r="F145" s="47">
        <v>1.04</v>
      </c>
      <c r="G145" s="47">
        <v>1.04</v>
      </c>
      <c r="H145" s="87">
        <f t="shared" si="3"/>
        <v>141797</v>
      </c>
    </row>
    <row r="146" spans="1:8" ht="15">
      <c r="A146" s="1">
        <v>1.1599999999999999</v>
      </c>
      <c r="B146" s="2">
        <v>194450</v>
      </c>
      <c r="C146" s="1">
        <f t="shared" si="4"/>
        <v>225561.99999999997</v>
      </c>
      <c r="E146" s="23">
        <v>45188</v>
      </c>
      <c r="F146" s="47">
        <v>1.1200000000000001</v>
      </c>
      <c r="G146" s="47">
        <v>1.1200000000000001</v>
      </c>
      <c r="H146" s="87">
        <f t="shared" si="3"/>
        <v>122690</v>
      </c>
    </row>
    <row r="147" spans="1:8" ht="15">
      <c r="A147" s="1">
        <v>1.3499999999999999</v>
      </c>
      <c r="B147" s="2">
        <v>70450</v>
      </c>
      <c r="C147" s="1">
        <f t="shared" si="4"/>
        <v>95107.499999999985</v>
      </c>
      <c r="E147" s="23">
        <v>45189</v>
      </c>
      <c r="F147" s="47">
        <v>1.08</v>
      </c>
      <c r="G147" s="47">
        <v>1.08</v>
      </c>
      <c r="H147" s="87">
        <f t="shared" si="3"/>
        <v>131722</v>
      </c>
    </row>
    <row r="148" spans="1:8" ht="15">
      <c r="A148" s="1">
        <v>1.34</v>
      </c>
      <c r="B148" s="2">
        <v>99760</v>
      </c>
      <c r="C148" s="1">
        <f t="shared" si="4"/>
        <v>133678.39999999999</v>
      </c>
      <c r="E148" s="23">
        <v>45190</v>
      </c>
      <c r="F148" s="47">
        <v>1.1000000000000001</v>
      </c>
      <c r="G148" s="47">
        <v>1.1000000000000001</v>
      </c>
      <c r="H148" s="87">
        <f t="shared" si="3"/>
        <v>127085</v>
      </c>
    </row>
    <row r="149" spans="1:8" ht="15">
      <c r="A149" s="1">
        <v>3.73</v>
      </c>
      <c r="B149" s="2">
        <v>13160</v>
      </c>
      <c r="C149" s="1">
        <f t="shared" si="4"/>
        <v>49086.8</v>
      </c>
      <c r="E149" s="23">
        <v>45191</v>
      </c>
      <c r="F149" s="47">
        <v>1.1000000000000001</v>
      </c>
      <c r="G149" s="47">
        <v>1.1000000000000001</v>
      </c>
      <c r="H149" s="87">
        <f t="shared" si="3"/>
        <v>127085</v>
      </c>
    </row>
    <row r="150" spans="1:8" ht="15">
      <c r="A150" s="1">
        <v>1.94</v>
      </c>
      <c r="B150" s="2">
        <v>37120</v>
      </c>
      <c r="C150" s="1">
        <f t="shared" si="4"/>
        <v>72012.800000000003</v>
      </c>
      <c r="E150" s="23">
        <v>45192</v>
      </c>
      <c r="F150" s="47">
        <v>1.1200000000000001</v>
      </c>
      <c r="G150" s="47">
        <v>1.1200000000000001</v>
      </c>
      <c r="H150" s="87">
        <f t="shared" si="3"/>
        <v>122690</v>
      </c>
    </row>
    <row r="151" spans="1:8" ht="15">
      <c r="A151" s="1">
        <v>1.82</v>
      </c>
      <c r="B151" s="2">
        <v>51760</v>
      </c>
      <c r="C151" s="1">
        <f t="shared" si="4"/>
        <v>94203.199999999997</v>
      </c>
      <c r="E151" s="23">
        <v>45193</v>
      </c>
      <c r="F151" s="47">
        <v>1.1000000000000001</v>
      </c>
      <c r="G151" s="47">
        <v>1.1000000000000001</v>
      </c>
      <c r="H151" s="87">
        <f t="shared" si="3"/>
        <v>127085</v>
      </c>
    </row>
    <row r="152" spans="1:8" ht="15">
      <c r="A152" s="1">
        <v>3.18</v>
      </c>
      <c r="B152" s="2">
        <v>19090</v>
      </c>
      <c r="C152" s="1">
        <f t="shared" si="4"/>
        <v>60706.200000000004</v>
      </c>
      <c r="E152" s="23">
        <v>45194</v>
      </c>
      <c r="F152" s="47">
        <v>1.1299999999999999</v>
      </c>
      <c r="G152" s="47">
        <v>1.1299999999999999</v>
      </c>
      <c r="H152" s="87">
        <f t="shared" si="3"/>
        <v>120579</v>
      </c>
    </row>
    <row r="153" spans="1:8" ht="15">
      <c r="A153" s="1">
        <v>2.1799999999999997</v>
      </c>
      <c r="B153" s="2">
        <v>24650</v>
      </c>
      <c r="C153" s="1">
        <f t="shared" si="4"/>
        <v>53736.999999999993</v>
      </c>
      <c r="E153" s="23">
        <v>45195</v>
      </c>
      <c r="F153" s="47">
        <v>1.0900000000000001</v>
      </c>
      <c r="G153" s="47">
        <v>1.0900000000000001</v>
      </c>
      <c r="H153" s="87">
        <f t="shared" si="3"/>
        <v>129372</v>
      </c>
    </row>
    <row r="154" spans="1:8" ht="15">
      <c r="A154" s="1">
        <v>2.75</v>
      </c>
      <c r="B154" s="2">
        <v>20250</v>
      </c>
      <c r="C154" s="1">
        <f t="shared" si="4"/>
        <v>55687.5</v>
      </c>
      <c r="E154" s="23">
        <v>45196</v>
      </c>
      <c r="F154" s="47">
        <v>1.1200000000000001</v>
      </c>
      <c r="G154" s="47">
        <v>1.1200000000000001</v>
      </c>
      <c r="H154" s="87">
        <f t="shared" si="3"/>
        <v>122690</v>
      </c>
    </row>
    <row r="155" spans="1:8" ht="15">
      <c r="A155" s="1">
        <v>3.6100000000000003</v>
      </c>
      <c r="B155" s="2">
        <v>10250</v>
      </c>
      <c r="C155" s="1">
        <f t="shared" si="4"/>
        <v>37002.5</v>
      </c>
      <c r="E155" s="23">
        <v>45197</v>
      </c>
      <c r="F155" s="47">
        <v>1.18</v>
      </c>
      <c r="G155" s="47">
        <v>1.18</v>
      </c>
      <c r="H155" s="87">
        <f t="shared" si="3"/>
        <v>110802</v>
      </c>
    </row>
    <row r="156" spans="1:8" ht="15">
      <c r="A156" s="1">
        <v>2.54</v>
      </c>
      <c r="B156" s="2">
        <v>20550</v>
      </c>
      <c r="C156" s="1">
        <f t="shared" si="4"/>
        <v>52197</v>
      </c>
      <c r="E156" s="23">
        <v>45198</v>
      </c>
      <c r="F156" s="47">
        <v>1.19</v>
      </c>
      <c r="G156" s="47">
        <v>1.19</v>
      </c>
      <c r="H156" s="87">
        <f t="shared" si="3"/>
        <v>108991</v>
      </c>
    </row>
    <row r="157" spans="1:8" ht="15">
      <c r="A157" s="1">
        <v>3.44</v>
      </c>
      <c r="B157" s="2">
        <v>14920</v>
      </c>
      <c r="C157" s="1">
        <f t="shared" si="4"/>
        <v>51324.799999999996</v>
      </c>
      <c r="E157" s="23">
        <v>45199</v>
      </c>
      <c r="F157" s="47">
        <v>1.1399999999999999</v>
      </c>
      <c r="G157" s="47">
        <v>1.1399999999999999</v>
      </c>
      <c r="H157" s="87">
        <f t="shared" si="3"/>
        <v>118522</v>
      </c>
    </row>
    <row r="158" spans="1:8" ht="15">
      <c r="A158" s="1">
        <v>3.09</v>
      </c>
      <c r="B158" s="2">
        <v>24950</v>
      </c>
      <c r="C158" s="1">
        <f t="shared" si="4"/>
        <v>77095.5</v>
      </c>
      <c r="E158" s="23">
        <v>45200</v>
      </c>
      <c r="F158" s="47">
        <v>1.1299999999999999</v>
      </c>
      <c r="G158" s="47">
        <v>1.1299999999999999</v>
      </c>
      <c r="H158" s="87">
        <f t="shared" si="3"/>
        <v>120579</v>
      </c>
    </row>
    <row r="159" spans="1:8" ht="15">
      <c r="A159" s="1">
        <v>2.7800000000000002</v>
      </c>
      <c r="B159" s="2">
        <v>30350</v>
      </c>
      <c r="C159" s="1">
        <f t="shared" si="4"/>
        <v>84373.000000000015</v>
      </c>
      <c r="E159" s="23">
        <v>45201</v>
      </c>
      <c r="F159" s="47">
        <v>1.1299999999999999</v>
      </c>
      <c r="G159" s="47">
        <v>1.1299999999999999</v>
      </c>
      <c r="H159" s="87">
        <f t="shared" si="3"/>
        <v>120579</v>
      </c>
    </row>
    <row r="160" spans="1:8" ht="15">
      <c r="A160" s="1">
        <v>3.95</v>
      </c>
      <c r="B160" s="2">
        <v>13140</v>
      </c>
      <c r="C160" s="1">
        <f t="shared" si="4"/>
        <v>51903</v>
      </c>
      <c r="E160" s="23">
        <v>45202</v>
      </c>
      <c r="F160" s="47">
        <v>1.21</v>
      </c>
      <c r="G160" s="47">
        <v>1.21</v>
      </c>
      <c r="H160" s="87">
        <f t="shared" si="3"/>
        <v>105500</v>
      </c>
    </row>
    <row r="161" spans="1:8" ht="15">
      <c r="A161" s="1">
        <v>1.08</v>
      </c>
      <c r="B161" s="2">
        <v>118630</v>
      </c>
      <c r="C161" s="1">
        <f t="shared" si="4"/>
        <v>128120.40000000001</v>
      </c>
      <c r="E161" s="23">
        <v>45203</v>
      </c>
      <c r="F161" s="47">
        <v>1.22</v>
      </c>
      <c r="G161" s="47">
        <v>1.22</v>
      </c>
      <c r="H161" s="87">
        <f t="shared" si="3"/>
        <v>103818</v>
      </c>
    </row>
    <row r="162" spans="1:8" ht="15">
      <c r="A162" s="1">
        <v>3.5100000000000002</v>
      </c>
      <c r="B162" s="2">
        <v>11310</v>
      </c>
      <c r="C162" s="1">
        <f t="shared" si="4"/>
        <v>39698.100000000006</v>
      </c>
      <c r="E162" s="23">
        <v>45204</v>
      </c>
      <c r="F162" s="47">
        <v>1.21</v>
      </c>
      <c r="G162" s="47">
        <v>1.21</v>
      </c>
      <c r="H162" s="87">
        <f t="shared" si="3"/>
        <v>105500</v>
      </c>
    </row>
    <row r="163" spans="1:8" ht="15">
      <c r="A163" s="1">
        <v>2.92</v>
      </c>
      <c r="B163" s="2">
        <v>22660</v>
      </c>
      <c r="C163" s="1">
        <f t="shared" si="4"/>
        <v>66167.199999999997</v>
      </c>
      <c r="E163" s="23">
        <v>45205</v>
      </c>
      <c r="F163" s="47">
        <v>1.25</v>
      </c>
      <c r="G163" s="47">
        <v>1.25</v>
      </c>
      <c r="H163" s="87">
        <f t="shared" si="3"/>
        <v>99007</v>
      </c>
    </row>
    <row r="164" spans="1:8" ht="15">
      <c r="A164" s="1">
        <v>2.7399999999999998</v>
      </c>
      <c r="B164" s="2">
        <v>28710</v>
      </c>
      <c r="C164" s="1">
        <f t="shared" si="4"/>
        <v>78665.399999999994</v>
      </c>
      <c r="E164" s="23">
        <v>45206</v>
      </c>
      <c r="F164" s="47">
        <v>1.25</v>
      </c>
      <c r="G164" s="47">
        <v>1.25</v>
      </c>
      <c r="H164" s="87">
        <f t="shared" ref="H164:H227" si="5">INT(153086*F164^-1.953)</f>
        <v>99007</v>
      </c>
    </row>
    <row r="165" spans="1:8" ht="15">
      <c r="A165" s="1">
        <v>3.36</v>
      </c>
      <c r="B165" s="2">
        <v>9680</v>
      </c>
      <c r="C165" s="1">
        <f t="shared" si="4"/>
        <v>32524.799999999999</v>
      </c>
      <c r="E165" s="23">
        <v>45207</v>
      </c>
      <c r="F165" s="47">
        <v>1.19</v>
      </c>
      <c r="G165" s="47">
        <v>1.19</v>
      </c>
      <c r="H165" s="87">
        <f t="shared" si="5"/>
        <v>108991</v>
      </c>
    </row>
    <row r="166" spans="1:8" ht="15">
      <c r="A166" s="1">
        <v>2.5</v>
      </c>
      <c r="B166" s="2">
        <v>31230</v>
      </c>
      <c r="C166" s="1">
        <f t="shared" si="4"/>
        <v>78075</v>
      </c>
      <c r="E166" s="23">
        <v>45208</v>
      </c>
      <c r="F166" s="47">
        <v>1.18</v>
      </c>
      <c r="G166" s="47">
        <v>1.18</v>
      </c>
      <c r="H166" s="87">
        <f t="shared" si="5"/>
        <v>110802</v>
      </c>
    </row>
    <row r="167" spans="1:8" ht="15">
      <c r="A167" s="1">
        <v>3.68</v>
      </c>
      <c r="B167" s="2">
        <v>9820</v>
      </c>
      <c r="C167" s="1">
        <f t="shared" si="4"/>
        <v>36137.599999999999</v>
      </c>
      <c r="E167" s="23">
        <v>45209</v>
      </c>
      <c r="F167" s="47">
        <v>1.1299999999999999</v>
      </c>
      <c r="G167" s="47">
        <v>1.1299999999999999</v>
      </c>
      <c r="H167" s="87">
        <f t="shared" si="5"/>
        <v>120579</v>
      </c>
    </row>
    <row r="168" spans="1:8" ht="15">
      <c r="A168" s="1">
        <v>2.6</v>
      </c>
      <c r="B168" s="2">
        <v>24920</v>
      </c>
      <c r="C168" s="1">
        <f t="shared" si="4"/>
        <v>64792</v>
      </c>
      <c r="E168" s="23">
        <v>45210</v>
      </c>
      <c r="F168" s="47">
        <v>1.1100000000000001</v>
      </c>
      <c r="G168" s="47">
        <v>1.1100000000000001</v>
      </c>
      <c r="H168" s="87">
        <f t="shared" si="5"/>
        <v>124858</v>
      </c>
    </row>
    <row r="169" spans="1:8" ht="15">
      <c r="A169" s="1">
        <v>3.79</v>
      </c>
      <c r="B169" s="2">
        <v>11610</v>
      </c>
      <c r="C169" s="1">
        <f t="shared" si="4"/>
        <v>44001.9</v>
      </c>
      <c r="E169" s="23">
        <v>45211</v>
      </c>
      <c r="F169" s="47">
        <v>1.07</v>
      </c>
      <c r="G169" s="47">
        <v>1.07</v>
      </c>
      <c r="H169" s="87">
        <f t="shared" si="5"/>
        <v>134137</v>
      </c>
    </row>
    <row r="170" spans="1:8" ht="15">
      <c r="A170" s="1">
        <v>1.94</v>
      </c>
      <c r="B170" s="2">
        <v>59780</v>
      </c>
      <c r="C170" s="1">
        <f t="shared" si="4"/>
        <v>115973.2</v>
      </c>
      <c r="E170" s="23">
        <v>45212</v>
      </c>
      <c r="F170" s="47">
        <v>1.0900000000000001</v>
      </c>
      <c r="G170" s="47">
        <v>1.0900000000000001</v>
      </c>
      <c r="H170" s="87">
        <f t="shared" si="5"/>
        <v>129372</v>
      </c>
    </row>
    <row r="171" spans="1:8" ht="15">
      <c r="A171" s="1">
        <v>2.1</v>
      </c>
      <c r="B171" s="2">
        <v>29790</v>
      </c>
      <c r="C171" s="1">
        <f t="shared" si="4"/>
        <v>62559</v>
      </c>
      <c r="E171" s="23">
        <v>45213</v>
      </c>
      <c r="F171" s="47">
        <v>1.06</v>
      </c>
      <c r="G171" s="47">
        <v>1.06</v>
      </c>
      <c r="H171" s="87">
        <f t="shared" si="5"/>
        <v>136619</v>
      </c>
    </row>
    <row r="172" spans="1:8" ht="15">
      <c r="A172" s="1">
        <v>2.2999999999999998</v>
      </c>
      <c r="B172" s="2">
        <v>25450</v>
      </c>
      <c r="C172" s="1">
        <f t="shared" si="4"/>
        <v>58534.999999999993</v>
      </c>
      <c r="E172" s="23">
        <v>45214</v>
      </c>
      <c r="F172" s="47">
        <v>1.06</v>
      </c>
      <c r="G172" s="47">
        <v>1.06</v>
      </c>
      <c r="H172" s="87">
        <f t="shared" si="5"/>
        <v>136619</v>
      </c>
    </row>
    <row r="173" spans="1:8" ht="15">
      <c r="A173" s="1">
        <v>2.3199999999999998</v>
      </c>
      <c r="B173" s="2">
        <v>30600</v>
      </c>
      <c r="C173" s="1">
        <f t="shared" si="4"/>
        <v>70992</v>
      </c>
      <c r="E173" s="23">
        <v>45215</v>
      </c>
      <c r="F173" s="47">
        <v>1.0900000000000001</v>
      </c>
      <c r="G173" s="47">
        <v>1.0900000000000001</v>
      </c>
      <c r="H173" s="87">
        <f t="shared" si="5"/>
        <v>129372</v>
      </c>
    </row>
    <row r="174" spans="1:8" ht="15">
      <c r="A174" s="1">
        <v>1.32</v>
      </c>
      <c r="B174" s="2">
        <v>86000</v>
      </c>
      <c r="C174" s="1">
        <f t="shared" si="4"/>
        <v>113520</v>
      </c>
      <c r="E174" s="23">
        <v>45216</v>
      </c>
      <c r="F174" s="47">
        <v>1.1000000000000001</v>
      </c>
      <c r="G174" s="47">
        <v>1.1000000000000001</v>
      </c>
      <c r="H174" s="87">
        <f t="shared" si="5"/>
        <v>127085</v>
      </c>
    </row>
    <row r="175" spans="1:8" ht="15">
      <c r="A175" s="1">
        <v>1.2300000000000002</v>
      </c>
      <c r="B175" s="2">
        <v>90720</v>
      </c>
      <c r="C175" s="1">
        <f t="shared" si="4"/>
        <v>111585.60000000002</v>
      </c>
      <c r="E175" s="23">
        <v>45217</v>
      </c>
      <c r="F175" s="47">
        <v>1.1100000000000001</v>
      </c>
      <c r="G175" s="47">
        <v>1.1100000000000001</v>
      </c>
      <c r="H175" s="87">
        <f t="shared" si="5"/>
        <v>124858</v>
      </c>
    </row>
    <row r="176" spans="1:8" ht="15">
      <c r="A176" s="1">
        <v>1.9700000000000002</v>
      </c>
      <c r="B176" s="2">
        <v>36950</v>
      </c>
      <c r="C176" s="1">
        <f t="shared" si="4"/>
        <v>72791.5</v>
      </c>
      <c r="E176" s="23">
        <v>45218</v>
      </c>
      <c r="F176" s="47">
        <v>1.06</v>
      </c>
      <c r="G176" s="47">
        <v>1.06</v>
      </c>
      <c r="H176" s="87">
        <f t="shared" si="5"/>
        <v>136619</v>
      </c>
    </row>
    <row r="177" spans="1:8" ht="15">
      <c r="A177" s="1">
        <v>2.81</v>
      </c>
      <c r="B177" s="2">
        <v>19350</v>
      </c>
      <c r="C177" s="1">
        <f t="shared" si="4"/>
        <v>54373.5</v>
      </c>
      <c r="E177" s="23">
        <v>45219</v>
      </c>
      <c r="F177" s="47">
        <v>1.03</v>
      </c>
      <c r="G177" s="47">
        <v>1.03</v>
      </c>
      <c r="H177" s="87">
        <f t="shared" si="5"/>
        <v>144498</v>
      </c>
    </row>
    <row r="178" spans="1:8" ht="15">
      <c r="A178" s="1">
        <v>1.9</v>
      </c>
      <c r="B178" s="2">
        <v>45930</v>
      </c>
      <c r="C178" s="1">
        <f t="shared" si="4"/>
        <v>87267</v>
      </c>
      <c r="E178" s="23">
        <v>45220</v>
      </c>
      <c r="F178" s="47">
        <v>1.02</v>
      </c>
      <c r="G178" s="47">
        <v>1.02</v>
      </c>
      <c r="H178" s="87">
        <f t="shared" si="5"/>
        <v>147278</v>
      </c>
    </row>
    <row r="179" spans="1:8" ht="15">
      <c r="A179" s="1">
        <v>1.9</v>
      </c>
      <c r="B179" s="2">
        <v>55940</v>
      </c>
      <c r="C179" s="1">
        <f t="shared" si="4"/>
        <v>106286</v>
      </c>
      <c r="E179" s="23">
        <v>45221</v>
      </c>
      <c r="F179" s="47">
        <v>1.04</v>
      </c>
      <c r="G179" s="47">
        <v>1.04</v>
      </c>
      <c r="H179" s="87">
        <f t="shared" si="5"/>
        <v>141797</v>
      </c>
    </row>
    <row r="180" spans="1:8" ht="15">
      <c r="A180" s="1">
        <v>1.0799999999999998</v>
      </c>
      <c r="B180" s="2">
        <v>170380</v>
      </c>
      <c r="C180" s="1">
        <f t="shared" si="4"/>
        <v>184010.39999999997</v>
      </c>
      <c r="E180" s="23">
        <v>45222</v>
      </c>
      <c r="F180" s="47">
        <v>0.99</v>
      </c>
      <c r="G180" s="47">
        <v>0.99</v>
      </c>
      <c r="H180" s="87">
        <f t="shared" si="5"/>
        <v>156120</v>
      </c>
    </row>
    <row r="181" spans="1:8" ht="15">
      <c r="A181" s="1">
        <v>2.7800000000000002</v>
      </c>
      <c r="B181" s="2">
        <v>16370</v>
      </c>
      <c r="C181" s="1">
        <f t="shared" si="4"/>
        <v>45508.600000000006</v>
      </c>
      <c r="E181" s="23">
        <v>45223</v>
      </c>
      <c r="F181" s="47">
        <v>0.95</v>
      </c>
      <c r="G181" s="47">
        <v>0.95</v>
      </c>
      <c r="H181" s="87">
        <f t="shared" si="5"/>
        <v>169215</v>
      </c>
    </row>
    <row r="182" spans="1:8" ht="15">
      <c r="A182" s="1">
        <v>2.3800000000000003</v>
      </c>
      <c r="B182" s="2">
        <v>34630</v>
      </c>
      <c r="C182" s="1">
        <f t="shared" si="4"/>
        <v>82419.400000000009</v>
      </c>
      <c r="E182" s="23">
        <v>45224</v>
      </c>
      <c r="F182" s="47">
        <v>0.98</v>
      </c>
      <c r="G182" s="47">
        <v>0.98</v>
      </c>
      <c r="H182" s="87">
        <f t="shared" si="5"/>
        <v>159246</v>
      </c>
    </row>
    <row r="183" spans="1:8" ht="15">
      <c r="A183" s="1">
        <v>1.77</v>
      </c>
      <c r="B183" s="2">
        <v>64500</v>
      </c>
      <c r="C183" s="1">
        <f t="shared" si="4"/>
        <v>114165</v>
      </c>
      <c r="E183" s="23">
        <v>45225</v>
      </c>
      <c r="F183" s="47">
        <v>0.97</v>
      </c>
      <c r="G183" s="47">
        <v>0.97</v>
      </c>
      <c r="H183" s="87">
        <f t="shared" si="5"/>
        <v>162468</v>
      </c>
    </row>
    <row r="184" spans="1:8" ht="15">
      <c r="A184" s="1">
        <v>0.93</v>
      </c>
      <c r="B184" s="2">
        <v>114270</v>
      </c>
      <c r="C184" s="1">
        <f t="shared" si="4"/>
        <v>106271.1</v>
      </c>
      <c r="E184" s="23">
        <v>45226</v>
      </c>
      <c r="F184" s="47">
        <v>0.96</v>
      </c>
      <c r="G184" s="47">
        <v>0.96</v>
      </c>
      <c r="H184" s="87">
        <f t="shared" si="5"/>
        <v>165790</v>
      </c>
    </row>
    <row r="185" spans="1:8" ht="15">
      <c r="A185" s="1">
        <v>2.6399999999999997</v>
      </c>
      <c r="B185" s="2">
        <v>26620</v>
      </c>
      <c r="C185" s="1">
        <f t="shared" si="4"/>
        <v>70276.799999999988</v>
      </c>
      <c r="E185" s="23">
        <v>45227</v>
      </c>
      <c r="F185" s="47">
        <v>1.02</v>
      </c>
      <c r="G185" s="47">
        <v>1.02</v>
      </c>
      <c r="H185" s="87">
        <f t="shared" si="5"/>
        <v>147278</v>
      </c>
    </row>
    <row r="186" spans="1:8" ht="15">
      <c r="A186" s="1">
        <v>2.6399999999999997</v>
      </c>
      <c r="B186" s="2">
        <v>17590</v>
      </c>
      <c r="C186" s="1">
        <f t="shared" si="4"/>
        <v>46437.599999999991</v>
      </c>
      <c r="E186" s="23">
        <v>45228</v>
      </c>
      <c r="F186" s="47">
        <v>1.0900000000000001</v>
      </c>
      <c r="G186" s="47">
        <v>1.0900000000000001</v>
      </c>
      <c r="H186" s="87">
        <f t="shared" si="5"/>
        <v>129372</v>
      </c>
    </row>
    <row r="187" spans="1:8" ht="15">
      <c r="A187" s="1">
        <v>3.9200000000000004</v>
      </c>
      <c r="B187" s="2">
        <v>5900</v>
      </c>
      <c r="C187" s="1">
        <f t="shared" si="4"/>
        <v>23128.000000000004</v>
      </c>
      <c r="E187" s="23">
        <v>45229</v>
      </c>
      <c r="F187" s="47">
        <v>1.1000000000000001</v>
      </c>
      <c r="G187" s="47">
        <v>1.1000000000000001</v>
      </c>
      <c r="H187" s="87">
        <f t="shared" si="5"/>
        <v>127085</v>
      </c>
    </row>
    <row r="188" spans="1:8" ht="15">
      <c r="A188" s="1">
        <v>3.27</v>
      </c>
      <c r="B188" s="2">
        <v>18970</v>
      </c>
      <c r="C188" s="1">
        <f t="shared" si="4"/>
        <v>62031.9</v>
      </c>
      <c r="E188" s="23">
        <v>45230</v>
      </c>
      <c r="F188" s="47">
        <v>1.03</v>
      </c>
      <c r="G188" s="47">
        <v>1.03</v>
      </c>
      <c r="H188" s="87">
        <f t="shared" si="5"/>
        <v>144498</v>
      </c>
    </row>
    <row r="189" spans="1:8" ht="15">
      <c r="A189" s="1">
        <v>3.48</v>
      </c>
      <c r="B189" s="2">
        <v>14130</v>
      </c>
      <c r="C189" s="1">
        <f t="shared" si="4"/>
        <v>49172.4</v>
      </c>
      <c r="E189" s="23">
        <v>45231</v>
      </c>
      <c r="F189" s="47">
        <v>1.02</v>
      </c>
      <c r="G189" s="47">
        <v>1.02</v>
      </c>
      <c r="H189" s="87">
        <f t="shared" si="5"/>
        <v>147278</v>
      </c>
    </row>
    <row r="190" spans="1:8" ht="15">
      <c r="A190" s="1">
        <v>2.3000000000000003</v>
      </c>
      <c r="B190" s="2">
        <v>31570</v>
      </c>
      <c r="C190" s="1">
        <f t="shared" si="4"/>
        <v>72611.000000000015</v>
      </c>
      <c r="E190" s="23">
        <v>45232</v>
      </c>
      <c r="F190" s="47">
        <v>1.07</v>
      </c>
      <c r="G190" s="47">
        <v>1.07</v>
      </c>
      <c r="H190" s="87">
        <f t="shared" si="5"/>
        <v>134137</v>
      </c>
    </row>
    <row r="191" spans="1:8" ht="15">
      <c r="A191" s="1">
        <v>1.1399999999999999</v>
      </c>
      <c r="B191" s="2">
        <v>118850</v>
      </c>
      <c r="C191" s="1">
        <f t="shared" si="4"/>
        <v>135489</v>
      </c>
      <c r="E191" s="23">
        <v>45233</v>
      </c>
      <c r="F191" s="47">
        <v>1.1100000000000001</v>
      </c>
      <c r="G191" s="47">
        <v>1.1100000000000001</v>
      </c>
      <c r="H191" s="87">
        <f t="shared" si="5"/>
        <v>124858</v>
      </c>
    </row>
    <row r="192" spans="1:8" ht="15">
      <c r="A192" s="1">
        <v>1.57</v>
      </c>
      <c r="B192" s="2">
        <v>97570</v>
      </c>
      <c r="C192" s="1">
        <f t="shared" si="4"/>
        <v>153184.9</v>
      </c>
      <c r="E192" s="23">
        <v>45234</v>
      </c>
      <c r="F192" s="47">
        <v>1.1399999999999999</v>
      </c>
      <c r="G192" s="47">
        <v>1.1399999999999999</v>
      </c>
      <c r="H192" s="87">
        <f t="shared" si="5"/>
        <v>118522</v>
      </c>
    </row>
    <row r="193" spans="1:8" ht="15">
      <c r="A193" s="1">
        <v>3.36</v>
      </c>
      <c r="B193" s="2">
        <v>14590</v>
      </c>
      <c r="C193" s="1">
        <f t="shared" si="4"/>
        <v>49022.400000000001</v>
      </c>
      <c r="E193" s="23">
        <v>45235</v>
      </c>
      <c r="F193" s="47">
        <v>1.18</v>
      </c>
      <c r="G193" s="47">
        <v>1.18</v>
      </c>
      <c r="H193" s="87">
        <f t="shared" si="5"/>
        <v>110802</v>
      </c>
    </row>
    <row r="194" spans="1:8" ht="15">
      <c r="A194" s="1">
        <v>3.33</v>
      </c>
      <c r="B194" s="2">
        <v>14260</v>
      </c>
      <c r="C194" s="1">
        <f t="shared" si="4"/>
        <v>47485.8</v>
      </c>
      <c r="E194" s="23">
        <v>45236</v>
      </c>
      <c r="F194" s="47">
        <v>1.22</v>
      </c>
      <c r="G194" s="47">
        <v>1.22</v>
      </c>
      <c r="H194" s="87">
        <f t="shared" si="5"/>
        <v>103818</v>
      </c>
    </row>
    <row r="195" spans="1:8" ht="15">
      <c r="A195" s="1">
        <v>2.4899999999999998</v>
      </c>
      <c r="B195" s="2">
        <v>34440</v>
      </c>
      <c r="C195" s="1">
        <f t="shared" si="4"/>
        <v>85755.599999999991</v>
      </c>
      <c r="E195" s="23">
        <v>45237</v>
      </c>
      <c r="F195" s="47">
        <v>1.18</v>
      </c>
      <c r="G195" s="47">
        <v>1.18</v>
      </c>
      <c r="H195" s="87">
        <f t="shared" si="5"/>
        <v>110802</v>
      </c>
    </row>
    <row r="196" spans="1:8" ht="15">
      <c r="A196" s="1">
        <v>2.5</v>
      </c>
      <c r="B196" s="2">
        <v>19500</v>
      </c>
      <c r="C196" s="1">
        <f t="shared" si="4"/>
        <v>48750</v>
      </c>
      <c r="E196" s="23">
        <v>45238</v>
      </c>
      <c r="F196" s="47">
        <v>1.19</v>
      </c>
      <c r="G196" s="47">
        <v>1.19</v>
      </c>
      <c r="H196" s="87">
        <f t="shared" si="5"/>
        <v>108991</v>
      </c>
    </row>
    <row r="197" spans="1:8" ht="15">
      <c r="A197" s="1">
        <v>1.24</v>
      </c>
      <c r="B197" s="2">
        <v>95380</v>
      </c>
      <c r="C197" s="1">
        <f t="shared" ref="C197:C245" si="6">A197*B197</f>
        <v>118271.2</v>
      </c>
      <c r="E197" s="23">
        <v>45239</v>
      </c>
      <c r="F197" s="47">
        <v>1.26</v>
      </c>
      <c r="G197" s="47">
        <v>1.26</v>
      </c>
      <c r="H197" s="87">
        <f t="shared" si="5"/>
        <v>97479</v>
      </c>
    </row>
    <row r="198" spans="1:8" ht="15">
      <c r="A198" s="1">
        <v>3.1</v>
      </c>
      <c r="B198" s="2">
        <v>20810</v>
      </c>
      <c r="C198" s="1">
        <f t="shared" si="6"/>
        <v>64511</v>
      </c>
      <c r="E198" s="23">
        <v>45240</v>
      </c>
      <c r="F198" s="47">
        <v>1.28</v>
      </c>
      <c r="G198" s="47">
        <v>1.28</v>
      </c>
      <c r="H198" s="87">
        <f t="shared" si="5"/>
        <v>94526</v>
      </c>
    </row>
    <row r="199" spans="1:8" ht="15">
      <c r="A199" s="1">
        <v>2.67</v>
      </c>
      <c r="B199" s="2">
        <v>29110</v>
      </c>
      <c r="C199" s="1">
        <f t="shared" si="6"/>
        <v>77723.7</v>
      </c>
      <c r="E199" s="23">
        <v>45241</v>
      </c>
      <c r="F199" s="47">
        <v>1.22</v>
      </c>
      <c r="G199" s="47">
        <v>1.22</v>
      </c>
      <c r="H199" s="87">
        <f t="shared" si="5"/>
        <v>103818</v>
      </c>
    </row>
    <row r="200" spans="1:8" ht="15">
      <c r="A200" s="1">
        <v>1.98</v>
      </c>
      <c r="B200" s="2">
        <v>28590</v>
      </c>
      <c r="C200" s="1">
        <f t="shared" si="6"/>
        <v>56608.2</v>
      </c>
      <c r="E200" s="23">
        <v>45242</v>
      </c>
      <c r="F200" s="47">
        <v>1.23</v>
      </c>
      <c r="G200" s="47">
        <v>1.23</v>
      </c>
      <c r="H200" s="87">
        <f t="shared" si="5"/>
        <v>102176</v>
      </c>
    </row>
    <row r="201" spans="1:8" ht="15">
      <c r="A201" s="1">
        <v>3.1</v>
      </c>
      <c r="B201" s="2">
        <v>13650</v>
      </c>
      <c r="C201" s="1">
        <f t="shared" si="6"/>
        <v>42315</v>
      </c>
      <c r="E201" s="23">
        <v>45243</v>
      </c>
      <c r="F201" s="47">
        <v>1.17</v>
      </c>
      <c r="G201" s="47">
        <v>1.17</v>
      </c>
      <c r="H201" s="87">
        <f t="shared" si="5"/>
        <v>112659</v>
      </c>
    </row>
    <row r="202" spans="1:8" ht="15">
      <c r="A202" s="1">
        <v>2.77</v>
      </c>
      <c r="B202" s="2">
        <v>18300</v>
      </c>
      <c r="C202" s="1">
        <f t="shared" si="6"/>
        <v>50691</v>
      </c>
      <c r="E202" s="23">
        <v>45244</v>
      </c>
      <c r="F202" s="47">
        <v>1.1200000000000001</v>
      </c>
      <c r="G202" s="47">
        <v>1.1200000000000001</v>
      </c>
      <c r="H202" s="87">
        <f t="shared" si="5"/>
        <v>122690</v>
      </c>
    </row>
    <row r="203" spans="1:8" ht="15">
      <c r="A203" s="1">
        <v>2.89</v>
      </c>
      <c r="B203" s="2">
        <v>25270</v>
      </c>
      <c r="C203" s="1">
        <f t="shared" si="6"/>
        <v>73030.3</v>
      </c>
      <c r="E203" s="23">
        <v>45245</v>
      </c>
      <c r="F203" s="47">
        <v>1.1499999999999999</v>
      </c>
      <c r="G203" s="47">
        <v>1.1499999999999999</v>
      </c>
      <c r="H203" s="87">
        <f t="shared" si="5"/>
        <v>116517</v>
      </c>
    </row>
    <row r="204" spans="1:8" ht="15">
      <c r="A204" s="1">
        <v>2.36</v>
      </c>
      <c r="B204" s="2">
        <v>25080</v>
      </c>
      <c r="C204" s="1">
        <f t="shared" si="6"/>
        <v>59188.799999999996</v>
      </c>
      <c r="E204" s="23">
        <v>45246</v>
      </c>
      <c r="F204" s="47">
        <v>1.17</v>
      </c>
      <c r="G204" s="47">
        <v>1.17</v>
      </c>
      <c r="H204" s="87">
        <f t="shared" si="5"/>
        <v>112659</v>
      </c>
    </row>
    <row r="205" spans="1:8" ht="15">
      <c r="A205" s="1">
        <v>3.14</v>
      </c>
      <c r="B205" s="2">
        <v>15600</v>
      </c>
      <c r="C205" s="1">
        <f t="shared" si="6"/>
        <v>48984</v>
      </c>
      <c r="E205" s="23">
        <v>45247</v>
      </c>
      <c r="F205" s="47">
        <v>1.21</v>
      </c>
      <c r="G205" s="47">
        <v>1.21</v>
      </c>
      <c r="H205" s="87">
        <f t="shared" si="5"/>
        <v>105500</v>
      </c>
    </row>
    <row r="206" spans="1:8" ht="15">
      <c r="A206" s="1">
        <v>3.21</v>
      </c>
      <c r="B206" s="2">
        <v>16240</v>
      </c>
      <c r="C206" s="1">
        <f t="shared" si="6"/>
        <v>52130.400000000001</v>
      </c>
      <c r="E206" s="23">
        <v>45248</v>
      </c>
      <c r="F206" s="47">
        <v>1.25</v>
      </c>
      <c r="G206" s="47">
        <v>1.25</v>
      </c>
      <c r="H206" s="87">
        <f t="shared" si="5"/>
        <v>99007</v>
      </c>
    </row>
    <row r="207" spans="1:8" ht="15">
      <c r="A207" s="1">
        <v>1.6400000000000001</v>
      </c>
      <c r="B207" s="2">
        <v>81050</v>
      </c>
      <c r="C207" s="1">
        <f t="shared" si="6"/>
        <v>132922</v>
      </c>
      <c r="E207" s="23">
        <v>45249</v>
      </c>
      <c r="F207" s="47">
        <v>1.23</v>
      </c>
      <c r="G207" s="47">
        <v>1.23</v>
      </c>
      <c r="H207" s="87">
        <f t="shared" si="5"/>
        <v>102176</v>
      </c>
    </row>
    <row r="208" spans="1:8" ht="15">
      <c r="A208" s="1">
        <v>1.74</v>
      </c>
      <c r="B208" s="2">
        <v>48020</v>
      </c>
      <c r="C208" s="1">
        <f t="shared" si="6"/>
        <v>83554.8</v>
      </c>
      <c r="E208" s="23">
        <v>45250</v>
      </c>
      <c r="F208" s="47">
        <v>1.24</v>
      </c>
      <c r="G208" s="47">
        <v>1.24</v>
      </c>
      <c r="H208" s="87">
        <f t="shared" si="5"/>
        <v>100573</v>
      </c>
    </row>
    <row r="209" spans="1:8" ht="15">
      <c r="A209" s="1">
        <v>1.5</v>
      </c>
      <c r="B209" s="2">
        <v>68400</v>
      </c>
      <c r="C209" s="1">
        <f t="shared" si="6"/>
        <v>102600</v>
      </c>
      <c r="E209" s="23">
        <v>45251</v>
      </c>
      <c r="F209" s="47">
        <v>1.28</v>
      </c>
      <c r="G209" s="47">
        <v>1.28</v>
      </c>
      <c r="H209" s="87">
        <f t="shared" si="5"/>
        <v>94526</v>
      </c>
    </row>
    <row r="210" spans="1:8" ht="15">
      <c r="A210" s="1">
        <v>2.85</v>
      </c>
      <c r="B210" s="2">
        <v>20030</v>
      </c>
      <c r="C210" s="1">
        <f t="shared" si="6"/>
        <v>57085.5</v>
      </c>
      <c r="E210" s="23">
        <v>45252</v>
      </c>
      <c r="F210" s="47">
        <v>1.3</v>
      </c>
      <c r="G210" s="47">
        <v>1.3</v>
      </c>
      <c r="H210" s="87">
        <f t="shared" si="5"/>
        <v>91707</v>
      </c>
    </row>
    <row r="211" spans="1:8" ht="15">
      <c r="A211" s="1">
        <v>1.8</v>
      </c>
      <c r="B211" s="2">
        <v>70370</v>
      </c>
      <c r="C211" s="1">
        <f t="shared" si="6"/>
        <v>126666</v>
      </c>
      <c r="E211" s="23">
        <v>45253</v>
      </c>
      <c r="F211" s="47">
        <v>1.33</v>
      </c>
      <c r="G211" s="47">
        <v>1.33</v>
      </c>
      <c r="H211" s="87">
        <f t="shared" si="5"/>
        <v>87710</v>
      </c>
    </row>
    <row r="212" spans="1:8" ht="15">
      <c r="A212" s="1">
        <v>3.47</v>
      </c>
      <c r="B212" s="2">
        <v>11170</v>
      </c>
      <c r="C212" s="1">
        <f t="shared" si="6"/>
        <v>38759.9</v>
      </c>
      <c r="E212" s="23">
        <v>45254</v>
      </c>
      <c r="F212" s="47">
        <v>1.39</v>
      </c>
      <c r="G212" s="47">
        <v>1.39</v>
      </c>
      <c r="H212" s="87">
        <f t="shared" si="5"/>
        <v>80468</v>
      </c>
    </row>
    <row r="213" spans="1:8" ht="15">
      <c r="A213" s="1">
        <v>3.5100000000000002</v>
      </c>
      <c r="B213" s="2">
        <v>14570</v>
      </c>
      <c r="C213" s="1">
        <f t="shared" si="6"/>
        <v>51140.700000000004</v>
      </c>
      <c r="E213" s="23">
        <v>45255</v>
      </c>
      <c r="F213" s="47">
        <v>1.42</v>
      </c>
      <c r="G213" s="47">
        <v>1.42</v>
      </c>
      <c r="H213" s="87">
        <f t="shared" si="5"/>
        <v>77182</v>
      </c>
    </row>
    <row r="214" spans="1:8" ht="15">
      <c r="A214" s="1">
        <v>1.31</v>
      </c>
      <c r="B214" s="2">
        <v>125320</v>
      </c>
      <c r="C214" s="1">
        <f t="shared" si="6"/>
        <v>164169.20000000001</v>
      </c>
      <c r="E214" s="23">
        <v>45256</v>
      </c>
      <c r="F214" s="47">
        <v>1.35</v>
      </c>
      <c r="G214" s="47">
        <v>1.35</v>
      </c>
      <c r="H214" s="87">
        <f t="shared" si="5"/>
        <v>85190</v>
      </c>
    </row>
    <row r="215" spans="1:8" ht="15">
      <c r="A215" s="1">
        <v>2.36</v>
      </c>
      <c r="B215" s="2">
        <v>31470</v>
      </c>
      <c r="C215" s="1">
        <f t="shared" si="6"/>
        <v>74269.2</v>
      </c>
      <c r="E215" s="23">
        <v>45257</v>
      </c>
      <c r="F215" s="47">
        <v>1.33</v>
      </c>
      <c r="G215" s="47">
        <v>1.33</v>
      </c>
      <c r="H215" s="87">
        <f t="shared" si="5"/>
        <v>87710</v>
      </c>
    </row>
    <row r="216" spans="1:8" ht="15">
      <c r="A216" s="1">
        <v>2.3600000000000003</v>
      </c>
      <c r="B216" s="2">
        <v>26170</v>
      </c>
      <c r="C216" s="1">
        <f t="shared" si="6"/>
        <v>61761.200000000012</v>
      </c>
      <c r="E216" s="23">
        <v>45258</v>
      </c>
      <c r="F216" s="47">
        <v>1.32</v>
      </c>
      <c r="G216" s="47">
        <v>1.32</v>
      </c>
      <c r="H216" s="87">
        <f t="shared" si="5"/>
        <v>89013</v>
      </c>
    </row>
    <row r="217" spans="1:8" ht="15">
      <c r="A217" s="1">
        <v>3.02</v>
      </c>
      <c r="B217" s="2">
        <v>26130</v>
      </c>
      <c r="C217" s="1">
        <f t="shared" si="6"/>
        <v>78912.600000000006</v>
      </c>
      <c r="E217" s="23">
        <v>45259</v>
      </c>
      <c r="F217" s="47">
        <v>1.29</v>
      </c>
      <c r="G217" s="47">
        <v>1.29</v>
      </c>
      <c r="H217" s="87">
        <f t="shared" si="5"/>
        <v>93100</v>
      </c>
    </row>
    <row r="218" spans="1:8" ht="15">
      <c r="A218" s="1">
        <v>3.4800000000000004</v>
      </c>
      <c r="B218" s="2">
        <v>13660</v>
      </c>
      <c r="C218" s="1">
        <f t="shared" si="6"/>
        <v>47536.800000000003</v>
      </c>
      <c r="E218" s="23">
        <v>45260</v>
      </c>
      <c r="F218" s="47">
        <v>1.37</v>
      </c>
      <c r="G218" s="47">
        <v>1.37</v>
      </c>
      <c r="H218" s="87">
        <f t="shared" si="5"/>
        <v>82779</v>
      </c>
    </row>
    <row r="219" spans="1:8" ht="15">
      <c r="A219" s="1">
        <v>2.0700000000000003</v>
      </c>
      <c r="B219" s="2">
        <v>38320</v>
      </c>
      <c r="C219" s="1">
        <f t="shared" si="6"/>
        <v>79322.400000000009</v>
      </c>
      <c r="E219" s="23">
        <v>45261</v>
      </c>
      <c r="F219" s="47">
        <v>1.33</v>
      </c>
      <c r="G219" s="47">
        <v>1.33</v>
      </c>
      <c r="H219" s="87">
        <f t="shared" si="5"/>
        <v>87710</v>
      </c>
    </row>
    <row r="220" spans="1:8" ht="15">
      <c r="A220" s="1">
        <v>1.08</v>
      </c>
      <c r="B220" s="2">
        <v>143330</v>
      </c>
      <c r="C220" s="1">
        <f t="shared" si="6"/>
        <v>154796.40000000002</v>
      </c>
      <c r="E220" s="23">
        <v>45262</v>
      </c>
      <c r="F220" s="47">
        <v>1.27</v>
      </c>
      <c r="G220" s="47">
        <v>1.27</v>
      </c>
      <c r="H220" s="87">
        <f t="shared" si="5"/>
        <v>95985</v>
      </c>
    </row>
    <row r="221" spans="1:8" ht="15">
      <c r="A221" s="1">
        <v>3.87</v>
      </c>
      <c r="B221" s="2">
        <v>12940</v>
      </c>
      <c r="C221" s="1">
        <f t="shared" si="6"/>
        <v>50077.8</v>
      </c>
      <c r="E221" s="23">
        <v>45263</v>
      </c>
      <c r="F221" s="47">
        <v>1.28</v>
      </c>
      <c r="G221" s="47">
        <v>1.28</v>
      </c>
      <c r="H221" s="87">
        <f t="shared" si="5"/>
        <v>94526</v>
      </c>
    </row>
    <row r="222" spans="1:8" ht="15">
      <c r="A222" s="1">
        <v>3.83</v>
      </c>
      <c r="B222" s="2">
        <v>10040</v>
      </c>
      <c r="C222" s="1">
        <f t="shared" si="6"/>
        <v>38453.199999999997</v>
      </c>
      <c r="E222" s="23">
        <v>45264</v>
      </c>
      <c r="F222" s="47">
        <v>1.23</v>
      </c>
      <c r="G222" s="47">
        <v>1.23</v>
      </c>
      <c r="H222" s="87">
        <f t="shared" si="5"/>
        <v>102176</v>
      </c>
    </row>
    <row r="223" spans="1:8" ht="15">
      <c r="A223" s="1">
        <v>1.52</v>
      </c>
      <c r="B223" s="2">
        <v>102230</v>
      </c>
      <c r="C223" s="1">
        <f t="shared" si="6"/>
        <v>155389.6</v>
      </c>
      <c r="E223" s="23">
        <v>45265</v>
      </c>
      <c r="F223" s="47">
        <v>1.2</v>
      </c>
      <c r="G223" s="47">
        <v>1.2</v>
      </c>
      <c r="H223" s="87">
        <f t="shared" si="5"/>
        <v>107224</v>
      </c>
    </row>
    <row r="224" spans="1:8" ht="15">
      <c r="A224" s="1">
        <v>1.69</v>
      </c>
      <c r="B224" s="2">
        <v>52060</v>
      </c>
      <c r="C224" s="1">
        <f t="shared" si="6"/>
        <v>87981.4</v>
      </c>
      <c r="E224" s="23">
        <v>45266</v>
      </c>
      <c r="F224" s="47">
        <v>1.25</v>
      </c>
      <c r="G224" s="47"/>
      <c r="H224" s="87">
        <f t="shared" si="5"/>
        <v>99007</v>
      </c>
    </row>
    <row r="225" spans="1:8" ht="15">
      <c r="A225" s="1">
        <v>1.79</v>
      </c>
      <c r="B225" s="2">
        <v>40540</v>
      </c>
      <c r="C225" s="1">
        <f t="shared" si="6"/>
        <v>72566.600000000006</v>
      </c>
      <c r="E225" s="23">
        <v>45267</v>
      </c>
      <c r="F225" s="47">
        <v>1.29</v>
      </c>
      <c r="G225" s="47"/>
      <c r="H225" s="87">
        <f t="shared" si="5"/>
        <v>93100</v>
      </c>
    </row>
    <row r="226" spans="1:8" ht="15">
      <c r="A226" s="1">
        <v>3.23</v>
      </c>
      <c r="B226" s="2">
        <v>14550</v>
      </c>
      <c r="C226" s="1">
        <f t="shared" si="6"/>
        <v>46996.5</v>
      </c>
      <c r="E226" s="23">
        <v>45268</v>
      </c>
      <c r="F226" s="47">
        <v>1.29</v>
      </c>
      <c r="G226" s="47"/>
      <c r="H226" s="87">
        <f t="shared" si="5"/>
        <v>93100</v>
      </c>
    </row>
    <row r="227" spans="1:8" ht="15">
      <c r="A227" s="1">
        <v>1.7799999999999998</v>
      </c>
      <c r="B227" s="2">
        <v>70930</v>
      </c>
      <c r="C227" s="1">
        <f t="shared" si="6"/>
        <v>126255.39999999998</v>
      </c>
      <c r="E227" s="23">
        <v>45269</v>
      </c>
      <c r="F227" s="47">
        <v>1.29</v>
      </c>
      <c r="G227" s="47"/>
      <c r="H227" s="87">
        <f t="shared" si="5"/>
        <v>93100</v>
      </c>
    </row>
    <row r="228" spans="1:8" ht="15">
      <c r="A228" s="1">
        <v>3.9</v>
      </c>
      <c r="B228" s="2">
        <v>11490</v>
      </c>
      <c r="C228" s="1">
        <f t="shared" si="6"/>
        <v>44811</v>
      </c>
      <c r="E228" s="23">
        <v>45270</v>
      </c>
      <c r="F228" s="47">
        <v>1.33</v>
      </c>
      <c r="G228" s="47"/>
      <c r="H228" s="87">
        <f t="shared" ref="H228:H242" si="7">INT(153086*F228^-1.953)</f>
        <v>87710</v>
      </c>
    </row>
    <row r="229" spans="1:8" ht="15">
      <c r="A229" s="1">
        <v>2.83</v>
      </c>
      <c r="B229" s="2">
        <v>22180</v>
      </c>
      <c r="C229" s="1">
        <f t="shared" si="6"/>
        <v>62769.4</v>
      </c>
      <c r="E229" s="23">
        <v>45271</v>
      </c>
      <c r="F229" s="47">
        <v>1.38</v>
      </c>
      <c r="G229" s="47"/>
      <c r="H229" s="87">
        <f t="shared" si="7"/>
        <v>81611</v>
      </c>
    </row>
    <row r="230" spans="1:8" ht="15">
      <c r="A230" s="1">
        <v>3.77</v>
      </c>
      <c r="B230" s="2">
        <v>8740</v>
      </c>
      <c r="C230" s="1">
        <f t="shared" si="6"/>
        <v>32949.800000000003</v>
      </c>
      <c r="E230" s="23">
        <v>45272</v>
      </c>
      <c r="F230" s="47">
        <v>1.39</v>
      </c>
      <c r="G230" s="47"/>
      <c r="H230" s="87">
        <f t="shared" si="7"/>
        <v>80468</v>
      </c>
    </row>
    <row r="231" spans="1:8" ht="15">
      <c r="A231" s="1">
        <v>2.54</v>
      </c>
      <c r="B231" s="2">
        <v>21170</v>
      </c>
      <c r="C231" s="1">
        <f t="shared" si="6"/>
        <v>53771.8</v>
      </c>
      <c r="E231" s="23">
        <v>45273</v>
      </c>
      <c r="F231" s="47">
        <v>1.42</v>
      </c>
      <c r="G231" s="47"/>
      <c r="H231" s="87">
        <f t="shared" si="7"/>
        <v>77182</v>
      </c>
    </row>
    <row r="232" spans="1:8" ht="15">
      <c r="A232" s="1">
        <v>3.04</v>
      </c>
      <c r="B232" s="2">
        <v>19330</v>
      </c>
      <c r="C232" s="1">
        <f t="shared" si="6"/>
        <v>58763.199999999997</v>
      </c>
      <c r="E232" s="23">
        <v>45274</v>
      </c>
      <c r="F232" s="47">
        <v>1.48</v>
      </c>
      <c r="G232" s="47"/>
      <c r="H232" s="87">
        <f t="shared" si="7"/>
        <v>71189</v>
      </c>
    </row>
    <row r="233" spans="1:8" ht="15">
      <c r="A233" s="1">
        <v>1.4500000000000002</v>
      </c>
      <c r="B233" s="2">
        <v>66960</v>
      </c>
      <c r="C233" s="1">
        <f t="shared" si="6"/>
        <v>97092.000000000015</v>
      </c>
      <c r="E233" s="23">
        <v>45275</v>
      </c>
      <c r="F233" s="47">
        <v>1.42</v>
      </c>
      <c r="G233" s="47"/>
      <c r="H233" s="87">
        <f t="shared" si="7"/>
        <v>77182</v>
      </c>
    </row>
    <row r="234" spans="1:8" ht="15">
      <c r="A234" s="1">
        <v>1.68</v>
      </c>
      <c r="B234" s="2">
        <v>63840</v>
      </c>
      <c r="C234" s="1">
        <f t="shared" si="6"/>
        <v>107251.2</v>
      </c>
      <c r="E234" s="23">
        <v>45276</v>
      </c>
      <c r="F234" s="47">
        <v>1.4</v>
      </c>
      <c r="G234" s="47"/>
      <c r="H234" s="87">
        <f t="shared" si="7"/>
        <v>79350</v>
      </c>
    </row>
    <row r="235" spans="1:8" ht="15">
      <c r="A235" s="1">
        <v>3.87</v>
      </c>
      <c r="B235" s="2">
        <v>10250</v>
      </c>
      <c r="C235" s="1">
        <f t="shared" si="6"/>
        <v>39667.5</v>
      </c>
      <c r="E235" s="23">
        <v>45277</v>
      </c>
      <c r="F235" s="47">
        <v>1.35</v>
      </c>
      <c r="G235" s="47"/>
      <c r="H235" s="87">
        <f t="shared" si="7"/>
        <v>85190</v>
      </c>
    </row>
    <row r="236" spans="1:8" ht="15">
      <c r="A236" s="1">
        <v>2.66</v>
      </c>
      <c r="B236" s="2">
        <v>23510</v>
      </c>
      <c r="C236" s="1">
        <f t="shared" si="6"/>
        <v>62536.600000000006</v>
      </c>
      <c r="E236" s="23">
        <v>45278</v>
      </c>
      <c r="F236" s="47">
        <v>1.33</v>
      </c>
      <c r="G236" s="47"/>
      <c r="H236" s="87">
        <f t="shared" si="7"/>
        <v>87710</v>
      </c>
    </row>
    <row r="237" spans="1:8" ht="15">
      <c r="A237" s="1">
        <v>2.13</v>
      </c>
      <c r="B237" s="2">
        <v>44850</v>
      </c>
      <c r="C237" s="1">
        <f t="shared" si="6"/>
        <v>95530.5</v>
      </c>
      <c r="E237" s="23">
        <v>45279</v>
      </c>
      <c r="F237" s="47">
        <v>1.35</v>
      </c>
      <c r="G237" s="47"/>
      <c r="H237" s="87">
        <f t="shared" si="7"/>
        <v>85190</v>
      </c>
    </row>
    <row r="238" spans="1:8" ht="15">
      <c r="A238" s="1">
        <v>1.7899999999999998</v>
      </c>
      <c r="B238" s="2">
        <v>58220</v>
      </c>
      <c r="C238" s="1">
        <f t="shared" si="6"/>
        <v>104213.79999999999</v>
      </c>
      <c r="E238" s="23">
        <v>45280</v>
      </c>
      <c r="F238" s="47">
        <v>1.34</v>
      </c>
      <c r="G238" s="47"/>
      <c r="H238" s="87">
        <f t="shared" si="7"/>
        <v>86437</v>
      </c>
    </row>
    <row r="239" spans="1:8" ht="15">
      <c r="A239" s="1">
        <v>2.8000000000000003</v>
      </c>
      <c r="B239" s="2">
        <v>24990</v>
      </c>
      <c r="C239" s="1">
        <f t="shared" si="6"/>
        <v>69972</v>
      </c>
      <c r="E239" s="23">
        <v>45281</v>
      </c>
      <c r="F239" s="47">
        <v>1.35</v>
      </c>
      <c r="G239" s="47"/>
      <c r="H239" s="87">
        <f t="shared" si="7"/>
        <v>85190</v>
      </c>
    </row>
    <row r="240" spans="1:8" ht="15">
      <c r="A240" s="1">
        <v>2.3000000000000003</v>
      </c>
      <c r="B240" s="2">
        <v>19680</v>
      </c>
      <c r="C240" s="1">
        <f t="shared" si="6"/>
        <v>45264.000000000007</v>
      </c>
      <c r="E240" s="23">
        <v>45282</v>
      </c>
      <c r="F240" s="47">
        <v>1.33</v>
      </c>
      <c r="G240" s="47"/>
      <c r="H240" s="87">
        <f t="shared" si="7"/>
        <v>87710</v>
      </c>
    </row>
    <row r="241" spans="1:8" ht="15">
      <c r="A241" s="1">
        <v>2.39</v>
      </c>
      <c r="B241" s="2">
        <v>19800</v>
      </c>
      <c r="C241" s="1">
        <f t="shared" si="6"/>
        <v>47322</v>
      </c>
      <c r="E241" s="23">
        <v>45283</v>
      </c>
      <c r="F241" s="47">
        <v>1.35</v>
      </c>
      <c r="G241" s="47"/>
      <c r="H241" s="87">
        <f t="shared" si="7"/>
        <v>85190</v>
      </c>
    </row>
    <row r="242" spans="1:8" ht="15">
      <c r="A242" s="1">
        <v>1.01</v>
      </c>
      <c r="B242" s="2">
        <v>220560</v>
      </c>
      <c r="C242" s="1">
        <f t="shared" si="6"/>
        <v>222765.6</v>
      </c>
      <c r="E242" s="23">
        <v>45284</v>
      </c>
      <c r="F242" s="47">
        <v>1.43</v>
      </c>
      <c r="G242" s="47"/>
      <c r="H242" s="87">
        <f t="shared" si="7"/>
        <v>76131</v>
      </c>
    </row>
    <row r="243" spans="1:8">
      <c r="A243" s="1">
        <v>2.81</v>
      </c>
      <c r="B243" s="2">
        <v>19030</v>
      </c>
      <c r="C243" s="1">
        <f t="shared" si="6"/>
        <v>53474.3</v>
      </c>
    </row>
    <row r="244" spans="1:8">
      <c r="A244" s="1">
        <v>2.5</v>
      </c>
      <c r="B244" s="2">
        <v>28750</v>
      </c>
      <c r="C244" s="1">
        <f t="shared" si="6"/>
        <v>71875</v>
      </c>
    </row>
    <row r="245" spans="1:8" ht="15" thickBot="1">
      <c r="A245" s="1">
        <v>1.95</v>
      </c>
      <c r="B245" s="2">
        <v>47270</v>
      </c>
      <c r="C245" s="1">
        <f t="shared" si="6"/>
        <v>92176.5</v>
      </c>
    </row>
    <row r="246" spans="1:8">
      <c r="E246" s="69"/>
      <c r="F246" s="69" t="s">
        <v>5891</v>
      </c>
      <c r="G246" s="69" t="s">
        <v>5892</v>
      </c>
    </row>
    <row r="247" spans="1:8">
      <c r="E247" t="s">
        <v>5891</v>
      </c>
      <c r="F247">
        <v>1</v>
      </c>
    </row>
    <row r="248" spans="1:8" ht="15" thickBot="1">
      <c r="E248" s="68" t="s">
        <v>5892</v>
      </c>
      <c r="F248" s="68">
        <v>-0.82458251367524982</v>
      </c>
      <c r="G248" s="68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67B8-2401-4068-9456-87FE49ACA66A}">
  <dimension ref="A1:M2003"/>
  <sheetViews>
    <sheetView zoomScale="115" zoomScaleNormal="115" workbookViewId="0"/>
  </sheetViews>
  <sheetFormatPr defaultColWidth="14.875" defaultRowHeight="14.25"/>
  <cols>
    <col min="6" max="6" width="14.875" style="23"/>
    <col min="7" max="7" width="14.875" style="1"/>
    <col min="9" max="10" width="18.75" customWidth="1"/>
  </cols>
  <sheetData>
    <row r="1" spans="1:12" ht="20.25" thickBot="1">
      <c r="A1" s="4" t="s">
        <v>5808</v>
      </c>
      <c r="B1" s="4"/>
      <c r="C1" s="4"/>
      <c r="D1" s="4"/>
    </row>
    <row r="2" spans="1:12" ht="15" thickTop="1"/>
    <row r="3" spans="1:12" ht="15.75" thickBot="1">
      <c r="A3" s="21" t="s">
        <v>5693</v>
      </c>
      <c r="B3" s="21" t="s">
        <v>34</v>
      </c>
      <c r="C3" s="21" t="s">
        <v>33</v>
      </c>
      <c r="D3" s="21" t="s">
        <v>31</v>
      </c>
      <c r="E3" s="21" t="s">
        <v>32</v>
      </c>
      <c r="F3" s="24" t="s">
        <v>3492</v>
      </c>
      <c r="G3" s="71" t="s">
        <v>3491</v>
      </c>
      <c r="I3" t="s">
        <v>31</v>
      </c>
      <c r="J3" t="s">
        <v>32</v>
      </c>
      <c r="K3" t="s">
        <v>3492</v>
      </c>
      <c r="L3" t="s">
        <v>3491</v>
      </c>
    </row>
    <row r="4" spans="1:12">
      <c r="A4" t="s">
        <v>5694</v>
      </c>
      <c r="B4" t="s">
        <v>106</v>
      </c>
      <c r="C4" t="s">
        <v>1982</v>
      </c>
      <c r="D4" t="s">
        <v>2159</v>
      </c>
      <c r="E4" t="s">
        <v>3493</v>
      </c>
      <c r="F4" s="23">
        <v>44346</v>
      </c>
      <c r="G4" s="1">
        <v>16000</v>
      </c>
      <c r="I4" t="s">
        <v>5896</v>
      </c>
      <c r="J4" t="e">
        <f t="shared" ref="J4:L9" si="0">_xlfn.XLOOKUP($I4,$D4:$D2003,E4:E2003)</f>
        <v>#N/A</v>
      </c>
      <c r="K4" t="e">
        <f t="shared" si="0"/>
        <v>#N/A</v>
      </c>
      <c r="L4" t="e">
        <f t="shared" si="0"/>
        <v>#N/A</v>
      </c>
    </row>
    <row r="5" spans="1:12">
      <c r="A5" t="s">
        <v>5694</v>
      </c>
      <c r="B5" t="s">
        <v>94</v>
      </c>
      <c r="C5" t="s">
        <v>2046</v>
      </c>
      <c r="D5" t="s">
        <v>5493</v>
      </c>
      <c r="E5" t="s">
        <v>3494</v>
      </c>
      <c r="F5" s="23">
        <v>44346</v>
      </c>
      <c r="G5" s="1">
        <v>12389</v>
      </c>
      <c r="I5" t="s">
        <v>594</v>
      </c>
      <c r="J5" t="str">
        <f t="shared" si="0"/>
        <v>Alexandrina Luparto</v>
      </c>
      <c r="K5">
        <f t="shared" si="0"/>
        <v>44804</v>
      </c>
      <c r="L5">
        <f t="shared" si="0"/>
        <v>5631</v>
      </c>
    </row>
    <row r="6" spans="1:12">
      <c r="A6" t="s">
        <v>5694</v>
      </c>
      <c r="B6" t="s">
        <v>303</v>
      </c>
      <c r="C6" t="s">
        <v>678</v>
      </c>
      <c r="D6" t="s">
        <v>677</v>
      </c>
      <c r="E6" t="s">
        <v>3495</v>
      </c>
      <c r="F6" s="23">
        <v>45005</v>
      </c>
      <c r="G6" s="1">
        <v>11623</v>
      </c>
      <c r="I6" t="s">
        <v>3205</v>
      </c>
      <c r="J6" t="str">
        <f t="shared" si="0"/>
        <v>Daryl Kedwell</v>
      </c>
      <c r="K6">
        <f t="shared" si="0"/>
        <v>44346</v>
      </c>
      <c r="L6">
        <f t="shared" si="0"/>
        <v>13881</v>
      </c>
    </row>
    <row r="7" spans="1:12">
      <c r="A7" t="s">
        <v>5694</v>
      </c>
      <c r="B7" t="s">
        <v>311</v>
      </c>
      <c r="C7" t="s">
        <v>787</v>
      </c>
      <c r="D7" t="s">
        <v>786</v>
      </c>
      <c r="E7" t="s">
        <v>3496</v>
      </c>
      <c r="F7" s="23">
        <v>44346</v>
      </c>
      <c r="G7" s="1">
        <v>19851</v>
      </c>
      <c r="I7" t="s">
        <v>1141</v>
      </c>
      <c r="J7" t="str">
        <f t="shared" si="0"/>
        <v>Fredi Kruse</v>
      </c>
      <c r="K7">
        <f t="shared" si="0"/>
        <v>44475</v>
      </c>
      <c r="L7">
        <f t="shared" si="0"/>
        <v>5680</v>
      </c>
    </row>
    <row r="8" spans="1:12">
      <c r="A8" t="s">
        <v>5694</v>
      </c>
      <c r="B8" t="s">
        <v>149</v>
      </c>
      <c r="C8" t="s">
        <v>1019</v>
      </c>
      <c r="D8" t="s">
        <v>1018</v>
      </c>
      <c r="E8" t="s">
        <v>3497</v>
      </c>
      <c r="F8" s="23">
        <v>45050</v>
      </c>
      <c r="G8" s="1">
        <v>2695</v>
      </c>
      <c r="I8" t="s">
        <v>815</v>
      </c>
      <c r="J8" t="str">
        <f t="shared" si="0"/>
        <v>Kelsi Dade</v>
      </c>
      <c r="K8">
        <f t="shared" si="0"/>
        <v>44346</v>
      </c>
      <c r="L8">
        <f t="shared" si="0"/>
        <v>2847</v>
      </c>
    </row>
    <row r="9" spans="1:12">
      <c r="A9" t="s">
        <v>5898</v>
      </c>
      <c r="B9" t="s">
        <v>106</v>
      </c>
      <c r="C9" t="s">
        <v>1891</v>
      </c>
      <c r="D9" t="s">
        <v>1890</v>
      </c>
      <c r="E9" t="s">
        <v>3498</v>
      </c>
      <c r="F9" s="23">
        <v>44346</v>
      </c>
      <c r="G9" s="1">
        <v>19553</v>
      </c>
      <c r="I9" t="s">
        <v>5494</v>
      </c>
      <c r="J9" t="str">
        <f t="shared" si="0"/>
        <v>Fabio Edridge</v>
      </c>
      <c r="K9">
        <f t="shared" si="0"/>
        <v>44346</v>
      </c>
      <c r="L9">
        <f t="shared" si="0"/>
        <v>5123</v>
      </c>
    </row>
    <row r="10" spans="1:12">
      <c r="A10" t="s">
        <v>5694</v>
      </c>
      <c r="B10" t="s">
        <v>768</v>
      </c>
      <c r="C10" t="s">
        <v>767</v>
      </c>
      <c r="D10" t="s">
        <v>766</v>
      </c>
      <c r="E10" t="s">
        <v>3499</v>
      </c>
      <c r="F10" s="23">
        <v>44506</v>
      </c>
      <c r="G10" s="1">
        <v>10900</v>
      </c>
    </row>
    <row r="11" spans="1:12">
      <c r="A11" t="s">
        <v>5694</v>
      </c>
      <c r="B11" t="s">
        <v>94</v>
      </c>
      <c r="C11" t="s">
        <v>3485</v>
      </c>
      <c r="D11" t="s">
        <v>5494</v>
      </c>
      <c r="E11" t="s">
        <v>3500</v>
      </c>
      <c r="F11" s="23">
        <v>44346</v>
      </c>
      <c r="G11" s="1">
        <v>5123</v>
      </c>
    </row>
    <row r="12" spans="1:12">
      <c r="A12" t="s">
        <v>5695</v>
      </c>
      <c r="B12" t="s">
        <v>94</v>
      </c>
      <c r="C12" t="s">
        <v>3486</v>
      </c>
      <c r="D12" t="s">
        <v>5495</v>
      </c>
      <c r="E12" t="s">
        <v>3501</v>
      </c>
      <c r="F12" s="23">
        <v>44346</v>
      </c>
      <c r="G12" s="1">
        <v>20000</v>
      </c>
    </row>
    <row r="13" spans="1:12">
      <c r="A13" t="s">
        <v>5695</v>
      </c>
      <c r="B13" t="s">
        <v>106</v>
      </c>
      <c r="C13" t="s">
        <v>2757</v>
      </c>
      <c r="D13" t="s">
        <v>2756</v>
      </c>
      <c r="E13" t="s">
        <v>3502</v>
      </c>
      <c r="F13" s="23">
        <v>44714</v>
      </c>
      <c r="G13" s="1">
        <v>8540</v>
      </c>
    </row>
    <row r="14" spans="1:12">
      <c r="A14" t="s">
        <v>5695</v>
      </c>
      <c r="B14" t="s">
        <v>94</v>
      </c>
      <c r="C14" t="s">
        <v>3484</v>
      </c>
      <c r="D14" t="s">
        <v>1100</v>
      </c>
      <c r="E14" t="s">
        <v>3503</v>
      </c>
      <c r="F14" s="23">
        <v>44776</v>
      </c>
      <c r="G14" s="1">
        <v>11643</v>
      </c>
      <c r="I14" t="s">
        <v>5763</v>
      </c>
      <c r="J14" t="s">
        <v>5741</v>
      </c>
      <c r="K14" t="s">
        <v>5742</v>
      </c>
      <c r="L14" t="s">
        <v>5743</v>
      </c>
    </row>
    <row r="15" spans="1:12">
      <c r="A15" t="s">
        <v>5695</v>
      </c>
      <c r="B15" t="s">
        <v>94</v>
      </c>
      <c r="C15" t="s">
        <v>3487</v>
      </c>
      <c r="D15" t="s">
        <v>594</v>
      </c>
      <c r="E15" t="s">
        <v>3504</v>
      </c>
      <c r="F15" s="23">
        <v>44804</v>
      </c>
      <c r="G15" s="1">
        <v>5631</v>
      </c>
      <c r="I15" t="s">
        <v>5810</v>
      </c>
      <c r="J15" s="28">
        <v>0.05</v>
      </c>
      <c r="K15" s="28">
        <v>0.03</v>
      </c>
      <c r="L15" s="28">
        <v>0.01</v>
      </c>
    </row>
    <row r="16" spans="1:12">
      <c r="A16" t="s">
        <v>5695</v>
      </c>
      <c r="B16" t="s">
        <v>298</v>
      </c>
      <c r="C16" t="s">
        <v>2450</v>
      </c>
      <c r="D16" t="s">
        <v>5496</v>
      </c>
      <c r="E16" t="s">
        <v>3505</v>
      </c>
      <c r="F16" s="23">
        <v>44346</v>
      </c>
      <c r="G16" s="1">
        <v>12775</v>
      </c>
    </row>
    <row r="17" spans="1:13">
      <c r="A17" t="s">
        <v>5695</v>
      </c>
      <c r="B17" t="s">
        <v>875</v>
      </c>
      <c r="C17" t="s">
        <v>874</v>
      </c>
      <c r="D17" t="s">
        <v>873</v>
      </c>
      <c r="E17" t="s">
        <v>3506</v>
      </c>
      <c r="F17" s="23">
        <v>44346</v>
      </c>
      <c r="G17" s="1">
        <v>17640</v>
      </c>
    </row>
    <row r="18" spans="1:13">
      <c r="A18" t="s">
        <v>5695</v>
      </c>
      <c r="B18" t="s">
        <v>94</v>
      </c>
      <c r="C18" t="s">
        <v>136</v>
      </c>
      <c r="D18" t="s">
        <v>5497</v>
      </c>
      <c r="E18" t="s">
        <v>3507</v>
      </c>
      <c r="F18" s="23">
        <v>44346</v>
      </c>
      <c r="G18" s="1">
        <v>10973</v>
      </c>
      <c r="I18" t="s">
        <v>32</v>
      </c>
      <c r="J18" t="s">
        <v>5809</v>
      </c>
      <c r="K18" t="s">
        <v>5811</v>
      </c>
      <c r="L18" t="s">
        <v>3491</v>
      </c>
      <c r="M18" t="s">
        <v>5812</v>
      </c>
    </row>
    <row r="19" spans="1:13">
      <c r="A19" t="s">
        <v>5695</v>
      </c>
      <c r="B19" t="s">
        <v>208</v>
      </c>
      <c r="C19" t="s">
        <v>988</v>
      </c>
      <c r="D19" t="s">
        <v>987</v>
      </c>
      <c r="E19" t="s">
        <v>3508</v>
      </c>
      <c r="F19" s="23">
        <v>44346</v>
      </c>
      <c r="G19" s="1">
        <v>6336</v>
      </c>
      <c r="I19" t="s">
        <v>3522</v>
      </c>
      <c r="J19" t="s">
        <v>5741</v>
      </c>
      <c r="K19" s="45">
        <f>HLOOKUP(J19,$J$14:$L$15,2,0)</f>
        <v>0.05</v>
      </c>
    </row>
    <row r="20" spans="1:13">
      <c r="A20" t="s">
        <v>5696</v>
      </c>
      <c r="B20" t="s">
        <v>37</v>
      </c>
      <c r="C20" t="s">
        <v>1142</v>
      </c>
      <c r="D20" t="s">
        <v>1141</v>
      </c>
      <c r="E20" t="s">
        <v>3509</v>
      </c>
      <c r="F20" s="23">
        <v>44475</v>
      </c>
      <c r="G20" s="1">
        <v>5680</v>
      </c>
      <c r="I20" t="s">
        <v>3510</v>
      </c>
      <c r="J20" t="s">
        <v>5743</v>
      </c>
      <c r="K20" s="45">
        <f t="shared" ref="K20:K31" si="1">HLOOKUP(J20,$J$14:$L$15,2,0)</f>
        <v>0.01</v>
      </c>
    </row>
    <row r="21" spans="1:13">
      <c r="A21" t="s">
        <v>5696</v>
      </c>
      <c r="B21" t="s">
        <v>233</v>
      </c>
      <c r="C21" t="s">
        <v>2871</v>
      </c>
      <c r="D21" t="s">
        <v>2870</v>
      </c>
      <c r="E21" t="s">
        <v>3510</v>
      </c>
      <c r="F21" s="23">
        <v>44346</v>
      </c>
      <c r="G21" s="1">
        <v>17220</v>
      </c>
      <c r="I21" t="s">
        <v>3517</v>
      </c>
      <c r="J21" t="s">
        <v>5742</v>
      </c>
      <c r="K21" s="45">
        <f t="shared" si="1"/>
        <v>0.03</v>
      </c>
    </row>
    <row r="22" spans="1:13">
      <c r="A22" t="s">
        <v>5696</v>
      </c>
      <c r="B22" t="s">
        <v>106</v>
      </c>
      <c r="C22" t="s">
        <v>658</v>
      </c>
      <c r="D22" t="s">
        <v>5498</v>
      </c>
      <c r="E22" t="s">
        <v>3511</v>
      </c>
      <c r="F22" s="23">
        <v>44686</v>
      </c>
      <c r="G22" s="1">
        <v>8536</v>
      </c>
      <c r="I22" t="s">
        <v>3511</v>
      </c>
      <c r="J22" t="s">
        <v>5741</v>
      </c>
      <c r="K22" s="45">
        <f t="shared" si="1"/>
        <v>0.05</v>
      </c>
    </row>
    <row r="23" spans="1:13">
      <c r="A23" t="s">
        <v>5696</v>
      </c>
      <c r="B23" t="s">
        <v>94</v>
      </c>
      <c r="C23" t="s">
        <v>3486</v>
      </c>
      <c r="D23" t="s">
        <v>1204</v>
      </c>
      <c r="E23" t="s">
        <v>3512</v>
      </c>
      <c r="F23" s="23">
        <v>45025</v>
      </c>
      <c r="G23" s="1">
        <v>8937</v>
      </c>
      <c r="I23" t="s">
        <v>3520</v>
      </c>
      <c r="J23" t="s">
        <v>5741</v>
      </c>
      <c r="K23" s="45">
        <f t="shared" si="1"/>
        <v>0.05</v>
      </c>
    </row>
    <row r="24" spans="1:13">
      <c r="A24" t="s">
        <v>5696</v>
      </c>
      <c r="B24" t="s">
        <v>149</v>
      </c>
      <c r="C24" t="s">
        <v>337</v>
      </c>
      <c r="D24" t="s">
        <v>336</v>
      </c>
      <c r="E24" t="s">
        <v>3513</v>
      </c>
      <c r="F24" s="23">
        <v>44982</v>
      </c>
      <c r="G24" s="1">
        <v>4330</v>
      </c>
      <c r="I24" t="s">
        <v>3508</v>
      </c>
      <c r="J24" t="s">
        <v>5742</v>
      </c>
      <c r="K24" s="45">
        <f t="shared" si="1"/>
        <v>0.03</v>
      </c>
    </row>
    <row r="25" spans="1:13">
      <c r="A25" t="s">
        <v>5696</v>
      </c>
      <c r="B25" t="s">
        <v>68</v>
      </c>
      <c r="C25" t="s">
        <v>816</v>
      </c>
      <c r="D25" t="s">
        <v>815</v>
      </c>
      <c r="E25" t="s">
        <v>3514</v>
      </c>
      <c r="F25" s="23">
        <v>44346</v>
      </c>
      <c r="G25" s="1">
        <v>2847</v>
      </c>
      <c r="I25" t="s">
        <v>3514</v>
      </c>
      <c r="J25" t="s">
        <v>5741</v>
      </c>
      <c r="K25" s="45">
        <f t="shared" si="1"/>
        <v>0.05</v>
      </c>
    </row>
    <row r="26" spans="1:13">
      <c r="A26" t="s">
        <v>5696</v>
      </c>
      <c r="B26" t="s">
        <v>233</v>
      </c>
      <c r="C26" t="s">
        <v>2223</v>
      </c>
      <c r="D26" t="s">
        <v>2222</v>
      </c>
      <c r="E26" t="s">
        <v>3515</v>
      </c>
      <c r="F26" s="23">
        <v>44346</v>
      </c>
      <c r="G26" s="1">
        <v>1938</v>
      </c>
      <c r="I26" t="s">
        <v>3505</v>
      </c>
      <c r="J26" t="s">
        <v>5742</v>
      </c>
      <c r="K26" s="45">
        <f t="shared" si="1"/>
        <v>0.03</v>
      </c>
    </row>
    <row r="27" spans="1:13">
      <c r="A27" t="s">
        <v>5696</v>
      </c>
      <c r="B27" t="s">
        <v>101</v>
      </c>
      <c r="C27" t="s">
        <v>534</v>
      </c>
      <c r="D27" t="s">
        <v>533</v>
      </c>
      <c r="E27" t="s">
        <v>3516</v>
      </c>
      <c r="F27" s="23">
        <v>44346</v>
      </c>
      <c r="G27" s="1">
        <v>15249</v>
      </c>
      <c r="I27" t="s">
        <v>3507</v>
      </c>
      <c r="J27" t="s">
        <v>5741</v>
      </c>
      <c r="K27" s="45">
        <f t="shared" si="1"/>
        <v>0.05</v>
      </c>
    </row>
    <row r="28" spans="1:13">
      <c r="A28" t="s">
        <v>5696</v>
      </c>
      <c r="B28" t="s">
        <v>298</v>
      </c>
      <c r="C28" t="s">
        <v>3001</v>
      </c>
      <c r="D28" t="s">
        <v>3000</v>
      </c>
      <c r="E28" t="s">
        <v>3517</v>
      </c>
      <c r="F28" s="23">
        <v>44431</v>
      </c>
      <c r="G28" s="1">
        <v>2853</v>
      </c>
      <c r="I28" t="s">
        <v>3519</v>
      </c>
      <c r="J28" t="s">
        <v>5742</v>
      </c>
      <c r="K28" s="45">
        <f t="shared" si="1"/>
        <v>0.03</v>
      </c>
    </row>
    <row r="29" spans="1:13">
      <c r="A29" t="s">
        <v>5696</v>
      </c>
      <c r="B29" t="s">
        <v>233</v>
      </c>
      <c r="C29" t="s">
        <v>3401</v>
      </c>
      <c r="D29" t="s">
        <v>3400</v>
      </c>
      <c r="E29" t="s">
        <v>3518</v>
      </c>
      <c r="F29" s="23">
        <v>44593</v>
      </c>
      <c r="G29" s="1">
        <v>2933</v>
      </c>
      <c r="I29" t="s">
        <v>3512</v>
      </c>
      <c r="J29" t="s">
        <v>5742</v>
      </c>
      <c r="K29" s="45">
        <f t="shared" si="1"/>
        <v>0.03</v>
      </c>
    </row>
    <row r="30" spans="1:13">
      <c r="A30" t="s">
        <v>1656</v>
      </c>
      <c r="B30" t="s">
        <v>228</v>
      </c>
      <c r="C30" t="s">
        <v>227</v>
      </c>
      <c r="D30" t="s">
        <v>226</v>
      </c>
      <c r="E30" t="s">
        <v>3519</v>
      </c>
      <c r="F30" s="23">
        <v>44346</v>
      </c>
      <c r="G30" s="1">
        <v>13495</v>
      </c>
      <c r="I30" t="s">
        <v>3523</v>
      </c>
      <c r="J30" t="s">
        <v>5741</v>
      </c>
      <c r="K30" s="45">
        <f t="shared" si="1"/>
        <v>0.05</v>
      </c>
    </row>
    <row r="31" spans="1:13">
      <c r="A31" t="s">
        <v>1656</v>
      </c>
      <c r="B31" t="s">
        <v>94</v>
      </c>
      <c r="C31" t="s">
        <v>3206</v>
      </c>
      <c r="D31" t="s">
        <v>3205</v>
      </c>
      <c r="E31" t="s">
        <v>3520</v>
      </c>
      <c r="F31" s="23">
        <v>44346</v>
      </c>
      <c r="G31" s="1">
        <v>13881</v>
      </c>
      <c r="I31" t="s">
        <v>3515</v>
      </c>
      <c r="J31" t="s">
        <v>5743</v>
      </c>
      <c r="K31" s="45">
        <f t="shared" si="1"/>
        <v>0.01</v>
      </c>
    </row>
    <row r="32" spans="1:13">
      <c r="A32" t="s">
        <v>1656</v>
      </c>
      <c r="B32" t="s">
        <v>94</v>
      </c>
      <c r="C32" t="s">
        <v>2773</v>
      </c>
      <c r="D32" t="s">
        <v>2772</v>
      </c>
      <c r="E32" t="s">
        <v>3521</v>
      </c>
      <c r="F32" s="23">
        <v>45024</v>
      </c>
      <c r="G32" s="1">
        <v>3056</v>
      </c>
    </row>
    <row r="33" spans="1:7">
      <c r="A33" t="s">
        <v>1656</v>
      </c>
      <c r="B33" t="s">
        <v>43</v>
      </c>
      <c r="C33" t="s">
        <v>845</v>
      </c>
      <c r="D33" t="s">
        <v>844</v>
      </c>
      <c r="E33" t="s">
        <v>3522</v>
      </c>
      <c r="F33" s="23">
        <v>44707</v>
      </c>
      <c r="G33" s="1">
        <v>4071</v>
      </c>
    </row>
    <row r="34" spans="1:7">
      <c r="A34" t="s">
        <v>1656</v>
      </c>
      <c r="B34" t="s">
        <v>284</v>
      </c>
      <c r="C34" t="s">
        <v>283</v>
      </c>
      <c r="D34" t="s">
        <v>282</v>
      </c>
      <c r="E34" t="s">
        <v>3523</v>
      </c>
      <c r="F34" s="23">
        <v>44346</v>
      </c>
      <c r="G34" s="1">
        <v>11453</v>
      </c>
    </row>
    <row r="35" spans="1:7">
      <c r="A35" t="s">
        <v>1656</v>
      </c>
      <c r="B35" t="s">
        <v>174</v>
      </c>
      <c r="C35" t="s">
        <v>292</v>
      </c>
      <c r="D35" t="s">
        <v>291</v>
      </c>
      <c r="E35" t="s">
        <v>3524</v>
      </c>
      <c r="F35" s="23">
        <v>44416</v>
      </c>
      <c r="G35" s="1">
        <v>7353</v>
      </c>
    </row>
    <row r="36" spans="1:7">
      <c r="A36" t="s">
        <v>1656</v>
      </c>
      <c r="B36" t="s">
        <v>94</v>
      </c>
      <c r="C36" t="s">
        <v>1968</v>
      </c>
      <c r="D36" t="s">
        <v>1967</v>
      </c>
      <c r="E36" t="s">
        <v>3525</v>
      </c>
      <c r="F36" s="23">
        <v>45039</v>
      </c>
      <c r="G36" s="1">
        <v>1563</v>
      </c>
    </row>
    <row r="37" spans="1:7">
      <c r="A37" t="s">
        <v>1656</v>
      </c>
      <c r="B37" t="s">
        <v>298</v>
      </c>
      <c r="C37" t="s">
        <v>2214</v>
      </c>
      <c r="D37" t="s">
        <v>2213</v>
      </c>
      <c r="E37" t="s">
        <v>3526</v>
      </c>
      <c r="F37" s="23">
        <v>44346</v>
      </c>
      <c r="G37" s="1">
        <v>7763</v>
      </c>
    </row>
    <row r="38" spans="1:7">
      <c r="A38" t="s">
        <v>1656</v>
      </c>
      <c r="B38" t="s">
        <v>311</v>
      </c>
      <c r="C38" t="s">
        <v>3421</v>
      </c>
      <c r="D38" t="s">
        <v>3420</v>
      </c>
      <c r="E38" t="s">
        <v>3527</v>
      </c>
      <c r="F38" s="23">
        <v>44346</v>
      </c>
      <c r="G38" s="1">
        <v>13531</v>
      </c>
    </row>
    <row r="39" spans="1:7">
      <c r="A39" t="s">
        <v>1656</v>
      </c>
      <c r="B39" t="s">
        <v>94</v>
      </c>
      <c r="C39" t="s">
        <v>3026</v>
      </c>
      <c r="D39" t="s">
        <v>5499</v>
      </c>
      <c r="E39" t="s">
        <v>3528</v>
      </c>
      <c r="F39" s="23">
        <v>44413</v>
      </c>
      <c r="G39" s="1">
        <v>6494</v>
      </c>
    </row>
    <row r="40" spans="1:7">
      <c r="A40" t="s">
        <v>5697</v>
      </c>
      <c r="B40" t="s">
        <v>311</v>
      </c>
      <c r="C40" t="s">
        <v>2500</v>
      </c>
      <c r="D40" t="s">
        <v>2499</v>
      </c>
      <c r="E40" t="s">
        <v>3529</v>
      </c>
      <c r="F40" s="23">
        <v>44495</v>
      </c>
      <c r="G40" s="1">
        <v>4342</v>
      </c>
    </row>
    <row r="41" spans="1:7">
      <c r="A41" t="s">
        <v>5697</v>
      </c>
      <c r="B41" t="s">
        <v>101</v>
      </c>
      <c r="C41" t="s">
        <v>1080</v>
      </c>
      <c r="D41" t="s">
        <v>1550</v>
      </c>
      <c r="E41" t="s">
        <v>3530</v>
      </c>
      <c r="F41" s="23">
        <v>44988</v>
      </c>
      <c r="G41" s="1">
        <v>5208</v>
      </c>
    </row>
    <row r="42" spans="1:7">
      <c r="A42" t="s">
        <v>5697</v>
      </c>
      <c r="B42" t="s">
        <v>298</v>
      </c>
      <c r="C42" t="s">
        <v>2026</v>
      </c>
      <c r="D42" t="s">
        <v>2025</v>
      </c>
      <c r="E42" t="s">
        <v>3531</v>
      </c>
      <c r="F42" s="23">
        <v>44346</v>
      </c>
      <c r="G42" s="1">
        <v>17043</v>
      </c>
    </row>
    <row r="43" spans="1:7">
      <c r="A43" t="s">
        <v>5697</v>
      </c>
      <c r="B43" t="s">
        <v>106</v>
      </c>
      <c r="C43" t="s">
        <v>2564</v>
      </c>
      <c r="D43" t="s">
        <v>2563</v>
      </c>
      <c r="E43" t="s">
        <v>3532</v>
      </c>
      <c r="F43" s="23">
        <v>44346</v>
      </c>
      <c r="G43" s="1">
        <v>13057</v>
      </c>
    </row>
    <row r="44" spans="1:7">
      <c r="A44" t="s">
        <v>5697</v>
      </c>
      <c r="B44" t="s">
        <v>1388</v>
      </c>
      <c r="C44" t="s">
        <v>1387</v>
      </c>
      <c r="D44" t="s">
        <v>1386</v>
      </c>
      <c r="E44" t="s">
        <v>3533</v>
      </c>
      <c r="F44" s="23">
        <v>44359</v>
      </c>
      <c r="G44" s="1">
        <v>1035</v>
      </c>
    </row>
    <row r="45" spans="1:7">
      <c r="A45" t="s">
        <v>5697</v>
      </c>
      <c r="B45" t="s">
        <v>244</v>
      </c>
      <c r="C45" t="s">
        <v>1582</v>
      </c>
      <c r="D45" t="s">
        <v>1581</v>
      </c>
      <c r="E45" t="s">
        <v>3534</v>
      </c>
      <c r="F45" s="23">
        <v>44512</v>
      </c>
      <c r="G45" s="1">
        <v>4728</v>
      </c>
    </row>
    <row r="46" spans="1:7">
      <c r="A46" t="s">
        <v>5697</v>
      </c>
      <c r="B46" t="s">
        <v>94</v>
      </c>
      <c r="C46" t="s">
        <v>3487</v>
      </c>
      <c r="D46" t="s">
        <v>1648</v>
      </c>
      <c r="E46" t="s">
        <v>3535</v>
      </c>
      <c r="F46" s="23">
        <v>44346</v>
      </c>
      <c r="G46" s="1">
        <v>13930</v>
      </c>
    </row>
    <row r="47" spans="1:7">
      <c r="A47" t="s">
        <v>5697</v>
      </c>
      <c r="B47" t="s">
        <v>94</v>
      </c>
      <c r="C47" t="s">
        <v>3267</v>
      </c>
      <c r="D47" t="s">
        <v>3266</v>
      </c>
      <c r="E47" t="s">
        <v>3536</v>
      </c>
      <c r="F47" s="23">
        <v>44346</v>
      </c>
      <c r="G47" s="1">
        <v>16618</v>
      </c>
    </row>
    <row r="48" spans="1:7">
      <c r="A48" t="s">
        <v>5697</v>
      </c>
      <c r="B48" t="s">
        <v>94</v>
      </c>
      <c r="C48" t="s">
        <v>714</v>
      </c>
      <c r="D48" t="s">
        <v>713</v>
      </c>
      <c r="E48" t="s">
        <v>3537</v>
      </c>
      <c r="F48" s="23">
        <v>44346</v>
      </c>
      <c r="G48" s="1">
        <v>11555</v>
      </c>
    </row>
    <row r="49" spans="1:7">
      <c r="A49" t="s">
        <v>5697</v>
      </c>
      <c r="B49" t="s">
        <v>94</v>
      </c>
      <c r="C49" t="s">
        <v>3486</v>
      </c>
      <c r="D49" t="s">
        <v>1507</v>
      </c>
      <c r="E49" t="s">
        <v>3538</v>
      </c>
      <c r="F49" s="23">
        <v>44490</v>
      </c>
      <c r="G49" s="1">
        <v>5730</v>
      </c>
    </row>
    <row r="50" spans="1:7">
      <c r="A50" t="s">
        <v>5697</v>
      </c>
      <c r="B50" t="s">
        <v>94</v>
      </c>
      <c r="C50" t="s">
        <v>3488</v>
      </c>
      <c r="D50" t="s">
        <v>615</v>
      </c>
      <c r="E50" t="s">
        <v>3539</v>
      </c>
      <c r="F50" s="23">
        <v>44346</v>
      </c>
      <c r="G50" s="1">
        <v>15805</v>
      </c>
    </row>
    <row r="51" spans="1:7">
      <c r="A51" t="s">
        <v>5697</v>
      </c>
      <c r="B51" t="s">
        <v>94</v>
      </c>
      <c r="C51" t="s">
        <v>1887</v>
      </c>
      <c r="D51" t="s">
        <v>5500</v>
      </c>
      <c r="E51" t="s">
        <v>3540</v>
      </c>
      <c r="F51" s="23">
        <v>44346</v>
      </c>
      <c r="G51" s="1">
        <v>12964</v>
      </c>
    </row>
    <row r="52" spans="1:7">
      <c r="A52" t="s">
        <v>5697</v>
      </c>
      <c r="B52" t="s">
        <v>208</v>
      </c>
      <c r="C52" t="s">
        <v>1009</v>
      </c>
      <c r="D52" t="s">
        <v>5501</v>
      </c>
      <c r="E52" t="s">
        <v>3541</v>
      </c>
      <c r="F52" s="23">
        <v>44688</v>
      </c>
      <c r="G52" s="1">
        <v>8054</v>
      </c>
    </row>
    <row r="53" spans="1:7">
      <c r="A53" t="s">
        <v>5698</v>
      </c>
      <c r="B53" t="s">
        <v>298</v>
      </c>
      <c r="C53" t="s">
        <v>1293</v>
      </c>
      <c r="D53" t="s">
        <v>1292</v>
      </c>
      <c r="E53" t="s">
        <v>3542</v>
      </c>
      <c r="F53" s="23">
        <v>45020</v>
      </c>
      <c r="G53" s="1">
        <v>2730</v>
      </c>
    </row>
    <row r="54" spans="1:7">
      <c r="A54" t="s">
        <v>5698</v>
      </c>
      <c r="B54" t="s">
        <v>94</v>
      </c>
      <c r="C54" t="s">
        <v>3363</v>
      </c>
      <c r="D54" t="s">
        <v>3362</v>
      </c>
      <c r="E54" t="s">
        <v>3543</v>
      </c>
      <c r="F54" s="23">
        <v>44410</v>
      </c>
      <c r="G54" s="1">
        <v>3955</v>
      </c>
    </row>
    <row r="55" spans="1:7">
      <c r="A55" t="s">
        <v>5698</v>
      </c>
      <c r="B55" t="s">
        <v>1456</v>
      </c>
      <c r="C55" t="s">
        <v>1455</v>
      </c>
      <c r="D55" t="s">
        <v>1454</v>
      </c>
      <c r="E55" t="s">
        <v>3544</v>
      </c>
      <c r="F55" s="23">
        <v>44346</v>
      </c>
      <c r="G55" s="1">
        <v>18685</v>
      </c>
    </row>
    <row r="56" spans="1:7">
      <c r="A56" t="s">
        <v>5698</v>
      </c>
      <c r="B56" t="s">
        <v>94</v>
      </c>
      <c r="C56" t="s">
        <v>3337</v>
      </c>
      <c r="D56" t="s">
        <v>3336</v>
      </c>
      <c r="E56" t="s">
        <v>3545</v>
      </c>
      <c r="F56" s="23">
        <v>44346</v>
      </c>
      <c r="G56" s="1">
        <v>6310</v>
      </c>
    </row>
    <row r="57" spans="1:7">
      <c r="A57" t="s">
        <v>5698</v>
      </c>
      <c r="B57" t="s">
        <v>94</v>
      </c>
      <c r="C57" t="s">
        <v>136</v>
      </c>
      <c r="D57" t="s">
        <v>2558</v>
      </c>
      <c r="E57" t="s">
        <v>3546</v>
      </c>
      <c r="F57" s="23">
        <v>44346</v>
      </c>
      <c r="G57" s="1">
        <v>17120</v>
      </c>
    </row>
    <row r="58" spans="1:7">
      <c r="A58" t="s">
        <v>5698</v>
      </c>
      <c r="B58" t="s">
        <v>43</v>
      </c>
      <c r="C58" t="s">
        <v>55</v>
      </c>
      <c r="D58" t="s">
        <v>54</v>
      </c>
      <c r="E58" t="s">
        <v>3547</v>
      </c>
      <c r="F58" s="23">
        <v>44710</v>
      </c>
      <c r="G58" s="1">
        <v>2060</v>
      </c>
    </row>
    <row r="59" spans="1:7">
      <c r="A59" t="s">
        <v>5698</v>
      </c>
      <c r="B59" t="s">
        <v>298</v>
      </c>
      <c r="C59" t="s">
        <v>2899</v>
      </c>
      <c r="D59" t="s">
        <v>2898</v>
      </c>
      <c r="E59" t="s">
        <v>3548</v>
      </c>
      <c r="F59" s="23">
        <v>44346</v>
      </c>
      <c r="G59" s="1">
        <v>8104</v>
      </c>
    </row>
    <row r="60" spans="1:7">
      <c r="A60" t="s">
        <v>5698</v>
      </c>
      <c r="B60" t="s">
        <v>1407</v>
      </c>
      <c r="C60" t="s">
        <v>1495</v>
      </c>
      <c r="D60" t="s">
        <v>1494</v>
      </c>
      <c r="E60" t="s">
        <v>3549</v>
      </c>
      <c r="F60" s="23">
        <v>44346</v>
      </c>
      <c r="G60" s="1">
        <v>15293</v>
      </c>
    </row>
    <row r="61" spans="1:7">
      <c r="A61" t="s">
        <v>5698</v>
      </c>
      <c r="B61" t="s">
        <v>298</v>
      </c>
      <c r="C61" t="s">
        <v>126</v>
      </c>
      <c r="D61" t="s">
        <v>2029</v>
      </c>
      <c r="E61" t="s">
        <v>3550</v>
      </c>
      <c r="F61" s="23">
        <v>44874</v>
      </c>
      <c r="G61" s="1">
        <v>6626</v>
      </c>
    </row>
    <row r="62" spans="1:7">
      <c r="A62" t="s">
        <v>5698</v>
      </c>
      <c r="B62" t="s">
        <v>94</v>
      </c>
      <c r="C62" t="s">
        <v>2585</v>
      </c>
      <c r="D62" t="s">
        <v>2605</v>
      </c>
      <c r="E62" t="s">
        <v>3551</v>
      </c>
      <c r="F62" s="23">
        <v>45011</v>
      </c>
      <c r="G62" s="1">
        <v>560</v>
      </c>
    </row>
    <row r="63" spans="1:7">
      <c r="A63" t="s">
        <v>5698</v>
      </c>
      <c r="B63" t="s">
        <v>37</v>
      </c>
      <c r="C63" t="s">
        <v>1442</v>
      </c>
      <c r="D63" t="s">
        <v>1441</v>
      </c>
      <c r="E63" t="s">
        <v>3552</v>
      </c>
      <c r="F63" s="23">
        <v>44487</v>
      </c>
      <c r="G63" s="1">
        <v>6814</v>
      </c>
    </row>
    <row r="64" spans="1:7">
      <c r="A64" t="s">
        <v>5698</v>
      </c>
      <c r="B64" t="s">
        <v>106</v>
      </c>
      <c r="C64" t="s">
        <v>2574</v>
      </c>
      <c r="D64" t="s">
        <v>5502</v>
      </c>
      <c r="E64" t="s">
        <v>3553</v>
      </c>
      <c r="F64" s="23">
        <v>44938</v>
      </c>
      <c r="G64" s="1">
        <v>8520</v>
      </c>
    </row>
    <row r="65" spans="1:7">
      <c r="A65" t="s">
        <v>5698</v>
      </c>
      <c r="B65" t="s">
        <v>43</v>
      </c>
      <c r="C65" t="s">
        <v>727</v>
      </c>
      <c r="D65" t="s">
        <v>726</v>
      </c>
      <c r="E65" t="s">
        <v>3554</v>
      </c>
      <c r="F65" s="23">
        <v>44889</v>
      </c>
      <c r="G65" s="1">
        <v>7050</v>
      </c>
    </row>
    <row r="66" spans="1:7">
      <c r="A66" t="s">
        <v>5698</v>
      </c>
      <c r="B66" t="s">
        <v>43</v>
      </c>
      <c r="C66" t="s">
        <v>1465</v>
      </c>
      <c r="D66" t="s">
        <v>1464</v>
      </c>
      <c r="E66" t="s">
        <v>3555</v>
      </c>
      <c r="F66" s="23">
        <v>44346</v>
      </c>
      <c r="G66" s="1">
        <v>12256</v>
      </c>
    </row>
    <row r="67" spans="1:7">
      <c r="A67" t="s">
        <v>5699</v>
      </c>
      <c r="B67" t="s">
        <v>43</v>
      </c>
      <c r="C67" t="s">
        <v>1289</v>
      </c>
      <c r="D67" t="s">
        <v>1288</v>
      </c>
      <c r="E67" t="s">
        <v>3556</v>
      </c>
      <c r="F67" s="23">
        <v>44578</v>
      </c>
      <c r="G67" s="1">
        <v>4902</v>
      </c>
    </row>
    <row r="68" spans="1:7">
      <c r="A68" t="s">
        <v>5699</v>
      </c>
      <c r="B68" t="s">
        <v>43</v>
      </c>
      <c r="C68" t="s">
        <v>1272</v>
      </c>
      <c r="D68" t="s">
        <v>1271</v>
      </c>
      <c r="E68" t="s">
        <v>3557</v>
      </c>
      <c r="F68" s="23">
        <v>44346</v>
      </c>
      <c r="G68" s="1">
        <v>15455</v>
      </c>
    </row>
    <row r="69" spans="1:7">
      <c r="A69" t="s">
        <v>5699</v>
      </c>
      <c r="B69" t="s">
        <v>174</v>
      </c>
      <c r="C69" t="s">
        <v>504</v>
      </c>
      <c r="D69" t="s">
        <v>503</v>
      </c>
      <c r="E69" t="s">
        <v>3558</v>
      </c>
      <c r="F69" s="23">
        <v>44393</v>
      </c>
      <c r="G69" s="1">
        <v>5001</v>
      </c>
    </row>
    <row r="70" spans="1:7">
      <c r="A70" t="s">
        <v>5699</v>
      </c>
      <c r="B70" t="s">
        <v>106</v>
      </c>
      <c r="C70" t="s">
        <v>2635</v>
      </c>
      <c r="D70" t="s">
        <v>2634</v>
      </c>
      <c r="E70" t="s">
        <v>3559</v>
      </c>
      <c r="F70" s="23">
        <v>44346</v>
      </c>
      <c r="G70" s="1">
        <v>3475</v>
      </c>
    </row>
    <row r="71" spans="1:7">
      <c r="A71" t="s">
        <v>5699</v>
      </c>
      <c r="B71" t="s">
        <v>94</v>
      </c>
      <c r="C71" t="s">
        <v>1320</v>
      </c>
      <c r="D71" t="s">
        <v>1319</v>
      </c>
      <c r="E71" t="s">
        <v>3560</v>
      </c>
      <c r="F71" s="23">
        <v>44346</v>
      </c>
      <c r="G71" s="1">
        <v>16157</v>
      </c>
    </row>
    <row r="72" spans="1:7">
      <c r="A72" t="s">
        <v>5699</v>
      </c>
      <c r="B72" t="s">
        <v>826</v>
      </c>
      <c r="C72" t="s">
        <v>934</v>
      </c>
      <c r="D72" t="s">
        <v>933</v>
      </c>
      <c r="E72" t="s">
        <v>3561</v>
      </c>
      <c r="F72" s="23">
        <v>44346</v>
      </c>
      <c r="G72" s="1">
        <v>16278</v>
      </c>
    </row>
    <row r="73" spans="1:7">
      <c r="A73" t="s">
        <v>5699</v>
      </c>
      <c r="B73" t="s">
        <v>106</v>
      </c>
      <c r="C73" t="s">
        <v>3341</v>
      </c>
      <c r="D73" t="s">
        <v>3340</v>
      </c>
      <c r="E73" t="s">
        <v>3562</v>
      </c>
      <c r="F73" s="23">
        <v>44346</v>
      </c>
      <c r="G73" s="1">
        <v>14103</v>
      </c>
    </row>
    <row r="74" spans="1:7">
      <c r="A74" t="s">
        <v>5699</v>
      </c>
      <c r="B74" t="s">
        <v>94</v>
      </c>
      <c r="C74" t="s">
        <v>1887</v>
      </c>
      <c r="D74" t="s">
        <v>2318</v>
      </c>
      <c r="E74" t="s">
        <v>3563</v>
      </c>
      <c r="F74" s="23">
        <v>44346</v>
      </c>
      <c r="G74" s="1">
        <v>12128</v>
      </c>
    </row>
    <row r="75" spans="1:7">
      <c r="A75" t="s">
        <v>5699</v>
      </c>
      <c r="B75" t="s">
        <v>94</v>
      </c>
      <c r="C75" t="s">
        <v>2996</v>
      </c>
      <c r="D75" t="s">
        <v>2995</v>
      </c>
      <c r="E75" t="s">
        <v>3564</v>
      </c>
      <c r="F75" s="23">
        <v>44346</v>
      </c>
      <c r="G75" s="1">
        <v>18046</v>
      </c>
    </row>
    <row r="76" spans="1:7">
      <c r="A76" t="s">
        <v>5699</v>
      </c>
      <c r="B76" t="s">
        <v>1223</v>
      </c>
      <c r="C76" t="s">
        <v>2255</v>
      </c>
      <c r="D76" t="s">
        <v>2254</v>
      </c>
      <c r="E76" t="s">
        <v>3565</v>
      </c>
      <c r="F76" s="23">
        <v>44346</v>
      </c>
      <c r="G76" s="1">
        <v>10200</v>
      </c>
    </row>
    <row r="77" spans="1:7">
      <c r="A77" t="s">
        <v>5699</v>
      </c>
      <c r="B77" t="s">
        <v>298</v>
      </c>
      <c r="C77" t="s">
        <v>748</v>
      </c>
      <c r="D77" t="s">
        <v>747</v>
      </c>
      <c r="E77" t="s">
        <v>3566</v>
      </c>
      <c r="F77" s="23">
        <v>44346</v>
      </c>
      <c r="G77" s="1">
        <v>12229</v>
      </c>
    </row>
    <row r="78" spans="1:7">
      <c r="A78" t="s">
        <v>5700</v>
      </c>
      <c r="B78" t="s">
        <v>94</v>
      </c>
      <c r="C78" t="s">
        <v>2144</v>
      </c>
      <c r="D78" t="s">
        <v>2143</v>
      </c>
      <c r="E78" t="s">
        <v>3567</v>
      </c>
      <c r="F78" s="23">
        <v>44603</v>
      </c>
      <c r="G78" s="1">
        <v>8649</v>
      </c>
    </row>
    <row r="79" spans="1:7">
      <c r="A79" t="s">
        <v>5700</v>
      </c>
      <c r="B79" t="s">
        <v>94</v>
      </c>
      <c r="C79" t="s">
        <v>3487</v>
      </c>
      <c r="D79" t="s">
        <v>1279</v>
      </c>
      <c r="E79" t="s">
        <v>3568</v>
      </c>
      <c r="F79" s="23">
        <v>44346</v>
      </c>
      <c r="G79" s="1">
        <v>12885</v>
      </c>
    </row>
    <row r="80" spans="1:7">
      <c r="A80" t="s">
        <v>5700</v>
      </c>
      <c r="B80" t="s">
        <v>37</v>
      </c>
      <c r="C80" t="s">
        <v>723</v>
      </c>
      <c r="D80" t="s">
        <v>1408</v>
      </c>
      <c r="E80" t="s">
        <v>3569</v>
      </c>
      <c r="F80" s="23">
        <v>45072</v>
      </c>
      <c r="G80" s="1">
        <v>4445</v>
      </c>
    </row>
    <row r="81" spans="1:7">
      <c r="A81" t="s">
        <v>5700</v>
      </c>
      <c r="B81" t="s">
        <v>43</v>
      </c>
      <c r="C81" t="s">
        <v>184</v>
      </c>
      <c r="D81" t="s">
        <v>183</v>
      </c>
      <c r="E81" t="s">
        <v>3570</v>
      </c>
      <c r="F81" s="23">
        <v>44346</v>
      </c>
      <c r="G81" s="1">
        <v>12298</v>
      </c>
    </row>
    <row r="82" spans="1:7">
      <c r="A82" t="s">
        <v>5700</v>
      </c>
      <c r="B82" t="s">
        <v>46</v>
      </c>
      <c r="C82" t="s">
        <v>1366</v>
      </c>
      <c r="D82" t="s">
        <v>5503</v>
      </c>
      <c r="E82" t="s">
        <v>3571</v>
      </c>
      <c r="F82" s="23">
        <v>44346</v>
      </c>
      <c r="G82" s="1">
        <v>17510</v>
      </c>
    </row>
    <row r="83" spans="1:7">
      <c r="A83" t="s">
        <v>5700</v>
      </c>
      <c r="B83" t="s">
        <v>106</v>
      </c>
      <c r="C83" t="s">
        <v>957</v>
      </c>
      <c r="D83" t="s">
        <v>956</v>
      </c>
      <c r="E83" t="s">
        <v>3572</v>
      </c>
      <c r="F83" s="23">
        <v>44622</v>
      </c>
      <c r="G83" s="1">
        <v>1781</v>
      </c>
    </row>
    <row r="84" spans="1:7">
      <c r="A84" t="s">
        <v>5700</v>
      </c>
      <c r="B84" t="s">
        <v>233</v>
      </c>
      <c r="C84" t="s">
        <v>2944</v>
      </c>
      <c r="D84" t="s">
        <v>2943</v>
      </c>
      <c r="E84" t="s">
        <v>3573</v>
      </c>
      <c r="F84" s="23">
        <v>44845</v>
      </c>
      <c r="G84" s="1">
        <v>2759</v>
      </c>
    </row>
    <row r="85" spans="1:7">
      <c r="A85" t="s">
        <v>5700</v>
      </c>
      <c r="B85" t="s">
        <v>311</v>
      </c>
      <c r="C85" t="s">
        <v>1979</v>
      </c>
      <c r="D85" t="s">
        <v>1978</v>
      </c>
      <c r="E85" t="s">
        <v>3574</v>
      </c>
      <c r="F85" s="23">
        <v>44346</v>
      </c>
      <c r="G85" s="1">
        <v>9380</v>
      </c>
    </row>
    <row r="86" spans="1:7">
      <c r="A86" t="s">
        <v>5700</v>
      </c>
      <c r="B86" t="s">
        <v>78</v>
      </c>
      <c r="C86" t="s">
        <v>1307</v>
      </c>
      <c r="D86" t="s">
        <v>5504</v>
      </c>
      <c r="E86" t="s">
        <v>3575</v>
      </c>
      <c r="F86" s="23">
        <v>44346</v>
      </c>
      <c r="G86" s="1">
        <v>15211</v>
      </c>
    </row>
    <row r="87" spans="1:7">
      <c r="A87" t="s">
        <v>5700</v>
      </c>
      <c r="B87" t="s">
        <v>654</v>
      </c>
      <c r="C87" t="s">
        <v>1381</v>
      </c>
      <c r="D87" t="s">
        <v>1380</v>
      </c>
      <c r="E87" t="s">
        <v>3576</v>
      </c>
      <c r="F87" s="23">
        <v>44346</v>
      </c>
      <c r="G87" s="1">
        <v>7238</v>
      </c>
    </row>
    <row r="88" spans="1:7">
      <c r="A88" t="s">
        <v>5700</v>
      </c>
      <c r="B88" t="s">
        <v>311</v>
      </c>
      <c r="C88" t="s">
        <v>1432</v>
      </c>
      <c r="D88" t="s">
        <v>1431</v>
      </c>
      <c r="E88" t="s">
        <v>3577</v>
      </c>
      <c r="F88" s="23">
        <v>44346</v>
      </c>
      <c r="G88" s="1">
        <v>13359</v>
      </c>
    </row>
    <row r="89" spans="1:7">
      <c r="A89" t="s">
        <v>5700</v>
      </c>
      <c r="B89" t="s">
        <v>122</v>
      </c>
      <c r="C89" t="s">
        <v>1347</v>
      </c>
      <c r="D89" t="s">
        <v>1346</v>
      </c>
      <c r="E89" t="s">
        <v>3578</v>
      </c>
      <c r="F89" s="23">
        <v>44346</v>
      </c>
      <c r="G89" s="1">
        <v>9696</v>
      </c>
    </row>
    <row r="90" spans="1:7">
      <c r="A90" t="s">
        <v>5700</v>
      </c>
      <c r="B90" t="s">
        <v>174</v>
      </c>
      <c r="C90" t="s">
        <v>1638</v>
      </c>
      <c r="D90" t="s">
        <v>1637</v>
      </c>
      <c r="E90" t="s">
        <v>3579</v>
      </c>
      <c r="F90" s="23">
        <v>44346</v>
      </c>
      <c r="G90" s="1">
        <v>8275</v>
      </c>
    </row>
    <row r="91" spans="1:7">
      <c r="A91" t="s">
        <v>5700</v>
      </c>
      <c r="B91" t="s">
        <v>106</v>
      </c>
      <c r="C91" t="s">
        <v>1428</v>
      </c>
      <c r="D91" t="s">
        <v>1427</v>
      </c>
      <c r="E91" t="s">
        <v>3580</v>
      </c>
      <c r="F91" s="23">
        <v>44346</v>
      </c>
      <c r="G91" s="1">
        <v>18675</v>
      </c>
    </row>
    <row r="92" spans="1:7">
      <c r="A92" t="s">
        <v>5700</v>
      </c>
      <c r="B92" t="s">
        <v>94</v>
      </c>
      <c r="C92" t="s">
        <v>1903</v>
      </c>
      <c r="D92" t="s">
        <v>1902</v>
      </c>
      <c r="E92" t="s">
        <v>3581</v>
      </c>
      <c r="F92" s="23">
        <v>45005</v>
      </c>
      <c r="G92" s="1">
        <v>1273</v>
      </c>
    </row>
    <row r="93" spans="1:7">
      <c r="A93" t="s">
        <v>5701</v>
      </c>
      <c r="B93" t="s">
        <v>109</v>
      </c>
      <c r="C93" t="s">
        <v>260</v>
      </c>
      <c r="D93" t="s">
        <v>259</v>
      </c>
      <c r="E93" t="s">
        <v>3582</v>
      </c>
      <c r="F93" s="23">
        <v>44931</v>
      </c>
      <c r="G93" s="1">
        <v>6103</v>
      </c>
    </row>
    <row r="94" spans="1:7">
      <c r="A94" t="s">
        <v>5701</v>
      </c>
      <c r="B94" t="s">
        <v>298</v>
      </c>
      <c r="C94" t="s">
        <v>2125</v>
      </c>
      <c r="D94" t="s">
        <v>2124</v>
      </c>
      <c r="E94" t="s">
        <v>3583</v>
      </c>
      <c r="F94" s="23">
        <v>44917</v>
      </c>
      <c r="G94" s="1">
        <v>7903</v>
      </c>
    </row>
    <row r="95" spans="1:7">
      <c r="A95" t="s">
        <v>5701</v>
      </c>
      <c r="B95" t="s">
        <v>37</v>
      </c>
      <c r="C95" t="s">
        <v>550</v>
      </c>
      <c r="D95" t="s">
        <v>549</v>
      </c>
      <c r="E95" t="s">
        <v>3584</v>
      </c>
      <c r="F95" s="23">
        <v>44346</v>
      </c>
      <c r="G95" s="1">
        <v>13455</v>
      </c>
    </row>
    <row r="96" spans="1:7">
      <c r="A96" t="s">
        <v>5701</v>
      </c>
      <c r="B96" t="s">
        <v>188</v>
      </c>
      <c r="C96" t="s">
        <v>343</v>
      </c>
      <c r="D96" t="s">
        <v>342</v>
      </c>
      <c r="E96" t="s">
        <v>3585</v>
      </c>
      <c r="F96" s="23">
        <v>44656</v>
      </c>
      <c r="G96" s="1">
        <v>4299</v>
      </c>
    </row>
    <row r="97" spans="1:7">
      <c r="A97" t="s">
        <v>5701</v>
      </c>
      <c r="B97" t="s">
        <v>298</v>
      </c>
      <c r="C97" t="s">
        <v>3433</v>
      </c>
      <c r="D97" t="s">
        <v>3432</v>
      </c>
      <c r="E97" t="s">
        <v>3586</v>
      </c>
      <c r="F97" s="23">
        <v>44993</v>
      </c>
      <c r="G97" s="1">
        <v>1662</v>
      </c>
    </row>
    <row r="98" spans="1:7">
      <c r="A98" t="s">
        <v>5701</v>
      </c>
      <c r="B98" t="s">
        <v>298</v>
      </c>
      <c r="C98" t="s">
        <v>2202</v>
      </c>
      <c r="D98" t="s">
        <v>5505</v>
      </c>
      <c r="E98" t="s">
        <v>3587</v>
      </c>
      <c r="F98" s="23">
        <v>44346</v>
      </c>
      <c r="G98" s="1">
        <v>3131</v>
      </c>
    </row>
    <row r="99" spans="1:7">
      <c r="A99" t="s">
        <v>5701</v>
      </c>
      <c r="B99" t="s">
        <v>188</v>
      </c>
      <c r="C99" t="s">
        <v>1679</v>
      </c>
      <c r="D99" t="s">
        <v>5506</v>
      </c>
      <c r="E99" t="s">
        <v>3588</v>
      </c>
      <c r="F99" s="23">
        <v>44346</v>
      </c>
      <c r="G99" s="1">
        <v>729</v>
      </c>
    </row>
    <row r="100" spans="1:7">
      <c r="A100" t="s">
        <v>5701</v>
      </c>
      <c r="B100" t="s">
        <v>94</v>
      </c>
      <c r="C100" t="s">
        <v>3489</v>
      </c>
      <c r="D100" t="s">
        <v>293</v>
      </c>
      <c r="E100" t="s">
        <v>3589</v>
      </c>
      <c r="F100" s="23">
        <v>45067</v>
      </c>
      <c r="G100" s="1">
        <v>574</v>
      </c>
    </row>
    <row r="101" spans="1:7">
      <c r="A101" t="s">
        <v>5701</v>
      </c>
      <c r="B101" t="s">
        <v>94</v>
      </c>
      <c r="C101" t="s">
        <v>2022</v>
      </c>
      <c r="D101" t="s">
        <v>2021</v>
      </c>
      <c r="E101" t="s">
        <v>3590</v>
      </c>
      <c r="F101" s="23">
        <v>44564</v>
      </c>
      <c r="G101" s="1">
        <v>4195</v>
      </c>
    </row>
    <row r="102" spans="1:7">
      <c r="A102" t="s">
        <v>5701</v>
      </c>
      <c r="B102" t="s">
        <v>106</v>
      </c>
      <c r="C102" t="s">
        <v>3181</v>
      </c>
      <c r="D102" t="s">
        <v>3180</v>
      </c>
      <c r="E102" t="s">
        <v>3591</v>
      </c>
      <c r="F102" s="23">
        <v>44914</v>
      </c>
      <c r="G102" s="1">
        <v>6098</v>
      </c>
    </row>
    <row r="103" spans="1:7">
      <c r="A103" t="s">
        <v>5701</v>
      </c>
      <c r="B103" t="s">
        <v>1154</v>
      </c>
      <c r="C103" t="s">
        <v>1434</v>
      </c>
      <c r="D103" t="s">
        <v>1433</v>
      </c>
      <c r="E103" t="s">
        <v>3592</v>
      </c>
      <c r="F103" s="23">
        <v>44849</v>
      </c>
      <c r="G103" s="1">
        <v>11722</v>
      </c>
    </row>
    <row r="104" spans="1:7">
      <c r="A104" t="s">
        <v>5701</v>
      </c>
      <c r="B104" t="s">
        <v>733</v>
      </c>
      <c r="C104" t="s">
        <v>732</v>
      </c>
      <c r="D104" t="s">
        <v>731</v>
      </c>
      <c r="E104" t="s">
        <v>3593</v>
      </c>
      <c r="F104" s="23">
        <v>44346</v>
      </c>
      <c r="G104" s="1">
        <v>12851</v>
      </c>
    </row>
    <row r="105" spans="1:7">
      <c r="A105" t="s">
        <v>5701</v>
      </c>
      <c r="B105" t="s">
        <v>94</v>
      </c>
      <c r="C105" t="s">
        <v>2196</v>
      </c>
      <c r="D105" t="s">
        <v>3292</v>
      </c>
      <c r="E105" t="s">
        <v>3594</v>
      </c>
      <c r="F105" s="23">
        <v>44346</v>
      </c>
      <c r="G105" s="1">
        <v>12965</v>
      </c>
    </row>
    <row r="106" spans="1:7">
      <c r="A106" t="s">
        <v>5701</v>
      </c>
      <c r="B106" t="s">
        <v>37</v>
      </c>
      <c r="C106" t="s">
        <v>306</v>
      </c>
      <c r="D106" t="s">
        <v>5507</v>
      </c>
      <c r="E106" t="s">
        <v>3595</v>
      </c>
      <c r="F106" s="23">
        <v>44413</v>
      </c>
      <c r="G106" s="1">
        <v>3263</v>
      </c>
    </row>
    <row r="107" spans="1:7">
      <c r="A107" t="s">
        <v>5701</v>
      </c>
      <c r="B107" t="s">
        <v>94</v>
      </c>
      <c r="C107" t="s">
        <v>3179</v>
      </c>
      <c r="D107" t="s">
        <v>3178</v>
      </c>
      <c r="E107" t="s">
        <v>3596</v>
      </c>
      <c r="F107" s="23">
        <v>44346</v>
      </c>
      <c r="G107" s="1">
        <v>19039</v>
      </c>
    </row>
    <row r="108" spans="1:7">
      <c r="A108" t="s">
        <v>5701</v>
      </c>
      <c r="B108" t="s">
        <v>94</v>
      </c>
      <c r="C108" t="s">
        <v>3490</v>
      </c>
      <c r="D108" t="s">
        <v>630</v>
      </c>
      <c r="E108" t="s">
        <v>3597</v>
      </c>
      <c r="F108" s="23">
        <v>44355</v>
      </c>
      <c r="G108" s="1">
        <v>2522</v>
      </c>
    </row>
    <row r="109" spans="1:7">
      <c r="A109" t="s">
        <v>5701</v>
      </c>
      <c r="B109" t="s">
        <v>40</v>
      </c>
      <c r="C109" t="s">
        <v>1764</v>
      </c>
      <c r="D109" t="s">
        <v>5508</v>
      </c>
      <c r="E109" t="s">
        <v>3598</v>
      </c>
      <c r="F109" s="23">
        <v>44459</v>
      </c>
      <c r="G109" s="1">
        <v>2448</v>
      </c>
    </row>
    <row r="110" spans="1:7">
      <c r="A110" t="s">
        <v>5701</v>
      </c>
      <c r="B110" t="s">
        <v>298</v>
      </c>
      <c r="C110" t="s">
        <v>1887</v>
      </c>
      <c r="D110" t="s">
        <v>2172</v>
      </c>
      <c r="E110" t="s">
        <v>3599</v>
      </c>
      <c r="F110" s="23">
        <v>44346</v>
      </c>
      <c r="G110" s="1">
        <v>9455</v>
      </c>
    </row>
    <row r="111" spans="1:7">
      <c r="A111" t="s">
        <v>5701</v>
      </c>
      <c r="B111" t="s">
        <v>298</v>
      </c>
      <c r="C111" t="s">
        <v>710</v>
      </c>
      <c r="D111" t="s">
        <v>709</v>
      </c>
      <c r="E111" t="s">
        <v>3600</v>
      </c>
      <c r="F111" s="23">
        <v>45002</v>
      </c>
      <c r="G111" s="1">
        <v>4190</v>
      </c>
    </row>
    <row r="112" spans="1:7">
      <c r="A112" t="s">
        <v>5701</v>
      </c>
      <c r="B112" t="s">
        <v>94</v>
      </c>
      <c r="C112" t="s">
        <v>2592</v>
      </c>
      <c r="D112" t="s">
        <v>5509</v>
      </c>
      <c r="E112" t="s">
        <v>3601</v>
      </c>
      <c r="F112" s="23">
        <v>44633</v>
      </c>
      <c r="G112" s="1">
        <v>7475</v>
      </c>
    </row>
    <row r="113" spans="1:7">
      <c r="A113" t="s">
        <v>5701</v>
      </c>
      <c r="B113" t="s">
        <v>106</v>
      </c>
      <c r="C113" t="s">
        <v>3280</v>
      </c>
      <c r="D113" t="s">
        <v>3279</v>
      </c>
      <c r="E113" t="s">
        <v>3602</v>
      </c>
      <c r="F113" s="23">
        <v>44346</v>
      </c>
      <c r="G113" s="1">
        <v>13733</v>
      </c>
    </row>
    <row r="114" spans="1:7">
      <c r="A114" t="s">
        <v>5701</v>
      </c>
      <c r="B114" t="s">
        <v>101</v>
      </c>
      <c r="C114" t="s">
        <v>397</v>
      </c>
      <c r="D114" t="s">
        <v>396</v>
      </c>
      <c r="E114" t="s">
        <v>3603</v>
      </c>
      <c r="F114" s="23">
        <v>44346</v>
      </c>
      <c r="G114" s="1">
        <v>3174</v>
      </c>
    </row>
    <row r="115" spans="1:7">
      <c r="A115" t="s">
        <v>5701</v>
      </c>
      <c r="B115" t="s">
        <v>106</v>
      </c>
      <c r="C115" t="s">
        <v>984</v>
      </c>
      <c r="D115" t="s">
        <v>2819</v>
      </c>
      <c r="E115" t="s">
        <v>3604</v>
      </c>
      <c r="F115" s="23">
        <v>44692</v>
      </c>
      <c r="G115" s="1">
        <v>9024</v>
      </c>
    </row>
    <row r="116" spans="1:7">
      <c r="A116" t="s">
        <v>5701</v>
      </c>
      <c r="B116" t="s">
        <v>1223</v>
      </c>
      <c r="C116" t="s">
        <v>2781</v>
      </c>
      <c r="D116" t="s">
        <v>2780</v>
      </c>
      <c r="E116" t="s">
        <v>3605</v>
      </c>
      <c r="F116" s="23">
        <v>44346</v>
      </c>
      <c r="G116" s="1">
        <v>13097</v>
      </c>
    </row>
    <row r="117" spans="1:7">
      <c r="A117" t="s">
        <v>5701</v>
      </c>
      <c r="B117" t="s">
        <v>233</v>
      </c>
      <c r="C117" t="s">
        <v>232</v>
      </c>
      <c r="D117" t="s">
        <v>231</v>
      </c>
      <c r="E117" t="s">
        <v>3606</v>
      </c>
      <c r="F117" s="23">
        <v>44346</v>
      </c>
      <c r="G117" s="1">
        <v>16294</v>
      </c>
    </row>
    <row r="118" spans="1:7">
      <c r="A118" t="s">
        <v>5701</v>
      </c>
      <c r="B118" t="s">
        <v>298</v>
      </c>
      <c r="C118" t="s">
        <v>365</v>
      </c>
      <c r="D118" t="s">
        <v>3424</v>
      </c>
      <c r="E118" t="s">
        <v>3607</v>
      </c>
      <c r="F118" s="23">
        <v>44915</v>
      </c>
      <c r="G118" s="1">
        <v>4660</v>
      </c>
    </row>
    <row r="119" spans="1:7">
      <c r="A119" t="s">
        <v>5701</v>
      </c>
      <c r="B119" t="s">
        <v>106</v>
      </c>
      <c r="C119" t="s">
        <v>2510</v>
      </c>
      <c r="D119" t="s">
        <v>2509</v>
      </c>
      <c r="E119" t="s">
        <v>3608</v>
      </c>
      <c r="F119" s="23">
        <v>44346</v>
      </c>
      <c r="G119" s="1">
        <v>18021</v>
      </c>
    </row>
    <row r="120" spans="1:7">
      <c r="A120" t="s">
        <v>5702</v>
      </c>
      <c r="B120" t="s">
        <v>106</v>
      </c>
      <c r="C120" t="s">
        <v>1647</v>
      </c>
      <c r="D120" t="s">
        <v>1646</v>
      </c>
      <c r="E120" t="s">
        <v>3609</v>
      </c>
      <c r="F120" s="23">
        <v>44944</v>
      </c>
      <c r="G120" s="1">
        <v>10466</v>
      </c>
    </row>
    <row r="121" spans="1:7">
      <c r="A121" t="s">
        <v>5702</v>
      </c>
      <c r="B121" t="s">
        <v>106</v>
      </c>
      <c r="C121" t="s">
        <v>2191</v>
      </c>
      <c r="D121" t="s">
        <v>5510</v>
      </c>
      <c r="E121" t="s">
        <v>3610</v>
      </c>
      <c r="F121" s="23">
        <v>44774</v>
      </c>
      <c r="G121" s="1">
        <v>6552</v>
      </c>
    </row>
    <row r="122" spans="1:7">
      <c r="A122" t="s">
        <v>5702</v>
      </c>
      <c r="B122" t="s">
        <v>94</v>
      </c>
      <c r="C122" t="s">
        <v>3490</v>
      </c>
      <c r="D122" t="s">
        <v>1075</v>
      </c>
      <c r="E122" t="s">
        <v>3611</v>
      </c>
      <c r="F122" s="23">
        <v>44346</v>
      </c>
      <c r="G122" s="1">
        <v>12318</v>
      </c>
    </row>
    <row r="123" spans="1:7">
      <c r="A123" t="s">
        <v>5702</v>
      </c>
      <c r="B123" t="s">
        <v>106</v>
      </c>
      <c r="C123" t="s">
        <v>2456</v>
      </c>
      <c r="D123" t="s">
        <v>2455</v>
      </c>
      <c r="E123" t="s">
        <v>3612</v>
      </c>
      <c r="F123" s="23">
        <v>44346</v>
      </c>
      <c r="G123" s="1">
        <v>14794</v>
      </c>
    </row>
    <row r="124" spans="1:7">
      <c r="A124" t="s">
        <v>5702</v>
      </c>
      <c r="B124" t="s">
        <v>94</v>
      </c>
      <c r="C124" t="s">
        <v>2992</v>
      </c>
      <c r="D124" t="s">
        <v>5511</v>
      </c>
      <c r="E124" t="s">
        <v>3613</v>
      </c>
      <c r="F124" s="23">
        <v>44346</v>
      </c>
      <c r="G124" s="1">
        <v>19860</v>
      </c>
    </row>
    <row r="125" spans="1:7">
      <c r="A125" t="s">
        <v>5702</v>
      </c>
      <c r="B125" t="s">
        <v>106</v>
      </c>
      <c r="C125" t="s">
        <v>2101</v>
      </c>
      <c r="D125" t="s">
        <v>2100</v>
      </c>
      <c r="E125" t="s">
        <v>3614</v>
      </c>
      <c r="F125" s="23">
        <v>44346</v>
      </c>
      <c r="G125" s="1">
        <v>6510</v>
      </c>
    </row>
    <row r="126" spans="1:7">
      <c r="A126" t="s">
        <v>5702</v>
      </c>
      <c r="B126" t="s">
        <v>135</v>
      </c>
      <c r="C126" t="s">
        <v>1585</v>
      </c>
      <c r="D126" t="s">
        <v>1584</v>
      </c>
      <c r="E126" t="s">
        <v>3615</v>
      </c>
      <c r="F126" s="23">
        <v>44749</v>
      </c>
      <c r="G126" s="1">
        <v>2345</v>
      </c>
    </row>
    <row r="127" spans="1:7">
      <c r="A127" t="s">
        <v>5702</v>
      </c>
      <c r="B127" t="s">
        <v>298</v>
      </c>
      <c r="C127" t="s">
        <v>1102</v>
      </c>
      <c r="D127" t="s">
        <v>1101</v>
      </c>
      <c r="E127" t="s">
        <v>3616</v>
      </c>
      <c r="F127" s="23">
        <v>44663</v>
      </c>
      <c r="G127" s="1">
        <v>4856</v>
      </c>
    </row>
    <row r="128" spans="1:7">
      <c r="A128" t="s">
        <v>5702</v>
      </c>
      <c r="B128" t="s">
        <v>43</v>
      </c>
      <c r="C128" t="s">
        <v>1120</v>
      </c>
      <c r="D128" t="s">
        <v>1119</v>
      </c>
      <c r="E128" t="s">
        <v>3617</v>
      </c>
      <c r="F128" s="23">
        <v>44346</v>
      </c>
      <c r="G128" s="1">
        <v>16034</v>
      </c>
    </row>
    <row r="129" spans="1:7">
      <c r="A129" t="s">
        <v>5702</v>
      </c>
      <c r="B129" t="s">
        <v>106</v>
      </c>
      <c r="C129" t="s">
        <v>355</v>
      </c>
      <c r="D129" t="s">
        <v>3278</v>
      </c>
      <c r="E129" t="s">
        <v>3618</v>
      </c>
      <c r="F129" s="23">
        <v>44995</v>
      </c>
      <c r="G129" s="1">
        <v>10148</v>
      </c>
    </row>
    <row r="130" spans="1:7">
      <c r="A130" t="s">
        <v>5702</v>
      </c>
      <c r="B130" t="s">
        <v>298</v>
      </c>
      <c r="C130" t="s">
        <v>1987</v>
      </c>
      <c r="D130" t="s">
        <v>1986</v>
      </c>
      <c r="E130" t="s">
        <v>3619</v>
      </c>
      <c r="F130" s="23">
        <v>44886</v>
      </c>
      <c r="G130" s="1">
        <v>6502</v>
      </c>
    </row>
    <row r="131" spans="1:7">
      <c r="A131" t="s">
        <v>2235</v>
      </c>
      <c r="B131" t="s">
        <v>94</v>
      </c>
      <c r="C131" t="s">
        <v>3007</v>
      </c>
      <c r="D131" t="s">
        <v>3006</v>
      </c>
      <c r="E131" t="s">
        <v>3620</v>
      </c>
      <c r="F131" s="23">
        <v>44346</v>
      </c>
      <c r="G131" s="1">
        <v>16423</v>
      </c>
    </row>
    <row r="132" spans="1:7">
      <c r="A132" t="s">
        <v>2235</v>
      </c>
      <c r="B132" t="s">
        <v>94</v>
      </c>
      <c r="C132" t="s">
        <v>2980</v>
      </c>
      <c r="D132" t="s">
        <v>2979</v>
      </c>
      <c r="E132" t="s">
        <v>3621</v>
      </c>
      <c r="F132" s="23">
        <v>44346</v>
      </c>
      <c r="G132" s="1">
        <v>2234</v>
      </c>
    </row>
    <row r="133" spans="1:7">
      <c r="A133" t="s">
        <v>2235</v>
      </c>
      <c r="B133" t="s">
        <v>37</v>
      </c>
      <c r="C133" t="s">
        <v>570</v>
      </c>
      <c r="D133" t="s">
        <v>569</v>
      </c>
      <c r="E133" t="s">
        <v>3622</v>
      </c>
      <c r="F133" s="23">
        <v>44346</v>
      </c>
      <c r="G133" s="1">
        <v>14172</v>
      </c>
    </row>
    <row r="134" spans="1:7">
      <c r="A134" t="s">
        <v>2235</v>
      </c>
      <c r="B134" t="s">
        <v>311</v>
      </c>
      <c r="C134" t="s">
        <v>3208</v>
      </c>
      <c r="D134" t="s">
        <v>3207</v>
      </c>
      <c r="E134" t="s">
        <v>3623</v>
      </c>
      <c r="F134" s="23">
        <v>44719</v>
      </c>
      <c r="G134" s="1">
        <v>3077</v>
      </c>
    </row>
    <row r="135" spans="1:7">
      <c r="A135" t="s">
        <v>2235</v>
      </c>
      <c r="B135" t="s">
        <v>37</v>
      </c>
      <c r="C135" t="s">
        <v>53</v>
      </c>
      <c r="D135" t="s">
        <v>52</v>
      </c>
      <c r="E135" t="s">
        <v>3624</v>
      </c>
      <c r="F135" s="23">
        <v>44346</v>
      </c>
      <c r="G135" s="1">
        <v>2103</v>
      </c>
    </row>
    <row r="136" spans="1:7">
      <c r="A136" t="s">
        <v>2235</v>
      </c>
      <c r="B136" t="s">
        <v>298</v>
      </c>
      <c r="C136" t="s">
        <v>297</v>
      </c>
      <c r="D136" t="s">
        <v>481</v>
      </c>
      <c r="E136" t="s">
        <v>3625</v>
      </c>
      <c r="F136" s="23">
        <v>44346</v>
      </c>
      <c r="G136" s="1">
        <v>5439</v>
      </c>
    </row>
    <row r="137" spans="1:7">
      <c r="A137" t="s">
        <v>2235</v>
      </c>
      <c r="B137" t="s">
        <v>101</v>
      </c>
      <c r="C137" t="s">
        <v>877</v>
      </c>
      <c r="D137" t="s">
        <v>876</v>
      </c>
      <c r="E137" t="s">
        <v>3626</v>
      </c>
      <c r="F137" s="23">
        <v>44346</v>
      </c>
      <c r="G137" s="1">
        <v>12903</v>
      </c>
    </row>
    <row r="138" spans="1:7">
      <c r="A138" t="s">
        <v>2235</v>
      </c>
      <c r="B138" t="s">
        <v>106</v>
      </c>
      <c r="C138" t="s">
        <v>2994</v>
      </c>
      <c r="D138" t="s">
        <v>2993</v>
      </c>
      <c r="E138" t="s">
        <v>3627</v>
      </c>
      <c r="F138" s="23">
        <v>44346</v>
      </c>
      <c r="G138" s="1">
        <v>16375</v>
      </c>
    </row>
    <row r="139" spans="1:7">
      <c r="A139" t="s">
        <v>2235</v>
      </c>
      <c r="B139" t="s">
        <v>37</v>
      </c>
      <c r="C139" t="s">
        <v>349</v>
      </c>
      <c r="D139" t="s">
        <v>348</v>
      </c>
      <c r="E139" t="s">
        <v>3628</v>
      </c>
      <c r="F139" s="23">
        <v>44346</v>
      </c>
      <c r="G139" s="1">
        <v>17510</v>
      </c>
    </row>
    <row r="140" spans="1:7">
      <c r="A140" t="s">
        <v>2235</v>
      </c>
      <c r="B140" t="s">
        <v>94</v>
      </c>
      <c r="C140" t="s">
        <v>959</v>
      </c>
      <c r="D140" t="s">
        <v>958</v>
      </c>
      <c r="E140" t="s">
        <v>3629</v>
      </c>
      <c r="F140" s="23">
        <v>44346</v>
      </c>
      <c r="G140" s="1">
        <v>13171</v>
      </c>
    </row>
    <row r="141" spans="1:7">
      <c r="A141" t="s">
        <v>2235</v>
      </c>
      <c r="B141" t="s">
        <v>233</v>
      </c>
      <c r="C141" t="s">
        <v>1887</v>
      </c>
      <c r="D141" t="s">
        <v>2324</v>
      </c>
      <c r="E141" t="s">
        <v>3630</v>
      </c>
      <c r="F141" s="23">
        <v>44616</v>
      </c>
      <c r="G141" s="1">
        <v>10259</v>
      </c>
    </row>
    <row r="142" spans="1:7">
      <c r="A142" t="s">
        <v>2235</v>
      </c>
      <c r="B142" t="s">
        <v>106</v>
      </c>
      <c r="C142" t="s">
        <v>2939</v>
      </c>
      <c r="D142" t="s">
        <v>3299</v>
      </c>
      <c r="E142" t="s">
        <v>3631</v>
      </c>
      <c r="F142" s="23">
        <v>44346</v>
      </c>
      <c r="G142" s="1">
        <v>13936</v>
      </c>
    </row>
    <row r="143" spans="1:7">
      <c r="A143" t="s">
        <v>2235</v>
      </c>
      <c r="B143" t="s">
        <v>233</v>
      </c>
      <c r="C143" t="s">
        <v>2694</v>
      </c>
      <c r="D143" t="s">
        <v>2693</v>
      </c>
      <c r="E143" t="s">
        <v>3632</v>
      </c>
      <c r="F143" s="23">
        <v>44677</v>
      </c>
      <c r="G143" s="1">
        <v>11321</v>
      </c>
    </row>
    <row r="144" spans="1:7">
      <c r="A144" t="s">
        <v>2235</v>
      </c>
      <c r="B144" t="s">
        <v>1193</v>
      </c>
      <c r="C144" t="s">
        <v>1192</v>
      </c>
      <c r="D144" t="s">
        <v>1191</v>
      </c>
      <c r="E144" t="s">
        <v>3633</v>
      </c>
      <c r="F144" s="23">
        <v>44603</v>
      </c>
      <c r="G144" s="1">
        <v>6288</v>
      </c>
    </row>
    <row r="145" spans="1:7">
      <c r="A145" t="s">
        <v>2235</v>
      </c>
      <c r="B145" t="s">
        <v>149</v>
      </c>
      <c r="C145" t="s">
        <v>1206</v>
      </c>
      <c r="D145" t="s">
        <v>1205</v>
      </c>
      <c r="E145" t="s">
        <v>3634</v>
      </c>
      <c r="F145" s="23">
        <v>44346</v>
      </c>
      <c r="G145" s="1">
        <v>16499</v>
      </c>
    </row>
    <row r="146" spans="1:7">
      <c r="A146" t="s">
        <v>2235</v>
      </c>
      <c r="B146" t="s">
        <v>94</v>
      </c>
      <c r="C146" t="s">
        <v>3486</v>
      </c>
      <c r="D146" t="s">
        <v>1626</v>
      </c>
      <c r="E146" t="s">
        <v>3635</v>
      </c>
      <c r="F146" s="23">
        <v>45004</v>
      </c>
      <c r="G146" s="1">
        <v>9837</v>
      </c>
    </row>
    <row r="147" spans="1:7">
      <c r="A147" t="s">
        <v>2235</v>
      </c>
      <c r="B147" t="s">
        <v>94</v>
      </c>
      <c r="C147" t="s">
        <v>1992</v>
      </c>
      <c r="D147" t="s">
        <v>5512</v>
      </c>
      <c r="E147" t="s">
        <v>3636</v>
      </c>
      <c r="F147" s="23">
        <v>44346</v>
      </c>
      <c r="G147" s="1">
        <v>13396</v>
      </c>
    </row>
    <row r="148" spans="1:7">
      <c r="A148" t="s">
        <v>2235</v>
      </c>
      <c r="B148" t="s">
        <v>106</v>
      </c>
      <c r="C148" t="s">
        <v>2512</v>
      </c>
      <c r="D148" t="s">
        <v>2511</v>
      </c>
      <c r="E148" t="s">
        <v>3637</v>
      </c>
      <c r="F148" s="23">
        <v>44346</v>
      </c>
      <c r="G148" s="1">
        <v>16007</v>
      </c>
    </row>
    <row r="149" spans="1:7">
      <c r="A149" t="s">
        <v>5703</v>
      </c>
      <c r="B149" t="s">
        <v>311</v>
      </c>
      <c r="C149" t="s">
        <v>1160</v>
      </c>
      <c r="D149" t="s">
        <v>1159</v>
      </c>
      <c r="E149" t="s">
        <v>3638</v>
      </c>
      <c r="F149" s="23">
        <v>44346</v>
      </c>
      <c r="G149" s="1">
        <v>16125</v>
      </c>
    </row>
    <row r="150" spans="1:7">
      <c r="A150" t="s">
        <v>5703</v>
      </c>
      <c r="B150" t="s">
        <v>94</v>
      </c>
      <c r="C150" t="s">
        <v>2010</v>
      </c>
      <c r="D150" t="s">
        <v>2009</v>
      </c>
      <c r="E150" t="s">
        <v>3639</v>
      </c>
      <c r="F150" s="23">
        <v>44349</v>
      </c>
      <c r="G150" s="1">
        <v>8275</v>
      </c>
    </row>
    <row r="151" spans="1:7">
      <c r="A151" t="s">
        <v>5703</v>
      </c>
      <c r="B151" t="s">
        <v>94</v>
      </c>
      <c r="C151" t="s">
        <v>3486</v>
      </c>
      <c r="D151" t="s">
        <v>773</v>
      </c>
      <c r="E151" t="s">
        <v>3640</v>
      </c>
      <c r="F151" s="23">
        <v>44816</v>
      </c>
      <c r="G151" s="1">
        <v>5934</v>
      </c>
    </row>
    <row r="152" spans="1:7">
      <c r="A152" t="s">
        <v>5703</v>
      </c>
      <c r="B152" t="s">
        <v>94</v>
      </c>
      <c r="C152" t="s">
        <v>3230</v>
      </c>
      <c r="D152" t="s">
        <v>3229</v>
      </c>
      <c r="E152" t="s">
        <v>3641</v>
      </c>
      <c r="F152" s="23">
        <v>44346</v>
      </c>
      <c r="G152" s="1">
        <v>18537</v>
      </c>
    </row>
    <row r="153" spans="1:7">
      <c r="A153" t="s">
        <v>5703</v>
      </c>
      <c r="B153" t="s">
        <v>106</v>
      </c>
      <c r="C153" t="s">
        <v>3372</v>
      </c>
      <c r="D153" t="s">
        <v>3371</v>
      </c>
      <c r="E153" t="s">
        <v>3642</v>
      </c>
      <c r="F153" s="23">
        <v>44715</v>
      </c>
      <c r="G153" s="1">
        <v>11815</v>
      </c>
    </row>
    <row r="154" spans="1:7">
      <c r="A154" t="s">
        <v>5703</v>
      </c>
      <c r="B154" t="s">
        <v>94</v>
      </c>
      <c r="C154" t="s">
        <v>2698</v>
      </c>
      <c r="D154" t="s">
        <v>2697</v>
      </c>
      <c r="E154" t="s">
        <v>3643</v>
      </c>
      <c r="F154" s="23">
        <v>45014</v>
      </c>
      <c r="G154" s="1">
        <v>8352</v>
      </c>
    </row>
    <row r="155" spans="1:7">
      <c r="A155" t="s">
        <v>5703</v>
      </c>
      <c r="B155" t="s">
        <v>311</v>
      </c>
      <c r="C155" t="s">
        <v>2664</v>
      </c>
      <c r="D155" t="s">
        <v>2663</v>
      </c>
      <c r="E155" t="s">
        <v>3644</v>
      </c>
      <c r="F155" s="23">
        <v>44920</v>
      </c>
      <c r="G155" s="1">
        <v>577</v>
      </c>
    </row>
    <row r="156" spans="1:7">
      <c r="A156" t="s">
        <v>5703</v>
      </c>
      <c r="B156" t="s">
        <v>106</v>
      </c>
      <c r="C156" t="s">
        <v>1603</v>
      </c>
      <c r="D156" t="s">
        <v>1602</v>
      </c>
      <c r="E156" t="s">
        <v>3645</v>
      </c>
      <c r="F156" s="23">
        <v>44346</v>
      </c>
      <c r="G156" s="1">
        <v>582</v>
      </c>
    </row>
    <row r="157" spans="1:7">
      <c r="A157" t="s">
        <v>5703</v>
      </c>
      <c r="B157" t="s">
        <v>94</v>
      </c>
      <c r="C157" t="s">
        <v>2338</v>
      </c>
      <c r="D157" t="s">
        <v>2337</v>
      </c>
      <c r="E157" t="s">
        <v>3646</v>
      </c>
      <c r="F157" s="23">
        <v>44346</v>
      </c>
      <c r="G157" s="1">
        <v>19033</v>
      </c>
    </row>
    <row r="158" spans="1:7">
      <c r="A158" t="s">
        <v>5703</v>
      </c>
      <c r="B158" t="s">
        <v>43</v>
      </c>
      <c r="C158" t="s">
        <v>1390</v>
      </c>
      <c r="D158" t="s">
        <v>1389</v>
      </c>
      <c r="E158" t="s">
        <v>3647</v>
      </c>
      <c r="F158" s="23">
        <v>44562</v>
      </c>
      <c r="G158" s="1">
        <v>2882</v>
      </c>
    </row>
    <row r="159" spans="1:7">
      <c r="A159" t="s">
        <v>5703</v>
      </c>
      <c r="B159" t="s">
        <v>106</v>
      </c>
      <c r="C159" t="s">
        <v>2231</v>
      </c>
      <c r="D159" t="s">
        <v>2230</v>
      </c>
      <c r="E159" t="s">
        <v>3648</v>
      </c>
      <c r="F159" s="23">
        <v>44517</v>
      </c>
      <c r="G159" s="1">
        <v>712</v>
      </c>
    </row>
    <row r="160" spans="1:7">
      <c r="A160" t="s">
        <v>5703</v>
      </c>
      <c r="B160" t="s">
        <v>233</v>
      </c>
      <c r="C160" t="s">
        <v>2976</v>
      </c>
      <c r="D160" t="s">
        <v>2975</v>
      </c>
      <c r="E160" t="s">
        <v>3649</v>
      </c>
      <c r="F160" s="23">
        <v>44346</v>
      </c>
      <c r="G160" s="1">
        <v>12722</v>
      </c>
    </row>
    <row r="161" spans="1:7">
      <c r="A161" t="s">
        <v>5703</v>
      </c>
      <c r="B161" t="s">
        <v>298</v>
      </c>
      <c r="C161" t="s">
        <v>2824</v>
      </c>
      <c r="D161" t="s">
        <v>2867</v>
      </c>
      <c r="E161" t="s">
        <v>3650</v>
      </c>
      <c r="F161" s="23">
        <v>44346</v>
      </c>
      <c r="G161" s="1">
        <v>528</v>
      </c>
    </row>
    <row r="162" spans="1:7">
      <c r="A162" t="s">
        <v>5703</v>
      </c>
      <c r="B162" t="s">
        <v>94</v>
      </c>
      <c r="C162" t="s">
        <v>917</v>
      </c>
      <c r="D162" t="s">
        <v>5513</v>
      </c>
      <c r="E162" t="s">
        <v>3651</v>
      </c>
      <c r="F162" s="23">
        <v>44770</v>
      </c>
      <c r="G162" s="1">
        <v>3844</v>
      </c>
    </row>
    <row r="163" spans="1:7">
      <c r="A163" t="s">
        <v>5703</v>
      </c>
      <c r="B163" t="s">
        <v>233</v>
      </c>
      <c r="C163" t="s">
        <v>3216</v>
      </c>
      <c r="D163" t="s">
        <v>3215</v>
      </c>
      <c r="E163" t="s">
        <v>3652</v>
      </c>
      <c r="F163" s="23">
        <v>44346</v>
      </c>
      <c r="G163" s="1">
        <v>13905</v>
      </c>
    </row>
    <row r="164" spans="1:7">
      <c r="A164" t="s">
        <v>5703</v>
      </c>
      <c r="B164" t="s">
        <v>94</v>
      </c>
      <c r="C164" t="s">
        <v>3488</v>
      </c>
      <c r="D164" t="s">
        <v>724</v>
      </c>
      <c r="E164" t="s">
        <v>3653</v>
      </c>
      <c r="F164" s="23">
        <v>44346</v>
      </c>
      <c r="G164" s="1">
        <v>17515</v>
      </c>
    </row>
    <row r="165" spans="1:7">
      <c r="A165" t="s">
        <v>5704</v>
      </c>
      <c r="B165" t="s">
        <v>792</v>
      </c>
      <c r="C165" t="s">
        <v>791</v>
      </c>
      <c r="D165" t="s">
        <v>790</v>
      </c>
      <c r="E165" t="s">
        <v>3654</v>
      </c>
      <c r="F165" s="23">
        <v>44386</v>
      </c>
      <c r="G165" s="1">
        <v>10692</v>
      </c>
    </row>
    <row r="166" spans="1:7">
      <c r="A166" t="s">
        <v>5704</v>
      </c>
      <c r="B166" t="s">
        <v>94</v>
      </c>
      <c r="C166" t="s">
        <v>266</v>
      </c>
      <c r="D166" t="s">
        <v>5514</v>
      </c>
      <c r="E166" t="s">
        <v>3655</v>
      </c>
      <c r="F166" s="23">
        <v>44424</v>
      </c>
      <c r="G166" s="1">
        <v>10737</v>
      </c>
    </row>
    <row r="167" spans="1:7">
      <c r="A167" t="s">
        <v>5704</v>
      </c>
      <c r="B167" t="s">
        <v>106</v>
      </c>
      <c r="C167" t="s">
        <v>2200</v>
      </c>
      <c r="D167" t="s">
        <v>2199</v>
      </c>
      <c r="E167" t="s">
        <v>3656</v>
      </c>
      <c r="F167" s="23">
        <v>44346</v>
      </c>
      <c r="G167" s="1">
        <v>19086</v>
      </c>
    </row>
    <row r="168" spans="1:7">
      <c r="A168" t="s">
        <v>5704</v>
      </c>
      <c r="B168" t="s">
        <v>298</v>
      </c>
      <c r="C168" t="s">
        <v>1659</v>
      </c>
      <c r="D168" t="s">
        <v>5515</v>
      </c>
      <c r="E168" t="s">
        <v>3657</v>
      </c>
      <c r="F168" s="23">
        <v>44355</v>
      </c>
      <c r="G168" s="1">
        <v>8608</v>
      </c>
    </row>
    <row r="169" spans="1:7">
      <c r="A169" t="s">
        <v>5704</v>
      </c>
      <c r="B169" t="s">
        <v>233</v>
      </c>
      <c r="C169" t="s">
        <v>3472</v>
      </c>
      <c r="D169" t="s">
        <v>3471</v>
      </c>
      <c r="E169" t="s">
        <v>3658</v>
      </c>
      <c r="F169" s="23">
        <v>44346</v>
      </c>
      <c r="G169" s="1">
        <v>18961</v>
      </c>
    </row>
    <row r="170" spans="1:7">
      <c r="A170" t="s">
        <v>5704</v>
      </c>
      <c r="B170" t="s">
        <v>94</v>
      </c>
      <c r="C170" t="s">
        <v>3081</v>
      </c>
      <c r="D170" t="s">
        <v>3080</v>
      </c>
      <c r="E170" t="s">
        <v>3659</v>
      </c>
      <c r="F170" s="23">
        <v>44950</v>
      </c>
      <c r="G170" s="1">
        <v>8105</v>
      </c>
    </row>
    <row r="171" spans="1:7">
      <c r="A171" t="s">
        <v>5704</v>
      </c>
      <c r="B171" t="s">
        <v>311</v>
      </c>
      <c r="C171" t="s">
        <v>3214</v>
      </c>
      <c r="D171" t="s">
        <v>3213</v>
      </c>
      <c r="E171" t="s">
        <v>3660</v>
      </c>
      <c r="F171" s="23">
        <v>44346</v>
      </c>
      <c r="G171" s="1">
        <v>12106</v>
      </c>
    </row>
    <row r="172" spans="1:7">
      <c r="A172" t="s">
        <v>5704</v>
      </c>
      <c r="B172" t="s">
        <v>244</v>
      </c>
      <c r="C172" t="s">
        <v>243</v>
      </c>
      <c r="D172" t="s">
        <v>242</v>
      </c>
      <c r="E172" t="s">
        <v>3661</v>
      </c>
      <c r="F172" s="23">
        <v>44588</v>
      </c>
      <c r="G172" s="1">
        <v>11980</v>
      </c>
    </row>
    <row r="173" spans="1:7">
      <c r="A173" t="s">
        <v>5704</v>
      </c>
      <c r="B173" t="s">
        <v>94</v>
      </c>
      <c r="C173" t="s">
        <v>3487</v>
      </c>
      <c r="D173" t="s">
        <v>827</v>
      </c>
      <c r="E173" t="s">
        <v>3662</v>
      </c>
      <c r="F173" s="23">
        <v>44346</v>
      </c>
      <c r="G173" s="1">
        <v>12023</v>
      </c>
    </row>
    <row r="174" spans="1:7">
      <c r="A174" t="s">
        <v>5704</v>
      </c>
      <c r="B174" t="s">
        <v>94</v>
      </c>
      <c r="C174" t="s">
        <v>3269</v>
      </c>
      <c r="D174" t="s">
        <v>3268</v>
      </c>
      <c r="E174" t="s">
        <v>3663</v>
      </c>
      <c r="F174" s="23">
        <v>44346</v>
      </c>
      <c r="G174" s="1">
        <v>7482</v>
      </c>
    </row>
    <row r="175" spans="1:7">
      <c r="A175" t="s">
        <v>5704</v>
      </c>
      <c r="B175" t="s">
        <v>94</v>
      </c>
      <c r="C175" t="s">
        <v>1857</v>
      </c>
      <c r="D175" t="s">
        <v>5516</v>
      </c>
      <c r="E175" t="s">
        <v>3664</v>
      </c>
      <c r="F175" s="23">
        <v>44346</v>
      </c>
      <c r="G175" s="1">
        <v>12758</v>
      </c>
    </row>
    <row r="176" spans="1:7">
      <c r="A176" t="s">
        <v>5704</v>
      </c>
      <c r="B176" t="s">
        <v>298</v>
      </c>
      <c r="C176" t="s">
        <v>1896</v>
      </c>
      <c r="D176" t="s">
        <v>3353</v>
      </c>
      <c r="E176" t="s">
        <v>3665</v>
      </c>
      <c r="F176" s="23">
        <v>44346</v>
      </c>
      <c r="G176" s="1">
        <v>17739</v>
      </c>
    </row>
    <row r="177" spans="1:7">
      <c r="A177" t="s">
        <v>5704</v>
      </c>
      <c r="B177" t="s">
        <v>37</v>
      </c>
      <c r="C177" t="s">
        <v>884</v>
      </c>
      <c r="D177" t="s">
        <v>883</v>
      </c>
      <c r="E177" t="s">
        <v>3666</v>
      </c>
      <c r="F177" s="23">
        <v>44777</v>
      </c>
      <c r="G177" s="1">
        <v>2402</v>
      </c>
    </row>
    <row r="178" spans="1:7">
      <c r="A178" t="s">
        <v>5704</v>
      </c>
      <c r="B178" t="s">
        <v>94</v>
      </c>
      <c r="C178" t="s">
        <v>694</v>
      </c>
      <c r="D178" t="s">
        <v>3059</v>
      </c>
      <c r="E178" t="s">
        <v>3667</v>
      </c>
      <c r="F178" s="23">
        <v>44662</v>
      </c>
      <c r="G178" s="1">
        <v>969</v>
      </c>
    </row>
    <row r="179" spans="1:7">
      <c r="A179" t="s">
        <v>5704</v>
      </c>
      <c r="B179" t="s">
        <v>188</v>
      </c>
      <c r="C179" t="s">
        <v>187</v>
      </c>
      <c r="D179" t="s">
        <v>186</v>
      </c>
      <c r="E179" t="s">
        <v>3668</v>
      </c>
      <c r="F179" s="23">
        <v>44650</v>
      </c>
      <c r="G179" s="1">
        <v>11154</v>
      </c>
    </row>
    <row r="180" spans="1:7">
      <c r="A180" t="s">
        <v>5704</v>
      </c>
      <c r="B180" t="s">
        <v>654</v>
      </c>
      <c r="C180" t="s">
        <v>1547</v>
      </c>
      <c r="D180" t="s">
        <v>1546</v>
      </c>
      <c r="E180" t="s">
        <v>3669</v>
      </c>
      <c r="F180" s="23">
        <v>44838</v>
      </c>
      <c r="G180" s="1">
        <v>8640</v>
      </c>
    </row>
    <row r="181" spans="1:7">
      <c r="A181" t="s">
        <v>5704</v>
      </c>
      <c r="B181" t="s">
        <v>255</v>
      </c>
      <c r="C181" t="s">
        <v>254</v>
      </c>
      <c r="D181" t="s">
        <v>253</v>
      </c>
      <c r="E181" t="s">
        <v>3670</v>
      </c>
      <c r="F181" s="23">
        <v>44346</v>
      </c>
      <c r="G181" s="1">
        <v>784</v>
      </c>
    </row>
    <row r="182" spans="1:7">
      <c r="A182" t="s">
        <v>5705</v>
      </c>
      <c r="B182" t="s">
        <v>94</v>
      </c>
      <c r="C182" t="s">
        <v>384</v>
      </c>
      <c r="D182" t="s">
        <v>383</v>
      </c>
      <c r="E182" t="s">
        <v>3671</v>
      </c>
      <c r="F182" s="23">
        <v>44346</v>
      </c>
      <c r="G182" s="1">
        <v>5994</v>
      </c>
    </row>
    <row r="183" spans="1:7">
      <c r="A183" t="s">
        <v>5705</v>
      </c>
      <c r="B183" t="s">
        <v>135</v>
      </c>
      <c r="C183" t="s">
        <v>893</v>
      </c>
      <c r="D183" t="s">
        <v>892</v>
      </c>
      <c r="E183" t="s">
        <v>3672</v>
      </c>
      <c r="F183" s="23">
        <v>44697</v>
      </c>
      <c r="G183" s="1">
        <v>1698</v>
      </c>
    </row>
    <row r="184" spans="1:7">
      <c r="A184" t="s">
        <v>5705</v>
      </c>
      <c r="B184" t="s">
        <v>46</v>
      </c>
      <c r="C184" t="s">
        <v>45</v>
      </c>
      <c r="D184" t="s">
        <v>44</v>
      </c>
      <c r="E184" t="s">
        <v>3673</v>
      </c>
      <c r="F184" s="23">
        <v>44645</v>
      </c>
      <c r="G184" s="1">
        <v>3839</v>
      </c>
    </row>
    <row r="185" spans="1:7">
      <c r="A185" t="s">
        <v>5705</v>
      </c>
      <c r="B185" t="s">
        <v>94</v>
      </c>
      <c r="C185" t="s">
        <v>3486</v>
      </c>
      <c r="D185" t="s">
        <v>853</v>
      </c>
      <c r="E185" t="s">
        <v>3674</v>
      </c>
      <c r="F185" s="23">
        <v>44346</v>
      </c>
      <c r="G185" s="1">
        <v>16383</v>
      </c>
    </row>
    <row r="186" spans="1:7">
      <c r="A186" t="s">
        <v>5705</v>
      </c>
      <c r="B186" t="s">
        <v>233</v>
      </c>
      <c r="C186" t="s">
        <v>2763</v>
      </c>
      <c r="D186" t="s">
        <v>2762</v>
      </c>
      <c r="E186" t="s">
        <v>3675</v>
      </c>
      <c r="F186" s="23">
        <v>44643</v>
      </c>
      <c r="G186" s="1">
        <v>9869</v>
      </c>
    </row>
    <row r="187" spans="1:7">
      <c r="A187" t="s">
        <v>5705</v>
      </c>
      <c r="B187" t="s">
        <v>106</v>
      </c>
      <c r="C187" t="s">
        <v>2733</v>
      </c>
      <c r="D187" t="s">
        <v>2732</v>
      </c>
      <c r="E187" t="s">
        <v>3676</v>
      </c>
      <c r="F187" s="23">
        <v>44964</v>
      </c>
      <c r="G187" s="1">
        <v>7480</v>
      </c>
    </row>
    <row r="188" spans="1:7">
      <c r="A188" t="s">
        <v>5705</v>
      </c>
      <c r="B188" t="s">
        <v>94</v>
      </c>
      <c r="C188" t="s">
        <v>917</v>
      </c>
      <c r="D188" t="s">
        <v>916</v>
      </c>
      <c r="E188" t="s">
        <v>3677</v>
      </c>
      <c r="F188" s="23">
        <v>44824</v>
      </c>
      <c r="G188" s="1">
        <v>3112</v>
      </c>
    </row>
    <row r="189" spans="1:7">
      <c r="A189" t="s">
        <v>5705</v>
      </c>
      <c r="B189" t="s">
        <v>94</v>
      </c>
      <c r="C189" t="s">
        <v>3485</v>
      </c>
      <c r="D189" t="s">
        <v>1391</v>
      </c>
      <c r="E189" t="s">
        <v>3678</v>
      </c>
      <c r="F189" s="23">
        <v>44783</v>
      </c>
      <c r="G189" s="1">
        <v>9976</v>
      </c>
    </row>
    <row r="190" spans="1:7">
      <c r="A190" t="s">
        <v>5705</v>
      </c>
      <c r="B190" t="s">
        <v>94</v>
      </c>
      <c r="C190" t="s">
        <v>3487</v>
      </c>
      <c r="D190" t="s">
        <v>746</v>
      </c>
      <c r="E190" t="s">
        <v>3679</v>
      </c>
      <c r="F190" s="23">
        <v>44346</v>
      </c>
      <c r="G190" s="1">
        <v>17208</v>
      </c>
    </row>
    <row r="191" spans="1:7">
      <c r="A191" t="s">
        <v>5705</v>
      </c>
      <c r="B191" t="s">
        <v>94</v>
      </c>
      <c r="C191" t="s">
        <v>2623</v>
      </c>
      <c r="D191" t="s">
        <v>2622</v>
      </c>
      <c r="E191" t="s">
        <v>3680</v>
      </c>
      <c r="F191" s="23">
        <v>44346</v>
      </c>
      <c r="G191" s="1">
        <v>7644</v>
      </c>
    </row>
    <row r="192" spans="1:7">
      <c r="A192" t="s">
        <v>5705</v>
      </c>
      <c r="B192" t="s">
        <v>311</v>
      </c>
      <c r="C192" t="s">
        <v>2571</v>
      </c>
      <c r="D192" t="s">
        <v>2570</v>
      </c>
      <c r="E192" t="s">
        <v>3681</v>
      </c>
      <c r="F192" s="23">
        <v>44346</v>
      </c>
      <c r="G192" s="1">
        <v>18424</v>
      </c>
    </row>
    <row r="193" spans="1:7">
      <c r="A193" t="s">
        <v>5705</v>
      </c>
      <c r="B193" t="s">
        <v>94</v>
      </c>
      <c r="C193" t="s">
        <v>2024</v>
      </c>
      <c r="D193" t="s">
        <v>2023</v>
      </c>
      <c r="E193" t="s">
        <v>3682</v>
      </c>
      <c r="F193" s="23">
        <v>44917</v>
      </c>
      <c r="G193" s="1">
        <v>11304</v>
      </c>
    </row>
    <row r="194" spans="1:7">
      <c r="A194" t="s">
        <v>5705</v>
      </c>
      <c r="B194" t="s">
        <v>1377</v>
      </c>
      <c r="C194" t="s">
        <v>1376</v>
      </c>
      <c r="D194" t="s">
        <v>1375</v>
      </c>
      <c r="E194" t="s">
        <v>3683</v>
      </c>
      <c r="F194" s="23">
        <v>45019</v>
      </c>
      <c r="G194" s="1">
        <v>10225</v>
      </c>
    </row>
    <row r="195" spans="1:7">
      <c r="A195" t="s">
        <v>5705</v>
      </c>
      <c r="B195" t="s">
        <v>94</v>
      </c>
      <c r="C195" t="s">
        <v>3033</v>
      </c>
      <c r="D195" t="s">
        <v>3032</v>
      </c>
      <c r="E195" t="s">
        <v>3684</v>
      </c>
      <c r="F195" s="23">
        <v>44946</v>
      </c>
      <c r="G195" s="1">
        <v>926</v>
      </c>
    </row>
    <row r="196" spans="1:7">
      <c r="A196" t="s">
        <v>5705</v>
      </c>
      <c r="B196" t="s">
        <v>298</v>
      </c>
      <c r="C196" t="s">
        <v>2184</v>
      </c>
      <c r="D196" t="s">
        <v>2967</v>
      </c>
      <c r="E196" t="s">
        <v>3685</v>
      </c>
      <c r="F196" s="23">
        <v>44981</v>
      </c>
      <c r="G196" s="1">
        <v>5699</v>
      </c>
    </row>
    <row r="197" spans="1:7">
      <c r="A197" t="s">
        <v>5705</v>
      </c>
      <c r="B197" t="s">
        <v>94</v>
      </c>
      <c r="C197" t="s">
        <v>1962</v>
      </c>
      <c r="D197" t="s">
        <v>1961</v>
      </c>
      <c r="E197" t="s">
        <v>3686</v>
      </c>
      <c r="F197" s="23">
        <v>44346</v>
      </c>
      <c r="G197" s="1">
        <v>19070</v>
      </c>
    </row>
    <row r="198" spans="1:7">
      <c r="A198" t="s">
        <v>5705</v>
      </c>
      <c r="B198" t="s">
        <v>1737</v>
      </c>
      <c r="C198" t="s">
        <v>1736</v>
      </c>
      <c r="D198" t="s">
        <v>1735</v>
      </c>
      <c r="E198" t="s">
        <v>3687</v>
      </c>
      <c r="F198" s="23">
        <v>44690</v>
      </c>
      <c r="G198" s="1">
        <v>9051</v>
      </c>
    </row>
    <row r="199" spans="1:7">
      <c r="A199" t="s">
        <v>5705</v>
      </c>
      <c r="B199" t="s">
        <v>233</v>
      </c>
      <c r="C199" t="s">
        <v>2417</v>
      </c>
      <c r="D199" t="s">
        <v>3387</v>
      </c>
      <c r="E199" t="s">
        <v>3688</v>
      </c>
      <c r="F199" s="23">
        <v>44346</v>
      </c>
      <c r="G199" s="1">
        <v>18420</v>
      </c>
    </row>
    <row r="200" spans="1:7">
      <c r="A200" t="s">
        <v>5705</v>
      </c>
      <c r="B200" t="s">
        <v>135</v>
      </c>
      <c r="C200" t="s">
        <v>986</v>
      </c>
      <c r="D200" t="s">
        <v>985</v>
      </c>
      <c r="E200" t="s">
        <v>3689</v>
      </c>
      <c r="F200" s="23">
        <v>44374</v>
      </c>
      <c r="G200" s="1">
        <v>10146</v>
      </c>
    </row>
    <row r="201" spans="1:7">
      <c r="A201" t="s">
        <v>5705</v>
      </c>
      <c r="B201" t="s">
        <v>106</v>
      </c>
      <c r="C201" t="s">
        <v>3322</v>
      </c>
      <c r="D201" t="s">
        <v>3321</v>
      </c>
      <c r="E201" t="s">
        <v>3690</v>
      </c>
      <c r="F201" s="23">
        <v>44526</v>
      </c>
      <c r="G201" s="1">
        <v>1072</v>
      </c>
    </row>
    <row r="202" spans="1:7">
      <c r="A202" t="s">
        <v>5705</v>
      </c>
      <c r="B202" t="s">
        <v>37</v>
      </c>
      <c r="C202" t="s">
        <v>1609</v>
      </c>
      <c r="D202" t="s">
        <v>1608</v>
      </c>
      <c r="E202" t="s">
        <v>3691</v>
      </c>
      <c r="F202" s="23">
        <v>44876</v>
      </c>
      <c r="G202" s="1">
        <v>4292</v>
      </c>
    </row>
    <row r="203" spans="1:7">
      <c r="A203" t="s">
        <v>5705</v>
      </c>
      <c r="B203" t="s">
        <v>94</v>
      </c>
      <c r="C203" t="s">
        <v>3265</v>
      </c>
      <c r="D203" t="s">
        <v>1645</v>
      </c>
      <c r="E203" t="s">
        <v>3692</v>
      </c>
      <c r="F203" s="23">
        <v>44360</v>
      </c>
      <c r="G203" s="1">
        <v>3567</v>
      </c>
    </row>
    <row r="204" spans="1:7">
      <c r="A204" t="s">
        <v>5705</v>
      </c>
      <c r="B204" t="s">
        <v>106</v>
      </c>
      <c r="C204" t="s">
        <v>3228</v>
      </c>
      <c r="D204" t="s">
        <v>3227</v>
      </c>
      <c r="E204" t="s">
        <v>3693</v>
      </c>
      <c r="F204" s="23">
        <v>44867</v>
      </c>
      <c r="G204" s="1">
        <v>5605</v>
      </c>
    </row>
    <row r="205" spans="1:7">
      <c r="A205" t="s">
        <v>5705</v>
      </c>
      <c r="B205" t="s">
        <v>94</v>
      </c>
      <c r="C205" t="s">
        <v>3295</v>
      </c>
      <c r="D205" t="s">
        <v>3294</v>
      </c>
      <c r="E205" t="s">
        <v>3694</v>
      </c>
      <c r="F205" s="23">
        <v>44813</v>
      </c>
      <c r="G205" s="1">
        <v>10636</v>
      </c>
    </row>
    <row r="206" spans="1:7">
      <c r="A206" t="s">
        <v>5705</v>
      </c>
      <c r="B206" t="s">
        <v>94</v>
      </c>
      <c r="C206" t="s">
        <v>3265</v>
      </c>
      <c r="D206" t="s">
        <v>1557</v>
      </c>
      <c r="E206" t="s">
        <v>3695</v>
      </c>
      <c r="F206" s="23">
        <v>44614</v>
      </c>
      <c r="G206" s="1">
        <v>3334</v>
      </c>
    </row>
    <row r="207" spans="1:7">
      <c r="A207" t="s">
        <v>5705</v>
      </c>
      <c r="B207" t="s">
        <v>43</v>
      </c>
      <c r="C207" t="s">
        <v>457</v>
      </c>
      <c r="D207" t="s">
        <v>456</v>
      </c>
      <c r="E207" t="s">
        <v>3696</v>
      </c>
      <c r="F207" s="23">
        <v>44346</v>
      </c>
      <c r="G207" s="1">
        <v>11945</v>
      </c>
    </row>
    <row r="208" spans="1:7">
      <c r="A208" t="s">
        <v>5705</v>
      </c>
      <c r="B208" t="s">
        <v>149</v>
      </c>
      <c r="C208" t="s">
        <v>269</v>
      </c>
      <c r="D208" t="s">
        <v>268</v>
      </c>
      <c r="E208" t="s">
        <v>3697</v>
      </c>
      <c r="F208" s="23">
        <v>44553</v>
      </c>
      <c r="G208" s="1">
        <v>6872</v>
      </c>
    </row>
    <row r="209" spans="1:7">
      <c r="A209" t="s">
        <v>5705</v>
      </c>
      <c r="B209" t="s">
        <v>1047</v>
      </c>
      <c r="C209" t="s">
        <v>1046</v>
      </c>
      <c r="D209" t="s">
        <v>1045</v>
      </c>
      <c r="E209" t="s">
        <v>3698</v>
      </c>
      <c r="F209" s="23">
        <v>44377</v>
      </c>
      <c r="G209" s="1">
        <v>11260</v>
      </c>
    </row>
    <row r="210" spans="1:7">
      <c r="A210" t="s">
        <v>5705</v>
      </c>
      <c r="B210" t="s">
        <v>311</v>
      </c>
      <c r="C210" t="s">
        <v>1935</v>
      </c>
      <c r="D210" t="s">
        <v>1934</v>
      </c>
      <c r="E210" t="s">
        <v>3699</v>
      </c>
      <c r="F210" s="23">
        <v>44696</v>
      </c>
      <c r="G210" s="1">
        <v>614</v>
      </c>
    </row>
    <row r="211" spans="1:7">
      <c r="A211" t="s">
        <v>5705</v>
      </c>
      <c r="B211" t="s">
        <v>311</v>
      </c>
      <c r="C211" t="s">
        <v>734</v>
      </c>
      <c r="D211" t="s">
        <v>5517</v>
      </c>
      <c r="E211" t="s">
        <v>3700</v>
      </c>
      <c r="F211" s="23">
        <v>44346</v>
      </c>
      <c r="G211" s="1">
        <v>15822</v>
      </c>
    </row>
    <row r="212" spans="1:7">
      <c r="A212" t="s">
        <v>5705</v>
      </c>
      <c r="B212" t="s">
        <v>43</v>
      </c>
      <c r="C212" t="s">
        <v>882</v>
      </c>
      <c r="D212" t="s">
        <v>881</v>
      </c>
      <c r="E212" t="s">
        <v>3701</v>
      </c>
      <c r="F212" s="23">
        <v>44992</v>
      </c>
      <c r="G212" s="1">
        <v>9218</v>
      </c>
    </row>
    <row r="213" spans="1:7">
      <c r="A213" t="s">
        <v>5705</v>
      </c>
      <c r="B213" t="s">
        <v>37</v>
      </c>
      <c r="C213" t="s">
        <v>1122</v>
      </c>
      <c r="D213" t="s">
        <v>1121</v>
      </c>
      <c r="E213" t="s">
        <v>3702</v>
      </c>
      <c r="F213" s="23">
        <v>44346</v>
      </c>
      <c r="G213" s="1">
        <v>16511</v>
      </c>
    </row>
    <row r="214" spans="1:7">
      <c r="A214" t="s">
        <v>5705</v>
      </c>
      <c r="B214" t="s">
        <v>101</v>
      </c>
      <c r="C214" t="s">
        <v>1526</v>
      </c>
      <c r="D214" t="s">
        <v>1525</v>
      </c>
      <c r="E214" t="s">
        <v>3703</v>
      </c>
      <c r="F214" s="23">
        <v>44346</v>
      </c>
      <c r="G214" s="1">
        <v>17962</v>
      </c>
    </row>
    <row r="215" spans="1:7">
      <c r="A215" t="s">
        <v>5705</v>
      </c>
      <c r="B215" t="s">
        <v>94</v>
      </c>
      <c r="C215" t="s">
        <v>3065</v>
      </c>
      <c r="D215" t="s">
        <v>5518</v>
      </c>
      <c r="E215" t="s">
        <v>3704</v>
      </c>
      <c r="F215" s="23">
        <v>44925</v>
      </c>
      <c r="G215" s="1">
        <v>1091</v>
      </c>
    </row>
    <row r="216" spans="1:7">
      <c r="A216" t="s">
        <v>5705</v>
      </c>
      <c r="B216" t="s">
        <v>755</v>
      </c>
      <c r="C216" t="s">
        <v>1566</v>
      </c>
      <c r="D216" t="s">
        <v>1565</v>
      </c>
      <c r="E216" t="s">
        <v>3705</v>
      </c>
      <c r="F216" s="23">
        <v>44346</v>
      </c>
      <c r="G216" s="1">
        <v>14884</v>
      </c>
    </row>
    <row r="217" spans="1:7">
      <c r="A217" t="s">
        <v>5705</v>
      </c>
      <c r="B217" t="s">
        <v>298</v>
      </c>
      <c r="C217" t="s">
        <v>2266</v>
      </c>
      <c r="D217" t="s">
        <v>2265</v>
      </c>
      <c r="E217" t="s">
        <v>3706</v>
      </c>
      <c r="F217" s="23">
        <v>44346</v>
      </c>
      <c r="G217" s="1">
        <v>19827</v>
      </c>
    </row>
    <row r="218" spans="1:7">
      <c r="A218" t="s">
        <v>5705</v>
      </c>
      <c r="B218" t="s">
        <v>106</v>
      </c>
      <c r="C218" t="s">
        <v>1437</v>
      </c>
      <c r="D218" t="s">
        <v>1436</v>
      </c>
      <c r="E218" t="s">
        <v>3707</v>
      </c>
      <c r="F218" s="23">
        <v>44531</v>
      </c>
      <c r="G218" s="1">
        <v>1918</v>
      </c>
    </row>
    <row r="219" spans="1:7">
      <c r="A219" t="s">
        <v>5705</v>
      </c>
      <c r="B219" t="s">
        <v>94</v>
      </c>
      <c r="C219" t="s">
        <v>3486</v>
      </c>
      <c r="D219" t="s">
        <v>1253</v>
      </c>
      <c r="E219" t="s">
        <v>3708</v>
      </c>
      <c r="F219" s="23">
        <v>44346</v>
      </c>
      <c r="G219" s="1">
        <v>6383</v>
      </c>
    </row>
    <row r="220" spans="1:7">
      <c r="A220" t="s">
        <v>5705</v>
      </c>
      <c r="B220" t="s">
        <v>311</v>
      </c>
      <c r="C220" t="s">
        <v>3158</v>
      </c>
      <c r="D220" t="s">
        <v>3157</v>
      </c>
      <c r="E220" t="s">
        <v>3709</v>
      </c>
      <c r="F220" s="23">
        <v>44422</v>
      </c>
      <c r="G220" s="1">
        <v>6354</v>
      </c>
    </row>
    <row r="221" spans="1:7">
      <c r="A221" t="s">
        <v>5706</v>
      </c>
      <c r="B221" t="s">
        <v>94</v>
      </c>
      <c r="C221" t="s">
        <v>3088</v>
      </c>
      <c r="D221" t="s">
        <v>3087</v>
      </c>
      <c r="E221" t="s">
        <v>3710</v>
      </c>
      <c r="F221" s="23">
        <v>44346</v>
      </c>
      <c r="G221" s="1">
        <v>16735</v>
      </c>
    </row>
    <row r="222" spans="1:7">
      <c r="A222" t="s">
        <v>5706</v>
      </c>
      <c r="B222" t="s">
        <v>106</v>
      </c>
      <c r="C222" t="s">
        <v>1850</v>
      </c>
      <c r="D222" t="s">
        <v>1849</v>
      </c>
      <c r="E222" t="s">
        <v>3711</v>
      </c>
      <c r="F222" s="23">
        <v>44346</v>
      </c>
      <c r="G222" s="1">
        <v>15644</v>
      </c>
    </row>
    <row r="223" spans="1:7">
      <c r="A223" t="s">
        <v>5706</v>
      </c>
      <c r="B223" t="s">
        <v>233</v>
      </c>
      <c r="C223" t="s">
        <v>2476</v>
      </c>
      <c r="D223" t="s">
        <v>2475</v>
      </c>
      <c r="E223" t="s">
        <v>3712</v>
      </c>
      <c r="F223" s="23">
        <v>44346</v>
      </c>
      <c r="G223" s="1">
        <v>19055</v>
      </c>
    </row>
    <row r="224" spans="1:7">
      <c r="A224" t="s">
        <v>5706</v>
      </c>
      <c r="B224" t="s">
        <v>106</v>
      </c>
      <c r="C224" t="s">
        <v>2646</v>
      </c>
      <c r="D224" t="s">
        <v>5519</v>
      </c>
      <c r="E224" t="s">
        <v>3713</v>
      </c>
      <c r="F224" s="23">
        <v>44384</v>
      </c>
      <c r="G224" s="1">
        <v>9398</v>
      </c>
    </row>
    <row r="225" spans="1:7">
      <c r="A225" t="s">
        <v>5706</v>
      </c>
      <c r="B225" t="s">
        <v>37</v>
      </c>
      <c r="C225" t="s">
        <v>409</v>
      </c>
      <c r="D225" t="s">
        <v>408</v>
      </c>
      <c r="E225" t="s">
        <v>3714</v>
      </c>
      <c r="F225" s="23">
        <v>44346</v>
      </c>
      <c r="G225" s="1">
        <v>2360</v>
      </c>
    </row>
    <row r="226" spans="1:7">
      <c r="A226" t="s">
        <v>5706</v>
      </c>
      <c r="B226" t="s">
        <v>94</v>
      </c>
      <c r="C226" t="s">
        <v>3083</v>
      </c>
      <c r="D226" t="s">
        <v>3082</v>
      </c>
      <c r="E226" t="s">
        <v>3715</v>
      </c>
      <c r="F226" s="23">
        <v>44346</v>
      </c>
      <c r="G226" s="1">
        <v>8943</v>
      </c>
    </row>
    <row r="227" spans="1:7">
      <c r="A227" t="s">
        <v>5706</v>
      </c>
      <c r="B227" t="s">
        <v>94</v>
      </c>
      <c r="C227" t="s">
        <v>2326</v>
      </c>
      <c r="D227" t="s">
        <v>2325</v>
      </c>
      <c r="E227" t="s">
        <v>3716</v>
      </c>
      <c r="F227" s="23">
        <v>44346</v>
      </c>
      <c r="G227" s="1">
        <v>11589</v>
      </c>
    </row>
    <row r="228" spans="1:7">
      <c r="A228" t="s">
        <v>5706</v>
      </c>
      <c r="B228" t="s">
        <v>94</v>
      </c>
      <c r="C228" t="s">
        <v>3486</v>
      </c>
      <c r="D228" t="s">
        <v>1158</v>
      </c>
      <c r="E228" t="s">
        <v>3717</v>
      </c>
      <c r="F228" s="23">
        <v>44346</v>
      </c>
      <c r="G228" s="1">
        <v>10026</v>
      </c>
    </row>
    <row r="229" spans="1:7">
      <c r="A229" t="s">
        <v>5706</v>
      </c>
      <c r="B229" t="s">
        <v>208</v>
      </c>
      <c r="C229" t="s">
        <v>1576</v>
      </c>
      <c r="D229" t="s">
        <v>1575</v>
      </c>
      <c r="E229" t="s">
        <v>3718</v>
      </c>
      <c r="F229" s="23">
        <v>45017</v>
      </c>
      <c r="G229" s="1">
        <v>2129</v>
      </c>
    </row>
    <row r="230" spans="1:7">
      <c r="A230" t="s">
        <v>5706</v>
      </c>
      <c r="B230" t="s">
        <v>94</v>
      </c>
      <c r="C230" t="s">
        <v>3330</v>
      </c>
      <c r="D230" t="s">
        <v>5520</v>
      </c>
      <c r="E230" t="s">
        <v>3719</v>
      </c>
      <c r="F230" s="23">
        <v>44346</v>
      </c>
      <c r="G230" s="1">
        <v>10370</v>
      </c>
    </row>
    <row r="231" spans="1:7">
      <c r="A231" t="s">
        <v>5706</v>
      </c>
      <c r="B231" t="s">
        <v>106</v>
      </c>
      <c r="C231" t="s">
        <v>2849</v>
      </c>
      <c r="D231" t="s">
        <v>5521</v>
      </c>
      <c r="E231" t="s">
        <v>3720</v>
      </c>
      <c r="F231" s="23">
        <v>45057</v>
      </c>
      <c r="G231" s="1">
        <v>6441</v>
      </c>
    </row>
    <row r="232" spans="1:7">
      <c r="A232" t="s">
        <v>5706</v>
      </c>
      <c r="B232" t="s">
        <v>37</v>
      </c>
      <c r="C232" t="s">
        <v>945</v>
      </c>
      <c r="D232" t="s">
        <v>944</v>
      </c>
      <c r="E232" t="s">
        <v>3721</v>
      </c>
      <c r="F232" s="23">
        <v>44346</v>
      </c>
      <c r="G232" s="1">
        <v>13415</v>
      </c>
    </row>
    <row r="233" spans="1:7">
      <c r="A233" t="s">
        <v>5706</v>
      </c>
      <c r="B233" t="s">
        <v>106</v>
      </c>
      <c r="C233" t="s">
        <v>2848</v>
      </c>
      <c r="D233" t="s">
        <v>2847</v>
      </c>
      <c r="E233" t="s">
        <v>3722</v>
      </c>
      <c r="F233" s="23">
        <v>44416</v>
      </c>
      <c r="G233" s="1">
        <v>9816</v>
      </c>
    </row>
    <row r="234" spans="1:7">
      <c r="A234" t="s">
        <v>5706</v>
      </c>
      <c r="B234" t="s">
        <v>94</v>
      </c>
      <c r="C234" t="s">
        <v>3265</v>
      </c>
      <c r="D234" t="s">
        <v>765</v>
      </c>
      <c r="E234" t="s">
        <v>3723</v>
      </c>
      <c r="F234" s="23">
        <v>44941</v>
      </c>
      <c r="G234" s="1">
        <v>3379</v>
      </c>
    </row>
    <row r="235" spans="1:7">
      <c r="A235" t="s">
        <v>5706</v>
      </c>
      <c r="B235" t="s">
        <v>97</v>
      </c>
      <c r="C235" t="s">
        <v>1238</v>
      </c>
      <c r="D235" t="s">
        <v>1237</v>
      </c>
      <c r="E235" t="s">
        <v>3724</v>
      </c>
      <c r="F235" s="23">
        <v>44346</v>
      </c>
      <c r="G235" s="1">
        <v>13346</v>
      </c>
    </row>
    <row r="236" spans="1:7">
      <c r="A236" t="s">
        <v>5706</v>
      </c>
      <c r="B236" t="s">
        <v>94</v>
      </c>
      <c r="C236" t="s">
        <v>2432</v>
      </c>
      <c r="D236" t="s">
        <v>3074</v>
      </c>
      <c r="E236" t="s">
        <v>3725</v>
      </c>
      <c r="F236" s="23">
        <v>44605</v>
      </c>
      <c r="G236" s="1">
        <v>5742</v>
      </c>
    </row>
    <row r="237" spans="1:7">
      <c r="A237" t="s">
        <v>5706</v>
      </c>
      <c r="B237" t="s">
        <v>78</v>
      </c>
      <c r="C237" t="s">
        <v>80</v>
      </c>
      <c r="D237" t="s">
        <v>79</v>
      </c>
      <c r="E237" t="s">
        <v>3726</v>
      </c>
      <c r="F237" s="23">
        <v>44346</v>
      </c>
      <c r="G237" s="1">
        <v>3574</v>
      </c>
    </row>
    <row r="238" spans="1:7">
      <c r="A238" t="s">
        <v>5706</v>
      </c>
      <c r="B238" t="s">
        <v>106</v>
      </c>
      <c r="C238" t="s">
        <v>632</v>
      </c>
      <c r="D238" t="s">
        <v>631</v>
      </c>
      <c r="E238" t="s">
        <v>3727</v>
      </c>
      <c r="F238" s="23">
        <v>44681</v>
      </c>
      <c r="G238" s="1">
        <v>6514</v>
      </c>
    </row>
    <row r="239" spans="1:7">
      <c r="A239" t="s">
        <v>5706</v>
      </c>
      <c r="B239" t="s">
        <v>37</v>
      </c>
      <c r="C239" t="s">
        <v>1180</v>
      </c>
      <c r="D239" t="s">
        <v>1179</v>
      </c>
      <c r="E239" t="s">
        <v>3728</v>
      </c>
      <c r="F239" s="23">
        <v>44346</v>
      </c>
      <c r="G239" s="1">
        <v>15681</v>
      </c>
    </row>
    <row r="240" spans="1:7">
      <c r="A240" t="s">
        <v>5706</v>
      </c>
      <c r="B240" t="s">
        <v>106</v>
      </c>
      <c r="C240" t="s">
        <v>2315</v>
      </c>
      <c r="D240" t="s">
        <v>2314</v>
      </c>
      <c r="E240" t="s">
        <v>3729</v>
      </c>
      <c r="F240" s="23">
        <v>44346</v>
      </c>
      <c r="G240" s="1">
        <v>11489</v>
      </c>
    </row>
    <row r="241" spans="1:7">
      <c r="A241" t="s">
        <v>5706</v>
      </c>
      <c r="B241" t="s">
        <v>233</v>
      </c>
      <c r="C241" t="s">
        <v>2578</v>
      </c>
      <c r="D241" t="s">
        <v>2577</v>
      </c>
      <c r="E241" t="s">
        <v>3730</v>
      </c>
      <c r="F241" s="23">
        <v>44346</v>
      </c>
      <c r="G241" s="1">
        <v>19398</v>
      </c>
    </row>
    <row r="242" spans="1:7">
      <c r="A242" t="s">
        <v>5706</v>
      </c>
      <c r="B242" t="s">
        <v>755</v>
      </c>
      <c r="C242" t="s">
        <v>1395</v>
      </c>
      <c r="D242" t="s">
        <v>1394</v>
      </c>
      <c r="E242" t="s">
        <v>3731</v>
      </c>
      <c r="F242" s="23">
        <v>44346</v>
      </c>
      <c r="G242" s="1">
        <v>13127</v>
      </c>
    </row>
    <row r="243" spans="1:7">
      <c r="A243" t="s">
        <v>5706</v>
      </c>
      <c r="B243" t="s">
        <v>97</v>
      </c>
      <c r="C243" t="s">
        <v>1809</v>
      </c>
      <c r="D243" t="s">
        <v>1808</v>
      </c>
      <c r="E243" t="s">
        <v>3732</v>
      </c>
      <c r="F243" s="23">
        <v>44346</v>
      </c>
      <c r="G243" s="1">
        <v>12351</v>
      </c>
    </row>
    <row r="244" spans="1:7">
      <c r="A244" t="s">
        <v>5706</v>
      </c>
      <c r="B244" t="s">
        <v>43</v>
      </c>
      <c r="C244" t="s">
        <v>961</v>
      </c>
      <c r="D244" t="s">
        <v>960</v>
      </c>
      <c r="E244" t="s">
        <v>3733</v>
      </c>
      <c r="F244" s="23">
        <v>44346</v>
      </c>
      <c r="G244" s="1">
        <v>15421</v>
      </c>
    </row>
    <row r="245" spans="1:7">
      <c r="A245" t="s">
        <v>5706</v>
      </c>
      <c r="B245" t="s">
        <v>37</v>
      </c>
      <c r="C245" t="s">
        <v>603</v>
      </c>
      <c r="D245" t="s">
        <v>602</v>
      </c>
      <c r="E245" t="s">
        <v>3734</v>
      </c>
      <c r="F245" s="23">
        <v>44346</v>
      </c>
      <c r="G245" s="1">
        <v>16524</v>
      </c>
    </row>
    <row r="246" spans="1:7">
      <c r="A246" t="s">
        <v>5706</v>
      </c>
      <c r="B246" t="s">
        <v>94</v>
      </c>
      <c r="C246" t="s">
        <v>3490</v>
      </c>
      <c r="D246" t="s">
        <v>1614</v>
      </c>
      <c r="E246" t="s">
        <v>3735</v>
      </c>
      <c r="F246" s="23">
        <v>44380</v>
      </c>
      <c r="G246" s="1">
        <v>2887</v>
      </c>
    </row>
    <row r="247" spans="1:7">
      <c r="A247" t="s">
        <v>5706</v>
      </c>
      <c r="B247" t="s">
        <v>106</v>
      </c>
      <c r="C247" t="s">
        <v>146</v>
      </c>
      <c r="D247" t="s">
        <v>145</v>
      </c>
      <c r="E247" t="s">
        <v>3736</v>
      </c>
      <c r="F247" s="23">
        <v>44346</v>
      </c>
      <c r="G247" s="1">
        <v>11432</v>
      </c>
    </row>
    <row r="248" spans="1:7">
      <c r="A248" t="s">
        <v>5706</v>
      </c>
      <c r="B248" t="s">
        <v>94</v>
      </c>
      <c r="C248" t="s">
        <v>3395</v>
      </c>
      <c r="D248" t="s">
        <v>3394</v>
      </c>
      <c r="E248" t="s">
        <v>3737</v>
      </c>
      <c r="F248" s="23">
        <v>44796</v>
      </c>
      <c r="G248" s="1">
        <v>7381</v>
      </c>
    </row>
    <row r="249" spans="1:7">
      <c r="A249" t="s">
        <v>5706</v>
      </c>
      <c r="B249" t="s">
        <v>72</v>
      </c>
      <c r="C249" t="s">
        <v>686</v>
      </c>
      <c r="D249" t="s">
        <v>685</v>
      </c>
      <c r="E249" t="s">
        <v>3738</v>
      </c>
      <c r="F249" s="23">
        <v>44955</v>
      </c>
      <c r="G249" s="1">
        <v>1418</v>
      </c>
    </row>
    <row r="250" spans="1:7">
      <c r="A250" t="s">
        <v>5706</v>
      </c>
      <c r="B250" t="s">
        <v>94</v>
      </c>
      <c r="C250" t="s">
        <v>3312</v>
      </c>
      <c r="D250" t="s">
        <v>3311</v>
      </c>
      <c r="E250" t="s">
        <v>3739</v>
      </c>
      <c r="F250" s="23">
        <v>44538</v>
      </c>
      <c r="G250" s="1">
        <v>3399</v>
      </c>
    </row>
    <row r="251" spans="1:7">
      <c r="A251" t="s">
        <v>5706</v>
      </c>
      <c r="B251" t="s">
        <v>94</v>
      </c>
      <c r="C251" t="s">
        <v>3427</v>
      </c>
      <c r="D251" t="s">
        <v>3426</v>
      </c>
      <c r="E251" t="s">
        <v>3740</v>
      </c>
      <c r="F251" s="23">
        <v>44860</v>
      </c>
      <c r="G251" s="1">
        <v>1544</v>
      </c>
    </row>
    <row r="252" spans="1:7">
      <c r="A252" t="s">
        <v>5706</v>
      </c>
      <c r="B252" t="s">
        <v>94</v>
      </c>
      <c r="C252" t="s">
        <v>3485</v>
      </c>
      <c r="D252" t="s">
        <v>1618</v>
      </c>
      <c r="E252" t="s">
        <v>3741</v>
      </c>
      <c r="F252" s="23">
        <v>44346</v>
      </c>
      <c r="G252" s="1">
        <v>15166</v>
      </c>
    </row>
    <row r="253" spans="1:7">
      <c r="A253" t="s">
        <v>5706</v>
      </c>
      <c r="B253" t="s">
        <v>94</v>
      </c>
      <c r="C253" t="s">
        <v>3007</v>
      </c>
      <c r="D253" t="s">
        <v>3354</v>
      </c>
      <c r="E253" t="s">
        <v>3742</v>
      </c>
      <c r="F253" s="23">
        <v>44947</v>
      </c>
      <c r="G253" s="1">
        <v>6158</v>
      </c>
    </row>
    <row r="254" spans="1:7">
      <c r="A254" t="s">
        <v>5706</v>
      </c>
      <c r="B254" t="s">
        <v>65</v>
      </c>
      <c r="C254" t="s">
        <v>953</v>
      </c>
      <c r="D254" t="s">
        <v>952</v>
      </c>
      <c r="E254" t="s">
        <v>3743</v>
      </c>
      <c r="F254" s="23">
        <v>44346</v>
      </c>
      <c r="G254" s="1">
        <v>18752</v>
      </c>
    </row>
    <row r="255" spans="1:7">
      <c r="A255" t="s">
        <v>5706</v>
      </c>
      <c r="B255" t="s">
        <v>37</v>
      </c>
      <c r="C255" t="s">
        <v>1728</v>
      </c>
      <c r="D255" t="s">
        <v>1727</v>
      </c>
      <c r="E255" t="s">
        <v>3744</v>
      </c>
      <c r="F255" s="23">
        <v>44346</v>
      </c>
      <c r="G255" s="1">
        <v>18968</v>
      </c>
    </row>
    <row r="256" spans="1:7">
      <c r="A256" t="s">
        <v>5707</v>
      </c>
      <c r="B256" t="s">
        <v>106</v>
      </c>
      <c r="C256" t="s">
        <v>3031</v>
      </c>
      <c r="D256" t="s">
        <v>3030</v>
      </c>
      <c r="E256" t="s">
        <v>3745</v>
      </c>
      <c r="F256" s="23">
        <v>44346</v>
      </c>
      <c r="G256" s="1">
        <v>17301</v>
      </c>
    </row>
    <row r="257" spans="1:7">
      <c r="A257" t="s">
        <v>5707</v>
      </c>
      <c r="B257" t="s">
        <v>37</v>
      </c>
      <c r="C257" t="s">
        <v>964</v>
      </c>
      <c r="D257" t="s">
        <v>963</v>
      </c>
      <c r="E257" t="s">
        <v>3746</v>
      </c>
      <c r="F257" s="23">
        <v>44346</v>
      </c>
      <c r="G257" s="1">
        <v>13234</v>
      </c>
    </row>
    <row r="258" spans="1:7">
      <c r="A258" t="s">
        <v>5707</v>
      </c>
      <c r="B258" t="s">
        <v>233</v>
      </c>
      <c r="C258" t="s">
        <v>2171</v>
      </c>
      <c r="D258" t="s">
        <v>5522</v>
      </c>
      <c r="E258" t="s">
        <v>3747</v>
      </c>
      <c r="F258" s="23">
        <v>44346</v>
      </c>
      <c r="G258" s="1">
        <v>8686</v>
      </c>
    </row>
    <row r="259" spans="1:7">
      <c r="A259" t="s">
        <v>5707</v>
      </c>
      <c r="B259" t="s">
        <v>480</v>
      </c>
      <c r="C259" t="s">
        <v>1568</v>
      </c>
      <c r="D259" t="s">
        <v>1567</v>
      </c>
      <c r="E259" t="s">
        <v>3748</v>
      </c>
      <c r="F259" s="23">
        <v>44346</v>
      </c>
      <c r="G259" s="1">
        <v>12038</v>
      </c>
    </row>
    <row r="260" spans="1:7">
      <c r="A260" t="s">
        <v>5707</v>
      </c>
      <c r="B260" t="s">
        <v>831</v>
      </c>
      <c r="C260" t="s">
        <v>830</v>
      </c>
      <c r="D260" t="s">
        <v>5523</v>
      </c>
      <c r="E260" t="s">
        <v>3749</v>
      </c>
      <c r="F260" s="23">
        <v>44785</v>
      </c>
      <c r="G260" s="1">
        <v>6886</v>
      </c>
    </row>
    <row r="261" spans="1:7">
      <c r="A261" t="s">
        <v>5707</v>
      </c>
      <c r="B261" t="s">
        <v>444</v>
      </c>
      <c r="C261" t="s">
        <v>1229</v>
      </c>
      <c r="D261" t="s">
        <v>1228</v>
      </c>
      <c r="E261" t="s">
        <v>3750</v>
      </c>
      <c r="F261" s="23">
        <v>44346</v>
      </c>
      <c r="G261" s="1">
        <v>14432</v>
      </c>
    </row>
    <row r="262" spans="1:7">
      <c r="A262" t="s">
        <v>5707</v>
      </c>
      <c r="B262" t="s">
        <v>40</v>
      </c>
      <c r="C262" t="s">
        <v>1634</v>
      </c>
      <c r="D262" t="s">
        <v>1633</v>
      </c>
      <c r="E262" t="s">
        <v>3751</v>
      </c>
      <c r="F262" s="23">
        <v>44346</v>
      </c>
      <c r="G262" s="1">
        <v>19079</v>
      </c>
    </row>
    <row r="263" spans="1:7">
      <c r="A263" t="s">
        <v>5707</v>
      </c>
      <c r="B263" t="s">
        <v>106</v>
      </c>
      <c r="C263" t="s">
        <v>2008</v>
      </c>
      <c r="D263" t="s">
        <v>2007</v>
      </c>
      <c r="E263" t="s">
        <v>3752</v>
      </c>
      <c r="F263" s="23">
        <v>44346</v>
      </c>
      <c r="G263" s="1">
        <v>15277</v>
      </c>
    </row>
    <row r="264" spans="1:7">
      <c r="A264" t="s">
        <v>5707</v>
      </c>
      <c r="B264" t="s">
        <v>106</v>
      </c>
      <c r="C264" t="s">
        <v>1971</v>
      </c>
      <c r="D264" t="s">
        <v>5524</v>
      </c>
      <c r="E264" t="s">
        <v>3753</v>
      </c>
      <c r="F264" s="23">
        <v>44346</v>
      </c>
      <c r="G264" s="1">
        <v>18411</v>
      </c>
    </row>
    <row r="265" spans="1:7">
      <c r="A265" t="s">
        <v>5707</v>
      </c>
      <c r="B265" t="s">
        <v>233</v>
      </c>
      <c r="C265" t="s">
        <v>3192</v>
      </c>
      <c r="D265" t="s">
        <v>3191</v>
      </c>
      <c r="E265" t="s">
        <v>3754</v>
      </c>
      <c r="F265" s="23">
        <v>44864</v>
      </c>
      <c r="G265" s="1">
        <v>508</v>
      </c>
    </row>
    <row r="266" spans="1:7">
      <c r="A266" t="s">
        <v>5707</v>
      </c>
      <c r="B266" t="s">
        <v>94</v>
      </c>
      <c r="C266" t="s">
        <v>3485</v>
      </c>
      <c r="D266" t="s">
        <v>1636</v>
      </c>
      <c r="E266" t="s">
        <v>3755</v>
      </c>
      <c r="F266" s="23">
        <v>44927</v>
      </c>
      <c r="G266" s="1">
        <v>8189</v>
      </c>
    </row>
    <row r="267" spans="1:7">
      <c r="A267" t="s">
        <v>5707</v>
      </c>
      <c r="B267" t="s">
        <v>311</v>
      </c>
      <c r="C267" t="s">
        <v>2947</v>
      </c>
      <c r="D267" t="s">
        <v>2946</v>
      </c>
      <c r="E267" t="s">
        <v>3756</v>
      </c>
      <c r="F267" s="23">
        <v>44806</v>
      </c>
      <c r="G267" s="1">
        <v>2837</v>
      </c>
    </row>
    <row r="268" spans="1:7">
      <c r="A268" t="s">
        <v>5707</v>
      </c>
      <c r="B268" t="s">
        <v>94</v>
      </c>
      <c r="C268" t="s">
        <v>3487</v>
      </c>
      <c r="D268" t="s">
        <v>189</v>
      </c>
      <c r="E268" t="s">
        <v>3757</v>
      </c>
      <c r="F268" s="23">
        <v>45029</v>
      </c>
      <c r="G268" s="1">
        <v>9523</v>
      </c>
    </row>
    <row r="269" spans="1:7">
      <c r="A269" t="s">
        <v>5707</v>
      </c>
      <c r="B269" t="s">
        <v>94</v>
      </c>
      <c r="C269" t="s">
        <v>2153</v>
      </c>
      <c r="D269" t="s">
        <v>5525</v>
      </c>
      <c r="E269" t="s">
        <v>3758</v>
      </c>
      <c r="F269" s="23">
        <v>44346</v>
      </c>
      <c r="G269" s="1">
        <v>17253</v>
      </c>
    </row>
    <row r="270" spans="1:7">
      <c r="A270" t="s">
        <v>5707</v>
      </c>
      <c r="B270" t="s">
        <v>68</v>
      </c>
      <c r="C270" t="s">
        <v>1773</v>
      </c>
      <c r="D270" t="s">
        <v>1772</v>
      </c>
      <c r="E270" t="s">
        <v>3759</v>
      </c>
      <c r="F270" s="23">
        <v>44346</v>
      </c>
      <c r="G270" s="1">
        <v>17016</v>
      </c>
    </row>
    <row r="271" spans="1:7">
      <c r="A271" t="s">
        <v>5707</v>
      </c>
      <c r="B271" t="s">
        <v>106</v>
      </c>
      <c r="C271" t="s">
        <v>2747</v>
      </c>
      <c r="D271" t="s">
        <v>2746</v>
      </c>
      <c r="E271" t="s">
        <v>3760</v>
      </c>
      <c r="F271" s="23">
        <v>44423</v>
      </c>
      <c r="G271" s="1">
        <v>8285</v>
      </c>
    </row>
    <row r="272" spans="1:7">
      <c r="A272" t="s">
        <v>5707</v>
      </c>
      <c r="B272" t="s">
        <v>85</v>
      </c>
      <c r="C272" t="s">
        <v>781</v>
      </c>
      <c r="D272" t="s">
        <v>780</v>
      </c>
      <c r="E272" t="s">
        <v>3761</v>
      </c>
      <c r="F272" s="23">
        <v>44563</v>
      </c>
      <c r="G272" s="1">
        <v>4998</v>
      </c>
    </row>
    <row r="273" spans="1:7">
      <c r="A273" t="s">
        <v>5707</v>
      </c>
      <c r="B273" t="s">
        <v>97</v>
      </c>
      <c r="C273" t="s">
        <v>1167</v>
      </c>
      <c r="D273" t="s">
        <v>1166</v>
      </c>
      <c r="E273" t="s">
        <v>3762</v>
      </c>
      <c r="F273" s="23">
        <v>44346</v>
      </c>
      <c r="G273" s="1">
        <v>6017</v>
      </c>
    </row>
    <row r="274" spans="1:7">
      <c r="A274" t="s">
        <v>5707</v>
      </c>
      <c r="B274" t="s">
        <v>94</v>
      </c>
      <c r="C274" t="s">
        <v>1799</v>
      </c>
      <c r="D274" t="s">
        <v>1798</v>
      </c>
      <c r="E274" t="s">
        <v>3763</v>
      </c>
      <c r="F274" s="23">
        <v>44527</v>
      </c>
      <c r="G274" s="1">
        <v>10819</v>
      </c>
    </row>
    <row r="275" spans="1:7">
      <c r="A275" t="s">
        <v>5707</v>
      </c>
      <c r="B275" t="s">
        <v>140</v>
      </c>
      <c r="C275" t="s">
        <v>807</v>
      </c>
      <c r="D275" t="s">
        <v>5526</v>
      </c>
      <c r="E275" t="s">
        <v>3764</v>
      </c>
      <c r="F275" s="23">
        <v>44346</v>
      </c>
      <c r="G275" s="1">
        <v>4172</v>
      </c>
    </row>
    <row r="276" spans="1:7">
      <c r="A276" t="s">
        <v>5707</v>
      </c>
      <c r="B276" t="s">
        <v>298</v>
      </c>
      <c r="C276" t="s">
        <v>1854</v>
      </c>
      <c r="D276" t="s">
        <v>2109</v>
      </c>
      <c r="E276" t="s">
        <v>3765</v>
      </c>
      <c r="F276" s="23">
        <v>44910</v>
      </c>
      <c r="G276" s="1">
        <v>9926</v>
      </c>
    </row>
    <row r="277" spans="1:7">
      <c r="A277" t="s">
        <v>5707</v>
      </c>
      <c r="B277" t="s">
        <v>1223</v>
      </c>
      <c r="C277" t="s">
        <v>2818</v>
      </c>
      <c r="D277" t="s">
        <v>3109</v>
      </c>
      <c r="E277" t="s">
        <v>3766</v>
      </c>
      <c r="F277" s="23">
        <v>44346</v>
      </c>
      <c r="G277" s="1">
        <v>18913</v>
      </c>
    </row>
    <row r="278" spans="1:7">
      <c r="A278" t="s">
        <v>5707</v>
      </c>
      <c r="B278" t="s">
        <v>94</v>
      </c>
      <c r="C278" t="s">
        <v>3486</v>
      </c>
      <c r="D278" t="s">
        <v>1088</v>
      </c>
      <c r="E278" t="s">
        <v>3767</v>
      </c>
      <c r="F278" s="23">
        <v>44495</v>
      </c>
      <c r="G278" s="1">
        <v>4816</v>
      </c>
    </row>
    <row r="279" spans="1:7">
      <c r="A279" t="s">
        <v>5707</v>
      </c>
      <c r="B279" t="s">
        <v>233</v>
      </c>
      <c r="C279" t="s">
        <v>2090</v>
      </c>
      <c r="D279" t="s">
        <v>5527</v>
      </c>
      <c r="E279" t="s">
        <v>3768</v>
      </c>
      <c r="F279" s="23">
        <v>44346</v>
      </c>
      <c r="G279" s="1">
        <v>14986</v>
      </c>
    </row>
    <row r="280" spans="1:7">
      <c r="A280" t="s">
        <v>5707</v>
      </c>
      <c r="B280" t="s">
        <v>311</v>
      </c>
      <c r="C280" t="s">
        <v>745</v>
      </c>
      <c r="D280" t="s">
        <v>1865</v>
      </c>
      <c r="E280" t="s">
        <v>3769</v>
      </c>
      <c r="F280" s="23">
        <v>44346</v>
      </c>
      <c r="G280" s="1">
        <v>19489</v>
      </c>
    </row>
    <row r="281" spans="1:7">
      <c r="A281" t="s">
        <v>5707</v>
      </c>
      <c r="B281" t="s">
        <v>244</v>
      </c>
      <c r="C281" t="s">
        <v>1580</v>
      </c>
      <c r="D281" t="s">
        <v>1579</v>
      </c>
      <c r="E281" t="s">
        <v>3770</v>
      </c>
      <c r="F281" s="23">
        <v>44346</v>
      </c>
      <c r="G281" s="1">
        <v>19859</v>
      </c>
    </row>
    <row r="282" spans="1:7">
      <c r="A282" t="s">
        <v>5707</v>
      </c>
      <c r="B282" t="s">
        <v>43</v>
      </c>
      <c r="C282" t="s">
        <v>1127</v>
      </c>
      <c r="D282" t="s">
        <v>5528</v>
      </c>
      <c r="E282" t="s">
        <v>3771</v>
      </c>
      <c r="F282" s="23">
        <v>44493</v>
      </c>
      <c r="G282" s="1">
        <v>11456</v>
      </c>
    </row>
    <row r="283" spans="1:7">
      <c r="A283" t="s">
        <v>5707</v>
      </c>
      <c r="B283" t="s">
        <v>94</v>
      </c>
      <c r="C283" t="s">
        <v>1419</v>
      </c>
      <c r="D283" t="s">
        <v>1418</v>
      </c>
      <c r="E283" t="s">
        <v>3772</v>
      </c>
      <c r="F283" s="23">
        <v>44346</v>
      </c>
      <c r="G283" s="1">
        <v>19352</v>
      </c>
    </row>
    <row r="284" spans="1:7">
      <c r="A284" t="s">
        <v>5707</v>
      </c>
      <c r="B284" t="s">
        <v>37</v>
      </c>
      <c r="C284" t="s">
        <v>1702</v>
      </c>
      <c r="D284" t="s">
        <v>1701</v>
      </c>
      <c r="E284" t="s">
        <v>3773</v>
      </c>
      <c r="F284" s="23">
        <v>44346</v>
      </c>
      <c r="G284" s="1">
        <v>1860</v>
      </c>
    </row>
    <row r="285" spans="1:7">
      <c r="A285" t="s">
        <v>5707</v>
      </c>
      <c r="B285" t="s">
        <v>106</v>
      </c>
      <c r="C285" t="s">
        <v>2939</v>
      </c>
      <c r="D285" t="s">
        <v>2938</v>
      </c>
      <c r="E285" t="s">
        <v>3774</v>
      </c>
      <c r="F285" s="23">
        <v>44346</v>
      </c>
      <c r="G285" s="1">
        <v>19961</v>
      </c>
    </row>
    <row r="286" spans="1:7">
      <c r="A286" t="s">
        <v>5707</v>
      </c>
      <c r="B286" t="s">
        <v>140</v>
      </c>
      <c r="C286" t="s">
        <v>1489</v>
      </c>
      <c r="D286" t="s">
        <v>1488</v>
      </c>
      <c r="E286" t="s">
        <v>3775</v>
      </c>
      <c r="F286" s="23">
        <v>44346</v>
      </c>
      <c r="G286" s="1">
        <v>7729</v>
      </c>
    </row>
    <row r="287" spans="1:7">
      <c r="A287" t="s">
        <v>5707</v>
      </c>
      <c r="B287" t="s">
        <v>311</v>
      </c>
      <c r="C287" t="s">
        <v>2228</v>
      </c>
      <c r="D287" t="s">
        <v>2669</v>
      </c>
      <c r="E287" t="s">
        <v>3776</v>
      </c>
      <c r="F287" s="23">
        <v>44346</v>
      </c>
      <c r="G287" s="1">
        <v>8725</v>
      </c>
    </row>
    <row r="288" spans="1:7">
      <c r="A288" t="s">
        <v>5707</v>
      </c>
      <c r="B288" t="s">
        <v>37</v>
      </c>
      <c r="C288" t="s">
        <v>1197</v>
      </c>
      <c r="D288" t="s">
        <v>1196</v>
      </c>
      <c r="E288" t="s">
        <v>3777</v>
      </c>
      <c r="F288" s="23">
        <v>44346</v>
      </c>
      <c r="G288" s="1">
        <v>12545</v>
      </c>
    </row>
    <row r="289" spans="1:7">
      <c r="A289" t="s">
        <v>5707</v>
      </c>
      <c r="B289" t="s">
        <v>208</v>
      </c>
      <c r="C289" t="s">
        <v>868</v>
      </c>
      <c r="D289" t="s">
        <v>867</v>
      </c>
      <c r="E289" t="s">
        <v>3778</v>
      </c>
      <c r="F289" s="23">
        <v>44346</v>
      </c>
      <c r="G289" s="1">
        <v>4797</v>
      </c>
    </row>
    <row r="290" spans="1:7">
      <c r="A290" t="s">
        <v>5707</v>
      </c>
      <c r="B290" t="s">
        <v>94</v>
      </c>
      <c r="C290" t="s">
        <v>3063</v>
      </c>
      <c r="D290" t="s">
        <v>3062</v>
      </c>
      <c r="E290" t="s">
        <v>3779</v>
      </c>
      <c r="F290" s="23">
        <v>44346</v>
      </c>
      <c r="G290" s="1">
        <v>14943</v>
      </c>
    </row>
    <row r="291" spans="1:7">
      <c r="A291" t="s">
        <v>5707</v>
      </c>
      <c r="B291" t="s">
        <v>106</v>
      </c>
      <c r="C291" t="s">
        <v>1733</v>
      </c>
      <c r="D291" t="s">
        <v>1879</v>
      </c>
      <c r="E291" t="s">
        <v>3780</v>
      </c>
      <c r="F291" s="23">
        <v>44621</v>
      </c>
      <c r="G291" s="1">
        <v>7747</v>
      </c>
    </row>
    <row r="292" spans="1:7">
      <c r="A292" t="s">
        <v>5707</v>
      </c>
      <c r="B292" t="s">
        <v>106</v>
      </c>
      <c r="C292" t="s">
        <v>2587</v>
      </c>
      <c r="D292" t="s">
        <v>2586</v>
      </c>
      <c r="E292" t="s">
        <v>3781</v>
      </c>
      <c r="F292" s="23">
        <v>44346</v>
      </c>
      <c r="G292" s="1">
        <v>17384</v>
      </c>
    </row>
    <row r="293" spans="1:7">
      <c r="A293" t="s">
        <v>5707</v>
      </c>
      <c r="B293" t="s">
        <v>298</v>
      </c>
      <c r="C293" t="s">
        <v>1942</v>
      </c>
      <c r="D293" t="s">
        <v>1941</v>
      </c>
      <c r="E293" t="s">
        <v>3782</v>
      </c>
      <c r="F293" s="23">
        <v>44991</v>
      </c>
      <c r="G293" s="1">
        <v>9712</v>
      </c>
    </row>
    <row r="294" spans="1:7">
      <c r="A294" t="s">
        <v>5707</v>
      </c>
      <c r="B294" t="s">
        <v>94</v>
      </c>
      <c r="C294" t="s">
        <v>1909</v>
      </c>
      <c r="D294" t="s">
        <v>1908</v>
      </c>
      <c r="E294" t="s">
        <v>3783</v>
      </c>
      <c r="F294" s="23">
        <v>44346</v>
      </c>
      <c r="G294" s="1">
        <v>17346</v>
      </c>
    </row>
    <row r="295" spans="1:7">
      <c r="A295" t="s">
        <v>5707</v>
      </c>
      <c r="B295" t="s">
        <v>43</v>
      </c>
      <c r="C295" t="s">
        <v>1779</v>
      </c>
      <c r="D295" t="s">
        <v>1778</v>
      </c>
      <c r="E295" t="s">
        <v>3784</v>
      </c>
      <c r="F295" s="23">
        <v>44833</v>
      </c>
      <c r="G295" s="1">
        <v>1770</v>
      </c>
    </row>
    <row r="296" spans="1:7">
      <c r="A296" t="s">
        <v>5707</v>
      </c>
      <c r="B296" t="s">
        <v>94</v>
      </c>
      <c r="C296" t="s">
        <v>1887</v>
      </c>
      <c r="D296" t="s">
        <v>2583</v>
      </c>
      <c r="E296" t="s">
        <v>3785</v>
      </c>
      <c r="F296" s="23">
        <v>44346</v>
      </c>
      <c r="G296" s="1">
        <v>16729</v>
      </c>
    </row>
    <row r="297" spans="1:7">
      <c r="A297" t="s">
        <v>5707</v>
      </c>
      <c r="B297" t="s">
        <v>94</v>
      </c>
      <c r="C297" t="s">
        <v>2206</v>
      </c>
      <c r="D297" t="s">
        <v>2205</v>
      </c>
      <c r="E297" t="s">
        <v>3786</v>
      </c>
      <c r="F297" s="23">
        <v>44383</v>
      </c>
      <c r="G297" s="1">
        <v>9400</v>
      </c>
    </row>
    <row r="298" spans="1:7">
      <c r="A298" t="s">
        <v>5707</v>
      </c>
      <c r="B298" t="s">
        <v>311</v>
      </c>
      <c r="C298" t="s">
        <v>2493</v>
      </c>
      <c r="D298" t="s">
        <v>2492</v>
      </c>
      <c r="E298" t="s">
        <v>3787</v>
      </c>
      <c r="F298" s="23">
        <v>44603</v>
      </c>
      <c r="G298" s="1">
        <v>6039</v>
      </c>
    </row>
    <row r="299" spans="1:7">
      <c r="A299" t="s">
        <v>5707</v>
      </c>
      <c r="B299" t="s">
        <v>94</v>
      </c>
      <c r="C299" t="s">
        <v>3488</v>
      </c>
      <c r="D299" t="s">
        <v>175</v>
      </c>
      <c r="E299" t="s">
        <v>3788</v>
      </c>
      <c r="F299" s="23">
        <v>44346</v>
      </c>
      <c r="G299" s="1">
        <v>15485</v>
      </c>
    </row>
    <row r="300" spans="1:7">
      <c r="A300" t="s">
        <v>5707</v>
      </c>
      <c r="B300" t="s">
        <v>311</v>
      </c>
      <c r="C300" t="s">
        <v>2833</v>
      </c>
      <c r="D300" t="s">
        <v>2832</v>
      </c>
      <c r="E300" t="s">
        <v>3789</v>
      </c>
      <c r="F300" s="23">
        <v>44346</v>
      </c>
      <c r="G300" s="1">
        <v>9397</v>
      </c>
    </row>
    <row r="301" spans="1:7">
      <c r="A301" t="s">
        <v>5707</v>
      </c>
      <c r="B301" t="s">
        <v>135</v>
      </c>
      <c r="C301" t="s">
        <v>1415</v>
      </c>
      <c r="D301" t="s">
        <v>1414</v>
      </c>
      <c r="E301" t="s">
        <v>3790</v>
      </c>
      <c r="F301" s="23">
        <v>44346</v>
      </c>
      <c r="G301" s="1">
        <v>18870</v>
      </c>
    </row>
    <row r="302" spans="1:7">
      <c r="A302" t="s">
        <v>5707</v>
      </c>
      <c r="B302" t="s">
        <v>208</v>
      </c>
      <c r="C302" t="s">
        <v>1354</v>
      </c>
      <c r="D302" t="s">
        <v>1353</v>
      </c>
      <c r="E302" t="s">
        <v>3791</v>
      </c>
      <c r="F302" s="23">
        <v>44346</v>
      </c>
      <c r="G302" s="1">
        <v>13593</v>
      </c>
    </row>
    <row r="303" spans="1:7">
      <c r="A303" t="s">
        <v>5707</v>
      </c>
      <c r="B303" t="s">
        <v>106</v>
      </c>
      <c r="C303" t="s">
        <v>3447</v>
      </c>
      <c r="D303" t="s">
        <v>3446</v>
      </c>
      <c r="E303" t="s">
        <v>3792</v>
      </c>
      <c r="F303" s="23">
        <v>44346</v>
      </c>
      <c r="G303" s="1">
        <v>18095</v>
      </c>
    </row>
    <row r="304" spans="1:7">
      <c r="A304" t="s">
        <v>5707</v>
      </c>
      <c r="B304" t="s">
        <v>311</v>
      </c>
      <c r="C304" t="s">
        <v>794</v>
      </c>
      <c r="D304" t="s">
        <v>793</v>
      </c>
      <c r="E304" t="s">
        <v>3793</v>
      </c>
      <c r="F304" s="23">
        <v>44346</v>
      </c>
      <c r="G304" s="1">
        <v>9956</v>
      </c>
    </row>
    <row r="305" spans="1:7">
      <c r="A305" t="s">
        <v>5707</v>
      </c>
      <c r="B305" t="s">
        <v>2062</v>
      </c>
      <c r="C305" t="s">
        <v>3108</v>
      </c>
      <c r="D305" t="s">
        <v>3107</v>
      </c>
      <c r="E305" t="s">
        <v>3794</v>
      </c>
      <c r="F305" s="23">
        <v>44564</v>
      </c>
      <c r="G305" s="1">
        <v>1646</v>
      </c>
    </row>
    <row r="306" spans="1:7">
      <c r="A306" t="s">
        <v>5707</v>
      </c>
      <c r="B306" t="s">
        <v>94</v>
      </c>
      <c r="C306" t="s">
        <v>2036</v>
      </c>
      <c r="D306" t="s">
        <v>2035</v>
      </c>
      <c r="E306" t="s">
        <v>3795</v>
      </c>
      <c r="F306" s="23">
        <v>44346</v>
      </c>
      <c r="G306" s="1">
        <v>14082</v>
      </c>
    </row>
    <row r="307" spans="1:7">
      <c r="A307" t="s">
        <v>5707</v>
      </c>
      <c r="B307" t="s">
        <v>311</v>
      </c>
      <c r="C307" t="s">
        <v>2048</v>
      </c>
      <c r="D307" t="s">
        <v>2047</v>
      </c>
      <c r="E307" t="s">
        <v>3796</v>
      </c>
      <c r="F307" s="23">
        <v>44552</v>
      </c>
      <c r="G307" s="1">
        <v>5122</v>
      </c>
    </row>
    <row r="308" spans="1:7">
      <c r="A308" t="s">
        <v>5707</v>
      </c>
      <c r="B308" t="s">
        <v>94</v>
      </c>
      <c r="C308" t="s">
        <v>2000</v>
      </c>
      <c r="D308" t="s">
        <v>1999</v>
      </c>
      <c r="E308" t="s">
        <v>3797</v>
      </c>
      <c r="F308" s="23">
        <v>44675</v>
      </c>
      <c r="G308" s="1">
        <v>5398</v>
      </c>
    </row>
    <row r="309" spans="1:7">
      <c r="A309" t="s">
        <v>5707</v>
      </c>
      <c r="B309" t="s">
        <v>37</v>
      </c>
      <c r="C309" t="s">
        <v>783</v>
      </c>
      <c r="D309" t="s">
        <v>782</v>
      </c>
      <c r="E309" t="s">
        <v>3798</v>
      </c>
      <c r="F309" s="23">
        <v>44346</v>
      </c>
      <c r="G309" s="1">
        <v>13052</v>
      </c>
    </row>
    <row r="310" spans="1:7">
      <c r="A310" t="s">
        <v>5707</v>
      </c>
      <c r="B310" t="s">
        <v>94</v>
      </c>
      <c r="C310" t="s">
        <v>2271</v>
      </c>
      <c r="D310" t="s">
        <v>2270</v>
      </c>
      <c r="E310" t="s">
        <v>3799</v>
      </c>
      <c r="F310" s="23">
        <v>44346</v>
      </c>
      <c r="G310" s="1">
        <v>11001</v>
      </c>
    </row>
    <row r="311" spans="1:7">
      <c r="A311" t="s">
        <v>5707</v>
      </c>
      <c r="B311" t="s">
        <v>37</v>
      </c>
      <c r="C311" t="s">
        <v>1528</v>
      </c>
      <c r="D311" t="s">
        <v>1527</v>
      </c>
      <c r="E311" t="s">
        <v>3800</v>
      </c>
      <c r="F311" s="23">
        <v>44346</v>
      </c>
      <c r="G311" s="1">
        <v>2247</v>
      </c>
    </row>
    <row r="312" spans="1:7">
      <c r="A312" t="s">
        <v>5707</v>
      </c>
      <c r="B312" t="s">
        <v>106</v>
      </c>
      <c r="C312" t="s">
        <v>1887</v>
      </c>
      <c r="D312" t="s">
        <v>5529</v>
      </c>
      <c r="E312" t="s">
        <v>3801</v>
      </c>
      <c r="F312" s="23">
        <v>44346</v>
      </c>
      <c r="G312" s="1">
        <v>15749</v>
      </c>
    </row>
    <row r="313" spans="1:7">
      <c r="A313" t="s">
        <v>5707</v>
      </c>
      <c r="B313" t="s">
        <v>94</v>
      </c>
      <c r="C313" t="s">
        <v>3486</v>
      </c>
      <c r="D313" t="s">
        <v>199</v>
      </c>
      <c r="E313" t="s">
        <v>3802</v>
      </c>
      <c r="F313" s="23">
        <v>44955</v>
      </c>
      <c r="G313" s="1">
        <v>10667</v>
      </c>
    </row>
    <row r="314" spans="1:7">
      <c r="A314" t="s">
        <v>5707</v>
      </c>
      <c r="B314" t="s">
        <v>43</v>
      </c>
      <c r="C314" t="s">
        <v>1057</v>
      </c>
      <c r="D314" t="s">
        <v>1056</v>
      </c>
      <c r="E314" t="s">
        <v>3803</v>
      </c>
      <c r="F314" s="23">
        <v>44346</v>
      </c>
      <c r="G314" s="1">
        <v>10605</v>
      </c>
    </row>
    <row r="315" spans="1:7">
      <c r="A315" t="s">
        <v>5708</v>
      </c>
      <c r="B315" t="s">
        <v>94</v>
      </c>
      <c r="C315" t="s">
        <v>3368</v>
      </c>
      <c r="D315" t="s">
        <v>3367</v>
      </c>
      <c r="E315" t="s">
        <v>3804</v>
      </c>
      <c r="F315" s="23">
        <v>44809</v>
      </c>
      <c r="G315" s="1">
        <v>3991</v>
      </c>
    </row>
    <row r="316" spans="1:7">
      <c r="A316" t="s">
        <v>5708</v>
      </c>
      <c r="B316" t="s">
        <v>106</v>
      </c>
      <c r="C316" t="s">
        <v>3442</v>
      </c>
      <c r="D316" t="s">
        <v>3441</v>
      </c>
      <c r="E316" t="s">
        <v>3805</v>
      </c>
      <c r="F316" s="23">
        <v>44346</v>
      </c>
      <c r="G316" s="1">
        <v>7062</v>
      </c>
    </row>
    <row r="317" spans="1:7">
      <c r="A317" t="s">
        <v>5708</v>
      </c>
      <c r="B317" t="s">
        <v>94</v>
      </c>
      <c r="C317" t="s">
        <v>2187</v>
      </c>
      <c r="D317" t="s">
        <v>2186</v>
      </c>
      <c r="E317" t="s">
        <v>3806</v>
      </c>
      <c r="F317" s="23">
        <v>44431</v>
      </c>
      <c r="G317" s="1">
        <v>7806</v>
      </c>
    </row>
    <row r="318" spans="1:7">
      <c r="A318" t="s">
        <v>5708</v>
      </c>
      <c r="B318" t="s">
        <v>1006</v>
      </c>
      <c r="C318" t="s">
        <v>1552</v>
      </c>
      <c r="D318" t="s">
        <v>1551</v>
      </c>
      <c r="E318" t="s">
        <v>3807</v>
      </c>
      <c r="F318" s="23">
        <v>44596</v>
      </c>
      <c r="G318" s="1">
        <v>7657</v>
      </c>
    </row>
    <row r="319" spans="1:7">
      <c r="A319" t="s">
        <v>5708</v>
      </c>
      <c r="B319" t="s">
        <v>106</v>
      </c>
      <c r="C319" t="s">
        <v>2380</v>
      </c>
      <c r="D319" t="s">
        <v>2379</v>
      </c>
      <c r="E319" t="s">
        <v>3808</v>
      </c>
      <c r="F319" s="23">
        <v>44521</v>
      </c>
      <c r="G319" s="1">
        <v>7045</v>
      </c>
    </row>
    <row r="320" spans="1:7">
      <c r="A320" t="s">
        <v>5708</v>
      </c>
      <c r="B320" t="s">
        <v>94</v>
      </c>
      <c r="C320" t="s">
        <v>2121</v>
      </c>
      <c r="D320" t="s">
        <v>2120</v>
      </c>
      <c r="E320" t="s">
        <v>3809</v>
      </c>
      <c r="F320" s="23">
        <v>44346</v>
      </c>
      <c r="G320" s="1">
        <v>3523</v>
      </c>
    </row>
    <row r="321" spans="1:7">
      <c r="A321" t="s">
        <v>5708</v>
      </c>
      <c r="B321" t="s">
        <v>311</v>
      </c>
      <c r="C321" t="s">
        <v>1887</v>
      </c>
      <c r="D321" t="s">
        <v>3222</v>
      </c>
      <c r="E321" t="s">
        <v>3810</v>
      </c>
      <c r="F321" s="23">
        <v>44346</v>
      </c>
      <c r="G321" s="1">
        <v>13019</v>
      </c>
    </row>
    <row r="322" spans="1:7">
      <c r="A322" t="s">
        <v>5708</v>
      </c>
      <c r="B322" t="s">
        <v>298</v>
      </c>
      <c r="C322" t="s">
        <v>1674</v>
      </c>
      <c r="D322" t="s">
        <v>3443</v>
      </c>
      <c r="E322" t="s">
        <v>3811</v>
      </c>
      <c r="F322" s="23">
        <v>44908</v>
      </c>
      <c r="G322" s="1">
        <v>10727</v>
      </c>
    </row>
    <row r="323" spans="1:7">
      <c r="A323" t="s">
        <v>5708</v>
      </c>
      <c r="B323" t="s">
        <v>311</v>
      </c>
      <c r="C323" t="s">
        <v>2531</v>
      </c>
      <c r="D323" t="s">
        <v>2530</v>
      </c>
      <c r="E323" t="s">
        <v>3812</v>
      </c>
      <c r="F323" s="23">
        <v>44346</v>
      </c>
      <c r="G323" s="1">
        <v>13270</v>
      </c>
    </row>
    <row r="324" spans="1:7">
      <c r="A324" t="s">
        <v>5708</v>
      </c>
      <c r="B324" t="s">
        <v>311</v>
      </c>
      <c r="C324" t="s">
        <v>2984</v>
      </c>
      <c r="D324" t="s">
        <v>3046</v>
      </c>
      <c r="E324" t="s">
        <v>3813</v>
      </c>
      <c r="F324" s="23">
        <v>44346</v>
      </c>
      <c r="G324" s="1">
        <v>11856</v>
      </c>
    </row>
    <row r="325" spans="1:7">
      <c r="A325" t="s">
        <v>5708</v>
      </c>
      <c r="B325" t="s">
        <v>1223</v>
      </c>
      <c r="C325" t="s">
        <v>1370</v>
      </c>
      <c r="D325" t="s">
        <v>3138</v>
      </c>
      <c r="E325" t="s">
        <v>3814</v>
      </c>
      <c r="F325" s="23">
        <v>44491</v>
      </c>
      <c r="G325" s="1">
        <v>11302</v>
      </c>
    </row>
    <row r="326" spans="1:7">
      <c r="A326" t="s">
        <v>5708</v>
      </c>
      <c r="B326" t="s">
        <v>106</v>
      </c>
      <c r="C326" t="s">
        <v>2568</v>
      </c>
      <c r="D326" t="s">
        <v>2567</v>
      </c>
      <c r="E326" t="s">
        <v>3815</v>
      </c>
      <c r="F326" s="23">
        <v>44346</v>
      </c>
      <c r="G326" s="1">
        <v>9492</v>
      </c>
    </row>
    <row r="327" spans="1:7">
      <c r="A327" t="s">
        <v>5708</v>
      </c>
      <c r="B327" t="s">
        <v>298</v>
      </c>
      <c r="C327" t="s">
        <v>2887</v>
      </c>
      <c r="D327" t="s">
        <v>2886</v>
      </c>
      <c r="E327" t="s">
        <v>3816</v>
      </c>
      <c r="F327" s="23">
        <v>45033</v>
      </c>
      <c r="G327" s="1">
        <v>8507</v>
      </c>
    </row>
    <row r="328" spans="1:7">
      <c r="A328" t="s">
        <v>5708</v>
      </c>
      <c r="B328" t="s">
        <v>94</v>
      </c>
      <c r="C328" t="s">
        <v>3486</v>
      </c>
      <c r="D328" t="s">
        <v>350</v>
      </c>
      <c r="E328" t="s">
        <v>3817</v>
      </c>
      <c r="F328" s="23">
        <v>44346</v>
      </c>
      <c r="G328" s="1">
        <v>8153</v>
      </c>
    </row>
    <row r="329" spans="1:7">
      <c r="A329" t="s">
        <v>5708</v>
      </c>
      <c r="B329" t="s">
        <v>94</v>
      </c>
      <c r="C329" t="s">
        <v>1931</v>
      </c>
      <c r="D329" t="s">
        <v>1930</v>
      </c>
      <c r="E329" t="s">
        <v>3818</v>
      </c>
      <c r="F329" s="23">
        <v>44346</v>
      </c>
      <c r="G329" s="1">
        <v>16184</v>
      </c>
    </row>
    <row r="330" spans="1:7">
      <c r="A330" t="s">
        <v>5708</v>
      </c>
      <c r="B330" t="s">
        <v>106</v>
      </c>
      <c r="C330" t="s">
        <v>2879</v>
      </c>
      <c r="D330" t="s">
        <v>2878</v>
      </c>
      <c r="E330" t="s">
        <v>3819</v>
      </c>
      <c r="F330" s="23">
        <v>44346</v>
      </c>
      <c r="G330" s="1">
        <v>2077</v>
      </c>
    </row>
    <row r="331" spans="1:7">
      <c r="A331" t="s">
        <v>5708</v>
      </c>
      <c r="B331" t="s">
        <v>311</v>
      </c>
      <c r="C331" t="s">
        <v>1169</v>
      </c>
      <c r="D331" t="s">
        <v>2786</v>
      </c>
      <c r="E331" t="s">
        <v>3820</v>
      </c>
      <c r="F331" s="23">
        <v>44346</v>
      </c>
      <c r="G331" s="1">
        <v>19186</v>
      </c>
    </row>
    <row r="332" spans="1:7">
      <c r="A332" t="s">
        <v>5708</v>
      </c>
      <c r="B332" t="s">
        <v>1323</v>
      </c>
      <c r="C332" t="s">
        <v>1322</v>
      </c>
      <c r="D332" t="s">
        <v>1508</v>
      </c>
      <c r="E332" t="s">
        <v>3821</v>
      </c>
      <c r="F332" s="23">
        <v>44346</v>
      </c>
      <c r="G332" s="1">
        <v>13769</v>
      </c>
    </row>
    <row r="333" spans="1:7">
      <c r="A333" t="s">
        <v>5708</v>
      </c>
      <c r="B333" t="s">
        <v>106</v>
      </c>
      <c r="C333" t="s">
        <v>2383</v>
      </c>
      <c r="D333" t="s">
        <v>5530</v>
      </c>
      <c r="E333" t="s">
        <v>3822</v>
      </c>
      <c r="F333" s="23">
        <v>44534</v>
      </c>
      <c r="G333" s="1">
        <v>6814</v>
      </c>
    </row>
    <row r="334" spans="1:7">
      <c r="A334" t="s">
        <v>5708</v>
      </c>
      <c r="B334" t="s">
        <v>94</v>
      </c>
      <c r="C334" t="s">
        <v>3054</v>
      </c>
      <c r="D334" t="s">
        <v>3386</v>
      </c>
      <c r="E334" t="s">
        <v>3823</v>
      </c>
      <c r="F334" s="23">
        <v>44346</v>
      </c>
      <c r="G334" s="1">
        <v>8038</v>
      </c>
    </row>
    <row r="335" spans="1:7">
      <c r="A335" t="s">
        <v>5708</v>
      </c>
      <c r="B335" t="s">
        <v>233</v>
      </c>
      <c r="C335" t="s">
        <v>2393</v>
      </c>
      <c r="D335" t="s">
        <v>2392</v>
      </c>
      <c r="E335" t="s">
        <v>3824</v>
      </c>
      <c r="F335" s="23">
        <v>44346</v>
      </c>
      <c r="G335" s="1">
        <v>4830</v>
      </c>
    </row>
    <row r="336" spans="1:7">
      <c r="A336" t="s">
        <v>5708</v>
      </c>
      <c r="B336" t="s">
        <v>40</v>
      </c>
      <c r="C336" t="s">
        <v>1751</v>
      </c>
      <c r="D336" t="s">
        <v>1750</v>
      </c>
      <c r="E336" t="s">
        <v>3825</v>
      </c>
      <c r="F336" s="23">
        <v>44770</v>
      </c>
      <c r="G336" s="1">
        <v>9090</v>
      </c>
    </row>
    <row r="337" spans="1:7">
      <c r="A337" t="s">
        <v>5708</v>
      </c>
      <c r="B337" t="s">
        <v>546</v>
      </c>
      <c r="C337" t="s">
        <v>545</v>
      </c>
      <c r="D337" t="s">
        <v>544</v>
      </c>
      <c r="E337" t="s">
        <v>3826</v>
      </c>
      <c r="F337" s="23">
        <v>44346</v>
      </c>
      <c r="G337" s="1">
        <v>17243</v>
      </c>
    </row>
    <row r="338" spans="1:7">
      <c r="A338" t="s">
        <v>5708</v>
      </c>
      <c r="B338" t="s">
        <v>37</v>
      </c>
      <c r="C338" t="s">
        <v>198</v>
      </c>
      <c r="D338" t="s">
        <v>197</v>
      </c>
      <c r="E338" t="s">
        <v>3827</v>
      </c>
      <c r="F338" s="23">
        <v>44979</v>
      </c>
      <c r="G338" s="1">
        <v>7702</v>
      </c>
    </row>
    <row r="339" spans="1:7">
      <c r="A339" t="s">
        <v>5708</v>
      </c>
      <c r="B339" t="s">
        <v>311</v>
      </c>
      <c r="C339" t="s">
        <v>378</v>
      </c>
      <c r="D339" t="s">
        <v>377</v>
      </c>
      <c r="E339" t="s">
        <v>3828</v>
      </c>
      <c r="F339" s="23">
        <v>44346</v>
      </c>
      <c r="G339" s="1">
        <v>7299</v>
      </c>
    </row>
    <row r="340" spans="1:7">
      <c r="A340" t="s">
        <v>5708</v>
      </c>
      <c r="B340" t="s">
        <v>97</v>
      </c>
      <c r="C340" t="s">
        <v>627</v>
      </c>
      <c r="D340" t="s">
        <v>5531</v>
      </c>
      <c r="E340" t="s">
        <v>3829</v>
      </c>
      <c r="F340" s="23">
        <v>44346</v>
      </c>
      <c r="G340" s="1">
        <v>12939</v>
      </c>
    </row>
    <row r="341" spans="1:7">
      <c r="A341" t="s">
        <v>5708</v>
      </c>
      <c r="B341" t="s">
        <v>94</v>
      </c>
      <c r="C341" t="s">
        <v>3486</v>
      </c>
      <c r="D341" t="s">
        <v>1715</v>
      </c>
      <c r="E341" t="s">
        <v>3830</v>
      </c>
      <c r="F341" s="23">
        <v>44346</v>
      </c>
      <c r="G341" s="1">
        <v>13057</v>
      </c>
    </row>
    <row r="342" spans="1:7">
      <c r="A342" t="s">
        <v>5708</v>
      </c>
      <c r="B342" t="s">
        <v>298</v>
      </c>
      <c r="C342" t="s">
        <v>2824</v>
      </c>
      <c r="D342" t="s">
        <v>3034</v>
      </c>
      <c r="E342" t="s">
        <v>3831</v>
      </c>
      <c r="F342" s="23">
        <v>44346</v>
      </c>
      <c r="G342" s="1">
        <v>13672</v>
      </c>
    </row>
    <row r="343" spans="1:7">
      <c r="A343" t="s">
        <v>5708</v>
      </c>
      <c r="B343" t="s">
        <v>156</v>
      </c>
      <c r="C343" t="s">
        <v>155</v>
      </c>
      <c r="D343" t="s">
        <v>154</v>
      </c>
      <c r="E343" t="s">
        <v>3832</v>
      </c>
      <c r="F343" s="23">
        <v>44415</v>
      </c>
      <c r="G343" s="1">
        <v>4547</v>
      </c>
    </row>
    <row r="344" spans="1:7">
      <c r="A344" t="s">
        <v>5708</v>
      </c>
      <c r="B344" t="s">
        <v>298</v>
      </c>
      <c r="C344" t="s">
        <v>317</v>
      </c>
      <c r="D344" t="s">
        <v>2555</v>
      </c>
      <c r="E344" t="s">
        <v>3833</v>
      </c>
      <c r="F344" s="23">
        <v>44508</v>
      </c>
      <c r="G344" s="1">
        <v>6366</v>
      </c>
    </row>
    <row r="345" spans="1:7">
      <c r="A345" t="s">
        <v>5708</v>
      </c>
      <c r="B345" t="s">
        <v>94</v>
      </c>
      <c r="C345" t="s">
        <v>3487</v>
      </c>
      <c r="D345" t="s">
        <v>1630</v>
      </c>
      <c r="E345" t="s">
        <v>3834</v>
      </c>
      <c r="F345" s="23">
        <v>44346</v>
      </c>
      <c r="G345" s="1">
        <v>19529</v>
      </c>
    </row>
    <row r="346" spans="1:7">
      <c r="A346" t="s">
        <v>5708</v>
      </c>
      <c r="B346" t="s">
        <v>94</v>
      </c>
      <c r="C346" t="s">
        <v>3243</v>
      </c>
      <c r="D346" t="s">
        <v>3242</v>
      </c>
      <c r="E346" t="s">
        <v>3835</v>
      </c>
      <c r="F346" s="23">
        <v>44346</v>
      </c>
      <c r="G346" s="1">
        <v>18931</v>
      </c>
    </row>
    <row r="347" spans="1:7">
      <c r="A347" t="s">
        <v>5708</v>
      </c>
      <c r="B347" t="s">
        <v>311</v>
      </c>
      <c r="C347" t="s">
        <v>2649</v>
      </c>
      <c r="D347" t="s">
        <v>2648</v>
      </c>
      <c r="E347" t="s">
        <v>3836</v>
      </c>
      <c r="F347" s="23">
        <v>44792</v>
      </c>
      <c r="G347" s="1">
        <v>11591</v>
      </c>
    </row>
    <row r="348" spans="1:7">
      <c r="A348" t="s">
        <v>5708</v>
      </c>
      <c r="B348" t="s">
        <v>94</v>
      </c>
      <c r="C348" t="s">
        <v>1887</v>
      </c>
      <c r="D348" t="s">
        <v>2019</v>
      </c>
      <c r="E348" t="s">
        <v>3837</v>
      </c>
      <c r="F348" s="23">
        <v>44801</v>
      </c>
      <c r="G348" s="1">
        <v>2883</v>
      </c>
    </row>
    <row r="349" spans="1:7">
      <c r="A349" t="s">
        <v>5708</v>
      </c>
      <c r="B349" t="s">
        <v>85</v>
      </c>
      <c r="C349" t="s">
        <v>990</v>
      </c>
      <c r="D349" t="s">
        <v>989</v>
      </c>
      <c r="E349" t="s">
        <v>3838</v>
      </c>
      <c r="F349" s="23">
        <v>44941</v>
      </c>
      <c r="G349" s="1">
        <v>11729</v>
      </c>
    </row>
    <row r="350" spans="1:7">
      <c r="A350" t="s">
        <v>5708</v>
      </c>
      <c r="B350" t="s">
        <v>1006</v>
      </c>
      <c r="C350" t="s">
        <v>1570</v>
      </c>
      <c r="D350" t="s">
        <v>1569</v>
      </c>
      <c r="E350" t="s">
        <v>3839</v>
      </c>
      <c r="F350" s="23">
        <v>44346</v>
      </c>
      <c r="G350" s="1">
        <v>19011</v>
      </c>
    </row>
    <row r="351" spans="1:7">
      <c r="A351" t="s">
        <v>5708</v>
      </c>
      <c r="B351" t="s">
        <v>37</v>
      </c>
      <c r="C351" t="s">
        <v>1048</v>
      </c>
      <c r="D351" t="s">
        <v>5532</v>
      </c>
      <c r="E351" t="s">
        <v>3840</v>
      </c>
      <c r="F351" s="23">
        <v>44666</v>
      </c>
      <c r="G351" s="1">
        <v>6707</v>
      </c>
    </row>
    <row r="352" spans="1:7">
      <c r="A352" t="s">
        <v>5708</v>
      </c>
      <c r="B352" t="s">
        <v>40</v>
      </c>
      <c r="C352" t="s">
        <v>39</v>
      </c>
      <c r="D352" t="s">
        <v>38</v>
      </c>
      <c r="E352" t="s">
        <v>3841</v>
      </c>
      <c r="F352" s="23">
        <v>44399</v>
      </c>
      <c r="G352" s="1">
        <v>4665</v>
      </c>
    </row>
    <row r="353" spans="1:7">
      <c r="A353" t="s">
        <v>5709</v>
      </c>
      <c r="B353" t="s">
        <v>97</v>
      </c>
      <c r="C353" t="s">
        <v>928</v>
      </c>
      <c r="D353" t="s">
        <v>5533</v>
      </c>
      <c r="E353" t="s">
        <v>3842</v>
      </c>
      <c r="F353" s="23">
        <v>44346</v>
      </c>
      <c r="G353" s="1">
        <v>16124</v>
      </c>
    </row>
    <row r="354" spans="1:7">
      <c r="A354" t="s">
        <v>5709</v>
      </c>
      <c r="B354" t="s">
        <v>208</v>
      </c>
      <c r="C354" t="s">
        <v>750</v>
      </c>
      <c r="D354" t="s">
        <v>749</v>
      </c>
      <c r="E354" t="s">
        <v>3843</v>
      </c>
      <c r="F354" s="23">
        <v>44346</v>
      </c>
      <c r="G354" s="1">
        <v>15553</v>
      </c>
    </row>
    <row r="355" spans="1:7">
      <c r="A355" t="s">
        <v>5709</v>
      </c>
      <c r="B355" t="s">
        <v>106</v>
      </c>
      <c r="C355" t="s">
        <v>3048</v>
      </c>
      <c r="D355" t="s">
        <v>3047</v>
      </c>
      <c r="E355" t="s">
        <v>3844</v>
      </c>
      <c r="F355" s="23">
        <v>44346</v>
      </c>
      <c r="G355" s="1">
        <v>7146</v>
      </c>
    </row>
    <row r="356" spans="1:7">
      <c r="A356" t="s">
        <v>5709</v>
      </c>
      <c r="B356" t="s">
        <v>208</v>
      </c>
      <c r="C356" t="s">
        <v>1258</v>
      </c>
      <c r="D356" t="s">
        <v>1257</v>
      </c>
      <c r="E356" t="s">
        <v>3845</v>
      </c>
      <c r="F356" s="23">
        <v>44364</v>
      </c>
      <c r="G356" s="1">
        <v>1609</v>
      </c>
    </row>
    <row r="357" spans="1:7">
      <c r="A357" t="s">
        <v>5709</v>
      </c>
      <c r="B357" t="s">
        <v>202</v>
      </c>
      <c r="C357" t="s">
        <v>1033</v>
      </c>
      <c r="D357" t="s">
        <v>1032</v>
      </c>
      <c r="E357" t="s">
        <v>3846</v>
      </c>
      <c r="F357" s="23">
        <v>44346</v>
      </c>
      <c r="G357" s="1">
        <v>14715</v>
      </c>
    </row>
    <row r="358" spans="1:7">
      <c r="A358" t="s">
        <v>5709</v>
      </c>
      <c r="B358" t="s">
        <v>208</v>
      </c>
      <c r="C358" t="s">
        <v>662</v>
      </c>
      <c r="D358" t="s">
        <v>661</v>
      </c>
      <c r="E358" t="s">
        <v>3847</v>
      </c>
      <c r="F358" s="23">
        <v>44928</v>
      </c>
      <c r="G358" s="1">
        <v>4541</v>
      </c>
    </row>
    <row r="359" spans="1:7">
      <c r="A359" t="s">
        <v>5709</v>
      </c>
      <c r="B359" t="s">
        <v>233</v>
      </c>
      <c r="C359" t="s">
        <v>2982</v>
      </c>
      <c r="D359" t="s">
        <v>2981</v>
      </c>
      <c r="E359" t="s">
        <v>3848</v>
      </c>
      <c r="F359" s="23">
        <v>44346</v>
      </c>
      <c r="G359" s="1">
        <v>6043</v>
      </c>
    </row>
    <row r="360" spans="1:7">
      <c r="A360" t="s">
        <v>5709</v>
      </c>
      <c r="B360" t="s">
        <v>94</v>
      </c>
      <c r="C360" t="s">
        <v>3486</v>
      </c>
      <c r="D360" t="s">
        <v>1358</v>
      </c>
      <c r="E360" t="s">
        <v>3849</v>
      </c>
      <c r="F360" s="23">
        <v>44643</v>
      </c>
      <c r="G360" s="1">
        <v>4669</v>
      </c>
    </row>
    <row r="361" spans="1:7">
      <c r="A361" t="s">
        <v>5709</v>
      </c>
      <c r="B361" t="s">
        <v>298</v>
      </c>
      <c r="C361" t="s">
        <v>365</v>
      </c>
      <c r="D361" t="s">
        <v>2071</v>
      </c>
      <c r="E361" t="s">
        <v>3850</v>
      </c>
      <c r="F361" s="23">
        <v>44743</v>
      </c>
      <c r="G361" s="1">
        <v>2975</v>
      </c>
    </row>
    <row r="362" spans="1:7">
      <c r="A362" t="s">
        <v>5709</v>
      </c>
      <c r="B362" t="s">
        <v>94</v>
      </c>
      <c r="C362" t="s">
        <v>1887</v>
      </c>
      <c r="D362" t="s">
        <v>2864</v>
      </c>
      <c r="E362" t="s">
        <v>3851</v>
      </c>
      <c r="F362" s="23">
        <v>44346</v>
      </c>
      <c r="G362" s="1">
        <v>1480</v>
      </c>
    </row>
    <row r="363" spans="1:7">
      <c r="A363" t="s">
        <v>5709</v>
      </c>
      <c r="B363" t="s">
        <v>779</v>
      </c>
      <c r="C363" t="s">
        <v>778</v>
      </c>
      <c r="D363" t="s">
        <v>777</v>
      </c>
      <c r="E363" t="s">
        <v>3852</v>
      </c>
      <c r="F363" s="23">
        <v>44916</v>
      </c>
      <c r="G363" s="1">
        <v>7313</v>
      </c>
    </row>
    <row r="364" spans="1:7">
      <c r="A364" t="s">
        <v>5709</v>
      </c>
      <c r="B364" t="s">
        <v>135</v>
      </c>
      <c r="C364" t="s">
        <v>1165</v>
      </c>
      <c r="D364" t="s">
        <v>5534</v>
      </c>
      <c r="E364" t="s">
        <v>3853</v>
      </c>
      <c r="F364" s="23">
        <v>44504</v>
      </c>
      <c r="G364" s="1">
        <v>3639</v>
      </c>
    </row>
    <row r="365" spans="1:7">
      <c r="A365" t="s">
        <v>5709</v>
      </c>
      <c r="B365" t="s">
        <v>233</v>
      </c>
      <c r="C365" t="s">
        <v>1922</v>
      </c>
      <c r="D365" t="s">
        <v>3405</v>
      </c>
      <c r="E365" t="s">
        <v>3854</v>
      </c>
      <c r="F365" s="23">
        <v>44589</v>
      </c>
      <c r="G365" s="1">
        <v>11292</v>
      </c>
    </row>
    <row r="366" spans="1:7">
      <c r="A366" t="s">
        <v>5709</v>
      </c>
      <c r="B366" t="s">
        <v>233</v>
      </c>
      <c r="C366" t="s">
        <v>880</v>
      </c>
      <c r="D366" t="s">
        <v>3310</v>
      </c>
      <c r="E366" t="s">
        <v>3855</v>
      </c>
      <c r="F366" s="23">
        <v>44346</v>
      </c>
      <c r="G366" s="1">
        <v>15003</v>
      </c>
    </row>
    <row r="367" spans="1:7">
      <c r="A367" t="s">
        <v>5709</v>
      </c>
      <c r="B367" t="s">
        <v>298</v>
      </c>
      <c r="C367" t="s">
        <v>2210</v>
      </c>
      <c r="D367" t="s">
        <v>2209</v>
      </c>
      <c r="E367" t="s">
        <v>3856</v>
      </c>
      <c r="F367" s="23">
        <v>44346</v>
      </c>
      <c r="G367" s="1">
        <v>12508</v>
      </c>
    </row>
    <row r="368" spans="1:7">
      <c r="A368" t="s">
        <v>5709</v>
      </c>
      <c r="B368" t="s">
        <v>94</v>
      </c>
      <c r="C368" t="s">
        <v>3352</v>
      </c>
      <c r="D368" t="s">
        <v>3351</v>
      </c>
      <c r="E368" t="s">
        <v>3857</v>
      </c>
      <c r="F368" s="23">
        <v>44346</v>
      </c>
      <c r="G368" s="1">
        <v>5518</v>
      </c>
    </row>
    <row r="369" spans="1:7">
      <c r="A369" t="s">
        <v>5709</v>
      </c>
      <c r="B369" t="s">
        <v>149</v>
      </c>
      <c r="C369" t="s">
        <v>1059</v>
      </c>
      <c r="D369" t="s">
        <v>1058</v>
      </c>
      <c r="E369" t="s">
        <v>3858</v>
      </c>
      <c r="F369" s="23">
        <v>44346</v>
      </c>
      <c r="G369" s="1">
        <v>12673</v>
      </c>
    </row>
    <row r="370" spans="1:7">
      <c r="A370" t="s">
        <v>5709</v>
      </c>
      <c r="B370" t="s">
        <v>94</v>
      </c>
      <c r="C370" t="s">
        <v>3486</v>
      </c>
      <c r="D370" t="s">
        <v>725</v>
      </c>
      <c r="E370" t="s">
        <v>3859</v>
      </c>
      <c r="F370" s="23">
        <v>44437</v>
      </c>
      <c r="G370" s="1">
        <v>5206</v>
      </c>
    </row>
    <row r="371" spans="1:7">
      <c r="A371" t="s">
        <v>5709</v>
      </c>
      <c r="B371" t="s">
        <v>94</v>
      </c>
      <c r="C371" t="s">
        <v>1887</v>
      </c>
      <c r="D371" t="s">
        <v>2496</v>
      </c>
      <c r="E371" t="s">
        <v>3860</v>
      </c>
      <c r="F371" s="23">
        <v>44346</v>
      </c>
      <c r="G371" s="1">
        <v>18991</v>
      </c>
    </row>
    <row r="372" spans="1:7">
      <c r="A372" t="s">
        <v>5709</v>
      </c>
      <c r="B372" t="s">
        <v>135</v>
      </c>
      <c r="C372" t="s">
        <v>772</v>
      </c>
      <c r="D372" t="s">
        <v>771</v>
      </c>
      <c r="E372" t="s">
        <v>3861</v>
      </c>
      <c r="F372" s="23">
        <v>44888</v>
      </c>
      <c r="G372" s="1">
        <v>6035</v>
      </c>
    </row>
    <row r="373" spans="1:7">
      <c r="A373" t="s">
        <v>5709</v>
      </c>
      <c r="B373" t="s">
        <v>311</v>
      </c>
      <c r="C373" t="s">
        <v>3285</v>
      </c>
      <c r="D373" t="s">
        <v>3284</v>
      </c>
      <c r="E373" t="s">
        <v>3862</v>
      </c>
      <c r="F373" s="23">
        <v>45064</v>
      </c>
      <c r="G373" s="1">
        <v>1262</v>
      </c>
    </row>
    <row r="374" spans="1:7">
      <c r="A374" t="s">
        <v>5709</v>
      </c>
      <c r="B374" t="s">
        <v>94</v>
      </c>
      <c r="C374" t="s">
        <v>3487</v>
      </c>
      <c r="D374" t="s">
        <v>1435</v>
      </c>
      <c r="E374" t="s">
        <v>3863</v>
      </c>
      <c r="F374" s="23">
        <v>44346</v>
      </c>
      <c r="G374" s="1">
        <v>12486</v>
      </c>
    </row>
    <row r="375" spans="1:7">
      <c r="A375" t="s">
        <v>5709</v>
      </c>
      <c r="B375" t="s">
        <v>233</v>
      </c>
      <c r="C375" t="s">
        <v>3239</v>
      </c>
      <c r="D375" t="s">
        <v>3238</v>
      </c>
      <c r="E375" t="s">
        <v>3864</v>
      </c>
      <c r="F375" s="23">
        <v>44929</v>
      </c>
      <c r="G375" s="1">
        <v>7990</v>
      </c>
    </row>
    <row r="376" spans="1:7">
      <c r="A376" t="s">
        <v>5709</v>
      </c>
      <c r="B376" t="s">
        <v>106</v>
      </c>
      <c r="C376" t="s">
        <v>2704</v>
      </c>
      <c r="D376" t="s">
        <v>2703</v>
      </c>
      <c r="E376" t="s">
        <v>3865</v>
      </c>
      <c r="F376" s="23">
        <v>44346</v>
      </c>
      <c r="G376" s="1">
        <v>12534</v>
      </c>
    </row>
    <row r="377" spans="1:7">
      <c r="A377" t="s">
        <v>5709</v>
      </c>
      <c r="B377" t="s">
        <v>94</v>
      </c>
      <c r="C377" t="s">
        <v>3486</v>
      </c>
      <c r="D377" t="s">
        <v>5535</v>
      </c>
      <c r="E377" t="s">
        <v>3866</v>
      </c>
      <c r="F377" s="23">
        <v>44804</v>
      </c>
      <c r="G377" s="1">
        <v>5494</v>
      </c>
    </row>
    <row r="378" spans="1:7">
      <c r="A378" t="s">
        <v>5709</v>
      </c>
      <c r="B378" t="s">
        <v>298</v>
      </c>
      <c r="C378" t="s">
        <v>2042</v>
      </c>
      <c r="D378" t="s">
        <v>2286</v>
      </c>
      <c r="E378" t="s">
        <v>3867</v>
      </c>
      <c r="F378" s="23">
        <v>44346</v>
      </c>
      <c r="G378" s="1">
        <v>12602</v>
      </c>
    </row>
    <row r="379" spans="1:7">
      <c r="A379" t="s">
        <v>5709</v>
      </c>
      <c r="B379" t="s">
        <v>106</v>
      </c>
      <c r="C379" t="s">
        <v>2974</v>
      </c>
      <c r="D379" t="s">
        <v>2973</v>
      </c>
      <c r="E379" t="s">
        <v>3868</v>
      </c>
      <c r="F379" s="23">
        <v>44457</v>
      </c>
      <c r="G379" s="1">
        <v>11677</v>
      </c>
    </row>
    <row r="380" spans="1:7">
      <c r="A380" t="s">
        <v>5709</v>
      </c>
      <c r="B380" t="s">
        <v>106</v>
      </c>
      <c r="C380" t="s">
        <v>2651</v>
      </c>
      <c r="D380" t="s">
        <v>2675</v>
      </c>
      <c r="E380" t="s">
        <v>3869</v>
      </c>
      <c r="F380" s="23">
        <v>44775</v>
      </c>
      <c r="G380" s="1">
        <v>11758</v>
      </c>
    </row>
    <row r="381" spans="1:7">
      <c r="A381" t="s">
        <v>5709</v>
      </c>
      <c r="B381" t="s">
        <v>37</v>
      </c>
      <c r="C381" t="s">
        <v>1017</v>
      </c>
      <c r="D381" t="s">
        <v>1016</v>
      </c>
      <c r="E381" t="s">
        <v>3870</v>
      </c>
      <c r="F381" s="23">
        <v>44452</v>
      </c>
      <c r="G381" s="1">
        <v>6229</v>
      </c>
    </row>
    <row r="382" spans="1:7">
      <c r="A382" t="s">
        <v>5710</v>
      </c>
      <c r="B382" t="s">
        <v>208</v>
      </c>
      <c r="C382" t="s">
        <v>617</v>
      </c>
      <c r="D382" t="s">
        <v>616</v>
      </c>
      <c r="E382" t="s">
        <v>3871</v>
      </c>
      <c r="F382" s="23">
        <v>44346</v>
      </c>
      <c r="G382" s="1">
        <v>16296</v>
      </c>
    </row>
    <row r="383" spans="1:7">
      <c r="A383" t="s">
        <v>5710</v>
      </c>
      <c r="B383" t="s">
        <v>94</v>
      </c>
      <c r="C383" t="s">
        <v>3404</v>
      </c>
      <c r="D383" t="s">
        <v>3403</v>
      </c>
      <c r="E383" t="s">
        <v>3872</v>
      </c>
      <c r="F383" s="23">
        <v>44346</v>
      </c>
      <c r="G383" s="1">
        <v>12286</v>
      </c>
    </row>
    <row r="384" spans="1:7">
      <c r="A384" t="s">
        <v>5710</v>
      </c>
      <c r="B384" t="s">
        <v>94</v>
      </c>
      <c r="C384" t="s">
        <v>277</v>
      </c>
      <c r="D384" t="s">
        <v>276</v>
      </c>
      <c r="E384" t="s">
        <v>3873</v>
      </c>
      <c r="F384" s="23">
        <v>44414</v>
      </c>
      <c r="G384" s="1">
        <v>11551</v>
      </c>
    </row>
    <row r="385" spans="1:7">
      <c r="A385" t="s">
        <v>5710</v>
      </c>
      <c r="B385" t="s">
        <v>298</v>
      </c>
      <c r="C385" t="s">
        <v>2720</v>
      </c>
      <c r="D385" t="s">
        <v>2719</v>
      </c>
      <c r="E385" t="s">
        <v>3874</v>
      </c>
      <c r="F385" s="23">
        <v>44579</v>
      </c>
      <c r="G385" s="1">
        <v>9191</v>
      </c>
    </row>
    <row r="386" spans="1:7">
      <c r="A386" t="s">
        <v>5710</v>
      </c>
      <c r="B386" t="s">
        <v>106</v>
      </c>
      <c r="C386" t="s">
        <v>3359</v>
      </c>
      <c r="D386" t="s">
        <v>3358</v>
      </c>
      <c r="E386" t="s">
        <v>3875</v>
      </c>
      <c r="F386" s="23">
        <v>44825</v>
      </c>
      <c r="G386" s="1">
        <v>6601</v>
      </c>
    </row>
    <row r="387" spans="1:7">
      <c r="A387" t="s">
        <v>5710</v>
      </c>
      <c r="B387" t="s">
        <v>233</v>
      </c>
      <c r="C387" t="s">
        <v>2086</v>
      </c>
      <c r="D387" t="s">
        <v>2085</v>
      </c>
      <c r="E387" t="s">
        <v>3876</v>
      </c>
      <c r="F387" s="23">
        <v>44346</v>
      </c>
      <c r="G387" s="1">
        <v>2085</v>
      </c>
    </row>
    <row r="388" spans="1:7">
      <c r="A388" t="s">
        <v>5710</v>
      </c>
      <c r="B388" t="s">
        <v>37</v>
      </c>
      <c r="C388" t="s">
        <v>1478</v>
      </c>
      <c r="D388" t="s">
        <v>1477</v>
      </c>
      <c r="E388" t="s">
        <v>3877</v>
      </c>
      <c r="F388" s="23">
        <v>44835</v>
      </c>
      <c r="G388" s="1">
        <v>11797</v>
      </c>
    </row>
    <row r="389" spans="1:7">
      <c r="A389" t="s">
        <v>5710</v>
      </c>
      <c r="B389" t="s">
        <v>298</v>
      </c>
      <c r="C389" t="s">
        <v>2117</v>
      </c>
      <c r="D389" t="s">
        <v>3098</v>
      </c>
      <c r="E389" t="s">
        <v>3878</v>
      </c>
      <c r="F389" s="23">
        <v>44346</v>
      </c>
      <c r="G389" s="1">
        <v>19309</v>
      </c>
    </row>
    <row r="390" spans="1:7">
      <c r="A390" t="s">
        <v>5710</v>
      </c>
      <c r="B390" t="s">
        <v>311</v>
      </c>
      <c r="C390" t="s">
        <v>1887</v>
      </c>
      <c r="D390" t="s">
        <v>2405</v>
      </c>
      <c r="E390" t="s">
        <v>3879</v>
      </c>
      <c r="F390" s="23">
        <v>44346</v>
      </c>
      <c r="G390" s="1">
        <v>15062</v>
      </c>
    </row>
    <row r="391" spans="1:7">
      <c r="A391" t="s">
        <v>5710</v>
      </c>
      <c r="B391" t="s">
        <v>106</v>
      </c>
      <c r="C391" t="s">
        <v>2095</v>
      </c>
      <c r="D391" t="s">
        <v>2094</v>
      </c>
      <c r="E391" t="s">
        <v>3880</v>
      </c>
      <c r="F391" s="23">
        <v>44346</v>
      </c>
      <c r="G391" s="1">
        <v>15407</v>
      </c>
    </row>
    <row r="392" spans="1:7">
      <c r="A392" t="s">
        <v>5710</v>
      </c>
      <c r="B392" t="s">
        <v>106</v>
      </c>
      <c r="C392" t="s">
        <v>1927</v>
      </c>
      <c r="D392" t="s">
        <v>1926</v>
      </c>
      <c r="E392" t="s">
        <v>3881</v>
      </c>
      <c r="F392" s="23">
        <v>44346</v>
      </c>
      <c r="G392" s="1">
        <v>12659</v>
      </c>
    </row>
    <row r="393" spans="1:7">
      <c r="A393" t="s">
        <v>5710</v>
      </c>
      <c r="B393" t="s">
        <v>311</v>
      </c>
      <c r="C393" t="s">
        <v>2113</v>
      </c>
      <c r="D393" t="s">
        <v>3425</v>
      </c>
      <c r="E393" t="s">
        <v>3882</v>
      </c>
      <c r="F393" s="23">
        <v>44346</v>
      </c>
      <c r="G393" s="1">
        <v>12387</v>
      </c>
    </row>
    <row r="394" spans="1:7">
      <c r="A394" t="s">
        <v>5710</v>
      </c>
      <c r="B394" t="s">
        <v>94</v>
      </c>
      <c r="C394" t="s">
        <v>3487</v>
      </c>
      <c r="D394" t="s">
        <v>803</v>
      </c>
      <c r="E394" t="s">
        <v>3883</v>
      </c>
      <c r="F394" s="23">
        <v>44346</v>
      </c>
      <c r="G394" s="1">
        <v>15428</v>
      </c>
    </row>
    <row r="395" spans="1:7">
      <c r="A395" t="s">
        <v>5710</v>
      </c>
      <c r="B395" t="s">
        <v>174</v>
      </c>
      <c r="C395" t="s">
        <v>806</v>
      </c>
      <c r="D395" t="s">
        <v>5536</v>
      </c>
      <c r="E395" t="s">
        <v>3884</v>
      </c>
      <c r="F395" s="23">
        <v>44936</v>
      </c>
      <c r="G395" s="1">
        <v>4415</v>
      </c>
    </row>
    <row r="396" spans="1:7">
      <c r="A396" t="s">
        <v>5710</v>
      </c>
      <c r="B396" t="s">
        <v>106</v>
      </c>
      <c r="C396" t="s">
        <v>2666</v>
      </c>
      <c r="D396" t="s">
        <v>2665</v>
      </c>
      <c r="E396" t="s">
        <v>3885</v>
      </c>
      <c r="F396" s="23">
        <v>44484</v>
      </c>
      <c r="G396" s="1">
        <v>3218</v>
      </c>
    </row>
    <row r="397" spans="1:7">
      <c r="A397" t="s">
        <v>5710</v>
      </c>
      <c r="B397" t="s">
        <v>311</v>
      </c>
      <c r="C397" t="s">
        <v>2228</v>
      </c>
      <c r="D397" t="s">
        <v>2227</v>
      </c>
      <c r="E397" t="s">
        <v>3886</v>
      </c>
      <c r="F397" s="23">
        <v>44346</v>
      </c>
      <c r="G397" s="1">
        <v>2140</v>
      </c>
    </row>
    <row r="398" spans="1:7">
      <c r="A398" t="s">
        <v>5710</v>
      </c>
      <c r="B398" t="s">
        <v>233</v>
      </c>
      <c r="C398" t="s">
        <v>2765</v>
      </c>
      <c r="D398" t="s">
        <v>2764</v>
      </c>
      <c r="E398" t="s">
        <v>3887</v>
      </c>
      <c r="F398" s="23">
        <v>44406</v>
      </c>
      <c r="G398" s="1">
        <v>2899</v>
      </c>
    </row>
    <row r="399" spans="1:7">
      <c r="A399" t="s">
        <v>5710</v>
      </c>
      <c r="B399" t="s">
        <v>94</v>
      </c>
      <c r="C399" t="s">
        <v>2461</v>
      </c>
      <c r="D399" t="s">
        <v>5537</v>
      </c>
      <c r="E399" t="s">
        <v>3888</v>
      </c>
      <c r="F399" s="23">
        <v>44417</v>
      </c>
      <c r="G399" s="1">
        <v>10705</v>
      </c>
    </row>
    <row r="400" spans="1:7">
      <c r="A400" t="s">
        <v>5710</v>
      </c>
      <c r="B400" t="s">
        <v>1407</v>
      </c>
      <c r="C400" t="s">
        <v>1406</v>
      </c>
      <c r="D400" t="s">
        <v>1405</v>
      </c>
      <c r="E400" t="s">
        <v>3889</v>
      </c>
      <c r="F400" s="23">
        <v>44834</v>
      </c>
      <c r="G400" s="1">
        <v>4687</v>
      </c>
    </row>
    <row r="401" spans="1:7">
      <c r="A401" t="s">
        <v>5710</v>
      </c>
      <c r="B401" t="s">
        <v>94</v>
      </c>
      <c r="C401" t="s">
        <v>1632</v>
      </c>
      <c r="D401" t="s">
        <v>1631</v>
      </c>
      <c r="E401" t="s">
        <v>3890</v>
      </c>
      <c r="F401" s="23">
        <v>44346</v>
      </c>
      <c r="G401" s="1">
        <v>16381</v>
      </c>
    </row>
    <row r="402" spans="1:7">
      <c r="A402" t="s">
        <v>5710</v>
      </c>
      <c r="B402" t="s">
        <v>46</v>
      </c>
      <c r="C402" t="s">
        <v>542</v>
      </c>
      <c r="D402" t="s">
        <v>541</v>
      </c>
      <c r="E402" t="s">
        <v>3891</v>
      </c>
      <c r="F402" s="23">
        <v>44346</v>
      </c>
      <c r="G402" s="1">
        <v>2674</v>
      </c>
    </row>
    <row r="403" spans="1:7">
      <c r="A403" t="s">
        <v>5710</v>
      </c>
      <c r="B403" t="s">
        <v>298</v>
      </c>
      <c r="C403" t="s">
        <v>2210</v>
      </c>
      <c r="D403" t="s">
        <v>3357</v>
      </c>
      <c r="E403" t="s">
        <v>3892</v>
      </c>
      <c r="F403" s="23">
        <v>44519</v>
      </c>
      <c r="G403" s="1">
        <v>7394</v>
      </c>
    </row>
    <row r="404" spans="1:7">
      <c r="A404" t="s">
        <v>5710</v>
      </c>
      <c r="B404" t="s">
        <v>94</v>
      </c>
      <c r="C404" t="s">
        <v>3486</v>
      </c>
      <c r="D404" t="s">
        <v>1504</v>
      </c>
      <c r="E404" t="s">
        <v>3893</v>
      </c>
      <c r="F404" s="23">
        <v>44346</v>
      </c>
      <c r="G404" s="1">
        <v>14305</v>
      </c>
    </row>
    <row r="405" spans="1:7">
      <c r="A405" t="s">
        <v>5710</v>
      </c>
      <c r="B405" t="s">
        <v>1149</v>
      </c>
      <c r="C405" t="s">
        <v>1374</v>
      </c>
      <c r="D405" t="s">
        <v>1373</v>
      </c>
      <c r="E405" t="s">
        <v>3894</v>
      </c>
      <c r="F405" s="23">
        <v>44346</v>
      </c>
      <c r="G405" s="1">
        <v>11533</v>
      </c>
    </row>
    <row r="406" spans="1:7">
      <c r="A406" t="s">
        <v>5710</v>
      </c>
      <c r="B406" t="s">
        <v>94</v>
      </c>
      <c r="C406" t="s">
        <v>3086</v>
      </c>
      <c r="D406" t="s">
        <v>3085</v>
      </c>
      <c r="E406" t="s">
        <v>3895</v>
      </c>
      <c r="F406" s="23">
        <v>44724</v>
      </c>
      <c r="G406" s="1">
        <v>5946</v>
      </c>
    </row>
    <row r="407" spans="1:7">
      <c r="A407" t="s">
        <v>5710</v>
      </c>
      <c r="B407" t="s">
        <v>426</v>
      </c>
      <c r="C407" t="s">
        <v>1403</v>
      </c>
      <c r="D407" t="s">
        <v>5538</v>
      </c>
      <c r="E407" t="s">
        <v>3896</v>
      </c>
      <c r="F407" s="23">
        <v>44346</v>
      </c>
      <c r="G407" s="1">
        <v>15580</v>
      </c>
    </row>
    <row r="408" spans="1:7">
      <c r="A408" t="s">
        <v>5710</v>
      </c>
      <c r="B408" t="s">
        <v>94</v>
      </c>
      <c r="C408" t="s">
        <v>1948</v>
      </c>
      <c r="D408" t="s">
        <v>1947</v>
      </c>
      <c r="E408" t="s">
        <v>3897</v>
      </c>
      <c r="F408" s="23">
        <v>45068</v>
      </c>
      <c r="G408" s="1">
        <v>11107</v>
      </c>
    </row>
    <row r="409" spans="1:7">
      <c r="A409" t="s">
        <v>5710</v>
      </c>
      <c r="B409" t="s">
        <v>43</v>
      </c>
      <c r="C409" t="s">
        <v>300</v>
      </c>
      <c r="D409" t="s">
        <v>299</v>
      </c>
      <c r="E409" t="s">
        <v>3898</v>
      </c>
      <c r="F409" s="23">
        <v>44971</v>
      </c>
      <c r="G409" s="1">
        <v>3386</v>
      </c>
    </row>
    <row r="410" spans="1:7">
      <c r="A410" t="s">
        <v>5710</v>
      </c>
      <c r="B410" t="s">
        <v>37</v>
      </c>
      <c r="C410" t="s">
        <v>559</v>
      </c>
      <c r="D410" t="s">
        <v>558</v>
      </c>
      <c r="E410" t="s">
        <v>3899</v>
      </c>
      <c r="F410" s="23">
        <v>44346</v>
      </c>
      <c r="G410" s="1">
        <v>17722</v>
      </c>
    </row>
    <row r="411" spans="1:7">
      <c r="A411" t="s">
        <v>5710</v>
      </c>
      <c r="B411" t="s">
        <v>72</v>
      </c>
      <c r="C411" t="s">
        <v>1822</v>
      </c>
      <c r="D411" t="s">
        <v>1821</v>
      </c>
      <c r="E411" t="s">
        <v>3900</v>
      </c>
      <c r="F411" s="23">
        <v>44346</v>
      </c>
      <c r="G411" s="1">
        <v>19687</v>
      </c>
    </row>
    <row r="412" spans="1:7">
      <c r="A412" t="s">
        <v>5710</v>
      </c>
      <c r="B412" t="s">
        <v>122</v>
      </c>
      <c r="C412" t="s">
        <v>359</v>
      </c>
      <c r="D412" t="s">
        <v>358</v>
      </c>
      <c r="E412" t="s">
        <v>3901</v>
      </c>
      <c r="F412" s="23">
        <v>44724</v>
      </c>
      <c r="G412" s="1">
        <v>6481</v>
      </c>
    </row>
    <row r="413" spans="1:7">
      <c r="A413" t="s">
        <v>5710</v>
      </c>
      <c r="B413" t="s">
        <v>311</v>
      </c>
      <c r="C413" t="s">
        <v>2515</v>
      </c>
      <c r="D413" t="s">
        <v>3320</v>
      </c>
      <c r="E413" t="s">
        <v>3902</v>
      </c>
      <c r="F413" s="23">
        <v>44698</v>
      </c>
      <c r="G413" s="1">
        <v>11491</v>
      </c>
    </row>
    <row r="414" spans="1:7">
      <c r="A414" t="s">
        <v>5710</v>
      </c>
      <c r="B414" t="s">
        <v>37</v>
      </c>
      <c r="C414" t="s">
        <v>436</v>
      </c>
      <c r="D414" t="s">
        <v>435</v>
      </c>
      <c r="E414" t="s">
        <v>3903</v>
      </c>
      <c r="F414" s="23">
        <v>44346</v>
      </c>
      <c r="G414" s="1">
        <v>14831</v>
      </c>
    </row>
    <row r="415" spans="1:7">
      <c r="A415" t="s">
        <v>5710</v>
      </c>
      <c r="B415" t="s">
        <v>101</v>
      </c>
      <c r="C415" t="s">
        <v>1304</v>
      </c>
      <c r="D415" t="s">
        <v>1303</v>
      </c>
      <c r="E415" t="s">
        <v>3904</v>
      </c>
      <c r="F415" s="23">
        <v>44346</v>
      </c>
      <c r="G415" s="1">
        <v>11876</v>
      </c>
    </row>
    <row r="416" spans="1:7">
      <c r="A416" t="s">
        <v>5710</v>
      </c>
      <c r="B416" t="s">
        <v>311</v>
      </c>
      <c r="C416" t="s">
        <v>2281</v>
      </c>
      <c r="D416" t="s">
        <v>2795</v>
      </c>
      <c r="E416" t="s">
        <v>3905</v>
      </c>
      <c r="F416" s="23">
        <v>44980</v>
      </c>
      <c r="G416" s="1">
        <v>1200</v>
      </c>
    </row>
    <row r="417" spans="1:7">
      <c r="A417" t="s">
        <v>5710</v>
      </c>
      <c r="B417" t="s">
        <v>101</v>
      </c>
      <c r="C417" t="s">
        <v>1430</v>
      </c>
      <c r="D417" t="s">
        <v>1429</v>
      </c>
      <c r="E417" t="s">
        <v>3906</v>
      </c>
      <c r="F417" s="23">
        <v>44346</v>
      </c>
      <c r="G417" s="1">
        <v>18297</v>
      </c>
    </row>
    <row r="418" spans="1:7">
      <c r="A418" t="s">
        <v>5710</v>
      </c>
      <c r="B418" t="s">
        <v>94</v>
      </c>
      <c r="C418" t="s">
        <v>3487</v>
      </c>
      <c r="D418" t="s">
        <v>1731</v>
      </c>
      <c r="E418" t="s">
        <v>3907</v>
      </c>
      <c r="F418" s="23">
        <v>44346</v>
      </c>
      <c r="G418" s="1">
        <v>19253</v>
      </c>
    </row>
    <row r="419" spans="1:7">
      <c r="A419" t="s">
        <v>5710</v>
      </c>
      <c r="B419" t="s">
        <v>106</v>
      </c>
      <c r="C419" t="s">
        <v>3137</v>
      </c>
      <c r="D419" t="s">
        <v>3136</v>
      </c>
      <c r="E419" t="s">
        <v>3908</v>
      </c>
      <c r="F419" s="23">
        <v>44346</v>
      </c>
      <c r="G419" s="1">
        <v>12008</v>
      </c>
    </row>
    <row r="420" spans="1:7">
      <c r="A420" t="s">
        <v>5710</v>
      </c>
      <c r="B420" t="s">
        <v>106</v>
      </c>
      <c r="C420" t="s">
        <v>829</v>
      </c>
      <c r="D420" t="s">
        <v>828</v>
      </c>
      <c r="E420" t="s">
        <v>3909</v>
      </c>
      <c r="F420" s="23">
        <v>44346</v>
      </c>
      <c r="G420" s="1">
        <v>11673</v>
      </c>
    </row>
    <row r="421" spans="1:7">
      <c r="A421" t="s">
        <v>5710</v>
      </c>
      <c r="B421" t="s">
        <v>106</v>
      </c>
      <c r="C421" t="s">
        <v>1887</v>
      </c>
      <c r="D421" t="s">
        <v>3296</v>
      </c>
      <c r="E421" t="s">
        <v>3910</v>
      </c>
      <c r="F421" s="23">
        <v>44715</v>
      </c>
      <c r="G421" s="1">
        <v>5876</v>
      </c>
    </row>
    <row r="422" spans="1:7">
      <c r="A422" t="s">
        <v>5710</v>
      </c>
      <c r="B422" t="s">
        <v>149</v>
      </c>
      <c r="C422" t="s">
        <v>982</v>
      </c>
      <c r="D422" t="s">
        <v>981</v>
      </c>
      <c r="E422" t="s">
        <v>3911</v>
      </c>
      <c r="F422" s="23">
        <v>45030</v>
      </c>
      <c r="G422" s="1">
        <v>2521</v>
      </c>
    </row>
    <row r="423" spans="1:7">
      <c r="A423" t="s">
        <v>5710</v>
      </c>
      <c r="B423" t="s">
        <v>149</v>
      </c>
      <c r="C423" t="s">
        <v>703</v>
      </c>
      <c r="D423" t="s">
        <v>702</v>
      </c>
      <c r="E423" t="s">
        <v>3912</v>
      </c>
      <c r="F423" s="23">
        <v>44582</v>
      </c>
      <c r="G423" s="1">
        <v>1526</v>
      </c>
    </row>
    <row r="424" spans="1:7">
      <c r="A424" t="s">
        <v>5710</v>
      </c>
      <c r="B424" t="s">
        <v>106</v>
      </c>
      <c r="C424" t="s">
        <v>2892</v>
      </c>
      <c r="D424" t="s">
        <v>2891</v>
      </c>
      <c r="E424" t="s">
        <v>3913</v>
      </c>
      <c r="F424" s="23">
        <v>44467</v>
      </c>
      <c r="G424" s="1">
        <v>10385</v>
      </c>
    </row>
    <row r="425" spans="1:7">
      <c r="A425" t="s">
        <v>5710</v>
      </c>
      <c r="B425" t="s">
        <v>311</v>
      </c>
      <c r="C425" t="s">
        <v>2261</v>
      </c>
      <c r="D425" t="s">
        <v>2260</v>
      </c>
      <c r="E425" t="s">
        <v>3914</v>
      </c>
      <c r="F425" s="23">
        <v>44346</v>
      </c>
      <c r="G425" s="1">
        <v>16642</v>
      </c>
    </row>
    <row r="426" spans="1:7">
      <c r="A426" t="s">
        <v>5710</v>
      </c>
      <c r="B426" t="s">
        <v>298</v>
      </c>
      <c r="C426" t="s">
        <v>297</v>
      </c>
      <c r="D426" t="s">
        <v>1901</v>
      </c>
      <c r="E426" t="s">
        <v>3915</v>
      </c>
      <c r="F426" s="23">
        <v>44346</v>
      </c>
      <c r="G426" s="1">
        <v>13733</v>
      </c>
    </row>
    <row r="427" spans="1:7">
      <c r="A427" t="s">
        <v>5710</v>
      </c>
      <c r="B427" t="s">
        <v>1029</v>
      </c>
      <c r="C427" t="s">
        <v>1040</v>
      </c>
      <c r="D427" t="s">
        <v>5539</v>
      </c>
      <c r="E427" t="s">
        <v>3916</v>
      </c>
      <c r="F427" s="23">
        <v>44346</v>
      </c>
      <c r="G427" s="1">
        <v>583</v>
      </c>
    </row>
    <row r="428" spans="1:7">
      <c r="A428" t="s">
        <v>5710</v>
      </c>
      <c r="B428" t="s">
        <v>94</v>
      </c>
      <c r="C428" t="s">
        <v>1884</v>
      </c>
      <c r="D428" t="s">
        <v>5540</v>
      </c>
      <c r="E428" t="s">
        <v>3917</v>
      </c>
      <c r="F428" s="23">
        <v>44915</v>
      </c>
      <c r="G428" s="1">
        <v>3324</v>
      </c>
    </row>
    <row r="429" spans="1:7">
      <c r="A429" t="s">
        <v>5710</v>
      </c>
      <c r="B429" t="s">
        <v>68</v>
      </c>
      <c r="C429" t="s">
        <v>647</v>
      </c>
      <c r="D429" t="s">
        <v>646</v>
      </c>
      <c r="E429" t="s">
        <v>3918</v>
      </c>
      <c r="F429" s="23">
        <v>45001</v>
      </c>
      <c r="G429" s="1">
        <v>9740</v>
      </c>
    </row>
    <row r="430" spans="1:7">
      <c r="A430" t="s">
        <v>5711</v>
      </c>
      <c r="B430" t="s">
        <v>94</v>
      </c>
      <c r="C430" t="s">
        <v>598</v>
      </c>
      <c r="D430" t="s">
        <v>1355</v>
      </c>
      <c r="E430" t="s">
        <v>3919</v>
      </c>
      <c r="F430" s="23">
        <v>44346</v>
      </c>
      <c r="G430" s="1">
        <v>13051</v>
      </c>
    </row>
    <row r="431" spans="1:7">
      <c r="A431" t="s">
        <v>5711</v>
      </c>
      <c r="B431" t="s">
        <v>140</v>
      </c>
      <c r="C431" t="s">
        <v>139</v>
      </c>
      <c r="D431" t="s">
        <v>138</v>
      </c>
      <c r="E431" t="s">
        <v>3920</v>
      </c>
      <c r="F431" s="23">
        <v>44346</v>
      </c>
      <c r="G431" s="1">
        <v>19269</v>
      </c>
    </row>
    <row r="432" spans="1:7">
      <c r="A432" t="s">
        <v>5711</v>
      </c>
      <c r="B432" t="s">
        <v>78</v>
      </c>
      <c r="C432" t="s">
        <v>798</v>
      </c>
      <c r="D432" t="s">
        <v>797</v>
      </c>
      <c r="E432" t="s">
        <v>3921</v>
      </c>
      <c r="F432" s="23">
        <v>44796</v>
      </c>
      <c r="G432" s="1">
        <v>6639</v>
      </c>
    </row>
    <row r="433" spans="1:7">
      <c r="A433" t="s">
        <v>5711</v>
      </c>
      <c r="B433" t="s">
        <v>94</v>
      </c>
      <c r="C433" t="s">
        <v>3067</v>
      </c>
      <c r="D433" t="s">
        <v>5541</v>
      </c>
      <c r="E433" t="s">
        <v>3922</v>
      </c>
      <c r="F433" s="23">
        <v>44426</v>
      </c>
      <c r="G433" s="1">
        <v>10933</v>
      </c>
    </row>
    <row r="434" spans="1:7">
      <c r="A434" t="s">
        <v>5711</v>
      </c>
      <c r="B434" t="s">
        <v>676</v>
      </c>
      <c r="C434" t="s">
        <v>675</v>
      </c>
      <c r="D434" t="s">
        <v>674</v>
      </c>
      <c r="E434" t="s">
        <v>3923</v>
      </c>
      <c r="F434" s="23">
        <v>44346</v>
      </c>
      <c r="G434" s="1">
        <v>13595</v>
      </c>
    </row>
    <row r="435" spans="1:7">
      <c r="A435" t="s">
        <v>5711</v>
      </c>
      <c r="B435" t="s">
        <v>94</v>
      </c>
      <c r="C435" t="s">
        <v>3490</v>
      </c>
      <c r="D435" t="s">
        <v>643</v>
      </c>
      <c r="E435" t="s">
        <v>3924</v>
      </c>
      <c r="F435" s="23">
        <v>44346</v>
      </c>
      <c r="G435" s="1">
        <v>17283</v>
      </c>
    </row>
    <row r="436" spans="1:7">
      <c r="A436" t="s">
        <v>5711</v>
      </c>
      <c r="B436" t="s">
        <v>94</v>
      </c>
      <c r="C436" t="s">
        <v>2519</v>
      </c>
      <c r="D436" t="s">
        <v>2518</v>
      </c>
      <c r="E436" t="s">
        <v>3925</v>
      </c>
      <c r="F436" s="23">
        <v>44346</v>
      </c>
      <c r="G436" s="1">
        <v>15100</v>
      </c>
    </row>
    <row r="437" spans="1:7">
      <c r="A437" t="s">
        <v>5711</v>
      </c>
      <c r="B437" t="s">
        <v>94</v>
      </c>
      <c r="C437" t="s">
        <v>2264</v>
      </c>
      <c r="D437" t="s">
        <v>2263</v>
      </c>
      <c r="E437" t="s">
        <v>3926</v>
      </c>
      <c r="F437" s="23">
        <v>44572</v>
      </c>
      <c r="G437" s="1">
        <v>6173</v>
      </c>
    </row>
    <row r="438" spans="1:7">
      <c r="A438" t="s">
        <v>5711</v>
      </c>
      <c r="B438" t="s">
        <v>114</v>
      </c>
      <c r="C438" t="s">
        <v>572</v>
      </c>
      <c r="D438" t="s">
        <v>571</v>
      </c>
      <c r="E438" t="s">
        <v>3927</v>
      </c>
      <c r="F438" s="23">
        <v>44346</v>
      </c>
      <c r="G438" s="1">
        <v>16021</v>
      </c>
    </row>
    <row r="439" spans="1:7">
      <c r="A439" t="s">
        <v>5711</v>
      </c>
      <c r="B439" t="s">
        <v>298</v>
      </c>
      <c r="C439" t="s">
        <v>820</v>
      </c>
      <c r="D439" t="s">
        <v>2182</v>
      </c>
      <c r="E439" t="s">
        <v>3928</v>
      </c>
      <c r="F439" s="23">
        <v>44346</v>
      </c>
      <c r="G439" s="1">
        <v>5948</v>
      </c>
    </row>
    <row r="440" spans="1:7">
      <c r="A440" t="s">
        <v>5711</v>
      </c>
      <c r="B440" t="s">
        <v>94</v>
      </c>
      <c r="C440" t="s">
        <v>2277</v>
      </c>
      <c r="D440" t="s">
        <v>2276</v>
      </c>
      <c r="E440" t="s">
        <v>3929</v>
      </c>
      <c r="F440" s="23">
        <v>44346</v>
      </c>
      <c r="G440" s="1">
        <v>11462</v>
      </c>
    </row>
    <row r="441" spans="1:7">
      <c r="A441" t="s">
        <v>5711</v>
      </c>
      <c r="B441" t="s">
        <v>311</v>
      </c>
      <c r="C441" t="s">
        <v>3076</v>
      </c>
      <c r="D441" t="s">
        <v>3075</v>
      </c>
      <c r="E441" t="s">
        <v>3930</v>
      </c>
      <c r="F441" s="23">
        <v>44670</v>
      </c>
      <c r="G441" s="1">
        <v>1818</v>
      </c>
    </row>
    <row r="442" spans="1:7">
      <c r="A442" t="s">
        <v>5711</v>
      </c>
      <c r="B442" t="s">
        <v>106</v>
      </c>
      <c r="C442" t="s">
        <v>1950</v>
      </c>
      <c r="D442" t="s">
        <v>1949</v>
      </c>
      <c r="E442" t="s">
        <v>3931</v>
      </c>
      <c r="F442" s="23">
        <v>44346</v>
      </c>
      <c r="G442" s="1">
        <v>13094</v>
      </c>
    </row>
    <row r="443" spans="1:7">
      <c r="A443" t="s">
        <v>5711</v>
      </c>
      <c r="B443" t="s">
        <v>94</v>
      </c>
      <c r="C443" t="s">
        <v>2111</v>
      </c>
      <c r="D443" t="s">
        <v>2110</v>
      </c>
      <c r="E443" t="s">
        <v>3932</v>
      </c>
      <c r="F443" s="23">
        <v>44346</v>
      </c>
      <c r="G443" s="1">
        <v>12227</v>
      </c>
    </row>
    <row r="444" spans="1:7">
      <c r="A444" t="s">
        <v>5711</v>
      </c>
      <c r="B444" t="s">
        <v>1223</v>
      </c>
      <c r="C444" t="s">
        <v>2028</v>
      </c>
      <c r="D444" t="s">
        <v>2027</v>
      </c>
      <c r="E444" t="s">
        <v>3933</v>
      </c>
      <c r="F444" s="23">
        <v>44346</v>
      </c>
      <c r="G444" s="1">
        <v>8888</v>
      </c>
    </row>
    <row r="445" spans="1:7">
      <c r="A445" t="s">
        <v>5711</v>
      </c>
      <c r="B445" t="s">
        <v>106</v>
      </c>
      <c r="C445" t="s">
        <v>2099</v>
      </c>
      <c r="D445" t="s">
        <v>2098</v>
      </c>
      <c r="E445" t="s">
        <v>3934</v>
      </c>
      <c r="F445" s="23">
        <v>44346</v>
      </c>
      <c r="G445" s="1">
        <v>16084</v>
      </c>
    </row>
    <row r="446" spans="1:7">
      <c r="A446" t="s">
        <v>5711</v>
      </c>
      <c r="B446" t="s">
        <v>94</v>
      </c>
      <c r="C446" t="s">
        <v>3486</v>
      </c>
      <c r="D446" t="s">
        <v>129</v>
      </c>
      <c r="E446" t="s">
        <v>3935</v>
      </c>
      <c r="F446" s="23">
        <v>44346</v>
      </c>
      <c r="G446" s="1">
        <v>11735</v>
      </c>
    </row>
    <row r="447" spans="1:7">
      <c r="A447" t="s">
        <v>5711</v>
      </c>
      <c r="B447" t="s">
        <v>72</v>
      </c>
      <c r="C447" t="s">
        <v>319</v>
      </c>
      <c r="D447" t="s">
        <v>318</v>
      </c>
      <c r="E447" t="s">
        <v>3936</v>
      </c>
      <c r="F447" s="23">
        <v>45023</v>
      </c>
      <c r="G447" s="1">
        <v>1618</v>
      </c>
    </row>
    <row r="448" spans="1:7">
      <c r="A448" t="s">
        <v>5711</v>
      </c>
      <c r="B448" t="s">
        <v>94</v>
      </c>
      <c r="C448" t="s">
        <v>3486</v>
      </c>
      <c r="D448" t="s">
        <v>5542</v>
      </c>
      <c r="E448" t="s">
        <v>3937</v>
      </c>
      <c r="F448" s="23">
        <v>44346</v>
      </c>
      <c r="G448" s="1">
        <v>18622</v>
      </c>
    </row>
    <row r="449" spans="1:7">
      <c r="A449" t="s">
        <v>5711</v>
      </c>
      <c r="B449" t="s">
        <v>188</v>
      </c>
      <c r="C449" t="s">
        <v>1683</v>
      </c>
      <c r="D449" t="s">
        <v>1682</v>
      </c>
      <c r="E449" t="s">
        <v>3938</v>
      </c>
      <c r="F449" s="23">
        <v>44346</v>
      </c>
      <c r="G449" s="1">
        <v>14494</v>
      </c>
    </row>
    <row r="450" spans="1:7">
      <c r="A450" t="s">
        <v>5711</v>
      </c>
      <c r="B450" t="s">
        <v>94</v>
      </c>
      <c r="C450" t="s">
        <v>3486</v>
      </c>
      <c r="D450" t="s">
        <v>432</v>
      </c>
      <c r="E450" t="s">
        <v>3939</v>
      </c>
      <c r="F450" s="23">
        <v>44661</v>
      </c>
      <c r="G450" s="1">
        <v>6539</v>
      </c>
    </row>
    <row r="451" spans="1:7">
      <c r="A451" t="s">
        <v>5711</v>
      </c>
      <c r="B451" t="s">
        <v>311</v>
      </c>
      <c r="C451" t="s">
        <v>2113</v>
      </c>
      <c r="D451" t="s">
        <v>3064</v>
      </c>
      <c r="E451" t="s">
        <v>3940</v>
      </c>
      <c r="F451" s="23">
        <v>44719</v>
      </c>
      <c r="G451" s="1">
        <v>4355</v>
      </c>
    </row>
    <row r="452" spans="1:7">
      <c r="A452" t="s">
        <v>5711</v>
      </c>
      <c r="B452" t="s">
        <v>311</v>
      </c>
      <c r="C452" t="s">
        <v>3389</v>
      </c>
      <c r="D452" t="s">
        <v>3388</v>
      </c>
      <c r="E452" t="s">
        <v>3941</v>
      </c>
      <c r="F452" s="23">
        <v>44409</v>
      </c>
      <c r="G452" s="1">
        <v>3354</v>
      </c>
    </row>
    <row r="453" spans="1:7">
      <c r="A453" t="s">
        <v>5711</v>
      </c>
      <c r="B453" t="s">
        <v>106</v>
      </c>
      <c r="C453" t="s">
        <v>1911</v>
      </c>
      <c r="D453" t="s">
        <v>1910</v>
      </c>
      <c r="E453" t="s">
        <v>3942</v>
      </c>
      <c r="F453" s="23">
        <v>44346</v>
      </c>
      <c r="G453" s="1">
        <v>17297</v>
      </c>
    </row>
    <row r="454" spans="1:7">
      <c r="A454" t="s">
        <v>5711</v>
      </c>
      <c r="B454" t="s">
        <v>106</v>
      </c>
      <c r="C454" t="s">
        <v>3449</v>
      </c>
      <c r="D454" t="s">
        <v>3448</v>
      </c>
      <c r="E454" t="s">
        <v>3943</v>
      </c>
      <c r="F454" s="23">
        <v>44346</v>
      </c>
      <c r="G454" s="1">
        <v>13734</v>
      </c>
    </row>
    <row r="455" spans="1:7">
      <c r="A455" t="s">
        <v>5711</v>
      </c>
      <c r="B455" t="s">
        <v>37</v>
      </c>
      <c r="C455" t="s">
        <v>1003</v>
      </c>
      <c r="D455" t="s">
        <v>5543</v>
      </c>
      <c r="E455" t="s">
        <v>3944</v>
      </c>
      <c r="F455" s="23">
        <v>44346</v>
      </c>
      <c r="G455" s="1">
        <v>9373</v>
      </c>
    </row>
    <row r="456" spans="1:7">
      <c r="A456" t="s">
        <v>5711</v>
      </c>
      <c r="B456" t="s">
        <v>311</v>
      </c>
      <c r="C456" t="s">
        <v>2247</v>
      </c>
      <c r="D456" t="s">
        <v>5544</v>
      </c>
      <c r="E456" t="s">
        <v>3945</v>
      </c>
      <c r="F456" s="23">
        <v>44346</v>
      </c>
      <c r="G456" s="1">
        <v>16677</v>
      </c>
    </row>
    <row r="457" spans="1:7">
      <c r="A457" t="s">
        <v>5711</v>
      </c>
      <c r="B457" t="s">
        <v>106</v>
      </c>
      <c r="C457" t="s">
        <v>2789</v>
      </c>
      <c r="D457" t="s">
        <v>3409</v>
      </c>
      <c r="E457" t="s">
        <v>3946</v>
      </c>
      <c r="F457" s="23">
        <v>44346</v>
      </c>
      <c r="G457" s="1">
        <v>16382</v>
      </c>
    </row>
    <row r="458" spans="1:7">
      <c r="A458" t="s">
        <v>5711</v>
      </c>
      <c r="B458" t="s">
        <v>94</v>
      </c>
      <c r="C458" t="s">
        <v>3482</v>
      </c>
      <c r="D458" t="s">
        <v>3481</v>
      </c>
      <c r="E458" t="s">
        <v>3947</v>
      </c>
      <c r="F458" s="23">
        <v>45046</v>
      </c>
      <c r="G458" s="1">
        <v>11109</v>
      </c>
    </row>
    <row r="459" spans="1:7">
      <c r="A459" t="s">
        <v>5711</v>
      </c>
      <c r="B459" t="s">
        <v>311</v>
      </c>
      <c r="C459" t="s">
        <v>2068</v>
      </c>
      <c r="D459" t="s">
        <v>2524</v>
      </c>
      <c r="E459" t="s">
        <v>3948</v>
      </c>
      <c r="F459" s="23">
        <v>44346</v>
      </c>
      <c r="G459" s="1">
        <v>15689</v>
      </c>
    </row>
    <row r="460" spans="1:7">
      <c r="A460" t="s">
        <v>5711</v>
      </c>
      <c r="B460" t="s">
        <v>94</v>
      </c>
      <c r="C460" t="s">
        <v>2722</v>
      </c>
      <c r="D460" t="s">
        <v>2721</v>
      </c>
      <c r="E460" t="s">
        <v>3949</v>
      </c>
      <c r="F460" s="23">
        <v>44491</v>
      </c>
      <c r="G460" s="1">
        <v>3080</v>
      </c>
    </row>
    <row r="461" spans="1:7">
      <c r="A461" t="s">
        <v>5711</v>
      </c>
      <c r="B461" t="s">
        <v>46</v>
      </c>
      <c r="C461" t="s">
        <v>1597</v>
      </c>
      <c r="D461" t="s">
        <v>1596</v>
      </c>
      <c r="E461" t="s">
        <v>3950</v>
      </c>
      <c r="F461" s="23">
        <v>44346</v>
      </c>
      <c r="G461" s="1">
        <v>14929</v>
      </c>
    </row>
    <row r="462" spans="1:7">
      <c r="A462" t="s">
        <v>5711</v>
      </c>
      <c r="B462" t="s">
        <v>85</v>
      </c>
      <c r="C462" t="s">
        <v>673</v>
      </c>
      <c r="D462" t="s">
        <v>672</v>
      </c>
      <c r="E462" t="s">
        <v>3951</v>
      </c>
      <c r="F462" s="23">
        <v>44484</v>
      </c>
      <c r="G462" s="1">
        <v>7379</v>
      </c>
    </row>
    <row r="463" spans="1:7">
      <c r="A463" t="s">
        <v>5711</v>
      </c>
      <c r="B463" t="s">
        <v>106</v>
      </c>
      <c r="C463" t="s">
        <v>2168</v>
      </c>
      <c r="D463" t="s">
        <v>2167</v>
      </c>
      <c r="E463" t="s">
        <v>3952</v>
      </c>
      <c r="F463" s="23">
        <v>44346</v>
      </c>
      <c r="G463" s="1">
        <v>15072</v>
      </c>
    </row>
    <row r="464" spans="1:7">
      <c r="A464" t="s">
        <v>5711</v>
      </c>
      <c r="B464" t="s">
        <v>298</v>
      </c>
      <c r="C464" t="s">
        <v>2465</v>
      </c>
      <c r="D464" t="s">
        <v>2464</v>
      </c>
      <c r="E464" t="s">
        <v>3953</v>
      </c>
      <c r="F464" s="23">
        <v>44346</v>
      </c>
      <c r="G464" s="1">
        <v>19763</v>
      </c>
    </row>
    <row r="465" spans="1:7">
      <c r="A465" t="s">
        <v>5711</v>
      </c>
      <c r="B465" t="s">
        <v>94</v>
      </c>
      <c r="C465" t="s">
        <v>2707</v>
      </c>
      <c r="D465" t="s">
        <v>2706</v>
      </c>
      <c r="E465" t="s">
        <v>3954</v>
      </c>
      <c r="F465" s="23">
        <v>44346</v>
      </c>
      <c r="G465" s="1">
        <v>16732</v>
      </c>
    </row>
    <row r="466" spans="1:7">
      <c r="A466" t="s">
        <v>5711</v>
      </c>
      <c r="B466" t="s">
        <v>97</v>
      </c>
      <c r="C466" t="s">
        <v>499</v>
      </c>
      <c r="D466" t="s">
        <v>498</v>
      </c>
      <c r="E466" t="s">
        <v>3955</v>
      </c>
      <c r="F466" s="23">
        <v>44936</v>
      </c>
      <c r="G466" s="1">
        <v>816</v>
      </c>
    </row>
    <row r="467" spans="1:7">
      <c r="A467" t="s">
        <v>5711</v>
      </c>
      <c r="B467" t="s">
        <v>91</v>
      </c>
      <c r="C467" t="s">
        <v>707</v>
      </c>
      <c r="D467" t="s">
        <v>706</v>
      </c>
      <c r="E467" t="s">
        <v>3956</v>
      </c>
      <c r="F467" s="23">
        <v>44349</v>
      </c>
      <c r="G467" s="1">
        <v>9483</v>
      </c>
    </row>
    <row r="468" spans="1:7">
      <c r="A468" t="s">
        <v>5711</v>
      </c>
      <c r="B468" t="s">
        <v>37</v>
      </c>
      <c r="C468" t="s">
        <v>1831</v>
      </c>
      <c r="D468" t="s">
        <v>1830</v>
      </c>
      <c r="E468" t="s">
        <v>3957</v>
      </c>
      <c r="F468" s="23">
        <v>44346</v>
      </c>
      <c r="G468" s="1">
        <v>14048</v>
      </c>
    </row>
    <row r="469" spans="1:7">
      <c r="A469" t="s">
        <v>5711</v>
      </c>
      <c r="B469" t="s">
        <v>896</v>
      </c>
      <c r="C469" t="s">
        <v>1814</v>
      </c>
      <c r="D469" t="s">
        <v>5545</v>
      </c>
      <c r="E469" t="s">
        <v>3958</v>
      </c>
      <c r="F469" s="23">
        <v>44514</v>
      </c>
      <c r="G469" s="1">
        <v>8295</v>
      </c>
    </row>
    <row r="470" spans="1:7">
      <c r="A470" t="s">
        <v>5711</v>
      </c>
      <c r="B470" t="s">
        <v>298</v>
      </c>
      <c r="C470" t="s">
        <v>2506</v>
      </c>
      <c r="D470" t="s">
        <v>2505</v>
      </c>
      <c r="E470" t="s">
        <v>3959</v>
      </c>
      <c r="F470" s="23">
        <v>44346</v>
      </c>
      <c r="G470" s="1">
        <v>4867</v>
      </c>
    </row>
    <row r="471" spans="1:7">
      <c r="A471" t="s">
        <v>5711</v>
      </c>
      <c r="B471" t="s">
        <v>94</v>
      </c>
      <c r="C471" t="s">
        <v>2759</v>
      </c>
      <c r="D471" t="s">
        <v>2758</v>
      </c>
      <c r="E471" t="s">
        <v>3960</v>
      </c>
      <c r="F471" s="23">
        <v>44373</v>
      </c>
      <c r="G471" s="1">
        <v>6892</v>
      </c>
    </row>
    <row r="472" spans="1:7">
      <c r="A472" t="s">
        <v>5711</v>
      </c>
      <c r="B472" t="s">
        <v>94</v>
      </c>
      <c r="C472" t="s">
        <v>3411</v>
      </c>
      <c r="D472" t="s">
        <v>5546</v>
      </c>
      <c r="E472" t="s">
        <v>3961</v>
      </c>
      <c r="F472" s="23">
        <v>44866</v>
      </c>
      <c r="G472" s="1">
        <v>11578</v>
      </c>
    </row>
    <row r="473" spans="1:7">
      <c r="A473" t="s">
        <v>5711</v>
      </c>
      <c r="B473" t="s">
        <v>94</v>
      </c>
      <c r="C473" t="s">
        <v>2741</v>
      </c>
      <c r="D473" t="s">
        <v>2740</v>
      </c>
      <c r="E473" t="s">
        <v>3962</v>
      </c>
      <c r="F473" s="23">
        <v>44684</v>
      </c>
      <c r="G473" s="1">
        <v>1687</v>
      </c>
    </row>
    <row r="474" spans="1:7">
      <c r="A474" t="s">
        <v>5711</v>
      </c>
      <c r="B474" t="s">
        <v>94</v>
      </c>
      <c r="C474" t="s">
        <v>2152</v>
      </c>
      <c r="D474" t="s">
        <v>5547</v>
      </c>
      <c r="E474" t="s">
        <v>3963</v>
      </c>
      <c r="F474" s="23">
        <v>44346</v>
      </c>
      <c r="G474" s="1">
        <v>15225</v>
      </c>
    </row>
    <row r="475" spans="1:7">
      <c r="A475" t="s">
        <v>5711</v>
      </c>
      <c r="B475" t="s">
        <v>247</v>
      </c>
      <c r="C475" t="s">
        <v>557</v>
      </c>
      <c r="D475" t="s">
        <v>556</v>
      </c>
      <c r="E475" t="s">
        <v>3964</v>
      </c>
      <c r="F475" s="23">
        <v>44346</v>
      </c>
      <c r="G475" s="1">
        <v>18443</v>
      </c>
    </row>
    <row r="476" spans="1:7">
      <c r="A476" t="s">
        <v>5711</v>
      </c>
      <c r="B476" t="s">
        <v>106</v>
      </c>
      <c r="C476" t="s">
        <v>1842</v>
      </c>
      <c r="D476" t="s">
        <v>1841</v>
      </c>
      <c r="E476" t="s">
        <v>3965</v>
      </c>
      <c r="F476" s="23">
        <v>44346</v>
      </c>
      <c r="G476" s="1">
        <v>19884</v>
      </c>
    </row>
    <row r="477" spans="1:7">
      <c r="A477" t="s">
        <v>5711</v>
      </c>
      <c r="B477" t="s">
        <v>78</v>
      </c>
      <c r="C477" t="s">
        <v>1393</v>
      </c>
      <c r="D477" t="s">
        <v>1392</v>
      </c>
      <c r="E477" t="s">
        <v>3966</v>
      </c>
      <c r="F477" s="23">
        <v>44346</v>
      </c>
      <c r="G477" s="1">
        <v>10225</v>
      </c>
    </row>
    <row r="478" spans="1:7">
      <c r="A478" t="s">
        <v>5711</v>
      </c>
      <c r="B478" t="s">
        <v>149</v>
      </c>
      <c r="C478" t="s">
        <v>287</v>
      </c>
      <c r="D478" t="s">
        <v>286</v>
      </c>
      <c r="E478" t="s">
        <v>3967</v>
      </c>
      <c r="F478" s="23">
        <v>44346</v>
      </c>
      <c r="G478" s="1">
        <v>15835</v>
      </c>
    </row>
    <row r="479" spans="1:7">
      <c r="A479" t="s">
        <v>5711</v>
      </c>
      <c r="B479" t="s">
        <v>106</v>
      </c>
      <c r="C479" t="s">
        <v>2735</v>
      </c>
      <c r="D479" t="s">
        <v>2734</v>
      </c>
      <c r="E479" t="s">
        <v>3968</v>
      </c>
      <c r="F479" s="23">
        <v>44687</v>
      </c>
      <c r="G479" s="1">
        <v>1494</v>
      </c>
    </row>
    <row r="480" spans="1:7">
      <c r="A480" t="s">
        <v>5711</v>
      </c>
      <c r="B480" t="s">
        <v>106</v>
      </c>
      <c r="C480" t="s">
        <v>2912</v>
      </c>
      <c r="D480" t="s">
        <v>2911</v>
      </c>
      <c r="E480" t="s">
        <v>3969</v>
      </c>
      <c r="F480" s="23">
        <v>44712</v>
      </c>
      <c r="G480" s="1">
        <v>6508</v>
      </c>
    </row>
    <row r="481" spans="1:7">
      <c r="A481" t="s">
        <v>5711</v>
      </c>
      <c r="B481" t="s">
        <v>303</v>
      </c>
      <c r="C481" t="s">
        <v>352</v>
      </c>
      <c r="D481" t="s">
        <v>351</v>
      </c>
      <c r="E481" t="s">
        <v>3970</v>
      </c>
      <c r="F481" s="23">
        <v>44346</v>
      </c>
      <c r="G481" s="1">
        <v>4917</v>
      </c>
    </row>
    <row r="482" spans="1:7">
      <c r="A482" t="s">
        <v>5711</v>
      </c>
      <c r="B482" t="s">
        <v>37</v>
      </c>
      <c r="C482" t="s">
        <v>524</v>
      </c>
      <c r="D482" t="s">
        <v>523</v>
      </c>
      <c r="E482" t="s">
        <v>3971</v>
      </c>
      <c r="F482" s="23">
        <v>44346</v>
      </c>
      <c r="G482" s="1">
        <v>3309</v>
      </c>
    </row>
    <row r="483" spans="1:7">
      <c r="A483" t="s">
        <v>5711</v>
      </c>
      <c r="B483" t="s">
        <v>1422</v>
      </c>
      <c r="C483" t="s">
        <v>1421</v>
      </c>
      <c r="D483" t="s">
        <v>5548</v>
      </c>
      <c r="E483" t="s">
        <v>3972</v>
      </c>
      <c r="F483" s="23">
        <v>44346</v>
      </c>
      <c r="G483" s="1">
        <v>12371</v>
      </c>
    </row>
    <row r="484" spans="1:7">
      <c r="A484" t="s">
        <v>5711</v>
      </c>
      <c r="B484" t="s">
        <v>106</v>
      </c>
      <c r="C484" t="s">
        <v>1923</v>
      </c>
      <c r="D484" t="s">
        <v>5549</v>
      </c>
      <c r="E484" t="s">
        <v>3973</v>
      </c>
      <c r="F484" s="23">
        <v>44560</v>
      </c>
      <c r="G484" s="1">
        <v>6299</v>
      </c>
    </row>
    <row r="485" spans="1:7">
      <c r="A485" t="s">
        <v>5711</v>
      </c>
      <c r="B485" t="s">
        <v>196</v>
      </c>
      <c r="C485" t="s">
        <v>1833</v>
      </c>
      <c r="D485" t="s">
        <v>1832</v>
      </c>
      <c r="E485" t="s">
        <v>3974</v>
      </c>
      <c r="F485" s="23">
        <v>44902</v>
      </c>
      <c r="G485" s="1">
        <v>10275</v>
      </c>
    </row>
    <row r="486" spans="1:7">
      <c r="A486" t="s">
        <v>5711</v>
      </c>
      <c r="B486" t="s">
        <v>1560</v>
      </c>
      <c r="C486" t="s">
        <v>1559</v>
      </c>
      <c r="D486" t="s">
        <v>1558</v>
      </c>
      <c r="E486" t="s">
        <v>3975</v>
      </c>
      <c r="F486" s="23">
        <v>44552</v>
      </c>
      <c r="G486" s="1">
        <v>2251</v>
      </c>
    </row>
    <row r="487" spans="1:7">
      <c r="A487" t="s">
        <v>5711</v>
      </c>
      <c r="B487" t="s">
        <v>94</v>
      </c>
      <c r="C487" t="s">
        <v>1998</v>
      </c>
      <c r="D487" t="s">
        <v>1997</v>
      </c>
      <c r="E487" t="s">
        <v>3976</v>
      </c>
      <c r="F487" s="23">
        <v>44379</v>
      </c>
      <c r="G487" s="1">
        <v>5272</v>
      </c>
    </row>
    <row r="488" spans="1:7">
      <c r="A488" t="s">
        <v>5711</v>
      </c>
      <c r="B488" t="s">
        <v>233</v>
      </c>
      <c r="C488" t="s">
        <v>2730</v>
      </c>
      <c r="D488" t="s">
        <v>2729</v>
      </c>
      <c r="E488" t="s">
        <v>3977</v>
      </c>
      <c r="F488" s="23">
        <v>44355</v>
      </c>
      <c r="G488" s="1">
        <v>4625</v>
      </c>
    </row>
    <row r="489" spans="1:7">
      <c r="A489" t="s">
        <v>5711</v>
      </c>
      <c r="B489" t="s">
        <v>94</v>
      </c>
      <c r="C489" t="s">
        <v>3413</v>
      </c>
      <c r="D489" t="s">
        <v>3412</v>
      </c>
      <c r="E489" t="s">
        <v>3978</v>
      </c>
      <c r="F489" s="23">
        <v>44346</v>
      </c>
      <c r="G489" s="1">
        <v>18921</v>
      </c>
    </row>
    <row r="490" spans="1:7">
      <c r="A490" t="s">
        <v>5711</v>
      </c>
      <c r="B490" t="s">
        <v>106</v>
      </c>
      <c r="C490" t="s">
        <v>2937</v>
      </c>
      <c r="D490" t="s">
        <v>2936</v>
      </c>
      <c r="E490" t="s">
        <v>3979</v>
      </c>
      <c r="F490" s="23">
        <v>44806</v>
      </c>
      <c r="G490" s="1">
        <v>10456</v>
      </c>
    </row>
    <row r="491" spans="1:7">
      <c r="A491" t="s">
        <v>5711</v>
      </c>
      <c r="B491" t="s">
        <v>298</v>
      </c>
      <c r="C491" t="s">
        <v>974</v>
      </c>
      <c r="D491" t="s">
        <v>972</v>
      </c>
      <c r="E491" t="s">
        <v>3980</v>
      </c>
      <c r="F491" s="23">
        <v>44520</v>
      </c>
      <c r="G491" s="1">
        <v>7931</v>
      </c>
    </row>
    <row r="492" spans="1:7">
      <c r="A492" t="s">
        <v>5711</v>
      </c>
      <c r="B492" t="s">
        <v>132</v>
      </c>
      <c r="C492" t="s">
        <v>1336</v>
      </c>
      <c r="D492" t="s">
        <v>1335</v>
      </c>
      <c r="E492" t="s">
        <v>3981</v>
      </c>
      <c r="F492" s="23">
        <v>44978</v>
      </c>
      <c r="G492" s="1">
        <v>9930</v>
      </c>
    </row>
    <row r="493" spans="1:7">
      <c r="A493" t="s">
        <v>5711</v>
      </c>
      <c r="B493" t="s">
        <v>106</v>
      </c>
      <c r="C493" t="s">
        <v>3162</v>
      </c>
      <c r="D493" t="s">
        <v>3161</v>
      </c>
      <c r="E493" t="s">
        <v>3982</v>
      </c>
      <c r="F493" s="23">
        <v>44528</v>
      </c>
      <c r="G493" s="1">
        <v>9396</v>
      </c>
    </row>
    <row r="494" spans="1:7">
      <c r="A494" t="s">
        <v>5711</v>
      </c>
      <c r="B494" t="s">
        <v>94</v>
      </c>
      <c r="C494" t="s">
        <v>1887</v>
      </c>
      <c r="D494" t="s">
        <v>2055</v>
      </c>
      <c r="E494" t="s">
        <v>3983</v>
      </c>
      <c r="F494" s="23">
        <v>44722</v>
      </c>
      <c r="G494" s="1">
        <v>663</v>
      </c>
    </row>
    <row r="495" spans="1:7">
      <c r="A495" t="s">
        <v>5711</v>
      </c>
      <c r="B495" t="s">
        <v>94</v>
      </c>
      <c r="C495" t="s">
        <v>3489</v>
      </c>
      <c r="D495" t="s">
        <v>730</v>
      </c>
      <c r="E495" t="s">
        <v>3984</v>
      </c>
      <c r="F495" s="23">
        <v>44432</v>
      </c>
      <c r="G495" s="1">
        <v>3088</v>
      </c>
    </row>
    <row r="496" spans="1:7">
      <c r="A496" t="s">
        <v>5711</v>
      </c>
      <c r="B496" t="s">
        <v>106</v>
      </c>
      <c r="C496" t="s">
        <v>3051</v>
      </c>
      <c r="D496" t="s">
        <v>3050</v>
      </c>
      <c r="E496" t="s">
        <v>3985</v>
      </c>
      <c r="F496" s="23">
        <v>44346</v>
      </c>
      <c r="G496" s="1">
        <v>10352</v>
      </c>
    </row>
    <row r="497" spans="1:7">
      <c r="A497" t="s">
        <v>5711</v>
      </c>
      <c r="B497" t="s">
        <v>233</v>
      </c>
      <c r="C497" t="s">
        <v>2240</v>
      </c>
      <c r="D497" t="s">
        <v>2239</v>
      </c>
      <c r="E497" t="s">
        <v>3986</v>
      </c>
      <c r="F497" s="23">
        <v>44346</v>
      </c>
      <c r="G497" s="1">
        <v>15386</v>
      </c>
    </row>
    <row r="498" spans="1:7">
      <c r="A498" t="s">
        <v>5711</v>
      </c>
      <c r="B498" t="s">
        <v>78</v>
      </c>
      <c r="C498" t="s">
        <v>1801</v>
      </c>
      <c r="D498" t="s">
        <v>1800</v>
      </c>
      <c r="E498" t="s">
        <v>3987</v>
      </c>
      <c r="F498" s="23">
        <v>44812</v>
      </c>
      <c r="G498" s="1">
        <v>1345</v>
      </c>
    </row>
    <row r="499" spans="1:7">
      <c r="A499" t="s">
        <v>5711</v>
      </c>
      <c r="B499" t="s">
        <v>43</v>
      </c>
      <c r="C499" t="s">
        <v>649</v>
      </c>
      <c r="D499" t="s">
        <v>648</v>
      </c>
      <c r="E499" t="s">
        <v>3988</v>
      </c>
      <c r="F499" s="23">
        <v>44346</v>
      </c>
      <c r="G499" s="1">
        <v>17017</v>
      </c>
    </row>
    <row r="500" spans="1:7">
      <c r="A500" t="s">
        <v>5711</v>
      </c>
      <c r="B500" t="s">
        <v>94</v>
      </c>
      <c r="C500" t="s">
        <v>1989</v>
      </c>
      <c r="D500" t="s">
        <v>1988</v>
      </c>
      <c r="E500" t="s">
        <v>3989</v>
      </c>
      <c r="F500" s="23">
        <v>44346</v>
      </c>
      <c r="G500" s="1">
        <v>13389</v>
      </c>
    </row>
    <row r="501" spans="1:7">
      <c r="A501" t="s">
        <v>5711</v>
      </c>
      <c r="B501" t="s">
        <v>106</v>
      </c>
      <c r="C501" t="s">
        <v>1907</v>
      </c>
      <c r="D501" t="s">
        <v>1906</v>
      </c>
      <c r="E501" t="s">
        <v>3990</v>
      </c>
      <c r="F501" s="23">
        <v>44402</v>
      </c>
      <c r="G501" s="1">
        <v>8330</v>
      </c>
    </row>
    <row r="502" spans="1:7">
      <c r="A502" t="s">
        <v>5711</v>
      </c>
      <c r="B502" t="s">
        <v>94</v>
      </c>
      <c r="C502" t="s">
        <v>2003</v>
      </c>
      <c r="D502" t="s">
        <v>2002</v>
      </c>
      <c r="E502" t="s">
        <v>3991</v>
      </c>
      <c r="F502" s="23">
        <v>44346</v>
      </c>
      <c r="G502" s="1">
        <v>18222</v>
      </c>
    </row>
    <row r="503" spans="1:7">
      <c r="A503" t="s">
        <v>5711</v>
      </c>
      <c r="B503" t="s">
        <v>298</v>
      </c>
      <c r="C503" t="s">
        <v>973</v>
      </c>
      <c r="D503" t="s">
        <v>2031</v>
      </c>
      <c r="E503" t="s">
        <v>3992</v>
      </c>
      <c r="F503" s="23">
        <v>44346</v>
      </c>
      <c r="G503" s="1">
        <v>5726</v>
      </c>
    </row>
    <row r="504" spans="1:7">
      <c r="A504" t="s">
        <v>5711</v>
      </c>
      <c r="B504" t="s">
        <v>298</v>
      </c>
      <c r="C504" t="s">
        <v>317</v>
      </c>
      <c r="D504" t="s">
        <v>316</v>
      </c>
      <c r="E504" t="s">
        <v>3993</v>
      </c>
      <c r="F504" s="23">
        <v>44346</v>
      </c>
      <c r="G504" s="1">
        <v>4052</v>
      </c>
    </row>
    <row r="505" spans="1:7">
      <c r="A505" t="s">
        <v>5711</v>
      </c>
      <c r="B505" t="s">
        <v>140</v>
      </c>
      <c r="C505" t="s">
        <v>1178</v>
      </c>
      <c r="D505" t="s">
        <v>1177</v>
      </c>
      <c r="E505" t="s">
        <v>3994</v>
      </c>
      <c r="F505" s="23">
        <v>44639</v>
      </c>
      <c r="G505" s="1">
        <v>2516</v>
      </c>
    </row>
    <row r="506" spans="1:7">
      <c r="A506" t="s">
        <v>5711</v>
      </c>
      <c r="B506" t="s">
        <v>94</v>
      </c>
      <c r="C506" t="s">
        <v>2513</v>
      </c>
      <c r="D506" t="s">
        <v>5550</v>
      </c>
      <c r="E506" t="s">
        <v>3995</v>
      </c>
      <c r="F506" s="23">
        <v>44346</v>
      </c>
      <c r="G506" s="1">
        <v>19247</v>
      </c>
    </row>
    <row r="507" spans="1:7">
      <c r="A507" t="s">
        <v>5711</v>
      </c>
      <c r="B507" t="s">
        <v>2062</v>
      </c>
      <c r="C507" t="s">
        <v>3251</v>
      </c>
      <c r="D507" t="s">
        <v>3250</v>
      </c>
      <c r="E507" t="s">
        <v>3996</v>
      </c>
      <c r="F507" s="23">
        <v>44639</v>
      </c>
      <c r="G507" s="1">
        <v>1321</v>
      </c>
    </row>
    <row r="508" spans="1:7">
      <c r="A508" t="s">
        <v>5711</v>
      </c>
      <c r="B508" t="s">
        <v>367</v>
      </c>
      <c r="C508" t="s">
        <v>366</v>
      </c>
      <c r="D508" t="s">
        <v>5551</v>
      </c>
      <c r="E508" t="s">
        <v>3997</v>
      </c>
      <c r="F508" s="23">
        <v>44346</v>
      </c>
      <c r="G508" s="1">
        <v>14763</v>
      </c>
    </row>
    <row r="509" spans="1:7">
      <c r="A509" t="s">
        <v>5711</v>
      </c>
      <c r="B509" t="s">
        <v>233</v>
      </c>
      <c r="C509" t="s">
        <v>3333</v>
      </c>
      <c r="D509" t="s">
        <v>3332</v>
      </c>
      <c r="E509" t="s">
        <v>3998</v>
      </c>
      <c r="F509" s="23">
        <v>44346</v>
      </c>
      <c r="G509" s="1">
        <v>14828</v>
      </c>
    </row>
    <row r="510" spans="1:7">
      <c r="A510" t="s">
        <v>5711</v>
      </c>
      <c r="B510" t="s">
        <v>298</v>
      </c>
      <c r="C510" t="s">
        <v>3329</v>
      </c>
      <c r="D510" t="s">
        <v>3328</v>
      </c>
      <c r="E510" t="s">
        <v>3999</v>
      </c>
      <c r="F510" s="23">
        <v>44346</v>
      </c>
      <c r="G510" s="1">
        <v>14130</v>
      </c>
    </row>
    <row r="511" spans="1:7">
      <c r="A511" t="s">
        <v>5711</v>
      </c>
      <c r="B511" t="s">
        <v>94</v>
      </c>
      <c r="C511" t="s">
        <v>3003</v>
      </c>
      <c r="D511" t="s">
        <v>3002</v>
      </c>
      <c r="E511" t="s">
        <v>4000</v>
      </c>
      <c r="F511" s="23">
        <v>44346</v>
      </c>
      <c r="G511" s="1">
        <v>16874</v>
      </c>
    </row>
    <row r="512" spans="1:7">
      <c r="A512" t="s">
        <v>5711</v>
      </c>
      <c r="B512" t="s">
        <v>94</v>
      </c>
      <c r="C512" t="s">
        <v>2329</v>
      </c>
      <c r="D512" t="s">
        <v>2328</v>
      </c>
      <c r="E512" t="s">
        <v>4001</v>
      </c>
      <c r="F512" s="23">
        <v>44902</v>
      </c>
      <c r="G512" s="1">
        <v>2825</v>
      </c>
    </row>
    <row r="513" spans="1:7">
      <c r="A513" t="s">
        <v>5711</v>
      </c>
      <c r="B513" t="s">
        <v>642</v>
      </c>
      <c r="C513" t="s">
        <v>641</v>
      </c>
      <c r="D513" t="s">
        <v>640</v>
      </c>
      <c r="E513" t="s">
        <v>4002</v>
      </c>
      <c r="F513" s="23">
        <v>44820</v>
      </c>
      <c r="G513" s="1">
        <v>1441</v>
      </c>
    </row>
    <row r="514" spans="1:7">
      <c r="A514" t="s">
        <v>5711</v>
      </c>
      <c r="B514" t="s">
        <v>106</v>
      </c>
      <c r="C514" t="s">
        <v>3152</v>
      </c>
      <c r="D514" t="s">
        <v>3151</v>
      </c>
      <c r="E514" t="s">
        <v>4003</v>
      </c>
      <c r="F514" s="23">
        <v>44899</v>
      </c>
      <c r="G514" s="1">
        <v>10552</v>
      </c>
    </row>
    <row r="515" spans="1:7">
      <c r="A515" t="s">
        <v>5711</v>
      </c>
      <c r="B515" t="s">
        <v>94</v>
      </c>
      <c r="C515" t="s">
        <v>3487</v>
      </c>
      <c r="D515" t="s">
        <v>1613</v>
      </c>
      <c r="E515" t="s">
        <v>4004</v>
      </c>
      <c r="F515" s="23">
        <v>44346</v>
      </c>
      <c r="G515" s="1">
        <v>18764</v>
      </c>
    </row>
    <row r="516" spans="1:7">
      <c r="A516" t="s">
        <v>5711</v>
      </c>
      <c r="B516" t="s">
        <v>37</v>
      </c>
      <c r="C516" t="s">
        <v>576</v>
      </c>
      <c r="D516" t="s">
        <v>575</v>
      </c>
      <c r="E516" t="s">
        <v>4005</v>
      </c>
      <c r="F516" s="23">
        <v>44495</v>
      </c>
      <c r="G516" s="1">
        <v>10417</v>
      </c>
    </row>
    <row r="517" spans="1:7">
      <c r="A517" t="s">
        <v>5711</v>
      </c>
      <c r="B517" t="s">
        <v>106</v>
      </c>
      <c r="C517" t="s">
        <v>2696</v>
      </c>
      <c r="D517" t="s">
        <v>2695</v>
      </c>
      <c r="E517" t="s">
        <v>4006</v>
      </c>
      <c r="F517" s="23">
        <v>44440</v>
      </c>
      <c r="G517" s="1">
        <v>4439</v>
      </c>
    </row>
    <row r="518" spans="1:7">
      <c r="A518" t="s">
        <v>5711</v>
      </c>
      <c r="B518" t="s">
        <v>106</v>
      </c>
      <c r="C518" t="s">
        <v>2142</v>
      </c>
      <c r="D518" t="s">
        <v>2141</v>
      </c>
      <c r="E518" t="s">
        <v>4007</v>
      </c>
      <c r="F518" s="23">
        <v>44346</v>
      </c>
      <c r="G518" s="1">
        <v>17782</v>
      </c>
    </row>
    <row r="519" spans="1:7">
      <c r="A519" t="s">
        <v>5711</v>
      </c>
      <c r="B519" t="s">
        <v>106</v>
      </c>
      <c r="C519" t="s">
        <v>3190</v>
      </c>
      <c r="D519" t="s">
        <v>3189</v>
      </c>
      <c r="E519" t="s">
        <v>4008</v>
      </c>
      <c r="F519" s="23">
        <v>44346</v>
      </c>
      <c r="G519" s="1">
        <v>5612</v>
      </c>
    </row>
    <row r="520" spans="1:7">
      <c r="A520" t="s">
        <v>5711</v>
      </c>
      <c r="B520" t="s">
        <v>68</v>
      </c>
      <c r="C520" t="s">
        <v>340</v>
      </c>
      <c r="D520" t="s">
        <v>339</v>
      </c>
      <c r="E520" t="s">
        <v>4009</v>
      </c>
      <c r="F520" s="23">
        <v>44346</v>
      </c>
      <c r="G520" s="1">
        <v>10976</v>
      </c>
    </row>
    <row r="521" spans="1:7">
      <c r="A521" t="s">
        <v>5711</v>
      </c>
      <c r="B521" t="s">
        <v>1474</v>
      </c>
      <c r="C521" t="s">
        <v>1473</v>
      </c>
      <c r="D521" t="s">
        <v>1472</v>
      </c>
      <c r="E521" t="s">
        <v>4010</v>
      </c>
      <c r="F521" s="23">
        <v>44346</v>
      </c>
      <c r="G521" s="1">
        <v>17479</v>
      </c>
    </row>
    <row r="522" spans="1:7">
      <c r="A522" t="s">
        <v>5711</v>
      </c>
      <c r="B522" t="s">
        <v>311</v>
      </c>
      <c r="C522" t="s">
        <v>2064</v>
      </c>
      <c r="D522" t="s">
        <v>2126</v>
      </c>
      <c r="E522" t="s">
        <v>4011</v>
      </c>
      <c r="F522" s="23">
        <v>44346</v>
      </c>
      <c r="G522" s="1">
        <v>17487</v>
      </c>
    </row>
    <row r="523" spans="1:7">
      <c r="A523" t="s">
        <v>5711</v>
      </c>
      <c r="B523" t="s">
        <v>94</v>
      </c>
      <c r="C523" t="s">
        <v>3489</v>
      </c>
      <c r="D523" t="s">
        <v>1763</v>
      </c>
      <c r="E523" t="s">
        <v>4012</v>
      </c>
      <c r="F523" s="23">
        <v>44462</v>
      </c>
      <c r="G523" s="1">
        <v>9430</v>
      </c>
    </row>
    <row r="524" spans="1:7">
      <c r="A524" t="s">
        <v>5711</v>
      </c>
      <c r="B524" t="s">
        <v>298</v>
      </c>
      <c r="C524" t="s">
        <v>2660</v>
      </c>
      <c r="D524" t="s">
        <v>5552</v>
      </c>
      <c r="E524" t="s">
        <v>4013</v>
      </c>
      <c r="F524" s="23">
        <v>44346</v>
      </c>
      <c r="G524" s="1">
        <v>16423</v>
      </c>
    </row>
    <row r="525" spans="1:7">
      <c r="A525" t="s">
        <v>5711</v>
      </c>
      <c r="B525" t="s">
        <v>94</v>
      </c>
      <c r="C525" t="s">
        <v>2543</v>
      </c>
      <c r="D525" t="s">
        <v>2542</v>
      </c>
      <c r="E525" t="s">
        <v>4014</v>
      </c>
      <c r="F525" s="23">
        <v>44915</v>
      </c>
      <c r="G525" s="1">
        <v>8074</v>
      </c>
    </row>
    <row r="526" spans="1:7">
      <c r="A526" t="s">
        <v>5711</v>
      </c>
      <c r="B526" t="s">
        <v>94</v>
      </c>
      <c r="C526" t="s">
        <v>2033</v>
      </c>
      <c r="D526" t="s">
        <v>2032</v>
      </c>
      <c r="E526" t="s">
        <v>4015</v>
      </c>
      <c r="F526" s="23">
        <v>45003</v>
      </c>
      <c r="G526" s="1">
        <v>6875</v>
      </c>
    </row>
    <row r="527" spans="1:7">
      <c r="A527" t="s">
        <v>5711</v>
      </c>
      <c r="B527" t="s">
        <v>106</v>
      </c>
      <c r="C527" t="s">
        <v>1905</v>
      </c>
      <c r="D527" t="s">
        <v>1904</v>
      </c>
      <c r="E527" t="s">
        <v>4016</v>
      </c>
      <c r="F527" s="23">
        <v>44346</v>
      </c>
      <c r="G527" s="1">
        <v>15100</v>
      </c>
    </row>
    <row r="528" spans="1:7">
      <c r="A528" t="s">
        <v>5711</v>
      </c>
      <c r="B528" t="s">
        <v>298</v>
      </c>
      <c r="C528" t="s">
        <v>1854</v>
      </c>
      <c r="D528" t="s">
        <v>2164</v>
      </c>
      <c r="E528" t="s">
        <v>4017</v>
      </c>
      <c r="F528" s="23">
        <v>44346</v>
      </c>
      <c r="G528" s="1">
        <v>11824</v>
      </c>
    </row>
    <row r="529" spans="1:7">
      <c r="A529" t="s">
        <v>5711</v>
      </c>
      <c r="B529" t="s">
        <v>233</v>
      </c>
      <c r="C529" t="s">
        <v>2716</v>
      </c>
      <c r="D529" t="s">
        <v>2715</v>
      </c>
      <c r="E529" t="s">
        <v>4018</v>
      </c>
      <c r="F529" s="23">
        <v>44455</v>
      </c>
      <c r="G529" s="1">
        <v>6632</v>
      </c>
    </row>
    <row r="530" spans="1:7">
      <c r="A530" t="s">
        <v>5711</v>
      </c>
      <c r="B530" t="s">
        <v>37</v>
      </c>
      <c r="C530" t="s">
        <v>1753</v>
      </c>
      <c r="D530" t="s">
        <v>1752</v>
      </c>
      <c r="E530" t="s">
        <v>4019</v>
      </c>
      <c r="F530" s="23">
        <v>44805</v>
      </c>
      <c r="G530" s="1">
        <v>7625</v>
      </c>
    </row>
    <row r="531" spans="1:7">
      <c r="A531" t="s">
        <v>5711</v>
      </c>
      <c r="B531" t="s">
        <v>94</v>
      </c>
      <c r="C531" t="s">
        <v>2838</v>
      </c>
      <c r="D531" t="s">
        <v>2837</v>
      </c>
      <c r="E531" t="s">
        <v>4020</v>
      </c>
      <c r="F531" s="23">
        <v>44346</v>
      </c>
      <c r="G531" s="1">
        <v>12074</v>
      </c>
    </row>
    <row r="532" spans="1:7">
      <c r="A532" t="s">
        <v>5711</v>
      </c>
      <c r="B532" t="s">
        <v>106</v>
      </c>
      <c r="C532" t="s">
        <v>3385</v>
      </c>
      <c r="D532" t="s">
        <v>3384</v>
      </c>
      <c r="E532" t="s">
        <v>4021</v>
      </c>
      <c r="F532" s="23">
        <v>44346</v>
      </c>
      <c r="G532" s="1">
        <v>18759</v>
      </c>
    </row>
    <row r="533" spans="1:7">
      <c r="A533" t="s">
        <v>5711</v>
      </c>
      <c r="B533" t="s">
        <v>1345</v>
      </c>
      <c r="C533" t="s">
        <v>1493</v>
      </c>
      <c r="D533" t="s">
        <v>1492</v>
      </c>
      <c r="E533" t="s">
        <v>4022</v>
      </c>
      <c r="F533" s="23">
        <v>44370</v>
      </c>
      <c r="G533" s="1">
        <v>3891</v>
      </c>
    </row>
    <row r="534" spans="1:7">
      <c r="A534" t="s">
        <v>5711</v>
      </c>
      <c r="B534" t="s">
        <v>106</v>
      </c>
      <c r="C534" t="s">
        <v>3017</v>
      </c>
      <c r="D534" t="s">
        <v>3016</v>
      </c>
      <c r="E534" t="s">
        <v>4023</v>
      </c>
      <c r="F534" s="23">
        <v>44346</v>
      </c>
      <c r="G534" s="1">
        <v>12144</v>
      </c>
    </row>
    <row r="535" spans="1:7">
      <c r="A535" t="s">
        <v>5711</v>
      </c>
      <c r="B535" t="s">
        <v>94</v>
      </c>
      <c r="C535" t="s">
        <v>1063</v>
      </c>
      <c r="D535" t="s">
        <v>1062</v>
      </c>
      <c r="E535" t="s">
        <v>4024</v>
      </c>
      <c r="F535" s="23">
        <v>44549</v>
      </c>
      <c r="G535" s="1">
        <v>1805</v>
      </c>
    </row>
    <row r="536" spans="1:7">
      <c r="A536" t="s">
        <v>5711</v>
      </c>
      <c r="B536" t="s">
        <v>311</v>
      </c>
      <c r="C536" t="s">
        <v>2261</v>
      </c>
      <c r="D536" t="s">
        <v>2942</v>
      </c>
      <c r="E536" t="s">
        <v>4025</v>
      </c>
      <c r="F536" s="23">
        <v>44626</v>
      </c>
      <c r="G536" s="1">
        <v>10720</v>
      </c>
    </row>
    <row r="537" spans="1:7">
      <c r="A537" t="s">
        <v>5711</v>
      </c>
      <c r="B537" t="s">
        <v>140</v>
      </c>
      <c r="C537" t="s">
        <v>1497</v>
      </c>
      <c r="D537" t="s">
        <v>1496</v>
      </c>
      <c r="E537" t="s">
        <v>4026</v>
      </c>
      <c r="F537" s="23">
        <v>44346</v>
      </c>
      <c r="G537" s="1">
        <v>19650</v>
      </c>
    </row>
    <row r="538" spans="1:7">
      <c r="A538" t="s">
        <v>5711</v>
      </c>
      <c r="B538" t="s">
        <v>94</v>
      </c>
      <c r="C538" t="s">
        <v>3485</v>
      </c>
      <c r="D538" t="s">
        <v>1793</v>
      </c>
      <c r="E538" t="s">
        <v>4027</v>
      </c>
      <c r="F538" s="23">
        <v>44346</v>
      </c>
      <c r="G538" s="1">
        <v>11340</v>
      </c>
    </row>
    <row r="539" spans="1:7">
      <c r="A539" t="s">
        <v>5711</v>
      </c>
      <c r="B539" t="s">
        <v>106</v>
      </c>
      <c r="C539" t="s">
        <v>2216</v>
      </c>
      <c r="D539" t="s">
        <v>2215</v>
      </c>
      <c r="E539" t="s">
        <v>4028</v>
      </c>
      <c r="F539" s="23">
        <v>44346</v>
      </c>
      <c r="G539" s="1">
        <v>9602</v>
      </c>
    </row>
    <row r="540" spans="1:7">
      <c r="A540" t="s">
        <v>5711</v>
      </c>
      <c r="B540" t="s">
        <v>46</v>
      </c>
      <c r="C540" t="s">
        <v>1340</v>
      </c>
      <c r="D540" t="s">
        <v>1339</v>
      </c>
      <c r="E540" t="s">
        <v>4029</v>
      </c>
      <c r="F540" s="23">
        <v>44346</v>
      </c>
      <c r="G540" s="1">
        <v>11162</v>
      </c>
    </row>
    <row r="541" spans="1:7">
      <c r="A541" t="s">
        <v>5711</v>
      </c>
      <c r="B541" t="s">
        <v>37</v>
      </c>
      <c r="C541" t="s">
        <v>1640</v>
      </c>
      <c r="D541" t="s">
        <v>1639</v>
      </c>
      <c r="E541" t="s">
        <v>4030</v>
      </c>
      <c r="F541" s="23">
        <v>44346</v>
      </c>
      <c r="G541" s="1">
        <v>19962</v>
      </c>
    </row>
    <row r="542" spans="1:7">
      <c r="A542" t="s">
        <v>5711</v>
      </c>
      <c r="B542" t="s">
        <v>298</v>
      </c>
      <c r="C542" t="s">
        <v>2855</v>
      </c>
      <c r="D542" t="s">
        <v>2854</v>
      </c>
      <c r="E542" t="s">
        <v>4031</v>
      </c>
      <c r="F542" s="23">
        <v>44346</v>
      </c>
      <c r="G542" s="1">
        <v>14749</v>
      </c>
    </row>
    <row r="543" spans="1:7">
      <c r="A543" t="s">
        <v>5711</v>
      </c>
      <c r="B543" t="s">
        <v>208</v>
      </c>
      <c r="C543" t="s">
        <v>1011</v>
      </c>
      <c r="D543" t="s">
        <v>1010</v>
      </c>
      <c r="E543" t="s">
        <v>4032</v>
      </c>
      <c r="F543" s="23">
        <v>44346</v>
      </c>
      <c r="G543" s="1">
        <v>1100</v>
      </c>
    </row>
    <row r="544" spans="1:7">
      <c r="A544" t="s">
        <v>5711</v>
      </c>
      <c r="B544" t="s">
        <v>1345</v>
      </c>
      <c r="C544" t="s">
        <v>1404</v>
      </c>
      <c r="D544" t="s">
        <v>5553</v>
      </c>
      <c r="E544" t="s">
        <v>4033</v>
      </c>
      <c r="F544" s="23">
        <v>44346</v>
      </c>
      <c r="G544" s="1">
        <v>17729</v>
      </c>
    </row>
    <row r="545" spans="1:7">
      <c r="A545" t="s">
        <v>5711</v>
      </c>
      <c r="B545" t="s">
        <v>311</v>
      </c>
      <c r="C545" t="s">
        <v>2859</v>
      </c>
      <c r="D545" t="s">
        <v>5554</v>
      </c>
      <c r="E545" t="s">
        <v>4034</v>
      </c>
      <c r="F545" s="23">
        <v>44346</v>
      </c>
      <c r="G545" s="1">
        <v>19286</v>
      </c>
    </row>
    <row r="546" spans="1:7">
      <c r="A546" t="s">
        <v>5711</v>
      </c>
      <c r="B546" t="s">
        <v>106</v>
      </c>
      <c r="C546" t="s">
        <v>2073</v>
      </c>
      <c r="D546" t="s">
        <v>2072</v>
      </c>
      <c r="E546" t="s">
        <v>4035</v>
      </c>
      <c r="F546" s="23">
        <v>44346</v>
      </c>
      <c r="G546" s="1">
        <v>797</v>
      </c>
    </row>
    <row r="547" spans="1:7">
      <c r="A547" t="s">
        <v>5711</v>
      </c>
      <c r="B547" t="s">
        <v>311</v>
      </c>
      <c r="C547" t="s">
        <v>2468</v>
      </c>
      <c r="D547" t="s">
        <v>2467</v>
      </c>
      <c r="E547" t="s">
        <v>4036</v>
      </c>
      <c r="F547" s="23">
        <v>44346</v>
      </c>
      <c r="G547" s="1">
        <v>7086</v>
      </c>
    </row>
    <row r="548" spans="1:7">
      <c r="A548" t="s">
        <v>5711</v>
      </c>
      <c r="B548" t="s">
        <v>106</v>
      </c>
      <c r="C548" t="s">
        <v>2905</v>
      </c>
      <c r="D548" t="s">
        <v>5555</v>
      </c>
      <c r="E548" t="s">
        <v>4037</v>
      </c>
      <c r="F548" s="23">
        <v>44745</v>
      </c>
      <c r="G548" s="1">
        <v>8320</v>
      </c>
    </row>
    <row r="549" spans="1:7">
      <c r="A549" t="s">
        <v>5711</v>
      </c>
      <c r="B549" t="s">
        <v>37</v>
      </c>
      <c r="C549" t="s">
        <v>548</v>
      </c>
      <c r="D549" t="s">
        <v>547</v>
      </c>
      <c r="E549" t="s">
        <v>4038</v>
      </c>
      <c r="F549" s="23">
        <v>44346</v>
      </c>
      <c r="G549" s="1">
        <v>19268</v>
      </c>
    </row>
    <row r="550" spans="1:7">
      <c r="A550" t="s">
        <v>5711</v>
      </c>
      <c r="B550" t="s">
        <v>281</v>
      </c>
      <c r="C550" t="s">
        <v>462</v>
      </c>
      <c r="D550" t="s">
        <v>461</v>
      </c>
      <c r="E550" t="s">
        <v>4039</v>
      </c>
      <c r="F550" s="23">
        <v>44742</v>
      </c>
      <c r="G550" s="1">
        <v>2809</v>
      </c>
    </row>
    <row r="551" spans="1:7">
      <c r="A551" t="s">
        <v>5711</v>
      </c>
      <c r="B551" t="s">
        <v>233</v>
      </c>
      <c r="C551" t="s">
        <v>1887</v>
      </c>
      <c r="D551" t="s">
        <v>3097</v>
      </c>
      <c r="E551" t="s">
        <v>4040</v>
      </c>
      <c r="F551" s="23">
        <v>44346</v>
      </c>
      <c r="G551" s="1">
        <v>3839</v>
      </c>
    </row>
    <row r="552" spans="1:7">
      <c r="A552" t="s">
        <v>5711</v>
      </c>
      <c r="B552" t="s">
        <v>132</v>
      </c>
      <c r="C552" t="s">
        <v>415</v>
      </c>
      <c r="D552" t="s">
        <v>414</v>
      </c>
      <c r="E552" t="s">
        <v>4041</v>
      </c>
      <c r="F552" s="23">
        <v>44575</v>
      </c>
      <c r="G552" s="1">
        <v>10296</v>
      </c>
    </row>
    <row r="553" spans="1:7">
      <c r="A553" t="s">
        <v>5711</v>
      </c>
      <c r="B553" t="s">
        <v>94</v>
      </c>
      <c r="C553" t="s">
        <v>1350</v>
      </c>
      <c r="D553" t="s">
        <v>5556</v>
      </c>
      <c r="E553" t="s">
        <v>4042</v>
      </c>
      <c r="F553" s="23">
        <v>44606</v>
      </c>
      <c r="G553" s="1">
        <v>4954</v>
      </c>
    </row>
    <row r="554" spans="1:7">
      <c r="A554" t="s">
        <v>5711</v>
      </c>
      <c r="B554" t="s">
        <v>298</v>
      </c>
      <c r="C554" t="s">
        <v>3013</v>
      </c>
      <c r="D554" t="s">
        <v>3012</v>
      </c>
      <c r="E554" t="s">
        <v>4043</v>
      </c>
      <c r="F554" s="23">
        <v>44615</v>
      </c>
      <c r="G554" s="1">
        <v>4893</v>
      </c>
    </row>
    <row r="555" spans="1:7">
      <c r="A555" t="s">
        <v>5711</v>
      </c>
      <c r="B555" t="s">
        <v>75</v>
      </c>
      <c r="C555" t="s">
        <v>1532</v>
      </c>
      <c r="D555" t="s">
        <v>1531</v>
      </c>
      <c r="E555" t="s">
        <v>4044</v>
      </c>
      <c r="F555" s="23">
        <v>44346</v>
      </c>
      <c r="G555" s="1">
        <v>18052</v>
      </c>
    </row>
    <row r="556" spans="1:7">
      <c r="A556" t="s">
        <v>5711</v>
      </c>
      <c r="B556" t="s">
        <v>43</v>
      </c>
      <c r="C556" t="s">
        <v>978</v>
      </c>
      <c r="D556" t="s">
        <v>977</v>
      </c>
      <c r="E556" t="s">
        <v>4045</v>
      </c>
      <c r="F556" s="23">
        <v>44417</v>
      </c>
      <c r="G556" s="1">
        <v>5069</v>
      </c>
    </row>
    <row r="557" spans="1:7">
      <c r="A557" t="s">
        <v>5711</v>
      </c>
      <c r="B557" t="s">
        <v>311</v>
      </c>
      <c r="C557" t="s">
        <v>2294</v>
      </c>
      <c r="D557" t="s">
        <v>2708</v>
      </c>
      <c r="E557" t="s">
        <v>4046</v>
      </c>
      <c r="F557" s="23">
        <v>44821</v>
      </c>
      <c r="G557" s="1">
        <v>7687</v>
      </c>
    </row>
    <row r="558" spans="1:7">
      <c r="A558" t="s">
        <v>5711</v>
      </c>
      <c r="B558" t="s">
        <v>94</v>
      </c>
      <c r="C558" t="s">
        <v>2894</v>
      </c>
      <c r="D558" t="s">
        <v>2893</v>
      </c>
      <c r="E558" t="s">
        <v>4047</v>
      </c>
      <c r="F558" s="23">
        <v>45025</v>
      </c>
      <c r="G558" s="1">
        <v>941</v>
      </c>
    </row>
    <row r="559" spans="1:7">
      <c r="A559" t="s">
        <v>5711</v>
      </c>
      <c r="B559" t="s">
        <v>94</v>
      </c>
      <c r="C559" t="s">
        <v>3259</v>
      </c>
      <c r="D559" t="s">
        <v>3258</v>
      </c>
      <c r="E559" t="s">
        <v>4048</v>
      </c>
      <c r="F559" s="23">
        <v>44346</v>
      </c>
      <c r="G559" s="1">
        <v>16569</v>
      </c>
    </row>
    <row r="560" spans="1:7">
      <c r="A560" t="s">
        <v>5711</v>
      </c>
      <c r="B560" t="s">
        <v>400</v>
      </c>
      <c r="C560" t="s">
        <v>1524</v>
      </c>
      <c r="D560" t="s">
        <v>1523</v>
      </c>
      <c r="E560" t="s">
        <v>4049</v>
      </c>
      <c r="F560" s="23">
        <v>44710</v>
      </c>
      <c r="G560" s="1">
        <v>11184</v>
      </c>
    </row>
    <row r="561" spans="1:7">
      <c r="A561" t="s">
        <v>5711</v>
      </c>
      <c r="B561" t="s">
        <v>68</v>
      </c>
      <c r="C561" t="s">
        <v>1113</v>
      </c>
      <c r="D561" t="s">
        <v>1112</v>
      </c>
      <c r="E561" t="s">
        <v>4050</v>
      </c>
      <c r="F561" s="23">
        <v>44346</v>
      </c>
      <c r="G561" s="1">
        <v>8444</v>
      </c>
    </row>
    <row r="562" spans="1:7">
      <c r="A562" t="s">
        <v>5711</v>
      </c>
      <c r="B562" t="s">
        <v>106</v>
      </c>
      <c r="C562" t="s">
        <v>2362</v>
      </c>
      <c r="D562" t="s">
        <v>2361</v>
      </c>
      <c r="E562" t="s">
        <v>4051</v>
      </c>
      <c r="F562" s="23">
        <v>44346</v>
      </c>
      <c r="G562" s="1">
        <v>12844</v>
      </c>
    </row>
    <row r="563" spans="1:7">
      <c r="A563" t="s">
        <v>5711</v>
      </c>
      <c r="B563" t="s">
        <v>311</v>
      </c>
      <c r="C563" t="s">
        <v>335</v>
      </c>
      <c r="D563" t="s">
        <v>334</v>
      </c>
      <c r="E563" t="s">
        <v>4052</v>
      </c>
      <c r="F563" s="23">
        <v>44346</v>
      </c>
      <c r="G563" s="1">
        <v>10192</v>
      </c>
    </row>
    <row r="564" spans="1:7">
      <c r="A564" t="s">
        <v>5711</v>
      </c>
      <c r="B564" t="s">
        <v>94</v>
      </c>
      <c r="C564" t="s">
        <v>2485</v>
      </c>
      <c r="D564" t="s">
        <v>2484</v>
      </c>
      <c r="E564" t="s">
        <v>4053</v>
      </c>
      <c r="F564" s="23">
        <v>44346</v>
      </c>
      <c r="G564" s="1">
        <v>13917</v>
      </c>
    </row>
    <row r="565" spans="1:7">
      <c r="A565" t="s">
        <v>5711</v>
      </c>
      <c r="B565" t="s">
        <v>58</v>
      </c>
      <c r="C565" t="s">
        <v>57</v>
      </c>
      <c r="D565" t="s">
        <v>56</v>
      </c>
      <c r="E565" t="s">
        <v>4054</v>
      </c>
      <c r="F565" s="23">
        <v>44743</v>
      </c>
      <c r="G565" s="1">
        <v>1781</v>
      </c>
    </row>
    <row r="566" spans="1:7">
      <c r="A566" t="s">
        <v>5711</v>
      </c>
      <c r="B566" t="s">
        <v>311</v>
      </c>
      <c r="C566" t="s">
        <v>794</v>
      </c>
      <c r="D566" t="s">
        <v>3043</v>
      </c>
      <c r="E566" t="s">
        <v>4055</v>
      </c>
      <c r="F566" s="23">
        <v>44346</v>
      </c>
      <c r="G566" s="1">
        <v>14296</v>
      </c>
    </row>
    <row r="567" spans="1:7">
      <c r="A567" t="s">
        <v>5711</v>
      </c>
      <c r="B567" t="s">
        <v>298</v>
      </c>
      <c r="C567" t="s">
        <v>1337</v>
      </c>
      <c r="D567" t="s">
        <v>5557</v>
      </c>
      <c r="E567" t="s">
        <v>4056</v>
      </c>
      <c r="F567" s="23">
        <v>44346</v>
      </c>
      <c r="G567" s="1">
        <v>12102</v>
      </c>
    </row>
    <row r="568" spans="1:7">
      <c r="A568" t="s">
        <v>5711</v>
      </c>
      <c r="B568" t="s">
        <v>106</v>
      </c>
      <c r="C568" t="s">
        <v>2638</v>
      </c>
      <c r="D568" t="s">
        <v>5558</v>
      </c>
      <c r="E568" t="s">
        <v>4057</v>
      </c>
      <c r="F568" s="23">
        <v>44509</v>
      </c>
      <c r="G568" s="1">
        <v>6240</v>
      </c>
    </row>
    <row r="569" spans="1:7">
      <c r="A569" t="s">
        <v>5711</v>
      </c>
      <c r="B569" t="s">
        <v>68</v>
      </c>
      <c r="C569" t="s">
        <v>252</v>
      </c>
      <c r="D569" t="s">
        <v>251</v>
      </c>
      <c r="E569" t="s">
        <v>4058</v>
      </c>
      <c r="F569" s="23">
        <v>44624</v>
      </c>
      <c r="G569" s="1">
        <v>8985</v>
      </c>
    </row>
    <row r="570" spans="1:7">
      <c r="A570" t="s">
        <v>5711</v>
      </c>
      <c r="B570" t="s">
        <v>298</v>
      </c>
      <c r="C570" t="s">
        <v>2504</v>
      </c>
      <c r="D570" t="s">
        <v>5559</v>
      </c>
      <c r="E570" t="s">
        <v>4059</v>
      </c>
      <c r="F570" s="23">
        <v>44346</v>
      </c>
      <c r="G570" s="1">
        <v>18987</v>
      </c>
    </row>
    <row r="571" spans="1:7">
      <c r="A571" t="s">
        <v>5711</v>
      </c>
      <c r="B571" t="s">
        <v>281</v>
      </c>
      <c r="C571" t="s">
        <v>280</v>
      </c>
      <c r="D571" t="s">
        <v>5560</v>
      </c>
      <c r="E571" t="s">
        <v>4060</v>
      </c>
      <c r="F571" s="23">
        <v>44346</v>
      </c>
      <c r="G571" s="1">
        <v>2876</v>
      </c>
    </row>
    <row r="572" spans="1:7">
      <c r="A572" t="s">
        <v>5711</v>
      </c>
      <c r="B572" t="s">
        <v>106</v>
      </c>
      <c r="C572" t="s">
        <v>423</v>
      </c>
      <c r="D572" t="s">
        <v>422</v>
      </c>
      <c r="E572" t="s">
        <v>4061</v>
      </c>
      <c r="F572" s="23">
        <v>44346</v>
      </c>
      <c r="G572" s="1">
        <v>12086</v>
      </c>
    </row>
    <row r="573" spans="1:7">
      <c r="A573" t="s">
        <v>5711</v>
      </c>
      <c r="B573" t="s">
        <v>94</v>
      </c>
      <c r="C573" t="s">
        <v>3487</v>
      </c>
      <c r="D573" t="s">
        <v>1771</v>
      </c>
      <c r="E573" t="s">
        <v>4062</v>
      </c>
      <c r="F573" s="23">
        <v>44346</v>
      </c>
      <c r="G573" s="1">
        <v>15872</v>
      </c>
    </row>
    <row r="574" spans="1:7">
      <c r="A574" t="s">
        <v>5711</v>
      </c>
      <c r="B574" t="s">
        <v>298</v>
      </c>
      <c r="C574" t="s">
        <v>2491</v>
      </c>
      <c r="D574" t="s">
        <v>2490</v>
      </c>
      <c r="E574" t="s">
        <v>4063</v>
      </c>
      <c r="F574" s="23">
        <v>44346</v>
      </c>
      <c r="G574" s="1">
        <v>9578</v>
      </c>
    </row>
    <row r="575" spans="1:7">
      <c r="A575" t="s">
        <v>5711</v>
      </c>
      <c r="B575" t="s">
        <v>208</v>
      </c>
      <c r="C575" t="s">
        <v>555</v>
      </c>
      <c r="D575" t="s">
        <v>554</v>
      </c>
      <c r="E575" t="s">
        <v>4064</v>
      </c>
      <c r="F575" s="23">
        <v>44346</v>
      </c>
      <c r="G575" s="1">
        <v>17610</v>
      </c>
    </row>
    <row r="576" spans="1:7">
      <c r="A576" t="s">
        <v>5711</v>
      </c>
      <c r="B576" t="s">
        <v>298</v>
      </c>
      <c r="C576" t="s">
        <v>872</v>
      </c>
      <c r="D576" t="s">
        <v>5561</v>
      </c>
      <c r="E576" t="s">
        <v>4065</v>
      </c>
      <c r="F576" s="23">
        <v>44346</v>
      </c>
      <c r="G576" s="1">
        <v>11904</v>
      </c>
    </row>
    <row r="577" spans="1:7">
      <c r="A577" t="s">
        <v>5711</v>
      </c>
      <c r="B577" t="s">
        <v>298</v>
      </c>
      <c r="C577" t="s">
        <v>2491</v>
      </c>
      <c r="D577" t="s">
        <v>3478</v>
      </c>
      <c r="E577" t="s">
        <v>4066</v>
      </c>
      <c r="F577" s="23">
        <v>44346</v>
      </c>
      <c r="G577" s="1">
        <v>4000</v>
      </c>
    </row>
    <row r="578" spans="1:7">
      <c r="A578" t="s">
        <v>5711</v>
      </c>
      <c r="B578" t="s">
        <v>46</v>
      </c>
      <c r="C578" t="s">
        <v>483</v>
      </c>
      <c r="D578" t="s">
        <v>482</v>
      </c>
      <c r="E578" t="s">
        <v>4067</v>
      </c>
      <c r="F578" s="23">
        <v>44346</v>
      </c>
      <c r="G578" s="1">
        <v>7783</v>
      </c>
    </row>
    <row r="579" spans="1:7">
      <c r="A579" t="s">
        <v>5711</v>
      </c>
      <c r="B579" t="s">
        <v>106</v>
      </c>
      <c r="C579" t="s">
        <v>2686</v>
      </c>
      <c r="D579" t="s">
        <v>2829</v>
      </c>
      <c r="E579" t="s">
        <v>4068</v>
      </c>
      <c r="F579" s="23">
        <v>44346</v>
      </c>
      <c r="G579" s="1">
        <v>14976</v>
      </c>
    </row>
    <row r="580" spans="1:7">
      <c r="A580" t="s">
        <v>5711</v>
      </c>
      <c r="B580" t="s">
        <v>233</v>
      </c>
      <c r="C580" t="s">
        <v>295</v>
      </c>
      <c r="D580" t="s">
        <v>294</v>
      </c>
      <c r="E580" t="s">
        <v>4069</v>
      </c>
      <c r="F580" s="23">
        <v>44346</v>
      </c>
      <c r="G580" s="1">
        <v>7468</v>
      </c>
    </row>
    <row r="581" spans="1:7">
      <c r="A581" t="s">
        <v>5711</v>
      </c>
      <c r="B581" t="s">
        <v>106</v>
      </c>
      <c r="C581" t="s">
        <v>2244</v>
      </c>
      <c r="D581" t="s">
        <v>2243</v>
      </c>
      <c r="E581" t="s">
        <v>4070</v>
      </c>
      <c r="F581" s="23">
        <v>44346</v>
      </c>
      <c r="G581" s="1">
        <v>16951</v>
      </c>
    </row>
    <row r="582" spans="1:7">
      <c r="A582" t="s">
        <v>5711</v>
      </c>
      <c r="B582" t="s">
        <v>236</v>
      </c>
      <c r="C582" t="s">
        <v>235</v>
      </c>
      <c r="D582" t="s">
        <v>234</v>
      </c>
      <c r="E582" t="s">
        <v>4071</v>
      </c>
      <c r="F582" s="23">
        <v>44346</v>
      </c>
      <c r="G582" s="1">
        <v>19791</v>
      </c>
    </row>
    <row r="583" spans="1:7">
      <c r="A583" t="s">
        <v>5711</v>
      </c>
      <c r="B583" t="s">
        <v>94</v>
      </c>
      <c r="C583" t="s">
        <v>1262</v>
      </c>
      <c r="D583" t="s">
        <v>1261</v>
      </c>
      <c r="E583" t="s">
        <v>4072</v>
      </c>
      <c r="F583" s="23">
        <v>44346</v>
      </c>
      <c r="G583" s="1">
        <v>7086</v>
      </c>
    </row>
    <row r="584" spans="1:7">
      <c r="A584" t="s">
        <v>5711</v>
      </c>
      <c r="B584" t="s">
        <v>233</v>
      </c>
      <c r="C584" t="s">
        <v>2907</v>
      </c>
      <c r="D584" t="s">
        <v>2906</v>
      </c>
      <c r="E584" t="s">
        <v>4073</v>
      </c>
      <c r="F584" s="23">
        <v>44781</v>
      </c>
      <c r="G584" s="1">
        <v>4930</v>
      </c>
    </row>
    <row r="585" spans="1:7">
      <c r="A585" t="s">
        <v>5711</v>
      </c>
      <c r="B585" t="s">
        <v>94</v>
      </c>
      <c r="C585" t="s">
        <v>3490</v>
      </c>
      <c r="D585" t="s">
        <v>1635</v>
      </c>
      <c r="E585" t="s">
        <v>4074</v>
      </c>
      <c r="F585" s="23">
        <v>44961</v>
      </c>
      <c r="G585" s="1">
        <v>9075</v>
      </c>
    </row>
    <row r="586" spans="1:7">
      <c r="A586" t="s">
        <v>5711</v>
      </c>
      <c r="B586" t="s">
        <v>37</v>
      </c>
      <c r="C586" t="s">
        <v>323</v>
      </c>
      <c r="D586" t="s">
        <v>1595</v>
      </c>
      <c r="E586" t="s">
        <v>4075</v>
      </c>
      <c r="F586" s="23">
        <v>44346</v>
      </c>
      <c r="G586" s="1">
        <v>10009</v>
      </c>
    </row>
    <row r="587" spans="1:7">
      <c r="A587" t="s">
        <v>5711</v>
      </c>
      <c r="B587" t="s">
        <v>43</v>
      </c>
      <c r="C587" t="s">
        <v>1278</v>
      </c>
      <c r="D587" t="s">
        <v>1277</v>
      </c>
      <c r="E587" t="s">
        <v>4076</v>
      </c>
      <c r="F587" s="23">
        <v>44794</v>
      </c>
      <c r="G587" s="1">
        <v>1388</v>
      </c>
    </row>
    <row r="588" spans="1:7">
      <c r="A588" t="s">
        <v>5711</v>
      </c>
      <c r="B588" t="s">
        <v>97</v>
      </c>
      <c r="C588" t="s">
        <v>696</v>
      </c>
      <c r="D588" t="s">
        <v>695</v>
      </c>
      <c r="E588" t="s">
        <v>4077</v>
      </c>
      <c r="F588" s="23">
        <v>44346</v>
      </c>
      <c r="G588" s="1">
        <v>12823</v>
      </c>
    </row>
    <row r="589" spans="1:7">
      <c r="A589" t="s">
        <v>5711</v>
      </c>
      <c r="B589" t="s">
        <v>94</v>
      </c>
      <c r="C589" t="s">
        <v>2517</v>
      </c>
      <c r="D589" t="s">
        <v>5562</v>
      </c>
      <c r="E589" t="s">
        <v>4078</v>
      </c>
      <c r="F589" s="23">
        <v>44346</v>
      </c>
      <c r="G589" s="1">
        <v>18347</v>
      </c>
    </row>
    <row r="590" spans="1:7">
      <c r="A590" t="s">
        <v>5711</v>
      </c>
      <c r="B590" t="s">
        <v>106</v>
      </c>
      <c r="C590" t="s">
        <v>3102</v>
      </c>
      <c r="D590" t="s">
        <v>3101</v>
      </c>
      <c r="E590" t="s">
        <v>4079</v>
      </c>
      <c r="F590" s="23">
        <v>44538</v>
      </c>
      <c r="G590" s="1">
        <v>1952</v>
      </c>
    </row>
    <row r="591" spans="1:7">
      <c r="A591" t="s">
        <v>5711</v>
      </c>
      <c r="B591" t="s">
        <v>298</v>
      </c>
      <c r="C591" t="s">
        <v>317</v>
      </c>
      <c r="D591" t="s">
        <v>3317</v>
      </c>
      <c r="E591" t="s">
        <v>4080</v>
      </c>
      <c r="F591" s="23">
        <v>44346</v>
      </c>
      <c r="G591" s="1">
        <v>9677</v>
      </c>
    </row>
    <row r="592" spans="1:7">
      <c r="A592" t="s">
        <v>5711</v>
      </c>
      <c r="B592" t="s">
        <v>233</v>
      </c>
      <c r="C592" t="s">
        <v>2266</v>
      </c>
      <c r="D592" t="s">
        <v>2647</v>
      </c>
      <c r="E592" t="s">
        <v>4081</v>
      </c>
      <c r="F592" s="23">
        <v>44346</v>
      </c>
      <c r="G592" s="1">
        <v>9270</v>
      </c>
    </row>
    <row r="593" spans="1:7">
      <c r="A593" t="s">
        <v>5711</v>
      </c>
      <c r="B593" t="s">
        <v>43</v>
      </c>
      <c r="C593" t="s">
        <v>1499</v>
      </c>
      <c r="D593" t="s">
        <v>1498</v>
      </c>
      <c r="E593" t="s">
        <v>4082</v>
      </c>
      <c r="F593" s="23">
        <v>44346</v>
      </c>
      <c r="G593" s="1">
        <v>17449</v>
      </c>
    </row>
    <row r="594" spans="1:7">
      <c r="A594" t="s">
        <v>5711</v>
      </c>
      <c r="B594" t="s">
        <v>311</v>
      </c>
      <c r="C594" t="s">
        <v>3150</v>
      </c>
      <c r="D594" t="s">
        <v>3149</v>
      </c>
      <c r="E594" t="s">
        <v>4083</v>
      </c>
      <c r="F594" s="23">
        <v>44892</v>
      </c>
      <c r="G594" s="1">
        <v>7137</v>
      </c>
    </row>
    <row r="595" spans="1:7">
      <c r="A595" t="s">
        <v>5711</v>
      </c>
      <c r="B595" t="s">
        <v>298</v>
      </c>
      <c r="C595" t="s">
        <v>3005</v>
      </c>
      <c r="D595" t="s">
        <v>3004</v>
      </c>
      <c r="E595" t="s">
        <v>4084</v>
      </c>
      <c r="F595" s="23">
        <v>44346</v>
      </c>
      <c r="G595" s="1">
        <v>14118</v>
      </c>
    </row>
    <row r="596" spans="1:7">
      <c r="A596" t="s">
        <v>5711</v>
      </c>
      <c r="B596" t="s">
        <v>298</v>
      </c>
      <c r="C596" t="s">
        <v>2672</v>
      </c>
      <c r="D596" t="s">
        <v>2671</v>
      </c>
      <c r="E596" t="s">
        <v>4085</v>
      </c>
      <c r="F596" s="23">
        <v>44486</v>
      </c>
      <c r="G596" s="1">
        <v>11877</v>
      </c>
    </row>
    <row r="597" spans="1:7">
      <c r="A597" t="s">
        <v>5711</v>
      </c>
      <c r="B597" t="s">
        <v>37</v>
      </c>
      <c r="C597" t="s">
        <v>323</v>
      </c>
      <c r="D597" t="s">
        <v>322</v>
      </c>
      <c r="E597" t="s">
        <v>4086</v>
      </c>
      <c r="F597" s="23">
        <v>44346</v>
      </c>
      <c r="G597" s="1">
        <v>7465</v>
      </c>
    </row>
    <row r="598" spans="1:7">
      <c r="A598" t="s">
        <v>5711</v>
      </c>
      <c r="B598" t="s">
        <v>233</v>
      </c>
      <c r="C598" t="s">
        <v>593</v>
      </c>
      <c r="D598" t="s">
        <v>592</v>
      </c>
      <c r="E598" t="s">
        <v>4087</v>
      </c>
      <c r="F598" s="23">
        <v>44346</v>
      </c>
      <c r="G598" s="1">
        <v>12735</v>
      </c>
    </row>
    <row r="599" spans="1:7">
      <c r="A599" t="s">
        <v>5711</v>
      </c>
      <c r="B599" t="s">
        <v>1223</v>
      </c>
      <c r="C599" t="s">
        <v>2818</v>
      </c>
      <c r="D599" t="s">
        <v>5563</v>
      </c>
      <c r="E599" t="s">
        <v>4088</v>
      </c>
      <c r="F599" s="23">
        <v>44541</v>
      </c>
      <c r="G599" s="1">
        <v>5332</v>
      </c>
    </row>
    <row r="600" spans="1:7">
      <c r="A600" t="s">
        <v>5711</v>
      </c>
      <c r="B600" t="s">
        <v>94</v>
      </c>
      <c r="C600" t="s">
        <v>3265</v>
      </c>
      <c r="D600" t="s">
        <v>330</v>
      </c>
      <c r="E600" t="s">
        <v>4089</v>
      </c>
      <c r="F600" s="23">
        <v>44346</v>
      </c>
      <c r="G600" s="1">
        <v>12616</v>
      </c>
    </row>
    <row r="601" spans="1:7">
      <c r="A601" t="s">
        <v>5711</v>
      </c>
      <c r="B601" t="s">
        <v>106</v>
      </c>
      <c r="C601" t="s">
        <v>2463</v>
      </c>
      <c r="D601" t="s">
        <v>2462</v>
      </c>
      <c r="E601" t="s">
        <v>4090</v>
      </c>
      <c r="F601" s="23">
        <v>44346</v>
      </c>
      <c r="G601" s="1">
        <v>19007</v>
      </c>
    </row>
    <row r="602" spans="1:7">
      <c r="A602" t="s">
        <v>5711</v>
      </c>
      <c r="B602" t="s">
        <v>298</v>
      </c>
      <c r="C602" t="s">
        <v>295</v>
      </c>
      <c r="D602" t="s">
        <v>2606</v>
      </c>
      <c r="E602" t="s">
        <v>4091</v>
      </c>
      <c r="F602" s="23">
        <v>44964</v>
      </c>
      <c r="G602" s="1">
        <v>8779</v>
      </c>
    </row>
    <row r="603" spans="1:7">
      <c r="A603" t="s">
        <v>5711</v>
      </c>
      <c r="B603" t="s">
        <v>94</v>
      </c>
      <c r="C603" t="s">
        <v>2309</v>
      </c>
      <c r="D603" t="s">
        <v>2308</v>
      </c>
      <c r="E603" t="s">
        <v>4092</v>
      </c>
      <c r="F603" s="23">
        <v>44346</v>
      </c>
      <c r="G603" s="1">
        <v>15514</v>
      </c>
    </row>
    <row r="604" spans="1:7">
      <c r="A604" t="s">
        <v>5711</v>
      </c>
      <c r="B604" t="s">
        <v>106</v>
      </c>
      <c r="C604" t="s">
        <v>3339</v>
      </c>
      <c r="D604" t="s">
        <v>3338</v>
      </c>
      <c r="E604" t="s">
        <v>4093</v>
      </c>
      <c r="F604" s="23">
        <v>44346</v>
      </c>
      <c r="G604" s="1">
        <v>3852</v>
      </c>
    </row>
    <row r="605" spans="1:7">
      <c r="A605" t="s">
        <v>5711</v>
      </c>
      <c r="B605" t="s">
        <v>37</v>
      </c>
      <c r="C605" t="s">
        <v>51</v>
      </c>
      <c r="D605" t="s">
        <v>50</v>
      </c>
      <c r="E605" t="s">
        <v>4094</v>
      </c>
      <c r="F605" s="23">
        <v>44346</v>
      </c>
      <c r="G605" s="1">
        <v>16042</v>
      </c>
    </row>
    <row r="606" spans="1:7">
      <c r="A606" t="s">
        <v>5711</v>
      </c>
      <c r="B606" t="s">
        <v>676</v>
      </c>
      <c r="C606" t="s">
        <v>1085</v>
      </c>
      <c r="D606" t="s">
        <v>1084</v>
      </c>
      <c r="E606" t="s">
        <v>4095</v>
      </c>
      <c r="F606" s="23">
        <v>44346</v>
      </c>
      <c r="G606" s="1">
        <v>4356</v>
      </c>
    </row>
    <row r="607" spans="1:7">
      <c r="A607" t="s">
        <v>5711</v>
      </c>
      <c r="B607" t="s">
        <v>101</v>
      </c>
      <c r="C607" t="s">
        <v>193</v>
      </c>
      <c r="D607" t="s">
        <v>192</v>
      </c>
      <c r="E607" t="s">
        <v>4096</v>
      </c>
      <c r="F607" s="23">
        <v>44346</v>
      </c>
      <c r="G607" s="1">
        <v>13245</v>
      </c>
    </row>
    <row r="608" spans="1:7">
      <c r="A608" t="s">
        <v>5711</v>
      </c>
      <c r="B608" t="s">
        <v>94</v>
      </c>
      <c r="C608" t="s">
        <v>3114</v>
      </c>
      <c r="D608" t="s">
        <v>3113</v>
      </c>
      <c r="E608" t="s">
        <v>4097</v>
      </c>
      <c r="F608" s="23">
        <v>44346</v>
      </c>
      <c r="G608" s="1">
        <v>12041</v>
      </c>
    </row>
    <row r="609" spans="1:7">
      <c r="A609" t="s">
        <v>5711</v>
      </c>
      <c r="B609" t="s">
        <v>208</v>
      </c>
      <c r="C609" t="s">
        <v>729</v>
      </c>
      <c r="D609" t="s">
        <v>728</v>
      </c>
      <c r="E609" t="s">
        <v>4098</v>
      </c>
      <c r="F609" s="23">
        <v>44346</v>
      </c>
      <c r="G609" s="1">
        <v>1559</v>
      </c>
    </row>
    <row r="610" spans="1:7">
      <c r="A610" t="s">
        <v>5711</v>
      </c>
      <c r="B610" t="s">
        <v>94</v>
      </c>
      <c r="C610" t="s">
        <v>3431</v>
      </c>
      <c r="D610" t="s">
        <v>3430</v>
      </c>
      <c r="E610" t="s">
        <v>4099</v>
      </c>
      <c r="F610" s="23">
        <v>44346</v>
      </c>
      <c r="G610" s="1">
        <v>19591</v>
      </c>
    </row>
    <row r="611" spans="1:7">
      <c r="A611" t="s">
        <v>5711</v>
      </c>
      <c r="B611" t="s">
        <v>311</v>
      </c>
      <c r="C611" t="s">
        <v>2884</v>
      </c>
      <c r="D611" t="s">
        <v>2883</v>
      </c>
      <c r="E611" t="s">
        <v>4100</v>
      </c>
      <c r="F611" s="23">
        <v>44346</v>
      </c>
      <c r="G611" s="1">
        <v>8885</v>
      </c>
    </row>
    <row r="612" spans="1:7">
      <c r="A612" t="s">
        <v>5711</v>
      </c>
      <c r="B612" t="s">
        <v>94</v>
      </c>
      <c r="C612" t="s">
        <v>2580</v>
      </c>
      <c r="D612" t="s">
        <v>2579</v>
      </c>
      <c r="E612" t="s">
        <v>4101</v>
      </c>
      <c r="F612" s="23">
        <v>44933</v>
      </c>
      <c r="G612" s="1">
        <v>890</v>
      </c>
    </row>
    <row r="613" spans="1:7">
      <c r="A613" t="s">
        <v>5711</v>
      </c>
      <c r="B613" t="s">
        <v>94</v>
      </c>
      <c r="C613" t="s">
        <v>3485</v>
      </c>
      <c r="D613" t="s">
        <v>539</v>
      </c>
      <c r="E613" t="s">
        <v>4102</v>
      </c>
      <c r="F613" s="23">
        <v>44346</v>
      </c>
      <c r="G613" s="1">
        <v>14279</v>
      </c>
    </row>
    <row r="614" spans="1:7">
      <c r="A614" t="s">
        <v>5711</v>
      </c>
      <c r="B614" t="s">
        <v>94</v>
      </c>
      <c r="C614" t="s">
        <v>2449</v>
      </c>
      <c r="D614" t="s">
        <v>2448</v>
      </c>
      <c r="E614" t="s">
        <v>4103</v>
      </c>
      <c r="F614" s="23">
        <v>44346</v>
      </c>
      <c r="G614" s="1">
        <v>17990</v>
      </c>
    </row>
    <row r="615" spans="1:7">
      <c r="A615" t="s">
        <v>5711</v>
      </c>
      <c r="B615" t="s">
        <v>106</v>
      </c>
      <c r="C615" t="s">
        <v>2904</v>
      </c>
      <c r="D615" t="s">
        <v>2903</v>
      </c>
      <c r="E615" t="s">
        <v>4104</v>
      </c>
      <c r="F615" s="23">
        <v>44346</v>
      </c>
      <c r="G615" s="1">
        <v>16544</v>
      </c>
    </row>
    <row r="616" spans="1:7">
      <c r="A616" t="s">
        <v>5711</v>
      </c>
      <c r="B616" t="s">
        <v>233</v>
      </c>
      <c r="C616" t="s">
        <v>2866</v>
      </c>
      <c r="D616" t="s">
        <v>2865</v>
      </c>
      <c r="E616" t="s">
        <v>4105</v>
      </c>
      <c r="F616" s="23">
        <v>44681</v>
      </c>
      <c r="G616" s="1">
        <v>7166</v>
      </c>
    </row>
    <row r="617" spans="1:7">
      <c r="A617" t="s">
        <v>5711</v>
      </c>
      <c r="B617" t="s">
        <v>208</v>
      </c>
      <c r="C617" t="s">
        <v>1039</v>
      </c>
      <c r="D617" t="s">
        <v>1038</v>
      </c>
      <c r="E617" t="s">
        <v>4106</v>
      </c>
      <c r="F617" s="23">
        <v>44346</v>
      </c>
      <c r="G617" s="1">
        <v>17751</v>
      </c>
    </row>
    <row r="618" spans="1:7">
      <c r="A618" t="s">
        <v>5711</v>
      </c>
      <c r="B618" t="s">
        <v>311</v>
      </c>
      <c r="C618" t="s">
        <v>2189</v>
      </c>
      <c r="D618" t="s">
        <v>2188</v>
      </c>
      <c r="E618" t="s">
        <v>4107</v>
      </c>
      <c r="F618" s="23">
        <v>44346</v>
      </c>
      <c r="G618" s="1">
        <v>19074</v>
      </c>
    </row>
    <row r="619" spans="1:7">
      <c r="A619" t="s">
        <v>5711</v>
      </c>
      <c r="B619" t="s">
        <v>72</v>
      </c>
      <c r="C619" t="s">
        <v>151</v>
      </c>
      <c r="D619" t="s">
        <v>150</v>
      </c>
      <c r="E619" t="s">
        <v>4108</v>
      </c>
      <c r="F619" s="23">
        <v>44346</v>
      </c>
      <c r="G619" s="1">
        <v>16443</v>
      </c>
    </row>
    <row r="620" spans="1:7">
      <c r="A620" t="s">
        <v>5711</v>
      </c>
      <c r="B620" t="s">
        <v>94</v>
      </c>
      <c r="C620" t="s">
        <v>1463</v>
      </c>
      <c r="D620" t="s">
        <v>1462</v>
      </c>
      <c r="E620" t="s">
        <v>4109</v>
      </c>
      <c r="F620" s="23">
        <v>44457</v>
      </c>
      <c r="G620" s="1">
        <v>6974</v>
      </c>
    </row>
    <row r="621" spans="1:7">
      <c r="A621" t="s">
        <v>5711</v>
      </c>
      <c r="B621" t="s">
        <v>65</v>
      </c>
      <c r="C621" t="s">
        <v>64</v>
      </c>
      <c r="D621" t="s">
        <v>63</v>
      </c>
      <c r="E621" t="s">
        <v>4110</v>
      </c>
      <c r="F621" s="23">
        <v>44346</v>
      </c>
      <c r="G621" s="1">
        <v>7995</v>
      </c>
    </row>
    <row r="622" spans="1:7">
      <c r="A622" t="s">
        <v>5711</v>
      </c>
      <c r="B622" t="s">
        <v>94</v>
      </c>
      <c r="C622" t="s">
        <v>2489</v>
      </c>
      <c r="D622" t="s">
        <v>2488</v>
      </c>
      <c r="E622" t="s">
        <v>4111</v>
      </c>
      <c r="F622" s="23">
        <v>44346</v>
      </c>
      <c r="G622" s="1">
        <v>15968</v>
      </c>
    </row>
    <row r="623" spans="1:7">
      <c r="A623" t="s">
        <v>5711</v>
      </c>
      <c r="B623" t="s">
        <v>37</v>
      </c>
      <c r="C623" t="s">
        <v>526</v>
      </c>
      <c r="D623" t="s">
        <v>525</v>
      </c>
      <c r="E623" t="s">
        <v>4112</v>
      </c>
      <c r="F623" s="23">
        <v>44346</v>
      </c>
      <c r="G623" s="1">
        <v>19115</v>
      </c>
    </row>
    <row r="624" spans="1:7">
      <c r="A624" t="s">
        <v>5711</v>
      </c>
      <c r="B624" t="s">
        <v>94</v>
      </c>
      <c r="C624" t="s">
        <v>3489</v>
      </c>
      <c r="D624" t="s">
        <v>652</v>
      </c>
      <c r="E624" t="s">
        <v>4113</v>
      </c>
      <c r="F624" s="23">
        <v>44346</v>
      </c>
      <c r="G624" s="1">
        <v>13483</v>
      </c>
    </row>
    <row r="625" spans="1:7">
      <c r="A625" t="s">
        <v>5711</v>
      </c>
      <c r="B625" t="s">
        <v>94</v>
      </c>
      <c r="C625" t="s">
        <v>3489</v>
      </c>
      <c r="D625" t="s">
        <v>1765</v>
      </c>
      <c r="E625" t="s">
        <v>4114</v>
      </c>
      <c r="F625" s="23">
        <v>44346</v>
      </c>
      <c r="G625" s="1">
        <v>10474</v>
      </c>
    </row>
    <row r="626" spans="1:7">
      <c r="A626" t="s">
        <v>5711</v>
      </c>
      <c r="B626" t="s">
        <v>94</v>
      </c>
      <c r="C626" t="s">
        <v>2382</v>
      </c>
      <c r="D626" t="s">
        <v>5564</v>
      </c>
      <c r="E626" t="s">
        <v>4115</v>
      </c>
      <c r="F626" s="23">
        <v>44993</v>
      </c>
      <c r="G626" s="1">
        <v>753</v>
      </c>
    </row>
    <row r="627" spans="1:7">
      <c r="A627" t="s">
        <v>5711</v>
      </c>
      <c r="B627" t="s">
        <v>298</v>
      </c>
      <c r="C627" t="s">
        <v>2125</v>
      </c>
      <c r="D627" t="s">
        <v>2384</v>
      </c>
      <c r="E627" t="s">
        <v>4116</v>
      </c>
      <c r="F627" s="23">
        <v>44627</v>
      </c>
      <c r="G627" s="1">
        <v>5934</v>
      </c>
    </row>
    <row r="628" spans="1:7">
      <c r="A628" t="s">
        <v>5711</v>
      </c>
      <c r="B628" t="s">
        <v>426</v>
      </c>
      <c r="C628" t="s">
        <v>425</v>
      </c>
      <c r="D628" t="s">
        <v>424</v>
      </c>
      <c r="E628" t="s">
        <v>4117</v>
      </c>
      <c r="F628" s="23">
        <v>44346</v>
      </c>
      <c r="G628" s="1">
        <v>15981</v>
      </c>
    </row>
    <row r="629" spans="1:7">
      <c r="A629" t="s">
        <v>5711</v>
      </c>
      <c r="B629" t="s">
        <v>78</v>
      </c>
      <c r="C629" t="s">
        <v>77</v>
      </c>
      <c r="D629" t="s">
        <v>76</v>
      </c>
      <c r="E629" t="s">
        <v>4118</v>
      </c>
      <c r="F629" s="23">
        <v>44872</v>
      </c>
      <c r="G629" s="1">
        <v>3539</v>
      </c>
    </row>
    <row r="630" spans="1:7">
      <c r="A630" t="s">
        <v>5711</v>
      </c>
      <c r="B630" t="s">
        <v>311</v>
      </c>
      <c r="C630" t="s">
        <v>140</v>
      </c>
      <c r="D630" t="s">
        <v>2093</v>
      </c>
      <c r="E630" t="s">
        <v>4119</v>
      </c>
      <c r="F630" s="23">
        <v>44346</v>
      </c>
      <c r="G630" s="1">
        <v>6234</v>
      </c>
    </row>
    <row r="631" spans="1:7">
      <c r="A631" t="s">
        <v>5711</v>
      </c>
      <c r="B631" t="s">
        <v>202</v>
      </c>
      <c r="C631" t="s">
        <v>995</v>
      </c>
      <c r="D631" t="s">
        <v>994</v>
      </c>
      <c r="E631" t="s">
        <v>4120</v>
      </c>
      <c r="F631" s="23">
        <v>44749</v>
      </c>
      <c r="G631" s="1">
        <v>2338</v>
      </c>
    </row>
    <row r="632" spans="1:7">
      <c r="A632" t="s">
        <v>5711</v>
      </c>
      <c r="B632" t="s">
        <v>94</v>
      </c>
      <c r="C632" t="s">
        <v>3486</v>
      </c>
      <c r="D632" t="s">
        <v>501</v>
      </c>
      <c r="E632" t="s">
        <v>4121</v>
      </c>
      <c r="F632" s="23">
        <v>44346</v>
      </c>
      <c r="G632" s="1">
        <v>17844</v>
      </c>
    </row>
    <row r="633" spans="1:7">
      <c r="A633" t="s">
        <v>5711</v>
      </c>
      <c r="B633" t="s">
        <v>298</v>
      </c>
      <c r="C633" t="s">
        <v>2395</v>
      </c>
      <c r="D633" t="s">
        <v>2394</v>
      </c>
      <c r="E633" t="s">
        <v>4122</v>
      </c>
      <c r="F633" s="23">
        <v>44346</v>
      </c>
      <c r="G633" s="1">
        <v>17969</v>
      </c>
    </row>
    <row r="634" spans="1:7">
      <c r="A634" t="s">
        <v>5711</v>
      </c>
      <c r="B634" t="s">
        <v>101</v>
      </c>
      <c r="C634" t="s">
        <v>1705</v>
      </c>
      <c r="D634" t="s">
        <v>1704</v>
      </c>
      <c r="E634" t="s">
        <v>4123</v>
      </c>
      <c r="F634" s="23">
        <v>44346</v>
      </c>
      <c r="G634" s="1">
        <v>13912</v>
      </c>
    </row>
    <row r="635" spans="1:7">
      <c r="A635" t="s">
        <v>5711</v>
      </c>
      <c r="B635" t="s">
        <v>298</v>
      </c>
      <c r="C635" t="s">
        <v>1896</v>
      </c>
      <c r="D635" t="s">
        <v>3166</v>
      </c>
      <c r="E635" t="s">
        <v>4124</v>
      </c>
      <c r="F635" s="23">
        <v>45061</v>
      </c>
      <c r="G635" s="1">
        <v>10220</v>
      </c>
    </row>
    <row r="636" spans="1:7">
      <c r="A636" t="s">
        <v>5711</v>
      </c>
      <c r="B636" t="s">
        <v>94</v>
      </c>
      <c r="C636" t="s">
        <v>3489</v>
      </c>
      <c r="D636" t="s">
        <v>715</v>
      </c>
      <c r="E636" t="s">
        <v>4125</v>
      </c>
      <c r="F636" s="23">
        <v>44346</v>
      </c>
      <c r="G636" s="1">
        <v>10565</v>
      </c>
    </row>
    <row r="637" spans="1:7">
      <c r="A637" t="s">
        <v>5711</v>
      </c>
      <c r="B637" t="s">
        <v>106</v>
      </c>
      <c r="C637" t="s">
        <v>2231</v>
      </c>
      <c r="D637" t="s">
        <v>2885</v>
      </c>
      <c r="E637" t="s">
        <v>4126</v>
      </c>
      <c r="F637" s="23">
        <v>44806</v>
      </c>
      <c r="G637" s="1">
        <v>6098</v>
      </c>
    </row>
    <row r="638" spans="1:7">
      <c r="A638" t="s">
        <v>5711</v>
      </c>
      <c r="B638" t="s">
        <v>2062</v>
      </c>
      <c r="C638" t="s">
        <v>2547</v>
      </c>
      <c r="D638" t="s">
        <v>2546</v>
      </c>
      <c r="E638" t="s">
        <v>4127</v>
      </c>
      <c r="F638" s="23">
        <v>44346</v>
      </c>
      <c r="G638" s="1">
        <v>3917</v>
      </c>
    </row>
    <row r="639" spans="1:7">
      <c r="A639" t="s">
        <v>5711</v>
      </c>
      <c r="B639" t="s">
        <v>202</v>
      </c>
      <c r="C639" t="s">
        <v>201</v>
      </c>
      <c r="D639" t="s">
        <v>200</v>
      </c>
      <c r="E639" t="s">
        <v>4128</v>
      </c>
      <c r="F639" s="23">
        <v>44346</v>
      </c>
      <c r="G639" s="1">
        <v>6480</v>
      </c>
    </row>
    <row r="640" spans="1:7">
      <c r="A640" t="s">
        <v>5711</v>
      </c>
      <c r="B640" t="s">
        <v>106</v>
      </c>
      <c r="C640" t="s">
        <v>3199</v>
      </c>
      <c r="D640" t="s">
        <v>3198</v>
      </c>
      <c r="E640" t="s">
        <v>4129</v>
      </c>
      <c r="F640" s="23">
        <v>44913</v>
      </c>
      <c r="G640" s="1">
        <v>4153</v>
      </c>
    </row>
    <row r="641" spans="1:7">
      <c r="A641" t="s">
        <v>5711</v>
      </c>
      <c r="B641" t="s">
        <v>94</v>
      </c>
      <c r="C641" t="s">
        <v>2670</v>
      </c>
      <c r="D641" t="s">
        <v>5565</v>
      </c>
      <c r="E641" t="s">
        <v>4130</v>
      </c>
      <c r="F641" s="23">
        <v>44346</v>
      </c>
      <c r="G641" s="1">
        <v>16864</v>
      </c>
    </row>
    <row r="642" spans="1:7">
      <c r="A642" t="s">
        <v>5711</v>
      </c>
      <c r="B642" t="s">
        <v>94</v>
      </c>
      <c r="C642" t="s">
        <v>93</v>
      </c>
      <c r="D642" t="s">
        <v>92</v>
      </c>
      <c r="E642" t="s">
        <v>4131</v>
      </c>
      <c r="F642" s="23">
        <v>44756</v>
      </c>
      <c r="G642" s="1">
        <v>11797</v>
      </c>
    </row>
    <row r="643" spans="1:7">
      <c r="A643" t="s">
        <v>5711</v>
      </c>
      <c r="B643" t="s">
        <v>311</v>
      </c>
      <c r="C643" t="s">
        <v>2075</v>
      </c>
      <c r="D643" t="s">
        <v>2074</v>
      </c>
      <c r="E643" t="s">
        <v>4132</v>
      </c>
      <c r="F643" s="23">
        <v>44346</v>
      </c>
      <c r="G643" s="1">
        <v>17552</v>
      </c>
    </row>
    <row r="644" spans="1:7">
      <c r="A644" t="s">
        <v>5711</v>
      </c>
      <c r="B644" t="s">
        <v>298</v>
      </c>
      <c r="C644" t="s">
        <v>1881</v>
      </c>
      <c r="D644" t="s">
        <v>1880</v>
      </c>
      <c r="E644" t="s">
        <v>4133</v>
      </c>
      <c r="F644" s="23">
        <v>44346</v>
      </c>
      <c r="G644" s="1">
        <v>15843</v>
      </c>
    </row>
    <row r="645" spans="1:7">
      <c r="A645" t="s">
        <v>5711</v>
      </c>
      <c r="B645" t="s">
        <v>298</v>
      </c>
      <c r="C645" t="s">
        <v>2553</v>
      </c>
      <c r="D645" t="s">
        <v>2552</v>
      </c>
      <c r="E645" t="s">
        <v>4134</v>
      </c>
      <c r="F645" s="23">
        <v>44922</v>
      </c>
      <c r="G645" s="1">
        <v>7079</v>
      </c>
    </row>
    <row r="646" spans="1:7">
      <c r="A646" t="s">
        <v>5711</v>
      </c>
      <c r="B646" t="s">
        <v>97</v>
      </c>
      <c r="C646" t="s">
        <v>223</v>
      </c>
      <c r="D646" t="s">
        <v>222</v>
      </c>
      <c r="E646" t="s">
        <v>4135</v>
      </c>
      <c r="F646" s="23">
        <v>44346</v>
      </c>
      <c r="G646" s="1">
        <v>12237</v>
      </c>
    </row>
    <row r="647" spans="1:7">
      <c r="A647" t="s">
        <v>5711</v>
      </c>
      <c r="B647" t="s">
        <v>94</v>
      </c>
      <c r="C647" t="s">
        <v>3485</v>
      </c>
      <c r="D647" t="s">
        <v>5566</v>
      </c>
      <c r="E647" t="s">
        <v>4136</v>
      </c>
      <c r="F647" s="23">
        <v>44346</v>
      </c>
      <c r="G647" s="1">
        <v>18684</v>
      </c>
    </row>
    <row r="648" spans="1:7">
      <c r="A648" t="s">
        <v>5711</v>
      </c>
      <c r="B648" t="s">
        <v>94</v>
      </c>
      <c r="C648" t="s">
        <v>2533</v>
      </c>
      <c r="D648" t="s">
        <v>2532</v>
      </c>
      <c r="E648" t="s">
        <v>4137</v>
      </c>
      <c r="F648" s="23">
        <v>44635</v>
      </c>
      <c r="G648" s="1">
        <v>8593</v>
      </c>
    </row>
    <row r="649" spans="1:7">
      <c r="A649" t="s">
        <v>5711</v>
      </c>
      <c r="B649" t="s">
        <v>94</v>
      </c>
      <c r="C649" t="s">
        <v>2838</v>
      </c>
      <c r="D649" t="s">
        <v>3163</v>
      </c>
      <c r="E649" t="s">
        <v>4138</v>
      </c>
      <c r="F649" s="23">
        <v>44346</v>
      </c>
      <c r="G649" s="1">
        <v>8639</v>
      </c>
    </row>
    <row r="650" spans="1:7">
      <c r="A650" t="s">
        <v>5711</v>
      </c>
      <c r="B650" t="s">
        <v>94</v>
      </c>
      <c r="C650" t="s">
        <v>3370</v>
      </c>
      <c r="D650" t="s">
        <v>3369</v>
      </c>
      <c r="E650" t="s">
        <v>4139</v>
      </c>
      <c r="F650" s="23">
        <v>44674</v>
      </c>
      <c r="G650" s="1">
        <v>3697</v>
      </c>
    </row>
    <row r="651" spans="1:7">
      <c r="A651" t="s">
        <v>5711</v>
      </c>
      <c r="B651" t="s">
        <v>94</v>
      </c>
      <c r="C651" t="s">
        <v>3490</v>
      </c>
      <c r="D651" t="s">
        <v>540</v>
      </c>
      <c r="E651" t="s">
        <v>4140</v>
      </c>
      <c r="F651" s="23">
        <v>44606</v>
      </c>
      <c r="G651" s="1">
        <v>7107</v>
      </c>
    </row>
    <row r="652" spans="1:7">
      <c r="A652" t="s">
        <v>5711</v>
      </c>
      <c r="B652" t="s">
        <v>37</v>
      </c>
      <c r="C652" t="s">
        <v>1622</v>
      </c>
      <c r="D652" t="s">
        <v>1621</v>
      </c>
      <c r="E652" t="s">
        <v>4141</v>
      </c>
      <c r="F652" s="23">
        <v>44962</v>
      </c>
      <c r="G652" s="1">
        <v>5067</v>
      </c>
    </row>
    <row r="653" spans="1:7">
      <c r="A653" t="s">
        <v>5711</v>
      </c>
      <c r="B653" t="s">
        <v>106</v>
      </c>
      <c r="C653" t="s">
        <v>1367</v>
      </c>
      <c r="D653" t="s">
        <v>5567</v>
      </c>
      <c r="E653" t="s">
        <v>4142</v>
      </c>
      <c r="F653" s="23">
        <v>44346</v>
      </c>
      <c r="G653" s="1">
        <v>16713</v>
      </c>
    </row>
    <row r="654" spans="1:7">
      <c r="A654" t="s">
        <v>5711</v>
      </c>
      <c r="B654" t="s">
        <v>101</v>
      </c>
      <c r="C654" t="s">
        <v>1629</v>
      </c>
      <c r="D654" t="s">
        <v>1628</v>
      </c>
      <c r="E654" t="s">
        <v>4143</v>
      </c>
      <c r="F654" s="23">
        <v>44346</v>
      </c>
      <c r="G654" s="1">
        <v>12300</v>
      </c>
    </row>
    <row r="655" spans="1:7">
      <c r="A655" t="s">
        <v>5711</v>
      </c>
      <c r="B655" t="s">
        <v>94</v>
      </c>
      <c r="C655" t="s">
        <v>2428</v>
      </c>
      <c r="D655" t="s">
        <v>5568</v>
      </c>
      <c r="E655" t="s">
        <v>4144</v>
      </c>
      <c r="F655" s="23">
        <v>44489</v>
      </c>
      <c r="G655" s="1">
        <v>3272</v>
      </c>
    </row>
    <row r="656" spans="1:7">
      <c r="A656" t="s">
        <v>5711</v>
      </c>
      <c r="B656" t="s">
        <v>233</v>
      </c>
      <c r="C656" t="s">
        <v>579</v>
      </c>
      <c r="D656" t="s">
        <v>578</v>
      </c>
      <c r="E656" t="s">
        <v>4145</v>
      </c>
      <c r="F656" s="23">
        <v>44346</v>
      </c>
      <c r="G656" s="1">
        <v>7072</v>
      </c>
    </row>
    <row r="657" spans="1:7">
      <c r="A657" t="s">
        <v>5711</v>
      </c>
      <c r="B657" t="s">
        <v>311</v>
      </c>
      <c r="C657" t="s">
        <v>745</v>
      </c>
      <c r="D657" t="s">
        <v>744</v>
      </c>
      <c r="E657" t="s">
        <v>4146</v>
      </c>
      <c r="F657" s="23">
        <v>44346</v>
      </c>
      <c r="G657" s="1">
        <v>15297</v>
      </c>
    </row>
    <row r="658" spans="1:7">
      <c r="A658" t="s">
        <v>5711</v>
      </c>
      <c r="B658" t="s">
        <v>106</v>
      </c>
      <c r="C658" t="s">
        <v>2641</v>
      </c>
      <c r="D658" t="s">
        <v>2640</v>
      </c>
      <c r="E658" t="s">
        <v>4147</v>
      </c>
      <c r="F658" s="23">
        <v>44346</v>
      </c>
      <c r="G658" s="1">
        <v>1590</v>
      </c>
    </row>
    <row r="659" spans="1:7">
      <c r="A659" t="s">
        <v>5711</v>
      </c>
      <c r="B659" t="s">
        <v>737</v>
      </c>
      <c r="C659" t="s">
        <v>736</v>
      </c>
      <c r="D659" t="s">
        <v>735</v>
      </c>
      <c r="E659" t="s">
        <v>4148</v>
      </c>
      <c r="F659" s="23">
        <v>44346</v>
      </c>
      <c r="G659" s="1">
        <v>16584</v>
      </c>
    </row>
    <row r="660" spans="1:7">
      <c r="A660" t="s">
        <v>5711</v>
      </c>
      <c r="B660" t="s">
        <v>94</v>
      </c>
      <c r="C660" t="s">
        <v>2521</v>
      </c>
      <c r="D660" t="s">
        <v>2520</v>
      </c>
      <c r="E660" t="s">
        <v>4149</v>
      </c>
      <c r="F660" s="23">
        <v>44346</v>
      </c>
      <c r="G660" s="1">
        <v>19772</v>
      </c>
    </row>
    <row r="661" spans="1:7">
      <c r="A661" t="s">
        <v>5711</v>
      </c>
      <c r="B661" t="s">
        <v>94</v>
      </c>
      <c r="C661" t="s">
        <v>2432</v>
      </c>
      <c r="D661" t="s">
        <v>2431</v>
      </c>
      <c r="E661" t="s">
        <v>4150</v>
      </c>
      <c r="F661" s="23">
        <v>44346</v>
      </c>
      <c r="G661" s="1">
        <v>13774</v>
      </c>
    </row>
    <row r="662" spans="1:7">
      <c r="A662" t="s">
        <v>5711</v>
      </c>
      <c r="B662" t="s">
        <v>106</v>
      </c>
      <c r="C662" t="s">
        <v>2059</v>
      </c>
      <c r="D662" t="s">
        <v>2058</v>
      </c>
      <c r="E662" t="s">
        <v>4151</v>
      </c>
      <c r="F662" s="23">
        <v>44730</v>
      </c>
      <c r="G662" s="1">
        <v>7731</v>
      </c>
    </row>
    <row r="663" spans="1:7">
      <c r="A663" t="s">
        <v>5711</v>
      </c>
      <c r="B663" t="s">
        <v>106</v>
      </c>
      <c r="C663" t="s">
        <v>2767</v>
      </c>
      <c r="D663" t="s">
        <v>2875</v>
      </c>
      <c r="E663" t="s">
        <v>4152</v>
      </c>
      <c r="F663" s="23">
        <v>44346</v>
      </c>
      <c r="G663" s="1">
        <v>18386</v>
      </c>
    </row>
    <row r="664" spans="1:7">
      <c r="A664" t="s">
        <v>5711</v>
      </c>
      <c r="B664" t="s">
        <v>94</v>
      </c>
      <c r="C664" t="s">
        <v>2313</v>
      </c>
      <c r="D664" t="s">
        <v>2312</v>
      </c>
      <c r="E664" t="s">
        <v>4153</v>
      </c>
      <c r="F664" s="23">
        <v>44346</v>
      </c>
      <c r="G664" s="1">
        <v>17190</v>
      </c>
    </row>
    <row r="665" spans="1:7">
      <c r="A665" t="s">
        <v>5711</v>
      </c>
      <c r="B665" t="s">
        <v>94</v>
      </c>
      <c r="C665" t="s">
        <v>2273</v>
      </c>
      <c r="D665" t="s">
        <v>2272</v>
      </c>
      <c r="E665" t="s">
        <v>4154</v>
      </c>
      <c r="F665" s="23">
        <v>44346</v>
      </c>
      <c r="G665" s="1">
        <v>17843</v>
      </c>
    </row>
    <row r="666" spans="1:7">
      <c r="A666" t="s">
        <v>5711</v>
      </c>
      <c r="B666" t="s">
        <v>311</v>
      </c>
      <c r="C666" t="s">
        <v>2323</v>
      </c>
      <c r="D666" t="s">
        <v>2322</v>
      </c>
      <c r="E666" t="s">
        <v>4155</v>
      </c>
      <c r="F666" s="23">
        <v>44469</v>
      </c>
      <c r="G666" s="1">
        <v>7871</v>
      </c>
    </row>
    <row r="667" spans="1:7">
      <c r="A667" t="s">
        <v>5711</v>
      </c>
      <c r="B667" t="s">
        <v>94</v>
      </c>
      <c r="C667" t="s">
        <v>2251</v>
      </c>
      <c r="D667" t="s">
        <v>5569</v>
      </c>
      <c r="E667" t="s">
        <v>4156</v>
      </c>
      <c r="F667" s="23">
        <v>44346</v>
      </c>
      <c r="G667" s="1">
        <v>5435</v>
      </c>
    </row>
    <row r="668" spans="1:7">
      <c r="A668" t="s">
        <v>5711</v>
      </c>
      <c r="B668" t="s">
        <v>298</v>
      </c>
      <c r="C668" t="s">
        <v>3309</v>
      </c>
      <c r="D668" t="s">
        <v>3308</v>
      </c>
      <c r="E668" t="s">
        <v>4157</v>
      </c>
      <c r="F668" s="23">
        <v>44346</v>
      </c>
      <c r="G668" s="1">
        <v>14732</v>
      </c>
    </row>
    <row r="669" spans="1:7">
      <c r="A669" t="s">
        <v>5711</v>
      </c>
      <c r="B669" t="s">
        <v>94</v>
      </c>
      <c r="C669" t="s">
        <v>2285</v>
      </c>
      <c r="D669" t="s">
        <v>2284</v>
      </c>
      <c r="E669" t="s">
        <v>4158</v>
      </c>
      <c r="F669" s="23">
        <v>44869</v>
      </c>
      <c r="G669" s="1">
        <v>10403</v>
      </c>
    </row>
    <row r="670" spans="1:7">
      <c r="A670" t="s">
        <v>5711</v>
      </c>
      <c r="B670" t="s">
        <v>94</v>
      </c>
      <c r="C670" t="s">
        <v>2533</v>
      </c>
      <c r="D670" t="s">
        <v>2787</v>
      </c>
      <c r="E670" t="s">
        <v>4159</v>
      </c>
      <c r="F670" s="23">
        <v>44346</v>
      </c>
      <c r="G670" s="1">
        <v>9072</v>
      </c>
    </row>
    <row r="671" spans="1:7">
      <c r="A671" t="s">
        <v>5711</v>
      </c>
      <c r="B671" t="s">
        <v>94</v>
      </c>
      <c r="C671" t="s">
        <v>386</v>
      </c>
      <c r="D671" t="s">
        <v>385</v>
      </c>
      <c r="E671" t="s">
        <v>4160</v>
      </c>
      <c r="F671" s="23">
        <v>44346</v>
      </c>
      <c r="G671" s="1">
        <v>19628</v>
      </c>
    </row>
    <row r="672" spans="1:7">
      <c r="A672" t="s">
        <v>5711</v>
      </c>
      <c r="B672" t="s">
        <v>106</v>
      </c>
      <c r="C672" t="s">
        <v>1357</v>
      </c>
      <c r="D672" t="s">
        <v>1356</v>
      </c>
      <c r="E672" t="s">
        <v>4161</v>
      </c>
      <c r="F672" s="23">
        <v>44999</v>
      </c>
      <c r="G672" s="1">
        <v>8412</v>
      </c>
    </row>
    <row r="673" spans="1:7">
      <c r="A673" t="s">
        <v>5711</v>
      </c>
      <c r="B673" t="s">
        <v>94</v>
      </c>
      <c r="C673" t="s">
        <v>3265</v>
      </c>
      <c r="D673" t="s">
        <v>3264</v>
      </c>
      <c r="E673" t="s">
        <v>4162</v>
      </c>
      <c r="F673" s="23">
        <v>44346</v>
      </c>
      <c r="G673" s="1">
        <v>14196</v>
      </c>
    </row>
    <row r="674" spans="1:7">
      <c r="A674" t="s">
        <v>5711</v>
      </c>
      <c r="B674" t="s">
        <v>1223</v>
      </c>
      <c r="C674" t="s">
        <v>3035</v>
      </c>
      <c r="D674" t="s">
        <v>5570</v>
      </c>
      <c r="E674" t="s">
        <v>4163</v>
      </c>
      <c r="F674" s="23">
        <v>44837</v>
      </c>
      <c r="G674" s="1">
        <v>10231</v>
      </c>
    </row>
    <row r="675" spans="1:7">
      <c r="A675" t="s">
        <v>5711</v>
      </c>
      <c r="B675" t="s">
        <v>106</v>
      </c>
      <c r="C675" t="s">
        <v>2204</v>
      </c>
      <c r="D675" t="s">
        <v>2203</v>
      </c>
      <c r="E675" t="s">
        <v>4164</v>
      </c>
      <c r="F675" s="23">
        <v>44346</v>
      </c>
      <c r="G675" s="1">
        <v>7311</v>
      </c>
    </row>
    <row r="676" spans="1:7">
      <c r="A676" t="s">
        <v>5711</v>
      </c>
      <c r="B676" t="s">
        <v>94</v>
      </c>
      <c r="C676" t="s">
        <v>3487</v>
      </c>
      <c r="D676" t="s">
        <v>1782</v>
      </c>
      <c r="E676" t="s">
        <v>4165</v>
      </c>
      <c r="F676" s="23">
        <v>44346</v>
      </c>
      <c r="G676" s="1">
        <v>16562</v>
      </c>
    </row>
    <row r="677" spans="1:7">
      <c r="A677" t="s">
        <v>5711</v>
      </c>
      <c r="B677" t="s">
        <v>106</v>
      </c>
      <c r="C677" t="s">
        <v>2179</v>
      </c>
      <c r="D677" t="s">
        <v>2178</v>
      </c>
      <c r="E677" t="s">
        <v>4166</v>
      </c>
      <c r="F677" s="23">
        <v>44369</v>
      </c>
      <c r="G677" s="1">
        <v>1914</v>
      </c>
    </row>
    <row r="678" spans="1:7">
      <c r="A678" t="s">
        <v>5711</v>
      </c>
      <c r="B678" t="s">
        <v>37</v>
      </c>
      <c r="C678" t="s">
        <v>785</v>
      </c>
      <c r="D678" t="s">
        <v>784</v>
      </c>
      <c r="E678" t="s">
        <v>4167</v>
      </c>
      <c r="F678" s="23">
        <v>44346</v>
      </c>
      <c r="G678" s="1">
        <v>13517</v>
      </c>
    </row>
    <row r="679" spans="1:7">
      <c r="A679" t="s">
        <v>5711</v>
      </c>
      <c r="B679" t="s">
        <v>122</v>
      </c>
      <c r="C679" t="s">
        <v>121</v>
      </c>
      <c r="D679" t="s">
        <v>120</v>
      </c>
      <c r="E679" t="s">
        <v>4168</v>
      </c>
      <c r="F679" s="23">
        <v>44901</v>
      </c>
      <c r="G679" s="1">
        <v>7533</v>
      </c>
    </row>
    <row r="680" spans="1:7">
      <c r="A680" t="s">
        <v>5711</v>
      </c>
      <c r="B680" t="s">
        <v>311</v>
      </c>
      <c r="C680" t="s">
        <v>3144</v>
      </c>
      <c r="D680" t="s">
        <v>3143</v>
      </c>
      <c r="E680" t="s">
        <v>4169</v>
      </c>
      <c r="F680" s="23">
        <v>44595</v>
      </c>
      <c r="G680" s="1">
        <v>1936</v>
      </c>
    </row>
    <row r="681" spans="1:7">
      <c r="A681" t="s">
        <v>5711</v>
      </c>
      <c r="B681" t="s">
        <v>106</v>
      </c>
      <c r="C681" t="s">
        <v>2226</v>
      </c>
      <c r="D681" t="s">
        <v>3313</v>
      </c>
      <c r="E681" t="s">
        <v>4170</v>
      </c>
      <c r="F681" s="23">
        <v>44823</v>
      </c>
      <c r="G681" s="1">
        <v>1298</v>
      </c>
    </row>
    <row r="682" spans="1:7">
      <c r="A682" t="s">
        <v>5711</v>
      </c>
      <c r="B682" t="s">
        <v>43</v>
      </c>
      <c r="C682" t="s">
        <v>1675</v>
      </c>
      <c r="D682" t="s">
        <v>1673</v>
      </c>
      <c r="E682" t="s">
        <v>4171</v>
      </c>
      <c r="F682" s="23">
        <v>45026</v>
      </c>
      <c r="G682" s="1">
        <v>9860</v>
      </c>
    </row>
    <row r="683" spans="1:7">
      <c r="A683" t="s">
        <v>5711</v>
      </c>
      <c r="B683" t="s">
        <v>233</v>
      </c>
      <c r="C683" t="s">
        <v>921</v>
      </c>
      <c r="D683" t="s">
        <v>920</v>
      </c>
      <c r="E683" t="s">
        <v>4172</v>
      </c>
      <c r="F683" s="23">
        <v>44346</v>
      </c>
      <c r="G683" s="1">
        <v>17818</v>
      </c>
    </row>
    <row r="684" spans="1:7">
      <c r="A684" t="s">
        <v>5711</v>
      </c>
      <c r="B684" t="s">
        <v>94</v>
      </c>
      <c r="C684" t="s">
        <v>2728</v>
      </c>
      <c r="D684" t="s">
        <v>2727</v>
      </c>
      <c r="E684" t="s">
        <v>4173</v>
      </c>
      <c r="F684" s="23">
        <v>44346</v>
      </c>
      <c r="G684" s="1">
        <v>7259</v>
      </c>
    </row>
    <row r="685" spans="1:7">
      <c r="A685" t="s">
        <v>5711</v>
      </c>
      <c r="B685" t="s">
        <v>375</v>
      </c>
      <c r="C685" t="s">
        <v>1282</v>
      </c>
      <c r="D685" t="s">
        <v>1281</v>
      </c>
      <c r="E685" t="s">
        <v>4174</v>
      </c>
      <c r="F685" s="23">
        <v>44582</v>
      </c>
      <c r="G685" s="1">
        <v>5964</v>
      </c>
    </row>
    <row r="686" spans="1:7">
      <c r="A686" t="s">
        <v>5711</v>
      </c>
      <c r="B686" t="s">
        <v>94</v>
      </c>
      <c r="C686" t="s">
        <v>3126</v>
      </c>
      <c r="D686" t="s">
        <v>3125</v>
      </c>
      <c r="E686" t="s">
        <v>4175</v>
      </c>
      <c r="F686" s="23">
        <v>44346</v>
      </c>
      <c r="G686" s="1">
        <v>15882</v>
      </c>
    </row>
    <row r="687" spans="1:7">
      <c r="A687" t="s">
        <v>5711</v>
      </c>
      <c r="B687" t="s">
        <v>480</v>
      </c>
      <c r="C687" t="s">
        <v>931</v>
      </c>
      <c r="D687" t="s">
        <v>5571</v>
      </c>
      <c r="E687" t="s">
        <v>4176</v>
      </c>
      <c r="F687" s="23">
        <v>44346</v>
      </c>
      <c r="G687" s="1">
        <v>2032</v>
      </c>
    </row>
    <row r="688" spans="1:7">
      <c r="A688" t="s">
        <v>5711</v>
      </c>
      <c r="B688" t="s">
        <v>94</v>
      </c>
      <c r="C688" t="s">
        <v>2313</v>
      </c>
      <c r="D688" t="s">
        <v>2997</v>
      </c>
      <c r="E688" t="s">
        <v>4177</v>
      </c>
      <c r="F688" s="23">
        <v>44437</v>
      </c>
      <c r="G688" s="1">
        <v>3197</v>
      </c>
    </row>
    <row r="689" spans="1:7">
      <c r="A689" t="s">
        <v>5711</v>
      </c>
      <c r="B689" t="s">
        <v>1223</v>
      </c>
      <c r="C689" t="s">
        <v>1946</v>
      </c>
      <c r="D689" t="s">
        <v>1945</v>
      </c>
      <c r="E689" t="s">
        <v>4178</v>
      </c>
      <c r="F689" s="23">
        <v>44346</v>
      </c>
      <c r="G689" s="1">
        <v>8841</v>
      </c>
    </row>
    <row r="690" spans="1:7">
      <c r="A690" t="s">
        <v>5711</v>
      </c>
      <c r="B690" t="s">
        <v>298</v>
      </c>
      <c r="C690" t="s">
        <v>2591</v>
      </c>
      <c r="D690" t="s">
        <v>2590</v>
      </c>
      <c r="E690" t="s">
        <v>4179</v>
      </c>
      <c r="F690" s="23">
        <v>44924</v>
      </c>
      <c r="G690" s="1">
        <v>11364</v>
      </c>
    </row>
    <row r="691" spans="1:7">
      <c r="A691" t="s">
        <v>5711</v>
      </c>
      <c r="B691" t="s">
        <v>298</v>
      </c>
      <c r="C691" t="s">
        <v>2503</v>
      </c>
      <c r="D691" t="s">
        <v>2502</v>
      </c>
      <c r="E691" t="s">
        <v>4180</v>
      </c>
      <c r="F691" s="23">
        <v>44346</v>
      </c>
      <c r="G691" s="1">
        <v>5375</v>
      </c>
    </row>
    <row r="692" spans="1:7">
      <c r="A692" t="s">
        <v>5711</v>
      </c>
      <c r="B692" t="s">
        <v>298</v>
      </c>
      <c r="C692" t="s">
        <v>2400</v>
      </c>
      <c r="D692" t="s">
        <v>2399</v>
      </c>
      <c r="E692" t="s">
        <v>4181</v>
      </c>
      <c r="F692" s="23">
        <v>45053</v>
      </c>
      <c r="G692" s="1">
        <v>1877</v>
      </c>
    </row>
    <row r="693" spans="1:7">
      <c r="A693" t="s">
        <v>5711</v>
      </c>
      <c r="B693" t="s">
        <v>106</v>
      </c>
      <c r="C693" t="s">
        <v>861</v>
      </c>
      <c r="D693" t="s">
        <v>860</v>
      </c>
      <c r="E693" t="s">
        <v>4182</v>
      </c>
      <c r="F693" s="23">
        <v>44346</v>
      </c>
      <c r="G693" s="1">
        <v>12711</v>
      </c>
    </row>
    <row r="694" spans="1:7">
      <c r="A694" t="s">
        <v>5711</v>
      </c>
      <c r="B694" t="s">
        <v>122</v>
      </c>
      <c r="C694" t="s">
        <v>1812</v>
      </c>
      <c r="D694" t="s">
        <v>1811</v>
      </c>
      <c r="E694" t="s">
        <v>4183</v>
      </c>
      <c r="F694" s="23">
        <v>44346</v>
      </c>
      <c r="G694" s="1">
        <v>9453</v>
      </c>
    </row>
    <row r="695" spans="1:7">
      <c r="A695" t="s">
        <v>5711</v>
      </c>
      <c r="B695" t="s">
        <v>367</v>
      </c>
      <c r="C695" t="s">
        <v>1053</v>
      </c>
      <c r="D695" t="s">
        <v>5572</v>
      </c>
      <c r="E695" t="s">
        <v>4184</v>
      </c>
      <c r="F695" s="23">
        <v>44898</v>
      </c>
      <c r="G695" s="1">
        <v>11342</v>
      </c>
    </row>
    <row r="696" spans="1:7">
      <c r="A696" t="s">
        <v>5711</v>
      </c>
      <c r="B696" t="s">
        <v>1223</v>
      </c>
      <c r="C696" t="s">
        <v>1222</v>
      </c>
      <c r="D696" t="s">
        <v>1221</v>
      </c>
      <c r="E696" t="s">
        <v>4185</v>
      </c>
      <c r="F696" s="23">
        <v>44346</v>
      </c>
      <c r="G696" s="1">
        <v>10988</v>
      </c>
    </row>
    <row r="697" spans="1:7">
      <c r="A697" t="s">
        <v>5711</v>
      </c>
      <c r="B697" t="s">
        <v>233</v>
      </c>
      <c r="C697" t="s">
        <v>2373</v>
      </c>
      <c r="D697" t="s">
        <v>2372</v>
      </c>
      <c r="E697" t="s">
        <v>4186</v>
      </c>
      <c r="F697" s="23">
        <v>44346</v>
      </c>
      <c r="G697" s="1">
        <v>5436</v>
      </c>
    </row>
    <row r="698" spans="1:7">
      <c r="A698" t="s">
        <v>5711</v>
      </c>
      <c r="B698" t="s">
        <v>298</v>
      </c>
      <c r="C698" t="s">
        <v>1987</v>
      </c>
      <c r="D698" t="s">
        <v>2525</v>
      </c>
      <c r="E698" t="s">
        <v>4187</v>
      </c>
      <c r="F698" s="23">
        <v>44346</v>
      </c>
      <c r="G698" s="1">
        <v>17881</v>
      </c>
    </row>
    <row r="699" spans="1:7">
      <c r="A699" t="s">
        <v>5711</v>
      </c>
      <c r="B699" t="s">
        <v>106</v>
      </c>
      <c r="C699" t="s">
        <v>1982</v>
      </c>
      <c r="D699" t="s">
        <v>1981</v>
      </c>
      <c r="E699" t="s">
        <v>4188</v>
      </c>
      <c r="F699" s="23">
        <v>44346</v>
      </c>
      <c r="G699" s="1">
        <v>19253</v>
      </c>
    </row>
    <row r="700" spans="1:7">
      <c r="A700" t="s">
        <v>5711</v>
      </c>
      <c r="B700" t="s">
        <v>78</v>
      </c>
      <c r="C700" t="s">
        <v>1719</v>
      </c>
      <c r="D700" t="s">
        <v>1718</v>
      </c>
      <c r="E700" t="s">
        <v>4189</v>
      </c>
      <c r="F700" s="23">
        <v>44346</v>
      </c>
      <c r="G700" s="1">
        <v>14551</v>
      </c>
    </row>
    <row r="701" spans="1:7">
      <c r="A701" t="s">
        <v>5711</v>
      </c>
      <c r="B701" t="s">
        <v>106</v>
      </c>
      <c r="C701" t="s">
        <v>2482</v>
      </c>
      <c r="D701" t="s">
        <v>2481</v>
      </c>
      <c r="E701" t="s">
        <v>4190</v>
      </c>
      <c r="F701" s="23">
        <v>44592</v>
      </c>
      <c r="G701" s="1">
        <v>9794</v>
      </c>
    </row>
    <row r="702" spans="1:7">
      <c r="A702" t="s">
        <v>5711</v>
      </c>
      <c r="B702" t="s">
        <v>311</v>
      </c>
      <c r="C702" t="s">
        <v>694</v>
      </c>
      <c r="D702" t="s">
        <v>5573</v>
      </c>
      <c r="E702" t="s">
        <v>4191</v>
      </c>
      <c r="F702" s="23">
        <v>45038</v>
      </c>
      <c r="G702" s="1">
        <v>8952</v>
      </c>
    </row>
    <row r="703" spans="1:7">
      <c r="A703" t="s">
        <v>5711</v>
      </c>
      <c r="B703" t="s">
        <v>94</v>
      </c>
      <c r="C703" t="s">
        <v>2487</v>
      </c>
      <c r="D703" t="s">
        <v>2895</v>
      </c>
      <c r="E703" t="s">
        <v>4192</v>
      </c>
      <c r="F703" s="23">
        <v>44989</v>
      </c>
      <c r="G703" s="1">
        <v>2526</v>
      </c>
    </row>
    <row r="704" spans="1:7">
      <c r="A704" t="s">
        <v>5711</v>
      </c>
      <c r="B704" t="s">
        <v>68</v>
      </c>
      <c r="C704" t="s">
        <v>669</v>
      </c>
      <c r="D704" t="s">
        <v>668</v>
      </c>
      <c r="E704" t="s">
        <v>4193</v>
      </c>
      <c r="F704" s="23">
        <v>44892</v>
      </c>
      <c r="G704" s="1">
        <v>11708</v>
      </c>
    </row>
    <row r="705" spans="1:7">
      <c r="A705" t="s">
        <v>5711</v>
      </c>
      <c r="B705" t="s">
        <v>106</v>
      </c>
      <c r="C705" t="s">
        <v>1448</v>
      </c>
      <c r="D705" t="s">
        <v>1447</v>
      </c>
      <c r="E705" t="s">
        <v>4194</v>
      </c>
      <c r="F705" s="23">
        <v>44498</v>
      </c>
      <c r="G705" s="1">
        <v>1252</v>
      </c>
    </row>
    <row r="706" spans="1:7">
      <c r="A706" t="s">
        <v>5711</v>
      </c>
      <c r="B706" t="s">
        <v>94</v>
      </c>
      <c r="C706" t="s">
        <v>1920</v>
      </c>
      <c r="D706" t="s">
        <v>3277</v>
      </c>
      <c r="E706" t="s">
        <v>4195</v>
      </c>
      <c r="F706" s="23">
        <v>44346</v>
      </c>
      <c r="G706" s="1">
        <v>18195</v>
      </c>
    </row>
    <row r="707" spans="1:7">
      <c r="A707" t="s">
        <v>5711</v>
      </c>
      <c r="B707" t="s">
        <v>135</v>
      </c>
      <c r="C707" t="s">
        <v>1296</v>
      </c>
      <c r="D707" t="s">
        <v>1295</v>
      </c>
      <c r="E707" t="s">
        <v>4196</v>
      </c>
      <c r="F707" s="23">
        <v>44975</v>
      </c>
      <c r="G707" s="1">
        <v>7824</v>
      </c>
    </row>
    <row r="708" spans="1:7">
      <c r="A708" t="s">
        <v>5711</v>
      </c>
      <c r="B708" t="s">
        <v>106</v>
      </c>
      <c r="C708" t="s">
        <v>1872</v>
      </c>
      <c r="D708" t="s">
        <v>2971</v>
      </c>
      <c r="E708" t="s">
        <v>4197</v>
      </c>
      <c r="F708" s="23">
        <v>44646</v>
      </c>
      <c r="G708" s="1">
        <v>2202</v>
      </c>
    </row>
    <row r="709" spans="1:7">
      <c r="A709" t="s">
        <v>5711</v>
      </c>
      <c r="B709" t="s">
        <v>94</v>
      </c>
      <c r="C709" t="s">
        <v>2779</v>
      </c>
      <c r="D709" t="s">
        <v>2778</v>
      </c>
      <c r="E709" t="s">
        <v>4198</v>
      </c>
      <c r="F709" s="23">
        <v>44346</v>
      </c>
      <c r="G709" s="1">
        <v>16562</v>
      </c>
    </row>
    <row r="710" spans="1:7">
      <c r="A710" t="s">
        <v>5711</v>
      </c>
      <c r="B710" t="s">
        <v>233</v>
      </c>
      <c r="C710" t="s">
        <v>2668</v>
      </c>
      <c r="D710" t="s">
        <v>2667</v>
      </c>
      <c r="E710" t="s">
        <v>4199</v>
      </c>
      <c r="F710" s="23">
        <v>44709</v>
      </c>
      <c r="G710" s="1">
        <v>1563</v>
      </c>
    </row>
    <row r="711" spans="1:7">
      <c r="A711" t="s">
        <v>5711</v>
      </c>
      <c r="B711" t="s">
        <v>94</v>
      </c>
      <c r="C711" t="s">
        <v>3486</v>
      </c>
      <c r="D711" t="s">
        <v>141</v>
      </c>
      <c r="E711" t="s">
        <v>4200</v>
      </c>
      <c r="F711" s="23">
        <v>44604</v>
      </c>
      <c r="G711" s="1">
        <v>9784</v>
      </c>
    </row>
    <row r="712" spans="1:7">
      <c r="A712" t="s">
        <v>5711</v>
      </c>
      <c r="B712" t="s">
        <v>97</v>
      </c>
      <c r="C712" t="s">
        <v>1755</v>
      </c>
      <c r="D712" t="s">
        <v>1754</v>
      </c>
      <c r="E712" t="s">
        <v>4201</v>
      </c>
      <c r="F712" s="23">
        <v>44821</v>
      </c>
      <c r="G712" s="1">
        <v>11303</v>
      </c>
    </row>
    <row r="713" spans="1:7">
      <c r="A713" t="s">
        <v>5711</v>
      </c>
      <c r="B713" t="s">
        <v>37</v>
      </c>
      <c r="C713" t="s">
        <v>587</v>
      </c>
      <c r="D713" t="s">
        <v>5574</v>
      </c>
      <c r="E713" t="s">
        <v>4202</v>
      </c>
      <c r="F713" s="23">
        <v>44346</v>
      </c>
      <c r="G713" s="1">
        <v>7588</v>
      </c>
    </row>
    <row r="714" spans="1:7">
      <c r="A714" t="s">
        <v>5711</v>
      </c>
      <c r="B714" t="s">
        <v>106</v>
      </c>
      <c r="C714" t="s">
        <v>2250</v>
      </c>
      <c r="D714" t="s">
        <v>2249</v>
      </c>
      <c r="E714" t="s">
        <v>4203</v>
      </c>
      <c r="F714" s="23">
        <v>44346</v>
      </c>
      <c r="G714" s="1">
        <v>3499</v>
      </c>
    </row>
    <row r="715" spans="1:7">
      <c r="A715" t="s">
        <v>5711</v>
      </c>
      <c r="B715" t="s">
        <v>233</v>
      </c>
      <c r="C715" t="s">
        <v>2799</v>
      </c>
      <c r="D715" t="s">
        <v>2798</v>
      </c>
      <c r="E715" t="s">
        <v>4204</v>
      </c>
      <c r="F715" s="23">
        <v>44346</v>
      </c>
      <c r="G715" s="1">
        <v>17809</v>
      </c>
    </row>
    <row r="716" spans="1:7">
      <c r="A716" t="s">
        <v>5711</v>
      </c>
      <c r="B716" t="s">
        <v>94</v>
      </c>
      <c r="C716" t="s">
        <v>3486</v>
      </c>
      <c r="D716" t="s">
        <v>123</v>
      </c>
      <c r="E716" t="s">
        <v>4205</v>
      </c>
      <c r="F716" s="23">
        <v>44346</v>
      </c>
      <c r="G716" s="1">
        <v>10163</v>
      </c>
    </row>
    <row r="717" spans="1:7">
      <c r="A717" t="s">
        <v>5711</v>
      </c>
      <c r="B717" t="s">
        <v>298</v>
      </c>
      <c r="C717" t="s">
        <v>1854</v>
      </c>
      <c r="D717" t="s">
        <v>1853</v>
      </c>
      <c r="E717" t="s">
        <v>4206</v>
      </c>
      <c r="F717" s="23">
        <v>44346</v>
      </c>
      <c r="G717" s="1">
        <v>5344</v>
      </c>
    </row>
    <row r="718" spans="1:7">
      <c r="A718" t="s">
        <v>5711</v>
      </c>
      <c r="B718" t="s">
        <v>101</v>
      </c>
      <c r="C718" t="s">
        <v>626</v>
      </c>
      <c r="D718" t="s">
        <v>625</v>
      </c>
      <c r="E718" t="s">
        <v>4207</v>
      </c>
      <c r="F718" s="23">
        <v>44346</v>
      </c>
      <c r="G718" s="1">
        <v>19372</v>
      </c>
    </row>
    <row r="719" spans="1:7">
      <c r="A719" t="s">
        <v>5711</v>
      </c>
      <c r="B719" t="s">
        <v>106</v>
      </c>
      <c r="C719" t="s">
        <v>658</v>
      </c>
      <c r="D719" t="s">
        <v>657</v>
      </c>
      <c r="E719" t="s">
        <v>4208</v>
      </c>
      <c r="F719" s="23">
        <v>44346</v>
      </c>
      <c r="G719" s="1">
        <v>15697</v>
      </c>
    </row>
    <row r="720" spans="1:7">
      <c r="A720" t="s">
        <v>5711</v>
      </c>
      <c r="B720" t="s">
        <v>106</v>
      </c>
      <c r="C720" t="s">
        <v>2767</v>
      </c>
      <c r="D720" t="s">
        <v>2808</v>
      </c>
      <c r="E720" t="s">
        <v>4209</v>
      </c>
      <c r="F720" s="23">
        <v>44346</v>
      </c>
      <c r="G720" s="1">
        <v>12586</v>
      </c>
    </row>
    <row r="721" spans="1:7">
      <c r="A721" t="s">
        <v>5711</v>
      </c>
      <c r="B721" t="s">
        <v>97</v>
      </c>
      <c r="C721" t="s">
        <v>1666</v>
      </c>
      <c r="D721" t="s">
        <v>1665</v>
      </c>
      <c r="E721" t="s">
        <v>4210</v>
      </c>
      <c r="F721" s="23">
        <v>44812</v>
      </c>
      <c r="G721" s="1">
        <v>7513</v>
      </c>
    </row>
    <row r="722" spans="1:7">
      <c r="A722" t="s">
        <v>5711</v>
      </c>
      <c r="B722" t="s">
        <v>94</v>
      </c>
      <c r="C722" t="s">
        <v>3486</v>
      </c>
      <c r="D722" t="s">
        <v>1835</v>
      </c>
      <c r="E722" t="s">
        <v>4211</v>
      </c>
      <c r="F722" s="23">
        <v>44346</v>
      </c>
      <c r="G722" s="1">
        <v>8571</v>
      </c>
    </row>
    <row r="723" spans="1:7">
      <c r="A723" t="s">
        <v>5711</v>
      </c>
      <c r="B723" t="s">
        <v>94</v>
      </c>
      <c r="C723" t="s">
        <v>3489</v>
      </c>
      <c r="D723" t="s">
        <v>1308</v>
      </c>
      <c r="E723" t="s">
        <v>4212</v>
      </c>
      <c r="F723" s="23">
        <v>44346</v>
      </c>
      <c r="G723" s="1">
        <v>15032</v>
      </c>
    </row>
    <row r="724" spans="1:7">
      <c r="A724" t="s">
        <v>5711</v>
      </c>
      <c r="B724" t="s">
        <v>37</v>
      </c>
      <c r="C724" t="s">
        <v>1352</v>
      </c>
      <c r="D724" t="s">
        <v>1351</v>
      </c>
      <c r="E724" t="s">
        <v>4213</v>
      </c>
      <c r="F724" s="23">
        <v>44346</v>
      </c>
      <c r="G724" s="1">
        <v>12547</v>
      </c>
    </row>
    <row r="725" spans="1:7">
      <c r="A725" t="s">
        <v>5711</v>
      </c>
      <c r="B725" t="s">
        <v>114</v>
      </c>
      <c r="C725" t="s">
        <v>113</v>
      </c>
      <c r="D725" t="s">
        <v>112</v>
      </c>
      <c r="E725" t="s">
        <v>4214</v>
      </c>
      <c r="F725" s="23">
        <v>44346</v>
      </c>
      <c r="G725" s="1">
        <v>14777</v>
      </c>
    </row>
    <row r="726" spans="1:7">
      <c r="A726" t="s">
        <v>5711</v>
      </c>
      <c r="B726" t="s">
        <v>106</v>
      </c>
      <c r="C726" t="s">
        <v>2246</v>
      </c>
      <c r="D726" t="s">
        <v>2245</v>
      </c>
      <c r="E726" t="s">
        <v>4215</v>
      </c>
      <c r="F726" s="23">
        <v>44346</v>
      </c>
      <c r="G726" s="1">
        <v>18984</v>
      </c>
    </row>
    <row r="727" spans="1:7">
      <c r="A727" t="s">
        <v>5711</v>
      </c>
      <c r="B727" t="s">
        <v>106</v>
      </c>
      <c r="C727" t="s">
        <v>2257</v>
      </c>
      <c r="D727" t="s">
        <v>2256</v>
      </c>
      <c r="E727" t="s">
        <v>4216</v>
      </c>
      <c r="F727" s="23">
        <v>44613</v>
      </c>
      <c r="G727" s="1">
        <v>775</v>
      </c>
    </row>
    <row r="728" spans="1:7">
      <c r="A728" t="s">
        <v>5711</v>
      </c>
      <c r="B728" t="s">
        <v>233</v>
      </c>
      <c r="C728" t="s">
        <v>1276</v>
      </c>
      <c r="D728" t="s">
        <v>1275</v>
      </c>
      <c r="E728" t="s">
        <v>4217</v>
      </c>
      <c r="F728" s="23">
        <v>44346</v>
      </c>
      <c r="G728" s="1">
        <v>18234</v>
      </c>
    </row>
    <row r="729" spans="1:7">
      <c r="A729" t="s">
        <v>5711</v>
      </c>
      <c r="B729" t="s">
        <v>896</v>
      </c>
      <c r="C729" t="s">
        <v>895</v>
      </c>
      <c r="D729" t="s">
        <v>894</v>
      </c>
      <c r="E729" t="s">
        <v>4218</v>
      </c>
      <c r="F729" s="23">
        <v>44346</v>
      </c>
      <c r="G729" s="1">
        <v>13646</v>
      </c>
    </row>
    <row r="730" spans="1:7">
      <c r="A730" t="s">
        <v>5711</v>
      </c>
      <c r="B730" t="s">
        <v>233</v>
      </c>
      <c r="C730" t="s">
        <v>3100</v>
      </c>
      <c r="D730" t="s">
        <v>3099</v>
      </c>
      <c r="E730" t="s">
        <v>4219</v>
      </c>
      <c r="F730" s="23">
        <v>44396</v>
      </c>
      <c r="G730" s="1">
        <v>10265</v>
      </c>
    </row>
    <row r="731" spans="1:7">
      <c r="A731" t="s">
        <v>5711</v>
      </c>
      <c r="B731" t="s">
        <v>298</v>
      </c>
      <c r="C731" t="s">
        <v>297</v>
      </c>
      <c r="D731" t="s">
        <v>296</v>
      </c>
      <c r="E731" t="s">
        <v>4220</v>
      </c>
      <c r="F731" s="23">
        <v>44346</v>
      </c>
      <c r="G731" s="1">
        <v>6727</v>
      </c>
    </row>
    <row r="732" spans="1:7">
      <c r="A732" t="s">
        <v>5711</v>
      </c>
      <c r="B732" t="s">
        <v>106</v>
      </c>
      <c r="C732" t="s">
        <v>2923</v>
      </c>
      <c r="D732" t="s">
        <v>2922</v>
      </c>
      <c r="E732" t="s">
        <v>4221</v>
      </c>
      <c r="F732" s="23">
        <v>44346</v>
      </c>
      <c r="G732" s="1">
        <v>15820</v>
      </c>
    </row>
    <row r="733" spans="1:7">
      <c r="A733" t="s">
        <v>5711</v>
      </c>
      <c r="B733" t="s">
        <v>106</v>
      </c>
      <c r="C733" t="s">
        <v>2151</v>
      </c>
      <c r="D733" t="s">
        <v>2150</v>
      </c>
      <c r="E733" t="s">
        <v>4222</v>
      </c>
      <c r="F733" s="23">
        <v>44719</v>
      </c>
      <c r="G733" s="1">
        <v>985</v>
      </c>
    </row>
    <row r="734" spans="1:7">
      <c r="A734" t="s">
        <v>5711</v>
      </c>
      <c r="B734" t="s">
        <v>78</v>
      </c>
      <c r="C734" t="s">
        <v>1021</v>
      </c>
      <c r="D734" t="s">
        <v>1020</v>
      </c>
      <c r="E734" t="s">
        <v>4223</v>
      </c>
      <c r="F734" s="23">
        <v>44841</v>
      </c>
      <c r="G734" s="1">
        <v>7138</v>
      </c>
    </row>
    <row r="735" spans="1:7">
      <c r="A735" t="s">
        <v>5711</v>
      </c>
      <c r="B735" t="s">
        <v>46</v>
      </c>
      <c r="C735" t="s">
        <v>1534</v>
      </c>
      <c r="D735" t="s">
        <v>1533</v>
      </c>
      <c r="E735" t="s">
        <v>4224</v>
      </c>
      <c r="F735" s="23">
        <v>44346</v>
      </c>
      <c r="G735" s="1">
        <v>16276</v>
      </c>
    </row>
    <row r="736" spans="1:7">
      <c r="A736" t="s">
        <v>5711</v>
      </c>
      <c r="B736" t="s">
        <v>94</v>
      </c>
      <c r="C736" t="s">
        <v>2016</v>
      </c>
      <c r="D736" t="s">
        <v>2015</v>
      </c>
      <c r="E736" t="s">
        <v>4225</v>
      </c>
      <c r="F736" s="23">
        <v>44346</v>
      </c>
      <c r="G736" s="1">
        <v>17595</v>
      </c>
    </row>
    <row r="737" spans="1:7">
      <c r="A737" t="s">
        <v>5711</v>
      </c>
      <c r="B737" t="s">
        <v>37</v>
      </c>
      <c r="C737" t="s">
        <v>1517</v>
      </c>
      <c r="D737" t="s">
        <v>1516</v>
      </c>
      <c r="E737" t="s">
        <v>4226</v>
      </c>
      <c r="F737" s="23">
        <v>44346</v>
      </c>
      <c r="G737" s="1">
        <v>18143</v>
      </c>
    </row>
    <row r="738" spans="1:7">
      <c r="A738" t="s">
        <v>5711</v>
      </c>
      <c r="B738" t="s">
        <v>298</v>
      </c>
      <c r="C738" t="s">
        <v>3306</v>
      </c>
      <c r="D738" t="s">
        <v>3305</v>
      </c>
      <c r="E738" t="s">
        <v>4227</v>
      </c>
      <c r="F738" s="23">
        <v>44496</v>
      </c>
      <c r="G738" s="1">
        <v>3745</v>
      </c>
    </row>
    <row r="739" spans="1:7">
      <c r="A739" t="s">
        <v>5711</v>
      </c>
      <c r="B739" t="s">
        <v>208</v>
      </c>
      <c r="C739" t="s">
        <v>552</v>
      </c>
      <c r="D739" t="s">
        <v>551</v>
      </c>
      <c r="E739" t="s">
        <v>4228</v>
      </c>
      <c r="F739" s="23">
        <v>44593</v>
      </c>
      <c r="G739" s="1">
        <v>2541</v>
      </c>
    </row>
    <row r="740" spans="1:7">
      <c r="A740" t="s">
        <v>5711</v>
      </c>
      <c r="B740" t="s">
        <v>298</v>
      </c>
      <c r="C740" t="s">
        <v>2395</v>
      </c>
      <c r="D740" t="s">
        <v>3293</v>
      </c>
      <c r="E740" t="s">
        <v>4229</v>
      </c>
      <c r="F740" s="23">
        <v>44346</v>
      </c>
      <c r="G740" s="1">
        <v>16462</v>
      </c>
    </row>
    <row r="741" spans="1:7">
      <c r="A741" t="s">
        <v>5711</v>
      </c>
      <c r="B741" t="s">
        <v>263</v>
      </c>
      <c r="C741" t="s">
        <v>382</v>
      </c>
      <c r="D741" t="s">
        <v>381</v>
      </c>
      <c r="E741" t="s">
        <v>4230</v>
      </c>
      <c r="F741" s="23">
        <v>44546</v>
      </c>
      <c r="G741" s="1">
        <v>3117</v>
      </c>
    </row>
    <row r="742" spans="1:7">
      <c r="A742" t="s">
        <v>5711</v>
      </c>
      <c r="B742" t="s">
        <v>400</v>
      </c>
      <c r="C742" t="s">
        <v>399</v>
      </c>
      <c r="D742" t="s">
        <v>398</v>
      </c>
      <c r="E742" t="s">
        <v>4231</v>
      </c>
      <c r="F742" s="23">
        <v>44346</v>
      </c>
      <c r="G742" s="1">
        <v>15528</v>
      </c>
    </row>
    <row r="743" spans="1:7">
      <c r="A743" t="s">
        <v>5711</v>
      </c>
      <c r="B743" t="s">
        <v>1072</v>
      </c>
      <c r="C743" t="s">
        <v>1071</v>
      </c>
      <c r="D743" t="s">
        <v>1070</v>
      </c>
      <c r="E743" t="s">
        <v>4232</v>
      </c>
      <c r="F743" s="23">
        <v>44346</v>
      </c>
      <c r="G743" s="1">
        <v>18656</v>
      </c>
    </row>
    <row r="744" spans="1:7">
      <c r="A744" t="s">
        <v>5711</v>
      </c>
      <c r="B744" t="s">
        <v>101</v>
      </c>
      <c r="C744" t="s">
        <v>930</v>
      </c>
      <c r="D744" t="s">
        <v>929</v>
      </c>
      <c r="E744" t="s">
        <v>4233</v>
      </c>
      <c r="F744" s="23">
        <v>44346</v>
      </c>
      <c r="G744" s="1">
        <v>16659</v>
      </c>
    </row>
    <row r="745" spans="1:7">
      <c r="A745" t="s">
        <v>5711</v>
      </c>
      <c r="B745" t="s">
        <v>311</v>
      </c>
      <c r="C745" t="s">
        <v>3156</v>
      </c>
      <c r="D745" t="s">
        <v>3155</v>
      </c>
      <c r="E745" t="s">
        <v>4234</v>
      </c>
      <c r="F745" s="23">
        <v>44346</v>
      </c>
      <c r="G745" s="1">
        <v>14554</v>
      </c>
    </row>
    <row r="746" spans="1:7">
      <c r="A746" t="s">
        <v>5711</v>
      </c>
      <c r="B746" t="s">
        <v>1078</v>
      </c>
      <c r="C746" t="s">
        <v>1077</v>
      </c>
      <c r="D746" t="s">
        <v>1076</v>
      </c>
      <c r="E746" t="s">
        <v>4235</v>
      </c>
      <c r="F746" s="23">
        <v>44346</v>
      </c>
      <c r="G746" s="1">
        <v>1800</v>
      </c>
    </row>
    <row r="747" spans="1:7">
      <c r="A747" t="s">
        <v>5711</v>
      </c>
      <c r="B747" t="s">
        <v>106</v>
      </c>
      <c r="C747" t="s">
        <v>614</v>
      </c>
      <c r="D747" t="s">
        <v>2354</v>
      </c>
      <c r="E747" t="s">
        <v>4236</v>
      </c>
      <c r="F747" s="23">
        <v>44346</v>
      </c>
      <c r="G747" s="1">
        <v>7765</v>
      </c>
    </row>
    <row r="748" spans="1:7">
      <c r="A748" t="s">
        <v>5711</v>
      </c>
      <c r="B748" t="s">
        <v>106</v>
      </c>
      <c r="C748" t="s">
        <v>1872</v>
      </c>
      <c r="D748" t="s">
        <v>1871</v>
      </c>
      <c r="E748" t="s">
        <v>4237</v>
      </c>
      <c r="F748" s="23">
        <v>44346</v>
      </c>
      <c r="G748" s="1">
        <v>14905</v>
      </c>
    </row>
    <row r="749" spans="1:7">
      <c r="A749" t="s">
        <v>5711</v>
      </c>
      <c r="B749" t="s">
        <v>106</v>
      </c>
      <c r="C749" t="s">
        <v>3078</v>
      </c>
      <c r="D749" t="s">
        <v>3077</v>
      </c>
      <c r="E749" t="s">
        <v>4238</v>
      </c>
      <c r="F749" s="23">
        <v>44346</v>
      </c>
      <c r="G749" s="1">
        <v>13764</v>
      </c>
    </row>
    <row r="750" spans="1:7">
      <c r="A750" t="s">
        <v>5711</v>
      </c>
      <c r="B750" t="s">
        <v>311</v>
      </c>
      <c r="C750" t="s">
        <v>1721</v>
      </c>
      <c r="D750" t="s">
        <v>1720</v>
      </c>
      <c r="E750" t="s">
        <v>4239</v>
      </c>
      <c r="F750" s="23">
        <v>45030</v>
      </c>
      <c r="G750" s="1">
        <v>1109</v>
      </c>
    </row>
    <row r="751" spans="1:7">
      <c r="A751" t="s">
        <v>5711</v>
      </c>
      <c r="B751" t="s">
        <v>78</v>
      </c>
      <c r="C751" t="s">
        <v>514</v>
      </c>
      <c r="D751" t="s">
        <v>5575</v>
      </c>
      <c r="E751" t="s">
        <v>4240</v>
      </c>
      <c r="F751" s="23">
        <v>44346</v>
      </c>
      <c r="G751" s="1">
        <v>13248</v>
      </c>
    </row>
    <row r="752" spans="1:7">
      <c r="A752" t="s">
        <v>5711</v>
      </c>
      <c r="B752" t="s">
        <v>311</v>
      </c>
      <c r="C752" t="s">
        <v>3058</v>
      </c>
      <c r="D752" t="s">
        <v>3057</v>
      </c>
      <c r="E752" t="s">
        <v>4241</v>
      </c>
      <c r="F752" s="23">
        <v>44346</v>
      </c>
      <c r="G752" s="1">
        <v>12962</v>
      </c>
    </row>
    <row r="753" spans="1:7">
      <c r="A753" t="s">
        <v>5711</v>
      </c>
      <c r="B753" t="s">
        <v>94</v>
      </c>
      <c r="C753" t="s">
        <v>3489</v>
      </c>
      <c r="D753" t="s">
        <v>1573</v>
      </c>
      <c r="E753" t="s">
        <v>4242</v>
      </c>
      <c r="F753" s="23">
        <v>44346</v>
      </c>
      <c r="G753" s="1">
        <v>16912</v>
      </c>
    </row>
    <row r="754" spans="1:7">
      <c r="A754" t="s">
        <v>5711</v>
      </c>
      <c r="B754" t="s">
        <v>101</v>
      </c>
      <c r="C754" t="s">
        <v>1186</v>
      </c>
      <c r="D754" t="s">
        <v>1185</v>
      </c>
      <c r="E754" t="s">
        <v>4243</v>
      </c>
      <c r="F754" s="23">
        <v>44346</v>
      </c>
      <c r="G754" s="1">
        <v>18225</v>
      </c>
    </row>
    <row r="755" spans="1:7">
      <c r="A755" t="s">
        <v>5711</v>
      </c>
      <c r="B755" t="s">
        <v>91</v>
      </c>
      <c r="C755" t="s">
        <v>1745</v>
      </c>
      <c r="D755" t="s">
        <v>1744</v>
      </c>
      <c r="E755" t="s">
        <v>4244</v>
      </c>
      <c r="F755" s="23">
        <v>44346</v>
      </c>
      <c r="G755" s="1">
        <v>10768</v>
      </c>
    </row>
    <row r="756" spans="1:7">
      <c r="A756" t="s">
        <v>5711</v>
      </c>
      <c r="B756" t="s">
        <v>37</v>
      </c>
      <c r="C756" t="s">
        <v>1216</v>
      </c>
      <c r="D756" t="s">
        <v>1215</v>
      </c>
      <c r="E756" t="s">
        <v>4245</v>
      </c>
      <c r="F756" s="23">
        <v>44346</v>
      </c>
      <c r="G756" s="1">
        <v>16509</v>
      </c>
    </row>
    <row r="757" spans="1:7">
      <c r="A757" t="s">
        <v>5711</v>
      </c>
      <c r="B757" t="s">
        <v>298</v>
      </c>
      <c r="C757" t="s">
        <v>2040</v>
      </c>
      <c r="D757" t="s">
        <v>2039</v>
      </c>
      <c r="E757" t="s">
        <v>4246</v>
      </c>
      <c r="F757" s="23">
        <v>44350</v>
      </c>
      <c r="G757" s="1">
        <v>5505</v>
      </c>
    </row>
    <row r="758" spans="1:7">
      <c r="A758" t="s">
        <v>5711</v>
      </c>
      <c r="B758" t="s">
        <v>298</v>
      </c>
      <c r="C758" t="s">
        <v>1337</v>
      </c>
      <c r="D758" t="s">
        <v>2945</v>
      </c>
      <c r="E758" t="s">
        <v>4247</v>
      </c>
      <c r="F758" s="23">
        <v>44489</v>
      </c>
      <c r="G758" s="1">
        <v>4341</v>
      </c>
    </row>
    <row r="759" spans="1:7">
      <c r="A759" t="s">
        <v>5711</v>
      </c>
      <c r="B759" t="s">
        <v>94</v>
      </c>
      <c r="C759" t="s">
        <v>3487</v>
      </c>
      <c r="D759" t="s">
        <v>1703</v>
      </c>
      <c r="E759" t="s">
        <v>4248</v>
      </c>
      <c r="F759" s="23">
        <v>44346</v>
      </c>
      <c r="G759" s="1">
        <v>2396</v>
      </c>
    </row>
    <row r="760" spans="1:7">
      <c r="A760" t="s">
        <v>5711</v>
      </c>
      <c r="B760" t="s">
        <v>43</v>
      </c>
      <c r="C760" t="s">
        <v>859</v>
      </c>
      <c r="D760" t="s">
        <v>5576</v>
      </c>
      <c r="E760" t="s">
        <v>4249</v>
      </c>
      <c r="F760" s="23">
        <v>44346</v>
      </c>
      <c r="G760" s="1">
        <v>12303</v>
      </c>
    </row>
    <row r="761" spans="1:7">
      <c r="A761" t="s">
        <v>5711</v>
      </c>
      <c r="B761" t="s">
        <v>94</v>
      </c>
      <c r="C761" t="s">
        <v>3489</v>
      </c>
      <c r="D761" t="s">
        <v>943</v>
      </c>
      <c r="E761" t="s">
        <v>4250</v>
      </c>
      <c r="F761" s="23">
        <v>44864</v>
      </c>
      <c r="G761" s="1">
        <v>6729</v>
      </c>
    </row>
    <row r="762" spans="1:7">
      <c r="A762" t="s">
        <v>5711</v>
      </c>
      <c r="B762" t="s">
        <v>37</v>
      </c>
      <c r="C762" t="s">
        <v>1803</v>
      </c>
      <c r="D762" t="s">
        <v>1802</v>
      </c>
      <c r="E762" t="s">
        <v>4251</v>
      </c>
      <c r="F762" s="23">
        <v>45070</v>
      </c>
      <c r="G762" s="1">
        <v>7503</v>
      </c>
    </row>
    <row r="763" spans="1:7">
      <c r="A763" t="s">
        <v>5711</v>
      </c>
      <c r="B763" t="s">
        <v>94</v>
      </c>
      <c r="C763" t="s">
        <v>3486</v>
      </c>
      <c r="D763" t="s">
        <v>5577</v>
      </c>
      <c r="E763" t="s">
        <v>4252</v>
      </c>
      <c r="F763" s="23">
        <v>44715</v>
      </c>
      <c r="G763" s="1">
        <v>10735</v>
      </c>
    </row>
    <row r="764" spans="1:7">
      <c r="A764" t="s">
        <v>5711</v>
      </c>
      <c r="B764" t="s">
        <v>106</v>
      </c>
      <c r="C764" t="s">
        <v>2163</v>
      </c>
      <c r="D764" t="s">
        <v>2162</v>
      </c>
      <c r="E764" t="s">
        <v>4253</v>
      </c>
      <c r="F764" s="23">
        <v>44346</v>
      </c>
      <c r="G764" s="1">
        <v>6188</v>
      </c>
    </row>
    <row r="765" spans="1:7">
      <c r="A765" t="s">
        <v>5711</v>
      </c>
      <c r="B765" t="s">
        <v>298</v>
      </c>
      <c r="C765" t="s">
        <v>2320</v>
      </c>
      <c r="D765" t="s">
        <v>2319</v>
      </c>
      <c r="E765" t="s">
        <v>4254</v>
      </c>
      <c r="F765" s="23">
        <v>44346</v>
      </c>
      <c r="G765" s="1">
        <v>6310</v>
      </c>
    </row>
    <row r="766" spans="1:7">
      <c r="A766" t="s">
        <v>5711</v>
      </c>
      <c r="B766" t="s">
        <v>311</v>
      </c>
      <c r="C766" t="s">
        <v>2452</v>
      </c>
      <c r="D766" t="s">
        <v>2451</v>
      </c>
      <c r="E766" t="s">
        <v>4255</v>
      </c>
      <c r="F766" s="23">
        <v>44410</v>
      </c>
      <c r="G766" s="1">
        <v>5027</v>
      </c>
    </row>
    <row r="767" spans="1:7">
      <c r="A767" t="s">
        <v>5711</v>
      </c>
      <c r="B767" t="s">
        <v>298</v>
      </c>
      <c r="C767" t="s">
        <v>126</v>
      </c>
      <c r="D767" t="s">
        <v>1938</v>
      </c>
      <c r="E767" t="s">
        <v>4256</v>
      </c>
      <c r="F767" s="23">
        <v>44548</v>
      </c>
      <c r="G767" s="1">
        <v>3258</v>
      </c>
    </row>
    <row r="768" spans="1:7">
      <c r="A768" t="s">
        <v>5711</v>
      </c>
      <c r="B768" t="s">
        <v>94</v>
      </c>
      <c r="C768" t="s">
        <v>3487</v>
      </c>
      <c r="D768" t="s">
        <v>1232</v>
      </c>
      <c r="E768" t="s">
        <v>4257</v>
      </c>
      <c r="F768" s="23">
        <v>44346</v>
      </c>
      <c r="G768" s="1">
        <v>13856</v>
      </c>
    </row>
    <row r="769" spans="1:7">
      <c r="A769" t="s">
        <v>5711</v>
      </c>
      <c r="B769" t="s">
        <v>298</v>
      </c>
      <c r="C769" t="s">
        <v>2125</v>
      </c>
      <c r="D769" t="s">
        <v>2844</v>
      </c>
      <c r="E769" t="s">
        <v>4258</v>
      </c>
      <c r="F769" s="23">
        <v>44812</v>
      </c>
      <c r="G769" s="1">
        <v>5187</v>
      </c>
    </row>
    <row r="770" spans="1:7">
      <c r="A770" t="s">
        <v>5711</v>
      </c>
      <c r="B770" t="s">
        <v>101</v>
      </c>
      <c r="C770" t="s">
        <v>475</v>
      </c>
      <c r="D770" t="s">
        <v>474</v>
      </c>
      <c r="E770" t="s">
        <v>4259</v>
      </c>
      <c r="F770" s="23">
        <v>44368</v>
      </c>
      <c r="G770" s="1">
        <v>7088</v>
      </c>
    </row>
    <row r="771" spans="1:7">
      <c r="A771" t="s">
        <v>5711</v>
      </c>
      <c r="B771" t="s">
        <v>72</v>
      </c>
      <c r="C771" t="s">
        <v>1423</v>
      </c>
      <c r="D771" t="s">
        <v>5578</v>
      </c>
      <c r="E771" t="s">
        <v>4260</v>
      </c>
      <c r="F771" s="23">
        <v>44346</v>
      </c>
      <c r="G771" s="1">
        <v>15012</v>
      </c>
    </row>
    <row r="772" spans="1:7">
      <c r="A772" t="s">
        <v>5711</v>
      </c>
      <c r="B772" t="s">
        <v>1047</v>
      </c>
      <c r="C772" t="s">
        <v>1082</v>
      </c>
      <c r="D772" t="s">
        <v>1081</v>
      </c>
      <c r="E772" t="s">
        <v>4261</v>
      </c>
      <c r="F772" s="23">
        <v>44824</v>
      </c>
      <c r="G772" s="1">
        <v>4099</v>
      </c>
    </row>
    <row r="773" spans="1:7">
      <c r="A773" t="s">
        <v>5711</v>
      </c>
      <c r="B773" t="s">
        <v>94</v>
      </c>
      <c r="C773" t="s">
        <v>3485</v>
      </c>
      <c r="D773" t="s">
        <v>756</v>
      </c>
      <c r="E773" t="s">
        <v>4262</v>
      </c>
      <c r="F773" s="23">
        <v>44346</v>
      </c>
      <c r="G773" s="1">
        <v>16169</v>
      </c>
    </row>
    <row r="774" spans="1:7">
      <c r="A774" t="s">
        <v>5711</v>
      </c>
      <c r="B774" t="s">
        <v>72</v>
      </c>
      <c r="C774" t="s">
        <v>71</v>
      </c>
      <c r="D774" t="s">
        <v>70</v>
      </c>
      <c r="E774" t="s">
        <v>4263</v>
      </c>
      <c r="F774" s="23">
        <v>44346</v>
      </c>
      <c r="G774" s="1">
        <v>19187</v>
      </c>
    </row>
    <row r="775" spans="1:7">
      <c r="A775" t="s">
        <v>5711</v>
      </c>
      <c r="B775" t="s">
        <v>94</v>
      </c>
      <c r="C775" t="s">
        <v>1298</v>
      </c>
      <c r="D775" t="s">
        <v>1297</v>
      </c>
      <c r="E775" t="s">
        <v>4264</v>
      </c>
      <c r="F775" s="23">
        <v>44346</v>
      </c>
      <c r="G775" s="1">
        <v>14717</v>
      </c>
    </row>
    <row r="776" spans="1:7">
      <c r="A776" t="s">
        <v>5711</v>
      </c>
      <c r="B776" t="s">
        <v>1690</v>
      </c>
      <c r="C776" t="s">
        <v>1689</v>
      </c>
      <c r="D776" t="s">
        <v>1688</v>
      </c>
      <c r="E776" t="s">
        <v>4265</v>
      </c>
      <c r="F776" s="23">
        <v>44346</v>
      </c>
      <c r="G776" s="1">
        <v>15462</v>
      </c>
    </row>
    <row r="777" spans="1:7">
      <c r="A777" t="s">
        <v>5711</v>
      </c>
      <c r="B777" t="s">
        <v>94</v>
      </c>
      <c r="C777" t="s">
        <v>3485</v>
      </c>
      <c r="D777" t="s">
        <v>395</v>
      </c>
      <c r="E777" t="s">
        <v>4266</v>
      </c>
      <c r="F777" s="23">
        <v>44346</v>
      </c>
      <c r="G777" s="1">
        <v>16509</v>
      </c>
    </row>
    <row r="778" spans="1:7">
      <c r="A778" t="s">
        <v>5711</v>
      </c>
      <c r="B778" t="s">
        <v>37</v>
      </c>
      <c r="C778" t="s">
        <v>494</v>
      </c>
      <c r="D778" t="s">
        <v>493</v>
      </c>
      <c r="E778" t="s">
        <v>4267</v>
      </c>
      <c r="F778" s="23">
        <v>44820</v>
      </c>
      <c r="G778" s="1">
        <v>865</v>
      </c>
    </row>
    <row r="779" spans="1:7">
      <c r="A779" t="s">
        <v>5711</v>
      </c>
      <c r="B779" t="s">
        <v>426</v>
      </c>
      <c r="C779" t="s">
        <v>564</v>
      </c>
      <c r="D779" t="s">
        <v>563</v>
      </c>
      <c r="E779" t="s">
        <v>4268</v>
      </c>
      <c r="F779" s="23">
        <v>44346</v>
      </c>
      <c r="G779" s="1">
        <v>17535</v>
      </c>
    </row>
    <row r="780" spans="1:7">
      <c r="A780" t="s">
        <v>5711</v>
      </c>
      <c r="B780" t="s">
        <v>94</v>
      </c>
      <c r="C780" t="s">
        <v>3490</v>
      </c>
      <c r="D780" t="s">
        <v>5579</v>
      </c>
      <c r="E780" t="s">
        <v>4269</v>
      </c>
      <c r="F780" s="23">
        <v>44346</v>
      </c>
      <c r="G780" s="1">
        <v>15351</v>
      </c>
    </row>
    <row r="781" spans="1:7">
      <c r="A781" t="s">
        <v>5711</v>
      </c>
      <c r="B781" t="s">
        <v>263</v>
      </c>
      <c r="C781" t="s">
        <v>262</v>
      </c>
      <c r="D781" t="s">
        <v>261</v>
      </c>
      <c r="E781" t="s">
        <v>4270</v>
      </c>
      <c r="F781" s="23">
        <v>44346</v>
      </c>
      <c r="G781" s="1">
        <v>2026</v>
      </c>
    </row>
    <row r="782" spans="1:7">
      <c r="A782" t="s">
        <v>5711</v>
      </c>
      <c r="B782" t="s">
        <v>298</v>
      </c>
      <c r="C782" t="s">
        <v>973</v>
      </c>
      <c r="D782" t="s">
        <v>3127</v>
      </c>
      <c r="E782" t="s">
        <v>4271</v>
      </c>
      <c r="F782" s="23">
        <v>44346</v>
      </c>
      <c r="G782" s="1">
        <v>9071</v>
      </c>
    </row>
    <row r="783" spans="1:7">
      <c r="A783" t="s">
        <v>5711</v>
      </c>
      <c r="B783" t="s">
        <v>94</v>
      </c>
      <c r="C783" t="s">
        <v>3302</v>
      </c>
      <c r="D783" t="s">
        <v>3301</v>
      </c>
      <c r="E783" t="s">
        <v>4272</v>
      </c>
      <c r="F783" s="23">
        <v>44346</v>
      </c>
      <c r="G783" s="1">
        <v>18491</v>
      </c>
    </row>
    <row r="784" spans="1:7">
      <c r="A784" t="s">
        <v>5711</v>
      </c>
      <c r="B784" t="s">
        <v>228</v>
      </c>
      <c r="C784" t="s">
        <v>967</v>
      </c>
      <c r="D784" t="s">
        <v>966</v>
      </c>
      <c r="E784" t="s">
        <v>4273</v>
      </c>
      <c r="F784" s="23">
        <v>44767</v>
      </c>
      <c r="G784" s="1">
        <v>2854</v>
      </c>
    </row>
    <row r="785" spans="1:7">
      <c r="A785" t="s">
        <v>5711</v>
      </c>
      <c r="B785" t="s">
        <v>94</v>
      </c>
      <c r="C785" t="s">
        <v>1862</v>
      </c>
      <c r="D785" t="s">
        <v>1861</v>
      </c>
      <c r="E785" t="s">
        <v>4274</v>
      </c>
      <c r="F785" s="23">
        <v>44629</v>
      </c>
      <c r="G785" s="1">
        <v>4359</v>
      </c>
    </row>
    <row r="786" spans="1:7">
      <c r="A786" t="s">
        <v>5711</v>
      </c>
      <c r="B786" t="s">
        <v>37</v>
      </c>
      <c r="C786" t="s">
        <v>698</v>
      </c>
      <c r="D786" t="s">
        <v>697</v>
      </c>
      <c r="E786" t="s">
        <v>4275</v>
      </c>
      <c r="F786" s="23">
        <v>44827</v>
      </c>
      <c r="G786" s="1">
        <v>11923</v>
      </c>
    </row>
    <row r="787" spans="1:7">
      <c r="A787" t="s">
        <v>5711</v>
      </c>
      <c r="B787" t="s">
        <v>94</v>
      </c>
      <c r="C787" t="s">
        <v>2119</v>
      </c>
      <c r="D787" t="s">
        <v>2118</v>
      </c>
      <c r="E787" t="s">
        <v>4276</v>
      </c>
      <c r="F787" s="23">
        <v>44530</v>
      </c>
      <c r="G787" s="1">
        <v>3717</v>
      </c>
    </row>
    <row r="788" spans="1:7">
      <c r="A788" t="s">
        <v>5711</v>
      </c>
      <c r="B788" t="s">
        <v>37</v>
      </c>
      <c r="C788" t="s">
        <v>1761</v>
      </c>
      <c r="D788" t="s">
        <v>1760</v>
      </c>
      <c r="E788" t="s">
        <v>4277</v>
      </c>
      <c r="F788" s="23">
        <v>44346</v>
      </c>
      <c r="G788" s="1">
        <v>10261</v>
      </c>
    </row>
    <row r="789" spans="1:7">
      <c r="A789" t="s">
        <v>5711</v>
      </c>
      <c r="B789" t="s">
        <v>94</v>
      </c>
      <c r="C789" t="s">
        <v>205</v>
      </c>
      <c r="D789" t="s">
        <v>5580</v>
      </c>
      <c r="E789" t="s">
        <v>4278</v>
      </c>
      <c r="F789" s="23">
        <v>45041</v>
      </c>
      <c r="G789" s="1">
        <v>3844</v>
      </c>
    </row>
    <row r="790" spans="1:7">
      <c r="A790" t="s">
        <v>5711</v>
      </c>
      <c r="B790" t="s">
        <v>94</v>
      </c>
      <c r="C790" t="s">
        <v>561</v>
      </c>
      <c r="D790" t="s">
        <v>1693</v>
      </c>
      <c r="E790" t="s">
        <v>4279</v>
      </c>
      <c r="F790" s="23">
        <v>44443</v>
      </c>
      <c r="G790" s="1">
        <v>10829</v>
      </c>
    </row>
    <row r="791" spans="1:7">
      <c r="A791" t="s">
        <v>5711</v>
      </c>
      <c r="B791" t="s">
        <v>94</v>
      </c>
      <c r="C791" t="s">
        <v>2585</v>
      </c>
      <c r="D791" t="s">
        <v>2584</v>
      </c>
      <c r="E791" t="s">
        <v>4280</v>
      </c>
      <c r="F791" s="23">
        <v>44346</v>
      </c>
      <c r="G791" s="1">
        <v>2304</v>
      </c>
    </row>
    <row r="792" spans="1:7">
      <c r="A792" t="s">
        <v>5711</v>
      </c>
      <c r="B792" t="s">
        <v>311</v>
      </c>
      <c r="C792" t="s">
        <v>3224</v>
      </c>
      <c r="D792" t="s">
        <v>3223</v>
      </c>
      <c r="E792" t="s">
        <v>4281</v>
      </c>
      <c r="F792" s="23">
        <v>45016</v>
      </c>
      <c r="G792" s="1">
        <v>560</v>
      </c>
    </row>
    <row r="793" spans="1:7">
      <c r="A793" t="s">
        <v>5711</v>
      </c>
      <c r="B793" t="s">
        <v>106</v>
      </c>
      <c r="C793" t="s">
        <v>1883</v>
      </c>
      <c r="D793" t="s">
        <v>1882</v>
      </c>
      <c r="E793" t="s">
        <v>4282</v>
      </c>
      <c r="F793" s="23">
        <v>44528</v>
      </c>
      <c r="G793" s="1">
        <v>10250</v>
      </c>
    </row>
    <row r="794" spans="1:7">
      <c r="A794" t="s">
        <v>5711</v>
      </c>
      <c r="B794" t="s">
        <v>106</v>
      </c>
      <c r="C794" t="s">
        <v>225</v>
      </c>
      <c r="D794" t="s">
        <v>224</v>
      </c>
      <c r="E794" t="s">
        <v>4283</v>
      </c>
      <c r="F794" s="23">
        <v>44486</v>
      </c>
      <c r="G794" s="1">
        <v>8779</v>
      </c>
    </row>
    <row r="795" spans="1:7">
      <c r="A795" t="s">
        <v>5711</v>
      </c>
      <c r="B795" t="s">
        <v>94</v>
      </c>
      <c r="C795" t="s">
        <v>581</v>
      </c>
      <c r="D795" t="s">
        <v>580</v>
      </c>
      <c r="E795" t="s">
        <v>4284</v>
      </c>
      <c r="F795" s="23">
        <v>44346</v>
      </c>
      <c r="G795" s="1">
        <v>3832</v>
      </c>
    </row>
    <row r="796" spans="1:7">
      <c r="A796" t="s">
        <v>5711</v>
      </c>
      <c r="B796" t="s">
        <v>106</v>
      </c>
      <c r="C796" t="s">
        <v>2987</v>
      </c>
      <c r="D796" t="s">
        <v>2986</v>
      </c>
      <c r="E796" t="s">
        <v>4285</v>
      </c>
      <c r="F796" s="23">
        <v>44820</v>
      </c>
      <c r="G796" s="1">
        <v>4805</v>
      </c>
    </row>
    <row r="797" spans="1:7">
      <c r="A797" t="s">
        <v>5711</v>
      </c>
      <c r="B797" t="s">
        <v>37</v>
      </c>
      <c r="C797" t="s">
        <v>308</v>
      </c>
      <c r="D797" t="s">
        <v>307</v>
      </c>
      <c r="E797" t="s">
        <v>4286</v>
      </c>
      <c r="F797" s="23">
        <v>44346</v>
      </c>
      <c r="G797" s="1">
        <v>1297</v>
      </c>
    </row>
    <row r="798" spans="1:7">
      <c r="A798" t="s">
        <v>5711</v>
      </c>
      <c r="B798" t="s">
        <v>1223</v>
      </c>
      <c r="C798" t="s">
        <v>2351</v>
      </c>
      <c r="D798" t="s">
        <v>2858</v>
      </c>
      <c r="E798" t="s">
        <v>4287</v>
      </c>
      <c r="F798" s="23">
        <v>44861</v>
      </c>
      <c r="G798" s="1">
        <v>11654</v>
      </c>
    </row>
    <row r="799" spans="1:7">
      <c r="A799" t="s">
        <v>5711</v>
      </c>
      <c r="B799" t="s">
        <v>1243</v>
      </c>
      <c r="C799" t="s">
        <v>1242</v>
      </c>
      <c r="D799" t="s">
        <v>1241</v>
      </c>
      <c r="E799" t="s">
        <v>4288</v>
      </c>
      <c r="F799" s="23">
        <v>44510</v>
      </c>
      <c r="G799" s="1">
        <v>7904</v>
      </c>
    </row>
    <row r="800" spans="1:7">
      <c r="A800" t="s">
        <v>5711</v>
      </c>
      <c r="B800" t="s">
        <v>106</v>
      </c>
      <c r="C800" t="s">
        <v>3261</v>
      </c>
      <c r="D800" t="s">
        <v>3260</v>
      </c>
      <c r="E800" t="s">
        <v>4289</v>
      </c>
      <c r="F800" s="23">
        <v>44721</v>
      </c>
      <c r="G800" s="1">
        <v>559</v>
      </c>
    </row>
    <row r="801" spans="1:7">
      <c r="A801" t="s">
        <v>5711</v>
      </c>
      <c r="B801" t="s">
        <v>833</v>
      </c>
      <c r="C801" t="s">
        <v>1725</v>
      </c>
      <c r="D801" t="s">
        <v>1724</v>
      </c>
      <c r="E801" t="s">
        <v>4290</v>
      </c>
      <c r="F801" s="23">
        <v>44346</v>
      </c>
      <c r="G801" s="1">
        <v>10602</v>
      </c>
    </row>
    <row r="802" spans="1:7">
      <c r="A802" t="s">
        <v>5711</v>
      </c>
      <c r="B802" t="s">
        <v>298</v>
      </c>
      <c r="C802" t="s">
        <v>1485</v>
      </c>
      <c r="D802" t="s">
        <v>1484</v>
      </c>
      <c r="E802" t="s">
        <v>4291</v>
      </c>
      <c r="F802" s="23">
        <v>44493</v>
      </c>
      <c r="G802" s="1">
        <v>1767</v>
      </c>
    </row>
    <row r="803" spans="1:7">
      <c r="A803" t="s">
        <v>5711</v>
      </c>
      <c r="B803" t="s">
        <v>37</v>
      </c>
      <c r="C803" t="s">
        <v>1480</v>
      </c>
      <c r="D803" t="s">
        <v>1479</v>
      </c>
      <c r="E803" t="s">
        <v>4292</v>
      </c>
      <c r="F803" s="23">
        <v>44346</v>
      </c>
      <c r="G803" s="1">
        <v>9666</v>
      </c>
    </row>
    <row r="804" spans="1:7">
      <c r="A804" t="s">
        <v>5711</v>
      </c>
      <c r="B804" t="s">
        <v>94</v>
      </c>
      <c r="C804" t="s">
        <v>1463</v>
      </c>
      <c r="D804" t="s">
        <v>3139</v>
      </c>
      <c r="E804" t="s">
        <v>4293</v>
      </c>
      <c r="F804" s="23">
        <v>44346</v>
      </c>
      <c r="G804" s="1">
        <v>13123</v>
      </c>
    </row>
    <row r="805" spans="1:7">
      <c r="A805" t="s">
        <v>5711</v>
      </c>
      <c r="B805" t="s">
        <v>72</v>
      </c>
      <c r="C805" t="s">
        <v>512</v>
      </c>
      <c r="D805" t="s">
        <v>5581</v>
      </c>
      <c r="E805" t="s">
        <v>4294</v>
      </c>
      <c r="F805" s="23">
        <v>44346</v>
      </c>
      <c r="G805" s="1">
        <v>13155</v>
      </c>
    </row>
    <row r="806" spans="1:7">
      <c r="A806" t="s">
        <v>5711</v>
      </c>
      <c r="B806" t="s">
        <v>233</v>
      </c>
      <c r="C806" t="s">
        <v>593</v>
      </c>
      <c r="D806" t="s">
        <v>2822</v>
      </c>
      <c r="E806" t="s">
        <v>4295</v>
      </c>
      <c r="F806" s="23">
        <v>44346</v>
      </c>
      <c r="G806" s="1">
        <v>7470</v>
      </c>
    </row>
    <row r="807" spans="1:7">
      <c r="A807" t="s">
        <v>5711</v>
      </c>
      <c r="B807" t="s">
        <v>106</v>
      </c>
      <c r="C807" t="s">
        <v>1866</v>
      </c>
      <c r="D807" t="s">
        <v>5582</v>
      </c>
      <c r="E807" t="s">
        <v>4296</v>
      </c>
      <c r="F807" s="23">
        <v>44346</v>
      </c>
      <c r="G807" s="1">
        <v>14645</v>
      </c>
    </row>
    <row r="808" spans="1:7">
      <c r="A808" t="s">
        <v>5711</v>
      </c>
      <c r="B808" t="s">
        <v>149</v>
      </c>
      <c r="C808" t="s">
        <v>438</v>
      </c>
      <c r="D808" t="s">
        <v>437</v>
      </c>
      <c r="E808" t="s">
        <v>4297</v>
      </c>
      <c r="F808" s="23">
        <v>44346</v>
      </c>
      <c r="G808" s="1">
        <v>17213</v>
      </c>
    </row>
    <row r="809" spans="1:7">
      <c r="A809" t="s">
        <v>5711</v>
      </c>
      <c r="B809" t="s">
        <v>94</v>
      </c>
      <c r="C809" t="s">
        <v>3255</v>
      </c>
      <c r="D809" t="s">
        <v>3254</v>
      </c>
      <c r="E809" t="s">
        <v>4298</v>
      </c>
      <c r="F809" s="23">
        <v>44346</v>
      </c>
      <c r="G809" s="1">
        <v>15892</v>
      </c>
    </row>
    <row r="810" spans="1:7">
      <c r="A810" t="s">
        <v>5711</v>
      </c>
      <c r="B810" t="s">
        <v>94</v>
      </c>
      <c r="C810" t="s">
        <v>266</v>
      </c>
      <c r="D810" t="s">
        <v>2194</v>
      </c>
      <c r="E810" t="s">
        <v>4299</v>
      </c>
      <c r="F810" s="23">
        <v>44735</v>
      </c>
      <c r="G810" s="1">
        <v>1935</v>
      </c>
    </row>
    <row r="811" spans="1:7">
      <c r="A811" t="s">
        <v>5711</v>
      </c>
      <c r="B811" t="s">
        <v>1072</v>
      </c>
      <c r="C811" t="s">
        <v>1410</v>
      </c>
      <c r="D811" t="s">
        <v>1409</v>
      </c>
      <c r="E811" t="s">
        <v>4300</v>
      </c>
      <c r="F811" s="23">
        <v>44346</v>
      </c>
      <c r="G811" s="1">
        <v>12126</v>
      </c>
    </row>
    <row r="812" spans="1:7">
      <c r="A812" t="s">
        <v>5711</v>
      </c>
      <c r="B812" t="s">
        <v>298</v>
      </c>
      <c r="C812" t="s">
        <v>1887</v>
      </c>
      <c r="D812" t="s">
        <v>5583</v>
      </c>
      <c r="E812" t="s">
        <v>4301</v>
      </c>
      <c r="F812" s="23">
        <v>44346</v>
      </c>
      <c r="G812" s="1">
        <v>9282</v>
      </c>
    </row>
    <row r="813" spans="1:7">
      <c r="A813" t="s">
        <v>5711</v>
      </c>
      <c r="B813" t="s">
        <v>122</v>
      </c>
      <c r="C813" t="s">
        <v>370</v>
      </c>
      <c r="D813" t="s">
        <v>369</v>
      </c>
      <c r="E813" t="s">
        <v>4302</v>
      </c>
      <c r="F813" s="23">
        <v>44346</v>
      </c>
      <c r="G813" s="1">
        <v>3482</v>
      </c>
    </row>
    <row r="814" spans="1:7">
      <c r="A814" t="s">
        <v>5711</v>
      </c>
      <c r="B814" t="s">
        <v>375</v>
      </c>
      <c r="C814" t="s">
        <v>1578</v>
      </c>
      <c r="D814" t="s">
        <v>1577</v>
      </c>
      <c r="E814" t="s">
        <v>4303</v>
      </c>
      <c r="F814" s="23">
        <v>45012</v>
      </c>
      <c r="G814" s="1">
        <v>1006</v>
      </c>
    </row>
    <row r="815" spans="1:7">
      <c r="A815" t="s">
        <v>5711</v>
      </c>
      <c r="B815" t="s">
        <v>58</v>
      </c>
      <c r="C815" t="s">
        <v>1318</v>
      </c>
      <c r="D815" t="s">
        <v>1738</v>
      </c>
      <c r="E815" t="s">
        <v>4304</v>
      </c>
      <c r="F815" s="23">
        <v>44346</v>
      </c>
      <c r="G815" s="1">
        <v>10463</v>
      </c>
    </row>
    <row r="816" spans="1:7">
      <c r="A816" t="s">
        <v>5711</v>
      </c>
      <c r="B816" t="s">
        <v>311</v>
      </c>
      <c r="C816" t="s">
        <v>3096</v>
      </c>
      <c r="D816" t="s">
        <v>3095</v>
      </c>
      <c r="E816" t="s">
        <v>4305</v>
      </c>
      <c r="F816" s="23">
        <v>44460</v>
      </c>
      <c r="G816" s="1">
        <v>7109</v>
      </c>
    </row>
    <row r="817" spans="1:7">
      <c r="A817" t="s">
        <v>5711</v>
      </c>
      <c r="B817" t="s">
        <v>94</v>
      </c>
      <c r="C817" t="s">
        <v>3488</v>
      </c>
      <c r="D817" t="s">
        <v>508</v>
      </c>
      <c r="E817" t="s">
        <v>4306</v>
      </c>
      <c r="F817" s="23">
        <v>45061</v>
      </c>
      <c r="G817" s="1">
        <v>3739</v>
      </c>
    </row>
    <row r="818" spans="1:7">
      <c r="A818" t="s">
        <v>5711</v>
      </c>
      <c r="B818" t="s">
        <v>106</v>
      </c>
      <c r="C818" t="s">
        <v>2604</v>
      </c>
      <c r="D818" t="s">
        <v>2603</v>
      </c>
      <c r="E818" t="s">
        <v>4307</v>
      </c>
      <c r="F818" s="23">
        <v>44346</v>
      </c>
      <c r="G818" s="1">
        <v>13453</v>
      </c>
    </row>
    <row r="819" spans="1:7">
      <c r="A819" t="s">
        <v>5711</v>
      </c>
      <c r="B819" t="s">
        <v>37</v>
      </c>
      <c r="C819" t="s">
        <v>548</v>
      </c>
      <c r="D819" t="s">
        <v>651</v>
      </c>
      <c r="E819" t="s">
        <v>4308</v>
      </c>
      <c r="F819" s="23">
        <v>44346</v>
      </c>
      <c r="G819" s="1">
        <v>13078</v>
      </c>
    </row>
    <row r="820" spans="1:7">
      <c r="A820" t="s">
        <v>5711</v>
      </c>
      <c r="B820" t="s">
        <v>37</v>
      </c>
      <c r="C820" t="s">
        <v>518</v>
      </c>
      <c r="D820" t="s">
        <v>517</v>
      </c>
      <c r="E820" t="s">
        <v>4309</v>
      </c>
      <c r="F820" s="23">
        <v>44346</v>
      </c>
      <c r="G820" s="1">
        <v>19643</v>
      </c>
    </row>
    <row r="821" spans="1:7">
      <c r="A821" t="s">
        <v>5711</v>
      </c>
      <c r="B821" t="s">
        <v>94</v>
      </c>
      <c r="C821" t="s">
        <v>1887</v>
      </c>
      <c r="D821" t="s">
        <v>2229</v>
      </c>
      <c r="E821" t="s">
        <v>4310</v>
      </c>
      <c r="F821" s="23">
        <v>44346</v>
      </c>
      <c r="G821" s="1">
        <v>18214</v>
      </c>
    </row>
    <row r="822" spans="1:7">
      <c r="A822" t="s">
        <v>5711</v>
      </c>
      <c r="B822" t="s">
        <v>37</v>
      </c>
      <c r="C822" t="s">
        <v>49</v>
      </c>
      <c r="D822" t="s">
        <v>48</v>
      </c>
      <c r="E822" t="s">
        <v>4311</v>
      </c>
      <c r="F822" s="23">
        <v>44776</v>
      </c>
      <c r="G822" s="1">
        <v>7005</v>
      </c>
    </row>
    <row r="823" spans="1:7">
      <c r="A823" t="s">
        <v>5711</v>
      </c>
      <c r="B823" t="s">
        <v>281</v>
      </c>
      <c r="C823" t="s">
        <v>1338</v>
      </c>
      <c r="D823" t="s">
        <v>5584</v>
      </c>
      <c r="E823" t="s">
        <v>4312</v>
      </c>
      <c r="F823" s="23">
        <v>44346</v>
      </c>
      <c r="G823" s="1">
        <v>11693</v>
      </c>
    </row>
    <row r="824" spans="1:7">
      <c r="A824" t="s">
        <v>5711</v>
      </c>
      <c r="B824" t="s">
        <v>72</v>
      </c>
      <c r="C824" t="s">
        <v>1668</v>
      </c>
      <c r="D824" t="s">
        <v>1667</v>
      </c>
      <c r="E824" t="s">
        <v>4313</v>
      </c>
      <c r="F824" s="23">
        <v>45055</v>
      </c>
      <c r="G824" s="1">
        <v>11937</v>
      </c>
    </row>
    <row r="825" spans="1:7">
      <c r="A825" t="s">
        <v>5711</v>
      </c>
      <c r="B825" t="s">
        <v>106</v>
      </c>
      <c r="C825" t="s">
        <v>2147</v>
      </c>
      <c r="D825" t="s">
        <v>2146</v>
      </c>
      <c r="E825" t="s">
        <v>4314</v>
      </c>
      <c r="F825" s="23">
        <v>44346</v>
      </c>
      <c r="G825" s="1">
        <v>4081</v>
      </c>
    </row>
    <row r="826" spans="1:7">
      <c r="A826" t="s">
        <v>5711</v>
      </c>
      <c r="B826" t="s">
        <v>311</v>
      </c>
      <c r="C826" t="s">
        <v>1887</v>
      </c>
      <c r="D826" t="s">
        <v>3483</v>
      </c>
      <c r="E826" t="s">
        <v>4315</v>
      </c>
      <c r="F826" s="23">
        <v>44346</v>
      </c>
      <c r="G826" s="1">
        <v>15556</v>
      </c>
    </row>
    <row r="827" spans="1:7">
      <c r="A827" t="s">
        <v>5711</v>
      </c>
      <c r="B827" t="s">
        <v>311</v>
      </c>
      <c r="C827" t="s">
        <v>2749</v>
      </c>
      <c r="D827" t="s">
        <v>2748</v>
      </c>
      <c r="E827" t="s">
        <v>4316</v>
      </c>
      <c r="F827" s="23">
        <v>44630</v>
      </c>
      <c r="G827" s="1">
        <v>5979</v>
      </c>
    </row>
    <row r="828" spans="1:7">
      <c r="A828" t="s">
        <v>5711</v>
      </c>
      <c r="B828" t="s">
        <v>94</v>
      </c>
      <c r="C828" t="s">
        <v>3133</v>
      </c>
      <c r="D828" t="s">
        <v>3132</v>
      </c>
      <c r="E828" t="s">
        <v>4317</v>
      </c>
      <c r="F828" s="23">
        <v>44346</v>
      </c>
      <c r="G828" s="1">
        <v>15848</v>
      </c>
    </row>
    <row r="829" spans="1:7">
      <c r="A829" t="s">
        <v>5711</v>
      </c>
      <c r="B829" t="s">
        <v>233</v>
      </c>
      <c r="C829" t="s">
        <v>880</v>
      </c>
      <c r="D829" t="s">
        <v>5585</v>
      </c>
      <c r="E829" t="s">
        <v>4318</v>
      </c>
      <c r="F829" s="23">
        <v>44346</v>
      </c>
      <c r="G829" s="1">
        <v>19051</v>
      </c>
    </row>
    <row r="830" spans="1:7">
      <c r="A830" t="s">
        <v>5711</v>
      </c>
      <c r="B830" t="s">
        <v>311</v>
      </c>
      <c r="C830" t="s">
        <v>3356</v>
      </c>
      <c r="D830" t="s">
        <v>3355</v>
      </c>
      <c r="E830" t="s">
        <v>4319</v>
      </c>
      <c r="F830" s="23">
        <v>44346</v>
      </c>
      <c r="G830" s="1">
        <v>16386</v>
      </c>
    </row>
    <row r="831" spans="1:7">
      <c r="A831" t="s">
        <v>5711</v>
      </c>
      <c r="B831" t="s">
        <v>94</v>
      </c>
      <c r="C831" t="s">
        <v>2298</v>
      </c>
      <c r="D831" t="s">
        <v>2297</v>
      </c>
      <c r="E831" t="s">
        <v>4320</v>
      </c>
      <c r="F831" s="23">
        <v>44346</v>
      </c>
      <c r="G831" s="1">
        <v>16215</v>
      </c>
    </row>
    <row r="832" spans="1:7">
      <c r="A832" t="s">
        <v>5711</v>
      </c>
      <c r="B832" t="s">
        <v>233</v>
      </c>
      <c r="C832" t="s">
        <v>2283</v>
      </c>
      <c r="D832" t="s">
        <v>2282</v>
      </c>
      <c r="E832" t="s">
        <v>4321</v>
      </c>
      <c r="F832" s="23">
        <v>44358</v>
      </c>
      <c r="G832" s="1">
        <v>507</v>
      </c>
    </row>
    <row r="833" spans="1:7">
      <c r="A833" t="s">
        <v>5711</v>
      </c>
      <c r="B833" t="s">
        <v>106</v>
      </c>
      <c r="C833" t="s">
        <v>1530</v>
      </c>
      <c r="D833" t="s">
        <v>1529</v>
      </c>
      <c r="E833" t="s">
        <v>4322</v>
      </c>
      <c r="F833" s="23">
        <v>44346</v>
      </c>
      <c r="G833" s="1">
        <v>15212</v>
      </c>
    </row>
    <row r="834" spans="1:7">
      <c r="A834" t="s">
        <v>5711</v>
      </c>
      <c r="B834" t="s">
        <v>101</v>
      </c>
      <c r="C834" t="s">
        <v>153</v>
      </c>
      <c r="D834" t="s">
        <v>152</v>
      </c>
      <c r="E834" t="s">
        <v>4323</v>
      </c>
      <c r="F834" s="23">
        <v>44346</v>
      </c>
      <c r="G834" s="1">
        <v>19052</v>
      </c>
    </row>
    <row r="835" spans="1:7">
      <c r="A835" t="s">
        <v>5711</v>
      </c>
      <c r="B835" t="s">
        <v>37</v>
      </c>
      <c r="C835" t="s">
        <v>1037</v>
      </c>
      <c r="D835" t="s">
        <v>1036</v>
      </c>
      <c r="E835" t="s">
        <v>4324</v>
      </c>
      <c r="F835" s="23">
        <v>44346</v>
      </c>
      <c r="G835" s="1">
        <v>18609</v>
      </c>
    </row>
    <row r="836" spans="1:7">
      <c r="A836" t="s">
        <v>5711</v>
      </c>
      <c r="B836" t="s">
        <v>94</v>
      </c>
      <c r="C836" t="s">
        <v>3460</v>
      </c>
      <c r="D836" t="s">
        <v>3459</v>
      </c>
      <c r="E836" t="s">
        <v>4325</v>
      </c>
      <c r="F836" s="23">
        <v>44346</v>
      </c>
      <c r="G836" s="1">
        <v>6970</v>
      </c>
    </row>
    <row r="837" spans="1:7">
      <c r="A837" t="s">
        <v>5711</v>
      </c>
      <c r="B837" t="s">
        <v>311</v>
      </c>
      <c r="C837" t="s">
        <v>2691</v>
      </c>
      <c r="D837" t="s">
        <v>2690</v>
      </c>
      <c r="E837" t="s">
        <v>4326</v>
      </c>
      <c r="F837" s="23">
        <v>44346</v>
      </c>
      <c r="G837" s="1">
        <v>18023</v>
      </c>
    </row>
    <row r="838" spans="1:7">
      <c r="A838" t="s">
        <v>5711</v>
      </c>
      <c r="B838" t="s">
        <v>68</v>
      </c>
      <c r="C838" t="s">
        <v>1001</v>
      </c>
      <c r="D838" t="s">
        <v>1130</v>
      </c>
      <c r="E838" t="s">
        <v>4327</v>
      </c>
      <c r="F838" s="23">
        <v>44346</v>
      </c>
      <c r="G838" s="1">
        <v>16528</v>
      </c>
    </row>
    <row r="839" spans="1:7">
      <c r="A839" t="s">
        <v>5711</v>
      </c>
      <c r="B839" t="s">
        <v>106</v>
      </c>
      <c r="C839" t="s">
        <v>1929</v>
      </c>
      <c r="D839" t="s">
        <v>1928</v>
      </c>
      <c r="E839" t="s">
        <v>4328</v>
      </c>
      <c r="F839" s="23">
        <v>44346</v>
      </c>
      <c r="G839" s="1">
        <v>13668</v>
      </c>
    </row>
    <row r="840" spans="1:7">
      <c r="A840" t="s">
        <v>5711</v>
      </c>
      <c r="B840" t="s">
        <v>298</v>
      </c>
      <c r="C840" t="s">
        <v>361</v>
      </c>
      <c r="D840" t="s">
        <v>3145</v>
      </c>
      <c r="E840" t="s">
        <v>4329</v>
      </c>
      <c r="F840" s="23">
        <v>44346</v>
      </c>
      <c r="G840" s="1">
        <v>12144</v>
      </c>
    </row>
    <row r="841" spans="1:7">
      <c r="A841" t="s">
        <v>5711</v>
      </c>
      <c r="B841" t="s">
        <v>233</v>
      </c>
      <c r="C841" t="s">
        <v>2283</v>
      </c>
      <c r="D841" t="s">
        <v>2483</v>
      </c>
      <c r="E841" t="s">
        <v>4330</v>
      </c>
      <c r="F841" s="23">
        <v>44346</v>
      </c>
      <c r="G841" s="1">
        <v>2370</v>
      </c>
    </row>
    <row r="842" spans="1:7">
      <c r="A842" t="s">
        <v>5711</v>
      </c>
      <c r="B842" t="s">
        <v>298</v>
      </c>
      <c r="C842" t="s">
        <v>2082</v>
      </c>
      <c r="D842" t="s">
        <v>5586</v>
      </c>
      <c r="E842" t="s">
        <v>4331</v>
      </c>
      <c r="F842" s="23">
        <v>44346</v>
      </c>
      <c r="G842" s="1">
        <v>16722</v>
      </c>
    </row>
    <row r="843" spans="1:7">
      <c r="A843" t="s">
        <v>5711</v>
      </c>
      <c r="B843" t="s">
        <v>106</v>
      </c>
      <c r="C843" t="s">
        <v>2226</v>
      </c>
      <c r="D843" t="s">
        <v>2225</v>
      </c>
      <c r="E843" t="s">
        <v>4332</v>
      </c>
      <c r="F843" s="23">
        <v>44346</v>
      </c>
      <c r="G843" s="1">
        <v>18451</v>
      </c>
    </row>
    <row r="844" spans="1:7">
      <c r="A844" t="s">
        <v>5711</v>
      </c>
      <c r="B844" t="s">
        <v>298</v>
      </c>
      <c r="C844" t="s">
        <v>1896</v>
      </c>
      <c r="D844" t="s">
        <v>1895</v>
      </c>
      <c r="E844" t="s">
        <v>4333</v>
      </c>
      <c r="F844" s="23">
        <v>44346</v>
      </c>
      <c r="G844" s="1">
        <v>2394</v>
      </c>
    </row>
    <row r="845" spans="1:7">
      <c r="A845" t="s">
        <v>5711</v>
      </c>
      <c r="B845" t="s">
        <v>94</v>
      </c>
      <c r="C845" t="s">
        <v>2408</v>
      </c>
      <c r="D845" t="s">
        <v>2407</v>
      </c>
      <c r="E845" t="s">
        <v>4334</v>
      </c>
      <c r="F845" s="23">
        <v>44346</v>
      </c>
      <c r="G845" s="1">
        <v>19941</v>
      </c>
    </row>
    <row r="846" spans="1:7">
      <c r="A846" t="s">
        <v>5711</v>
      </c>
      <c r="B846" t="s">
        <v>43</v>
      </c>
      <c r="C846" t="s">
        <v>1398</v>
      </c>
      <c r="D846" t="s">
        <v>1397</v>
      </c>
      <c r="E846" t="s">
        <v>4335</v>
      </c>
      <c r="F846" s="23">
        <v>44346</v>
      </c>
      <c r="G846" s="1">
        <v>14696</v>
      </c>
    </row>
    <row r="847" spans="1:7">
      <c r="A847" t="s">
        <v>5711</v>
      </c>
      <c r="B847" t="s">
        <v>106</v>
      </c>
      <c r="C847" t="s">
        <v>3253</v>
      </c>
      <c r="D847" t="s">
        <v>3252</v>
      </c>
      <c r="E847" t="s">
        <v>4336</v>
      </c>
      <c r="F847" s="23">
        <v>44346</v>
      </c>
      <c r="G847" s="1">
        <v>16906</v>
      </c>
    </row>
    <row r="848" spans="1:7">
      <c r="A848" t="s">
        <v>5711</v>
      </c>
      <c r="B848" t="s">
        <v>230</v>
      </c>
      <c r="C848" t="s">
        <v>1026</v>
      </c>
      <c r="D848" t="s">
        <v>1025</v>
      </c>
      <c r="E848" t="s">
        <v>4337</v>
      </c>
      <c r="F848" s="23">
        <v>44346</v>
      </c>
      <c r="G848" s="1">
        <v>14178</v>
      </c>
    </row>
    <row r="849" spans="1:7">
      <c r="A849" t="s">
        <v>5711</v>
      </c>
      <c r="B849" t="s">
        <v>106</v>
      </c>
      <c r="C849" t="s">
        <v>3148</v>
      </c>
      <c r="D849" t="s">
        <v>3147</v>
      </c>
      <c r="E849" t="s">
        <v>4338</v>
      </c>
      <c r="F849" s="23">
        <v>45064</v>
      </c>
      <c r="G849" s="1">
        <v>1648</v>
      </c>
    </row>
    <row r="850" spans="1:7">
      <c r="A850" t="s">
        <v>5711</v>
      </c>
      <c r="B850" t="s">
        <v>94</v>
      </c>
      <c r="C850" t="s">
        <v>940</v>
      </c>
      <c r="D850" t="s">
        <v>939</v>
      </c>
      <c r="E850" t="s">
        <v>4339</v>
      </c>
      <c r="F850" s="23">
        <v>44346</v>
      </c>
      <c r="G850" s="1">
        <v>15111</v>
      </c>
    </row>
    <row r="851" spans="1:7">
      <c r="A851" t="s">
        <v>5711</v>
      </c>
      <c r="B851" t="s">
        <v>1149</v>
      </c>
      <c r="C851" t="s">
        <v>1574</v>
      </c>
      <c r="D851" t="s">
        <v>5587</v>
      </c>
      <c r="E851" t="s">
        <v>4340</v>
      </c>
      <c r="F851" s="23">
        <v>44346</v>
      </c>
      <c r="G851" s="1">
        <v>12799</v>
      </c>
    </row>
    <row r="852" spans="1:7">
      <c r="A852" t="s">
        <v>5711</v>
      </c>
      <c r="B852" t="s">
        <v>311</v>
      </c>
      <c r="C852" t="s">
        <v>1889</v>
      </c>
      <c r="D852" t="s">
        <v>1888</v>
      </c>
      <c r="E852" t="s">
        <v>4341</v>
      </c>
      <c r="F852" s="23">
        <v>44918</v>
      </c>
      <c r="G852" s="1">
        <v>6690</v>
      </c>
    </row>
    <row r="853" spans="1:7">
      <c r="A853" t="s">
        <v>5711</v>
      </c>
      <c r="B853" t="s">
        <v>37</v>
      </c>
      <c r="C853" t="s">
        <v>279</v>
      </c>
      <c r="D853" t="s">
        <v>278</v>
      </c>
      <c r="E853" t="s">
        <v>4342</v>
      </c>
      <c r="F853" s="23">
        <v>44346</v>
      </c>
      <c r="G853" s="1">
        <v>16276</v>
      </c>
    </row>
    <row r="854" spans="1:7">
      <c r="A854" t="s">
        <v>5711</v>
      </c>
      <c r="B854" t="s">
        <v>94</v>
      </c>
      <c r="C854" t="s">
        <v>2414</v>
      </c>
      <c r="D854" t="s">
        <v>5588</v>
      </c>
      <c r="E854" t="s">
        <v>4343</v>
      </c>
      <c r="F854" s="23">
        <v>44346</v>
      </c>
      <c r="G854" s="1">
        <v>5988</v>
      </c>
    </row>
    <row r="855" spans="1:7">
      <c r="A855" t="s">
        <v>5711</v>
      </c>
      <c r="B855" t="s">
        <v>400</v>
      </c>
      <c r="C855" t="s">
        <v>1247</v>
      </c>
      <c r="D855" t="s">
        <v>5589</v>
      </c>
      <c r="E855" t="s">
        <v>4344</v>
      </c>
      <c r="F855" s="23">
        <v>44895</v>
      </c>
      <c r="G855" s="1">
        <v>567</v>
      </c>
    </row>
    <row r="856" spans="1:7">
      <c r="A856" t="s">
        <v>5711</v>
      </c>
      <c r="B856" t="s">
        <v>94</v>
      </c>
      <c r="C856" t="s">
        <v>3485</v>
      </c>
      <c r="D856" t="s">
        <v>885</v>
      </c>
      <c r="E856" t="s">
        <v>4345</v>
      </c>
      <c r="F856" s="23">
        <v>45051</v>
      </c>
      <c r="G856" s="1">
        <v>4331</v>
      </c>
    </row>
    <row r="857" spans="1:7">
      <c r="A857" t="s">
        <v>5711</v>
      </c>
      <c r="B857" t="s">
        <v>101</v>
      </c>
      <c r="C857" t="s">
        <v>1710</v>
      </c>
      <c r="D857" t="s">
        <v>1709</v>
      </c>
      <c r="E857" t="s">
        <v>4346</v>
      </c>
      <c r="F857" s="23">
        <v>44517</v>
      </c>
      <c r="G857" s="1">
        <v>1196</v>
      </c>
    </row>
    <row r="858" spans="1:7">
      <c r="A858" t="s">
        <v>5711</v>
      </c>
      <c r="B858" t="s">
        <v>132</v>
      </c>
      <c r="C858" t="s">
        <v>1599</v>
      </c>
      <c r="D858" t="s">
        <v>1598</v>
      </c>
      <c r="E858" t="s">
        <v>4347</v>
      </c>
      <c r="F858" s="23">
        <v>44346</v>
      </c>
      <c r="G858" s="1">
        <v>9553</v>
      </c>
    </row>
    <row r="859" spans="1:7">
      <c r="A859" t="s">
        <v>5711</v>
      </c>
      <c r="B859" t="s">
        <v>298</v>
      </c>
      <c r="C859" t="s">
        <v>153</v>
      </c>
      <c r="D859" t="s">
        <v>2731</v>
      </c>
      <c r="E859" t="s">
        <v>4348</v>
      </c>
      <c r="F859" s="23">
        <v>44488</v>
      </c>
      <c r="G859" s="1">
        <v>8848</v>
      </c>
    </row>
    <row r="860" spans="1:7">
      <c r="A860" t="s">
        <v>5711</v>
      </c>
      <c r="B860" t="s">
        <v>106</v>
      </c>
      <c r="C860" t="s">
        <v>2566</v>
      </c>
      <c r="D860" t="s">
        <v>2565</v>
      </c>
      <c r="E860" t="s">
        <v>4349</v>
      </c>
      <c r="F860" s="23">
        <v>44346</v>
      </c>
      <c r="G860" s="1">
        <v>7514</v>
      </c>
    </row>
    <row r="861" spans="1:7">
      <c r="A861" t="s">
        <v>5711</v>
      </c>
      <c r="B861" t="s">
        <v>298</v>
      </c>
      <c r="C861" t="s">
        <v>2653</v>
      </c>
      <c r="D861" t="s">
        <v>2652</v>
      </c>
      <c r="E861" t="s">
        <v>4350</v>
      </c>
      <c r="F861" s="23">
        <v>44346</v>
      </c>
      <c r="G861" s="1">
        <v>18740</v>
      </c>
    </row>
    <row r="862" spans="1:7">
      <c r="A862" t="s">
        <v>5711</v>
      </c>
      <c r="B862" t="s">
        <v>208</v>
      </c>
      <c r="C862" t="s">
        <v>1111</v>
      </c>
      <c r="D862" t="s">
        <v>1110</v>
      </c>
      <c r="E862" t="s">
        <v>4351</v>
      </c>
      <c r="F862" s="23">
        <v>44346</v>
      </c>
      <c r="G862" s="1">
        <v>5098</v>
      </c>
    </row>
    <row r="863" spans="1:7">
      <c r="A863" t="s">
        <v>5711</v>
      </c>
      <c r="B863" t="s">
        <v>149</v>
      </c>
      <c r="C863" t="s">
        <v>1747</v>
      </c>
      <c r="D863" t="s">
        <v>1746</v>
      </c>
      <c r="E863" t="s">
        <v>4352</v>
      </c>
      <c r="F863" s="23">
        <v>44346</v>
      </c>
      <c r="G863" s="1">
        <v>18798</v>
      </c>
    </row>
    <row r="864" spans="1:7">
      <c r="A864" t="s">
        <v>5711</v>
      </c>
      <c r="B864" t="s">
        <v>94</v>
      </c>
      <c r="C864" t="s">
        <v>2460</v>
      </c>
      <c r="D864" t="s">
        <v>2459</v>
      </c>
      <c r="E864" t="s">
        <v>4353</v>
      </c>
      <c r="F864" s="23">
        <v>44346</v>
      </c>
      <c r="G864" s="1">
        <v>16121</v>
      </c>
    </row>
    <row r="865" spans="1:7">
      <c r="A865" t="s">
        <v>5711</v>
      </c>
      <c r="B865" t="s">
        <v>94</v>
      </c>
      <c r="C865" t="s">
        <v>2501</v>
      </c>
      <c r="D865" t="s">
        <v>5590</v>
      </c>
      <c r="E865" t="s">
        <v>4354</v>
      </c>
      <c r="F865" s="23">
        <v>44346</v>
      </c>
      <c r="G865" s="1">
        <v>18119</v>
      </c>
    </row>
    <row r="866" spans="1:7">
      <c r="A866" t="s">
        <v>5711</v>
      </c>
      <c r="B866" t="s">
        <v>233</v>
      </c>
      <c r="C866" t="s">
        <v>3361</v>
      </c>
      <c r="D866" t="s">
        <v>3360</v>
      </c>
      <c r="E866" t="s">
        <v>4355</v>
      </c>
      <c r="F866" s="23">
        <v>44346</v>
      </c>
      <c r="G866" s="1">
        <v>19802</v>
      </c>
    </row>
    <row r="867" spans="1:7">
      <c r="A867" t="s">
        <v>5711</v>
      </c>
      <c r="B867" t="s">
        <v>101</v>
      </c>
      <c r="C867" t="s">
        <v>514</v>
      </c>
      <c r="D867" t="s">
        <v>513</v>
      </c>
      <c r="E867" t="s">
        <v>4356</v>
      </c>
      <c r="F867" s="23">
        <v>44346</v>
      </c>
      <c r="G867" s="1">
        <v>14533</v>
      </c>
    </row>
    <row r="868" spans="1:7">
      <c r="A868" t="s">
        <v>5711</v>
      </c>
      <c r="B868" t="s">
        <v>106</v>
      </c>
      <c r="C868" t="s">
        <v>1126</v>
      </c>
      <c r="D868" t="s">
        <v>1125</v>
      </c>
      <c r="E868" t="s">
        <v>4357</v>
      </c>
      <c r="F868" s="23">
        <v>44491</v>
      </c>
      <c r="G868" s="1">
        <v>11842</v>
      </c>
    </row>
    <row r="869" spans="1:7">
      <c r="A869" t="s">
        <v>5711</v>
      </c>
      <c r="B869" t="s">
        <v>101</v>
      </c>
      <c r="C869" t="s">
        <v>1151</v>
      </c>
      <c r="D869" t="s">
        <v>5591</v>
      </c>
      <c r="E869" t="s">
        <v>4358</v>
      </c>
      <c r="F869" s="23">
        <v>44346</v>
      </c>
      <c r="G869" s="1">
        <v>3619</v>
      </c>
    </row>
    <row r="870" spans="1:7">
      <c r="A870" t="s">
        <v>5711</v>
      </c>
      <c r="B870" t="s">
        <v>91</v>
      </c>
      <c r="C870" t="s">
        <v>1106</v>
      </c>
      <c r="D870" t="s">
        <v>1105</v>
      </c>
      <c r="E870" t="s">
        <v>4359</v>
      </c>
      <c r="F870" s="23">
        <v>44346</v>
      </c>
      <c r="G870" s="1">
        <v>4074</v>
      </c>
    </row>
    <row r="871" spans="1:7">
      <c r="A871" t="s">
        <v>5711</v>
      </c>
      <c r="B871" t="s">
        <v>298</v>
      </c>
      <c r="C871" t="s">
        <v>1876</v>
      </c>
      <c r="D871" t="s">
        <v>1875</v>
      </c>
      <c r="E871" t="s">
        <v>4360</v>
      </c>
      <c r="F871" s="23">
        <v>44698</v>
      </c>
      <c r="G871" s="1">
        <v>9440</v>
      </c>
    </row>
    <row r="872" spans="1:7">
      <c r="A872" t="s">
        <v>5711</v>
      </c>
      <c r="B872" t="s">
        <v>94</v>
      </c>
      <c r="C872" t="s">
        <v>2423</v>
      </c>
      <c r="D872" t="s">
        <v>2422</v>
      </c>
      <c r="E872" t="s">
        <v>4361</v>
      </c>
      <c r="F872" s="23">
        <v>45072</v>
      </c>
      <c r="G872" s="1">
        <v>7847</v>
      </c>
    </row>
    <row r="873" spans="1:7">
      <c r="A873" t="s">
        <v>5711</v>
      </c>
      <c r="B873" t="s">
        <v>676</v>
      </c>
      <c r="C873" t="s">
        <v>1252</v>
      </c>
      <c r="D873" t="s">
        <v>1251</v>
      </c>
      <c r="E873" t="s">
        <v>4362</v>
      </c>
      <c r="F873" s="23">
        <v>44726</v>
      </c>
      <c r="G873" s="1">
        <v>10654</v>
      </c>
    </row>
    <row r="874" spans="1:7">
      <c r="A874" t="s">
        <v>5711</v>
      </c>
      <c r="B874" t="s">
        <v>94</v>
      </c>
      <c r="C874" t="s">
        <v>3489</v>
      </c>
      <c r="D874" t="s">
        <v>1500</v>
      </c>
      <c r="E874" t="s">
        <v>4363</v>
      </c>
      <c r="F874" s="23">
        <v>44346</v>
      </c>
      <c r="G874" s="1">
        <v>14233</v>
      </c>
    </row>
    <row r="875" spans="1:7">
      <c r="A875" t="s">
        <v>5711</v>
      </c>
      <c r="B875" t="s">
        <v>311</v>
      </c>
      <c r="C875" t="s">
        <v>2261</v>
      </c>
      <c r="D875" t="s">
        <v>2303</v>
      </c>
      <c r="E875" t="s">
        <v>4364</v>
      </c>
      <c r="F875" s="23">
        <v>44346</v>
      </c>
      <c r="G875" s="1">
        <v>17810</v>
      </c>
    </row>
    <row r="876" spans="1:7">
      <c r="A876" t="s">
        <v>5711</v>
      </c>
      <c r="B876" t="s">
        <v>298</v>
      </c>
      <c r="C876" t="s">
        <v>2070</v>
      </c>
      <c r="D876" t="s">
        <v>2069</v>
      </c>
      <c r="E876" t="s">
        <v>4365</v>
      </c>
      <c r="F876" s="23">
        <v>44346</v>
      </c>
      <c r="G876" s="1">
        <v>13023</v>
      </c>
    </row>
    <row r="877" spans="1:7">
      <c r="A877" t="s">
        <v>5711</v>
      </c>
      <c r="B877" t="s">
        <v>94</v>
      </c>
      <c r="C877" t="s">
        <v>2259</v>
      </c>
      <c r="D877" t="s">
        <v>2258</v>
      </c>
      <c r="E877" t="s">
        <v>4366</v>
      </c>
      <c r="F877" s="23">
        <v>44346</v>
      </c>
      <c r="G877" s="1">
        <v>6091</v>
      </c>
    </row>
    <row r="878" spans="1:7">
      <c r="A878" t="s">
        <v>5711</v>
      </c>
      <c r="B878" t="s">
        <v>106</v>
      </c>
      <c r="C878" t="s">
        <v>3466</v>
      </c>
      <c r="D878" t="s">
        <v>3465</v>
      </c>
      <c r="E878" t="s">
        <v>4367</v>
      </c>
      <c r="F878" s="23">
        <v>45008</v>
      </c>
      <c r="G878" s="1">
        <v>9904</v>
      </c>
    </row>
    <row r="879" spans="1:7">
      <c r="A879" t="s">
        <v>5711</v>
      </c>
      <c r="B879" t="s">
        <v>233</v>
      </c>
      <c r="C879" t="s">
        <v>2931</v>
      </c>
      <c r="D879" t="s">
        <v>2930</v>
      </c>
      <c r="E879" t="s">
        <v>4368</v>
      </c>
      <c r="F879" s="23">
        <v>44346</v>
      </c>
      <c r="G879" s="1">
        <v>19584</v>
      </c>
    </row>
    <row r="880" spans="1:7">
      <c r="A880" t="s">
        <v>5711</v>
      </c>
      <c r="B880" t="s">
        <v>233</v>
      </c>
      <c r="C880" t="s">
        <v>3071</v>
      </c>
      <c r="D880" t="s">
        <v>3070</v>
      </c>
      <c r="E880" t="s">
        <v>4369</v>
      </c>
      <c r="F880" s="23">
        <v>44346</v>
      </c>
      <c r="G880" s="1">
        <v>13537</v>
      </c>
    </row>
    <row r="881" spans="1:7">
      <c r="A881" t="s">
        <v>5711</v>
      </c>
      <c r="B881" t="s">
        <v>72</v>
      </c>
      <c r="C881" t="s">
        <v>809</v>
      </c>
      <c r="D881" t="s">
        <v>808</v>
      </c>
      <c r="E881" t="s">
        <v>4370</v>
      </c>
      <c r="F881" s="23">
        <v>44346</v>
      </c>
      <c r="G881" s="1">
        <v>18201</v>
      </c>
    </row>
    <row r="882" spans="1:7">
      <c r="A882" t="s">
        <v>5711</v>
      </c>
      <c r="B882" t="s">
        <v>311</v>
      </c>
      <c r="C882" t="s">
        <v>1918</v>
      </c>
      <c r="D882" t="s">
        <v>1917</v>
      </c>
      <c r="E882" t="s">
        <v>4371</v>
      </c>
      <c r="F882" s="23">
        <v>44346</v>
      </c>
      <c r="G882" s="1">
        <v>16448</v>
      </c>
    </row>
    <row r="883" spans="1:7">
      <c r="A883" t="s">
        <v>5711</v>
      </c>
      <c r="B883" t="s">
        <v>109</v>
      </c>
      <c r="C883" t="s">
        <v>108</v>
      </c>
      <c r="D883" t="s">
        <v>107</v>
      </c>
      <c r="E883" t="s">
        <v>4372</v>
      </c>
      <c r="F883" s="23">
        <v>44346</v>
      </c>
      <c r="G883" s="1">
        <v>14406</v>
      </c>
    </row>
    <row r="884" spans="1:7">
      <c r="A884" t="s">
        <v>5711</v>
      </c>
      <c r="B884" t="s">
        <v>106</v>
      </c>
      <c r="C884" t="s">
        <v>1097</v>
      </c>
      <c r="D884" t="s">
        <v>5592</v>
      </c>
      <c r="E884" t="s">
        <v>4373</v>
      </c>
      <c r="F884" s="23">
        <v>44346</v>
      </c>
      <c r="G884" s="1">
        <v>1116</v>
      </c>
    </row>
    <row r="885" spans="1:7">
      <c r="A885" t="s">
        <v>5711</v>
      </c>
      <c r="B885" t="s">
        <v>233</v>
      </c>
      <c r="C885" t="s">
        <v>2208</v>
      </c>
      <c r="D885" t="s">
        <v>2207</v>
      </c>
      <c r="E885" t="s">
        <v>4374</v>
      </c>
      <c r="F885" s="23">
        <v>44346</v>
      </c>
      <c r="G885" s="1">
        <v>18906</v>
      </c>
    </row>
    <row r="886" spans="1:7">
      <c r="A886" t="s">
        <v>5711</v>
      </c>
      <c r="B886" t="s">
        <v>208</v>
      </c>
      <c r="C886" t="s">
        <v>701</v>
      </c>
      <c r="D886" t="s">
        <v>700</v>
      </c>
      <c r="E886" t="s">
        <v>4375</v>
      </c>
      <c r="F886" s="23">
        <v>44346</v>
      </c>
      <c r="G886" s="1">
        <v>18634</v>
      </c>
    </row>
    <row r="887" spans="1:7">
      <c r="A887" t="s">
        <v>5711</v>
      </c>
      <c r="B887" t="s">
        <v>106</v>
      </c>
      <c r="C887" t="s">
        <v>1024</v>
      </c>
      <c r="D887" t="s">
        <v>1023</v>
      </c>
      <c r="E887" t="s">
        <v>4376</v>
      </c>
      <c r="F887" s="23">
        <v>44712</v>
      </c>
      <c r="G887" s="1">
        <v>4332</v>
      </c>
    </row>
    <row r="888" spans="1:7">
      <c r="A888" t="s">
        <v>5711</v>
      </c>
      <c r="B888" t="s">
        <v>37</v>
      </c>
      <c r="C888" t="s">
        <v>1446</v>
      </c>
      <c r="D888" t="s">
        <v>1445</v>
      </c>
      <c r="E888" t="s">
        <v>4377</v>
      </c>
      <c r="F888" s="23">
        <v>44346</v>
      </c>
      <c r="G888" s="1">
        <v>11875</v>
      </c>
    </row>
    <row r="889" spans="1:7">
      <c r="A889" t="s">
        <v>5711</v>
      </c>
      <c r="B889" t="s">
        <v>94</v>
      </c>
      <c r="C889" t="s">
        <v>3487</v>
      </c>
      <c r="D889" t="s">
        <v>965</v>
      </c>
      <c r="E889" t="s">
        <v>4378</v>
      </c>
      <c r="F889" s="23">
        <v>44346</v>
      </c>
      <c r="G889" s="1">
        <v>15663</v>
      </c>
    </row>
    <row r="890" spans="1:7">
      <c r="A890" t="s">
        <v>5711</v>
      </c>
      <c r="B890" t="s">
        <v>37</v>
      </c>
      <c r="C890" t="s">
        <v>357</v>
      </c>
      <c r="D890" t="s">
        <v>356</v>
      </c>
      <c r="E890" t="s">
        <v>4379</v>
      </c>
      <c r="F890" s="23">
        <v>44424</v>
      </c>
      <c r="G890" s="1">
        <v>8788</v>
      </c>
    </row>
    <row r="891" spans="1:7">
      <c r="A891" t="s">
        <v>5711</v>
      </c>
      <c r="B891" t="s">
        <v>91</v>
      </c>
      <c r="C891" t="s">
        <v>955</v>
      </c>
      <c r="D891" t="s">
        <v>954</v>
      </c>
      <c r="E891" t="s">
        <v>4380</v>
      </c>
      <c r="F891" s="23">
        <v>44346</v>
      </c>
      <c r="G891" s="1">
        <v>15952</v>
      </c>
    </row>
    <row r="892" spans="1:7">
      <c r="A892" t="s">
        <v>5711</v>
      </c>
      <c r="B892" t="s">
        <v>88</v>
      </c>
      <c r="C892" t="s">
        <v>1757</v>
      </c>
      <c r="D892" t="s">
        <v>1756</v>
      </c>
      <c r="E892" t="s">
        <v>4381</v>
      </c>
      <c r="F892" s="23">
        <v>44346</v>
      </c>
      <c r="G892" s="1">
        <v>13235</v>
      </c>
    </row>
    <row r="893" spans="1:7">
      <c r="A893" t="s">
        <v>5711</v>
      </c>
      <c r="B893" t="s">
        <v>37</v>
      </c>
      <c r="C893" t="s">
        <v>1274</v>
      </c>
      <c r="D893" t="s">
        <v>1273</v>
      </c>
      <c r="E893" t="s">
        <v>4382</v>
      </c>
      <c r="F893" s="23">
        <v>44813</v>
      </c>
      <c r="G893" s="1">
        <v>7682</v>
      </c>
    </row>
    <row r="894" spans="1:7">
      <c r="A894" t="s">
        <v>5711</v>
      </c>
      <c r="B894" t="s">
        <v>106</v>
      </c>
      <c r="C894" t="s">
        <v>2638</v>
      </c>
      <c r="D894" t="s">
        <v>3052</v>
      </c>
      <c r="E894" t="s">
        <v>4383</v>
      </c>
      <c r="F894" s="23">
        <v>44346</v>
      </c>
      <c r="G894" s="1">
        <v>19024</v>
      </c>
    </row>
    <row r="895" spans="1:7">
      <c r="A895" t="s">
        <v>5711</v>
      </c>
      <c r="B895" t="s">
        <v>122</v>
      </c>
      <c r="C895" t="s">
        <v>1483</v>
      </c>
      <c r="D895" t="s">
        <v>1482</v>
      </c>
      <c r="E895" t="s">
        <v>4384</v>
      </c>
      <c r="F895" s="23">
        <v>44928</v>
      </c>
      <c r="G895" s="1">
        <v>6540</v>
      </c>
    </row>
    <row r="896" spans="1:7">
      <c r="A896" t="s">
        <v>5711</v>
      </c>
      <c r="B896" t="s">
        <v>68</v>
      </c>
      <c r="C896" t="s">
        <v>1055</v>
      </c>
      <c r="D896" t="s">
        <v>1054</v>
      </c>
      <c r="E896" t="s">
        <v>4385</v>
      </c>
      <c r="F896" s="23">
        <v>44787</v>
      </c>
      <c r="G896" s="1">
        <v>4585</v>
      </c>
    </row>
    <row r="897" spans="1:7">
      <c r="A897" t="s">
        <v>5711</v>
      </c>
      <c r="B897" t="s">
        <v>298</v>
      </c>
      <c r="C897" t="s">
        <v>365</v>
      </c>
      <c r="D897" t="s">
        <v>5593</v>
      </c>
      <c r="E897" t="s">
        <v>4386</v>
      </c>
      <c r="F897" s="23">
        <v>44812</v>
      </c>
      <c r="G897" s="1">
        <v>3202</v>
      </c>
    </row>
    <row r="898" spans="1:7">
      <c r="A898" t="s">
        <v>5711</v>
      </c>
      <c r="B898" t="s">
        <v>94</v>
      </c>
      <c r="C898" t="s">
        <v>1349</v>
      </c>
      <c r="D898" t="s">
        <v>3435</v>
      </c>
      <c r="E898" t="s">
        <v>4387</v>
      </c>
      <c r="F898" s="23">
        <v>44346</v>
      </c>
      <c r="G898" s="1">
        <v>15864</v>
      </c>
    </row>
    <row r="899" spans="1:7">
      <c r="A899" t="s">
        <v>5711</v>
      </c>
      <c r="B899" t="s">
        <v>174</v>
      </c>
      <c r="C899" t="s">
        <v>1539</v>
      </c>
      <c r="D899" t="s">
        <v>1538</v>
      </c>
      <c r="E899" t="s">
        <v>4388</v>
      </c>
      <c r="F899" s="23">
        <v>44346</v>
      </c>
      <c r="G899" s="1">
        <v>19520</v>
      </c>
    </row>
    <row r="900" spans="1:7">
      <c r="A900" t="s">
        <v>5711</v>
      </c>
      <c r="B900" t="s">
        <v>233</v>
      </c>
      <c r="C900" t="s">
        <v>1975</v>
      </c>
      <c r="D900" t="s">
        <v>1974</v>
      </c>
      <c r="E900" t="s">
        <v>4389</v>
      </c>
      <c r="F900" s="23">
        <v>44346</v>
      </c>
      <c r="G900" s="1">
        <v>19001</v>
      </c>
    </row>
    <row r="901" spans="1:7">
      <c r="A901" t="s">
        <v>5711</v>
      </c>
      <c r="B901" t="s">
        <v>233</v>
      </c>
      <c r="C901" t="s">
        <v>2296</v>
      </c>
      <c r="D901" t="s">
        <v>2295</v>
      </c>
      <c r="E901" t="s">
        <v>4390</v>
      </c>
      <c r="F901" s="23">
        <v>44346</v>
      </c>
      <c r="G901" s="1">
        <v>18040</v>
      </c>
    </row>
    <row r="902" spans="1:7">
      <c r="A902" t="s">
        <v>5711</v>
      </c>
      <c r="B902" t="s">
        <v>97</v>
      </c>
      <c r="C902" t="s">
        <v>938</v>
      </c>
      <c r="D902" t="s">
        <v>937</v>
      </c>
      <c r="E902" t="s">
        <v>4391</v>
      </c>
      <c r="F902" s="23">
        <v>44458</v>
      </c>
      <c r="G902" s="1">
        <v>7270</v>
      </c>
    </row>
    <row r="903" spans="1:7">
      <c r="A903" t="s">
        <v>5711</v>
      </c>
      <c r="B903" t="s">
        <v>426</v>
      </c>
      <c r="C903" t="s">
        <v>1572</v>
      </c>
      <c r="D903" t="s">
        <v>1571</v>
      </c>
      <c r="E903" t="s">
        <v>4392</v>
      </c>
      <c r="F903" s="23">
        <v>44346</v>
      </c>
      <c r="G903" s="1">
        <v>18896</v>
      </c>
    </row>
    <row r="904" spans="1:7">
      <c r="A904" t="s">
        <v>5711</v>
      </c>
      <c r="B904" t="s">
        <v>94</v>
      </c>
      <c r="C904" t="s">
        <v>3488</v>
      </c>
      <c r="D904" t="s">
        <v>1170</v>
      </c>
      <c r="E904" t="s">
        <v>4393</v>
      </c>
      <c r="F904" s="23">
        <v>44944</v>
      </c>
      <c r="G904" s="1">
        <v>6351</v>
      </c>
    </row>
    <row r="905" spans="1:7">
      <c r="A905" t="s">
        <v>5711</v>
      </c>
      <c r="B905" t="s">
        <v>891</v>
      </c>
      <c r="C905" t="s">
        <v>1135</v>
      </c>
      <c r="D905" t="s">
        <v>1134</v>
      </c>
      <c r="E905" t="s">
        <v>4394</v>
      </c>
      <c r="F905" s="23">
        <v>44346</v>
      </c>
      <c r="G905" s="1">
        <v>17932</v>
      </c>
    </row>
    <row r="906" spans="1:7">
      <c r="A906" t="s">
        <v>5711</v>
      </c>
      <c r="B906" t="s">
        <v>298</v>
      </c>
      <c r="C906" t="s">
        <v>2292</v>
      </c>
      <c r="D906" t="s">
        <v>2291</v>
      </c>
      <c r="E906" t="s">
        <v>4395</v>
      </c>
      <c r="F906" s="23">
        <v>44346</v>
      </c>
      <c r="G906" s="1">
        <v>17295</v>
      </c>
    </row>
    <row r="907" spans="1:7">
      <c r="A907" t="s">
        <v>5711</v>
      </c>
      <c r="B907" t="s">
        <v>94</v>
      </c>
      <c r="C907" t="s">
        <v>1864</v>
      </c>
      <c r="D907" t="s">
        <v>1863</v>
      </c>
      <c r="E907" t="s">
        <v>4396</v>
      </c>
      <c r="F907" s="23">
        <v>44722</v>
      </c>
      <c r="G907" s="1">
        <v>9682</v>
      </c>
    </row>
    <row r="908" spans="1:7">
      <c r="A908" t="s">
        <v>5711</v>
      </c>
      <c r="B908" t="s">
        <v>233</v>
      </c>
      <c r="C908" t="s">
        <v>2678</v>
      </c>
      <c r="D908" t="s">
        <v>2677</v>
      </c>
      <c r="E908" t="s">
        <v>4397</v>
      </c>
      <c r="F908" s="23">
        <v>44346</v>
      </c>
      <c r="G908" s="1">
        <v>19554</v>
      </c>
    </row>
    <row r="909" spans="1:7">
      <c r="A909" t="s">
        <v>5711</v>
      </c>
      <c r="B909" t="s">
        <v>233</v>
      </c>
      <c r="C909" t="s">
        <v>2458</v>
      </c>
      <c r="D909" t="s">
        <v>2457</v>
      </c>
      <c r="E909" t="s">
        <v>4398</v>
      </c>
      <c r="F909" s="23">
        <v>44635</v>
      </c>
      <c r="G909" s="1">
        <v>2394</v>
      </c>
    </row>
    <row r="910" spans="1:7">
      <c r="A910" t="s">
        <v>5711</v>
      </c>
      <c r="B910" t="s">
        <v>106</v>
      </c>
      <c r="C910" t="s">
        <v>2877</v>
      </c>
      <c r="D910" t="s">
        <v>2876</v>
      </c>
      <c r="E910" t="s">
        <v>4399</v>
      </c>
      <c r="F910" s="23">
        <v>44611</v>
      </c>
      <c r="G910" s="1">
        <v>2825</v>
      </c>
    </row>
    <row r="911" spans="1:7">
      <c r="A911" t="s">
        <v>5711</v>
      </c>
      <c r="B911" t="s">
        <v>174</v>
      </c>
      <c r="C911" t="s">
        <v>1605</v>
      </c>
      <c r="D911" t="s">
        <v>1604</v>
      </c>
      <c r="E911" t="s">
        <v>4400</v>
      </c>
      <c r="F911" s="23">
        <v>44346</v>
      </c>
      <c r="G911" s="1">
        <v>15156</v>
      </c>
    </row>
    <row r="912" spans="1:7">
      <c r="A912" t="s">
        <v>5711</v>
      </c>
      <c r="B912" t="s">
        <v>196</v>
      </c>
      <c r="C912" t="s">
        <v>195</v>
      </c>
      <c r="D912" t="s">
        <v>194</v>
      </c>
      <c r="E912" t="s">
        <v>4401</v>
      </c>
      <c r="F912" s="23">
        <v>44346</v>
      </c>
      <c r="G912" s="1">
        <v>17482</v>
      </c>
    </row>
    <row r="913" spans="1:7">
      <c r="A913" t="s">
        <v>5711</v>
      </c>
      <c r="B913" t="s">
        <v>94</v>
      </c>
      <c r="C913" t="s">
        <v>3141</v>
      </c>
      <c r="D913" t="s">
        <v>3140</v>
      </c>
      <c r="E913" t="s">
        <v>4402</v>
      </c>
      <c r="F913" s="23">
        <v>44967</v>
      </c>
      <c r="G913" s="1">
        <v>8984</v>
      </c>
    </row>
    <row r="914" spans="1:7">
      <c r="A914" t="s">
        <v>5711</v>
      </c>
      <c r="B914" t="s">
        <v>94</v>
      </c>
      <c r="C914" t="s">
        <v>3485</v>
      </c>
      <c r="D914" t="s">
        <v>165</v>
      </c>
      <c r="E914" t="s">
        <v>4403</v>
      </c>
      <c r="F914" s="23">
        <v>44346</v>
      </c>
      <c r="G914" s="1">
        <v>19635</v>
      </c>
    </row>
    <row r="915" spans="1:7">
      <c r="A915" t="s">
        <v>5711</v>
      </c>
      <c r="B915" t="s">
        <v>106</v>
      </c>
      <c r="C915" t="s">
        <v>2300</v>
      </c>
      <c r="D915" t="s">
        <v>2299</v>
      </c>
      <c r="E915" t="s">
        <v>4404</v>
      </c>
      <c r="F915" s="23">
        <v>44346</v>
      </c>
      <c r="G915" s="1">
        <v>12955</v>
      </c>
    </row>
    <row r="916" spans="1:7">
      <c r="A916" t="s">
        <v>5711</v>
      </c>
      <c r="B916" t="s">
        <v>88</v>
      </c>
      <c r="C916" t="s">
        <v>87</v>
      </c>
      <c r="D916" t="s">
        <v>86</v>
      </c>
      <c r="E916" t="s">
        <v>4405</v>
      </c>
      <c r="F916" s="23">
        <v>44346</v>
      </c>
      <c r="G916" s="1">
        <v>15007</v>
      </c>
    </row>
    <row r="917" spans="1:7">
      <c r="A917" t="s">
        <v>5711</v>
      </c>
      <c r="B917" t="s">
        <v>101</v>
      </c>
      <c r="C917" t="s">
        <v>665</v>
      </c>
      <c r="D917" t="s">
        <v>664</v>
      </c>
      <c r="E917" t="s">
        <v>4406</v>
      </c>
      <c r="F917" s="23">
        <v>44346</v>
      </c>
      <c r="G917" s="1">
        <v>4420</v>
      </c>
    </row>
    <row r="918" spans="1:7">
      <c r="A918" t="s">
        <v>5711</v>
      </c>
      <c r="B918" t="s">
        <v>233</v>
      </c>
      <c r="C918" t="s">
        <v>2076</v>
      </c>
      <c r="D918" t="s">
        <v>5594</v>
      </c>
      <c r="E918" t="s">
        <v>4407</v>
      </c>
      <c r="F918" s="23">
        <v>44632</v>
      </c>
      <c r="G918" s="1">
        <v>8858</v>
      </c>
    </row>
    <row r="919" spans="1:7">
      <c r="A919" t="s">
        <v>5711</v>
      </c>
      <c r="B919" t="s">
        <v>106</v>
      </c>
      <c r="C919" t="s">
        <v>2775</v>
      </c>
      <c r="D919" t="s">
        <v>2817</v>
      </c>
      <c r="E919" t="s">
        <v>4408</v>
      </c>
      <c r="F919" s="23">
        <v>44346</v>
      </c>
      <c r="G919" s="1">
        <v>12340</v>
      </c>
    </row>
    <row r="920" spans="1:7">
      <c r="A920" t="s">
        <v>5711</v>
      </c>
      <c r="B920" t="s">
        <v>106</v>
      </c>
      <c r="C920" t="s">
        <v>2674</v>
      </c>
      <c r="D920" t="s">
        <v>2673</v>
      </c>
      <c r="E920" t="s">
        <v>4409</v>
      </c>
      <c r="F920" s="23">
        <v>45046</v>
      </c>
      <c r="G920" s="1">
        <v>2244</v>
      </c>
    </row>
    <row r="921" spans="1:7">
      <c r="A921" t="s">
        <v>5711</v>
      </c>
      <c r="B921" t="s">
        <v>106</v>
      </c>
      <c r="C921" t="s">
        <v>2366</v>
      </c>
      <c r="D921" t="s">
        <v>2365</v>
      </c>
      <c r="E921" t="s">
        <v>4410</v>
      </c>
      <c r="F921" s="23">
        <v>44346</v>
      </c>
      <c r="G921" s="1">
        <v>666</v>
      </c>
    </row>
    <row r="922" spans="1:7">
      <c r="A922" t="s">
        <v>5711</v>
      </c>
      <c r="B922" t="s">
        <v>68</v>
      </c>
      <c r="C922" t="s">
        <v>1607</v>
      </c>
      <c r="D922" t="s">
        <v>1606</v>
      </c>
      <c r="E922" t="s">
        <v>4411</v>
      </c>
      <c r="F922" s="23">
        <v>44459</v>
      </c>
      <c r="G922" s="1">
        <v>7125</v>
      </c>
    </row>
    <row r="923" spans="1:7">
      <c r="A923" t="s">
        <v>5711</v>
      </c>
      <c r="B923" t="s">
        <v>94</v>
      </c>
      <c r="C923" t="s">
        <v>3486</v>
      </c>
      <c r="D923" t="s">
        <v>5595</v>
      </c>
      <c r="E923" t="s">
        <v>4412</v>
      </c>
      <c r="F923" s="23">
        <v>44346</v>
      </c>
      <c r="G923" s="1">
        <v>18446</v>
      </c>
    </row>
    <row r="924" spans="1:7">
      <c r="A924" t="s">
        <v>5711</v>
      </c>
      <c r="B924" t="s">
        <v>94</v>
      </c>
      <c r="C924" t="s">
        <v>3486</v>
      </c>
      <c r="D924" t="s">
        <v>562</v>
      </c>
      <c r="E924" t="s">
        <v>4413</v>
      </c>
      <c r="F924" s="23">
        <v>44346</v>
      </c>
      <c r="G924" s="1">
        <v>18780</v>
      </c>
    </row>
    <row r="925" spans="1:7">
      <c r="A925" t="s">
        <v>5711</v>
      </c>
      <c r="B925" t="s">
        <v>94</v>
      </c>
      <c r="C925" t="s">
        <v>3490</v>
      </c>
      <c r="D925" t="s">
        <v>582</v>
      </c>
      <c r="E925" t="s">
        <v>4414</v>
      </c>
      <c r="F925" s="23">
        <v>44397</v>
      </c>
      <c r="G925" s="1">
        <v>959</v>
      </c>
    </row>
    <row r="926" spans="1:7">
      <c r="A926" t="s">
        <v>5711</v>
      </c>
      <c r="B926" t="s">
        <v>94</v>
      </c>
      <c r="C926" t="s">
        <v>2142</v>
      </c>
      <c r="D926" t="s">
        <v>5596</v>
      </c>
      <c r="E926" t="s">
        <v>4415</v>
      </c>
      <c r="F926" s="23">
        <v>44346</v>
      </c>
      <c r="G926" s="1">
        <v>15631</v>
      </c>
    </row>
    <row r="927" spans="1:7">
      <c r="A927" t="s">
        <v>5711</v>
      </c>
      <c r="B927" t="s">
        <v>94</v>
      </c>
      <c r="C927" t="s">
        <v>3489</v>
      </c>
      <c r="D927" t="s">
        <v>968</v>
      </c>
      <c r="E927" t="s">
        <v>4416</v>
      </c>
      <c r="F927" s="23">
        <v>44346</v>
      </c>
      <c r="G927" s="1">
        <v>18209</v>
      </c>
    </row>
    <row r="928" spans="1:7">
      <c r="A928" t="s">
        <v>5711</v>
      </c>
      <c r="B928" t="s">
        <v>233</v>
      </c>
      <c r="C928" t="s">
        <v>2917</v>
      </c>
      <c r="D928" t="s">
        <v>2916</v>
      </c>
      <c r="E928" t="s">
        <v>4417</v>
      </c>
      <c r="F928" s="23">
        <v>44518</v>
      </c>
      <c r="G928" s="1">
        <v>8027</v>
      </c>
    </row>
    <row r="929" spans="1:7">
      <c r="A929" t="s">
        <v>5711</v>
      </c>
      <c r="B929" t="s">
        <v>94</v>
      </c>
      <c r="C929" t="s">
        <v>3487</v>
      </c>
      <c r="D929" t="s">
        <v>353</v>
      </c>
      <c r="E929" t="s">
        <v>4418</v>
      </c>
      <c r="F929" s="23">
        <v>44738</v>
      </c>
      <c r="G929" s="1">
        <v>5888</v>
      </c>
    </row>
    <row r="930" spans="1:7">
      <c r="A930" t="s">
        <v>5711</v>
      </c>
      <c r="B930" t="s">
        <v>94</v>
      </c>
      <c r="C930" t="s">
        <v>2253</v>
      </c>
      <c r="D930" t="s">
        <v>2252</v>
      </c>
      <c r="E930" t="s">
        <v>4419</v>
      </c>
      <c r="F930" s="23">
        <v>44346</v>
      </c>
      <c r="G930" s="1">
        <v>12885</v>
      </c>
    </row>
    <row r="931" spans="1:7">
      <c r="A931" t="s">
        <v>5711</v>
      </c>
      <c r="B931" t="s">
        <v>106</v>
      </c>
      <c r="C931" t="s">
        <v>2421</v>
      </c>
      <c r="D931" t="s">
        <v>2420</v>
      </c>
      <c r="E931" t="s">
        <v>4420</v>
      </c>
      <c r="F931" s="23">
        <v>44800</v>
      </c>
      <c r="G931" s="1">
        <v>4001</v>
      </c>
    </row>
    <row r="932" spans="1:7">
      <c r="A932" t="s">
        <v>5711</v>
      </c>
      <c r="B932" t="s">
        <v>94</v>
      </c>
      <c r="C932" t="s">
        <v>2106</v>
      </c>
      <c r="D932" t="s">
        <v>2105</v>
      </c>
      <c r="E932" t="s">
        <v>4421</v>
      </c>
      <c r="F932" s="23">
        <v>44938</v>
      </c>
      <c r="G932" s="1">
        <v>10762</v>
      </c>
    </row>
    <row r="933" spans="1:7">
      <c r="A933" t="s">
        <v>5711</v>
      </c>
      <c r="B933" t="s">
        <v>311</v>
      </c>
      <c r="C933" t="s">
        <v>1887</v>
      </c>
      <c r="D933" t="s">
        <v>3480</v>
      </c>
      <c r="E933" t="s">
        <v>4422</v>
      </c>
      <c r="F933" s="23">
        <v>44425</v>
      </c>
      <c r="G933" s="1">
        <v>11782</v>
      </c>
    </row>
    <row r="934" spans="1:7">
      <c r="A934" t="s">
        <v>5711</v>
      </c>
      <c r="B934" t="s">
        <v>94</v>
      </c>
      <c r="C934" t="s">
        <v>3487</v>
      </c>
      <c r="D934" t="s">
        <v>1601</v>
      </c>
      <c r="E934" t="s">
        <v>4423</v>
      </c>
      <c r="F934" s="23">
        <v>44346</v>
      </c>
      <c r="G934" s="1">
        <v>13566</v>
      </c>
    </row>
    <row r="935" spans="1:7">
      <c r="A935" t="s">
        <v>5711</v>
      </c>
      <c r="B935" t="s">
        <v>106</v>
      </c>
      <c r="C935" t="s">
        <v>2218</v>
      </c>
      <c r="D935" t="s">
        <v>2217</v>
      </c>
      <c r="E935" t="s">
        <v>4424</v>
      </c>
      <c r="F935" s="23">
        <v>45044</v>
      </c>
      <c r="G935" s="1">
        <v>1189</v>
      </c>
    </row>
    <row r="936" spans="1:7">
      <c r="A936" t="s">
        <v>5711</v>
      </c>
      <c r="B936" t="s">
        <v>94</v>
      </c>
      <c r="C936" t="s">
        <v>3486</v>
      </c>
      <c r="D936" t="s">
        <v>1420</v>
      </c>
      <c r="E936" t="s">
        <v>4425</v>
      </c>
      <c r="F936" s="23">
        <v>44346</v>
      </c>
      <c r="G936" s="1">
        <v>13281</v>
      </c>
    </row>
    <row r="937" spans="1:7">
      <c r="A937" t="s">
        <v>5711</v>
      </c>
      <c r="B937" t="s">
        <v>106</v>
      </c>
      <c r="C937" t="s">
        <v>2861</v>
      </c>
      <c r="D937" t="s">
        <v>2860</v>
      </c>
      <c r="E937" t="s">
        <v>4426</v>
      </c>
      <c r="F937" s="23">
        <v>44768</v>
      </c>
      <c r="G937" s="1">
        <v>7529</v>
      </c>
    </row>
    <row r="938" spans="1:7">
      <c r="A938" t="s">
        <v>5711</v>
      </c>
      <c r="B938" t="s">
        <v>106</v>
      </c>
      <c r="C938" t="s">
        <v>1887</v>
      </c>
      <c r="D938" t="s">
        <v>3373</v>
      </c>
      <c r="E938" t="s">
        <v>4427</v>
      </c>
      <c r="F938" s="23">
        <v>44346</v>
      </c>
      <c r="G938" s="1">
        <v>3430</v>
      </c>
    </row>
    <row r="939" spans="1:7">
      <c r="A939" t="s">
        <v>5711</v>
      </c>
      <c r="B939" t="s">
        <v>233</v>
      </c>
      <c r="C939" t="s">
        <v>3135</v>
      </c>
      <c r="D939" t="s">
        <v>3462</v>
      </c>
      <c r="E939" t="s">
        <v>4428</v>
      </c>
      <c r="F939" s="23">
        <v>44346</v>
      </c>
      <c r="G939" s="1">
        <v>17562</v>
      </c>
    </row>
    <row r="940" spans="1:7">
      <c r="A940" t="s">
        <v>5711</v>
      </c>
      <c r="B940" t="s">
        <v>1330</v>
      </c>
      <c r="C940" t="s">
        <v>1329</v>
      </c>
      <c r="D940" t="s">
        <v>1328</v>
      </c>
      <c r="E940" t="s">
        <v>4429</v>
      </c>
      <c r="F940" s="23">
        <v>44346</v>
      </c>
      <c r="G940" s="1">
        <v>19592</v>
      </c>
    </row>
    <row r="941" spans="1:7">
      <c r="A941" t="s">
        <v>5711</v>
      </c>
      <c r="B941" t="s">
        <v>43</v>
      </c>
      <c r="C941" t="s">
        <v>1199</v>
      </c>
      <c r="D941" t="s">
        <v>1198</v>
      </c>
      <c r="E941" t="s">
        <v>4430</v>
      </c>
      <c r="F941" s="23">
        <v>44346</v>
      </c>
      <c r="G941" s="1">
        <v>15028</v>
      </c>
    </row>
    <row r="942" spans="1:7">
      <c r="A942" t="s">
        <v>5711</v>
      </c>
      <c r="B942" t="s">
        <v>101</v>
      </c>
      <c r="C942" t="s">
        <v>1080</v>
      </c>
      <c r="D942" t="s">
        <v>1624</v>
      </c>
      <c r="E942" t="s">
        <v>4431</v>
      </c>
      <c r="F942" s="23">
        <v>44411</v>
      </c>
      <c r="G942" s="1">
        <v>5009</v>
      </c>
    </row>
    <row r="943" spans="1:7">
      <c r="A943" t="s">
        <v>5711</v>
      </c>
      <c r="B943" t="s">
        <v>106</v>
      </c>
      <c r="C943" t="s">
        <v>3469</v>
      </c>
      <c r="D943" t="s">
        <v>5597</v>
      </c>
      <c r="E943" t="s">
        <v>4432</v>
      </c>
      <c r="F943" s="23">
        <v>44346</v>
      </c>
      <c r="G943" s="1">
        <v>18970</v>
      </c>
    </row>
    <row r="944" spans="1:7">
      <c r="A944" t="s">
        <v>5711</v>
      </c>
      <c r="B944" t="s">
        <v>298</v>
      </c>
      <c r="C944" t="s">
        <v>2831</v>
      </c>
      <c r="D944" t="s">
        <v>2830</v>
      </c>
      <c r="E944" t="s">
        <v>4433</v>
      </c>
      <c r="F944" s="23">
        <v>44648</v>
      </c>
      <c r="G944" s="1">
        <v>10022</v>
      </c>
    </row>
    <row r="945" spans="1:7">
      <c r="A945" t="s">
        <v>5711</v>
      </c>
      <c r="B945" t="s">
        <v>106</v>
      </c>
      <c r="C945" t="s">
        <v>2814</v>
      </c>
      <c r="D945" t="s">
        <v>2813</v>
      </c>
      <c r="E945" t="s">
        <v>4434</v>
      </c>
      <c r="F945" s="23">
        <v>44346</v>
      </c>
      <c r="G945" s="1">
        <v>17455</v>
      </c>
    </row>
    <row r="946" spans="1:7">
      <c r="A946" t="s">
        <v>5711</v>
      </c>
      <c r="B946" t="s">
        <v>37</v>
      </c>
      <c r="C946" t="s">
        <v>1562</v>
      </c>
      <c r="D946" t="s">
        <v>1561</v>
      </c>
      <c r="E946" t="s">
        <v>4435</v>
      </c>
      <c r="F946" s="23">
        <v>44346</v>
      </c>
      <c r="G946" s="1">
        <v>10383</v>
      </c>
    </row>
    <row r="947" spans="1:7">
      <c r="A947" t="s">
        <v>5711</v>
      </c>
      <c r="B947" t="s">
        <v>37</v>
      </c>
      <c r="C947" t="s">
        <v>1250</v>
      </c>
      <c r="D947" t="s">
        <v>1249</v>
      </c>
      <c r="E947" t="s">
        <v>4436</v>
      </c>
      <c r="F947" s="23">
        <v>44346</v>
      </c>
      <c r="G947" s="1">
        <v>11114</v>
      </c>
    </row>
    <row r="948" spans="1:7">
      <c r="A948" t="s">
        <v>5711</v>
      </c>
      <c r="B948" t="s">
        <v>106</v>
      </c>
      <c r="C948" t="s">
        <v>2128</v>
      </c>
      <c r="D948" t="s">
        <v>2127</v>
      </c>
      <c r="E948" t="s">
        <v>4437</v>
      </c>
      <c r="F948" s="23">
        <v>44346</v>
      </c>
      <c r="G948" s="1">
        <v>9698</v>
      </c>
    </row>
    <row r="949" spans="1:7">
      <c r="A949" t="s">
        <v>5711</v>
      </c>
      <c r="B949" t="s">
        <v>298</v>
      </c>
      <c r="C949" t="s">
        <v>1887</v>
      </c>
      <c r="D949" t="s">
        <v>3202</v>
      </c>
      <c r="E949" t="s">
        <v>4438</v>
      </c>
      <c r="F949" s="23">
        <v>44346</v>
      </c>
      <c r="G949" s="1">
        <v>1401</v>
      </c>
    </row>
    <row r="950" spans="1:7">
      <c r="A950" t="s">
        <v>5711</v>
      </c>
      <c r="B950" t="s">
        <v>298</v>
      </c>
      <c r="C950" t="s">
        <v>2816</v>
      </c>
      <c r="D950" t="s">
        <v>2815</v>
      </c>
      <c r="E950" t="s">
        <v>4439</v>
      </c>
      <c r="F950" s="23">
        <v>44465</v>
      </c>
      <c r="G950" s="1">
        <v>3171</v>
      </c>
    </row>
    <row r="951" spans="1:7">
      <c r="A951" t="s">
        <v>5711</v>
      </c>
      <c r="B951" t="s">
        <v>68</v>
      </c>
      <c r="C951" t="s">
        <v>67</v>
      </c>
      <c r="D951" t="s">
        <v>66</v>
      </c>
      <c r="E951" t="s">
        <v>4440</v>
      </c>
      <c r="F951" s="23">
        <v>44346</v>
      </c>
      <c r="G951" s="1">
        <v>14725</v>
      </c>
    </row>
    <row r="952" spans="1:7">
      <c r="A952" t="s">
        <v>5711</v>
      </c>
      <c r="B952" t="s">
        <v>230</v>
      </c>
      <c r="C952" t="s">
        <v>1291</v>
      </c>
      <c r="D952" t="s">
        <v>1290</v>
      </c>
      <c r="E952" t="s">
        <v>4441</v>
      </c>
      <c r="F952" s="23">
        <v>44668</v>
      </c>
      <c r="G952" s="1">
        <v>10028</v>
      </c>
    </row>
    <row r="953" spans="1:7">
      <c r="A953" t="s">
        <v>5711</v>
      </c>
      <c r="B953" t="s">
        <v>792</v>
      </c>
      <c r="C953" t="s">
        <v>1115</v>
      </c>
      <c r="D953" t="s">
        <v>1114</v>
      </c>
      <c r="E953" t="s">
        <v>4442</v>
      </c>
      <c r="F953" s="23">
        <v>44346</v>
      </c>
      <c r="G953" s="1">
        <v>3880</v>
      </c>
    </row>
    <row r="954" spans="1:7">
      <c r="A954" t="s">
        <v>5711</v>
      </c>
      <c r="B954" t="s">
        <v>298</v>
      </c>
      <c r="C954" t="s">
        <v>1293</v>
      </c>
      <c r="D954" t="s">
        <v>3475</v>
      </c>
      <c r="E954" t="s">
        <v>4443</v>
      </c>
      <c r="F954" s="23">
        <v>44346</v>
      </c>
      <c r="G954" s="1">
        <v>18165</v>
      </c>
    </row>
    <row r="955" spans="1:7">
      <c r="A955" t="s">
        <v>5711</v>
      </c>
      <c r="B955" t="s">
        <v>106</v>
      </c>
      <c r="C955" t="s">
        <v>3408</v>
      </c>
      <c r="D955" t="s">
        <v>3410</v>
      </c>
      <c r="E955" t="s">
        <v>4444</v>
      </c>
      <c r="F955" s="23">
        <v>44346</v>
      </c>
      <c r="G955" s="1">
        <v>1177</v>
      </c>
    </row>
    <row r="956" spans="1:7">
      <c r="A956" t="s">
        <v>5711</v>
      </c>
      <c r="B956" t="s">
        <v>298</v>
      </c>
      <c r="C956" t="s">
        <v>2959</v>
      </c>
      <c r="D956" t="s">
        <v>2958</v>
      </c>
      <c r="E956" t="s">
        <v>4445</v>
      </c>
      <c r="F956" s="23">
        <v>44346</v>
      </c>
      <c r="G956" s="1">
        <v>803</v>
      </c>
    </row>
    <row r="957" spans="1:7">
      <c r="A957" t="s">
        <v>5711</v>
      </c>
      <c r="B957" t="s">
        <v>94</v>
      </c>
      <c r="C957" t="s">
        <v>2149</v>
      </c>
      <c r="D957" t="s">
        <v>2148</v>
      </c>
      <c r="E957" t="s">
        <v>4446</v>
      </c>
      <c r="F957" s="23">
        <v>44713</v>
      </c>
      <c r="G957" s="1">
        <v>8479</v>
      </c>
    </row>
    <row r="958" spans="1:7">
      <c r="A958" t="s">
        <v>5711</v>
      </c>
      <c r="B958" t="s">
        <v>106</v>
      </c>
      <c r="C958" t="s">
        <v>2302</v>
      </c>
      <c r="D958" t="s">
        <v>2301</v>
      </c>
      <c r="E958" t="s">
        <v>4447</v>
      </c>
      <c r="F958" s="23">
        <v>44564</v>
      </c>
      <c r="G958" s="1">
        <v>5260</v>
      </c>
    </row>
    <row r="959" spans="1:7">
      <c r="A959" t="s">
        <v>5711</v>
      </c>
      <c r="B959" t="s">
        <v>233</v>
      </c>
      <c r="C959" t="s">
        <v>2417</v>
      </c>
      <c r="D959" t="s">
        <v>2416</v>
      </c>
      <c r="E959" t="s">
        <v>4448</v>
      </c>
      <c r="F959" s="23">
        <v>44346</v>
      </c>
      <c r="G959" s="1">
        <v>19491</v>
      </c>
    </row>
    <row r="960" spans="1:7">
      <c r="A960" t="s">
        <v>5711</v>
      </c>
      <c r="B960" t="s">
        <v>298</v>
      </c>
      <c r="C960" t="s">
        <v>2210</v>
      </c>
      <c r="D960" t="s">
        <v>3381</v>
      </c>
      <c r="E960" t="s">
        <v>4449</v>
      </c>
      <c r="F960" s="23">
        <v>44346</v>
      </c>
      <c r="G960" s="1">
        <v>19868</v>
      </c>
    </row>
    <row r="961" spans="1:7">
      <c r="A961" t="s">
        <v>5711</v>
      </c>
      <c r="B961" t="s">
        <v>94</v>
      </c>
      <c r="C961" t="s">
        <v>2641</v>
      </c>
      <c r="D961" t="s">
        <v>3364</v>
      </c>
      <c r="E961" t="s">
        <v>4450</v>
      </c>
      <c r="F961" s="23">
        <v>44346</v>
      </c>
      <c r="G961" s="1">
        <v>4336</v>
      </c>
    </row>
    <row r="962" spans="1:7">
      <c r="A962" t="s">
        <v>5711</v>
      </c>
      <c r="B962" t="s">
        <v>94</v>
      </c>
      <c r="C962" t="s">
        <v>3486</v>
      </c>
      <c r="D962" t="s">
        <v>650</v>
      </c>
      <c r="E962" t="s">
        <v>4451</v>
      </c>
      <c r="F962" s="23">
        <v>44346</v>
      </c>
      <c r="G962" s="1">
        <v>735</v>
      </c>
    </row>
    <row r="963" spans="1:7">
      <c r="A963" t="s">
        <v>5711</v>
      </c>
      <c r="B963" t="s">
        <v>106</v>
      </c>
      <c r="C963" t="s">
        <v>2290</v>
      </c>
      <c r="D963" t="s">
        <v>2289</v>
      </c>
      <c r="E963" t="s">
        <v>4452</v>
      </c>
      <c r="F963" s="23">
        <v>44889</v>
      </c>
      <c r="G963" s="1">
        <v>3556</v>
      </c>
    </row>
    <row r="964" spans="1:7">
      <c r="A964" t="s">
        <v>5711</v>
      </c>
      <c r="B964" t="s">
        <v>37</v>
      </c>
      <c r="C964" t="s">
        <v>36</v>
      </c>
      <c r="D964" t="s">
        <v>35</v>
      </c>
      <c r="E964" t="s">
        <v>4453</v>
      </c>
      <c r="F964" s="23">
        <v>44416</v>
      </c>
      <c r="G964" s="1">
        <v>8554</v>
      </c>
    </row>
    <row r="965" spans="1:7">
      <c r="A965" t="s">
        <v>5711</v>
      </c>
      <c r="B965" t="s">
        <v>233</v>
      </c>
      <c r="C965" t="s">
        <v>1887</v>
      </c>
      <c r="D965" t="s">
        <v>3146</v>
      </c>
      <c r="E965" t="s">
        <v>4454</v>
      </c>
      <c r="F965" s="23">
        <v>44346</v>
      </c>
      <c r="G965" s="1">
        <v>14762</v>
      </c>
    </row>
    <row r="966" spans="1:7">
      <c r="A966" t="s">
        <v>5711</v>
      </c>
      <c r="B966" t="s">
        <v>311</v>
      </c>
      <c r="C966" t="s">
        <v>1977</v>
      </c>
      <c r="D966" t="s">
        <v>1976</v>
      </c>
      <c r="E966" t="s">
        <v>4455</v>
      </c>
      <c r="F966" s="23">
        <v>45027</v>
      </c>
      <c r="G966" s="1">
        <v>518</v>
      </c>
    </row>
    <row r="967" spans="1:7">
      <c r="A967" t="s">
        <v>5711</v>
      </c>
      <c r="B967" t="s">
        <v>106</v>
      </c>
      <c r="C967" t="s">
        <v>1868</v>
      </c>
      <c r="D967" t="s">
        <v>1867</v>
      </c>
      <c r="E967" t="s">
        <v>4456</v>
      </c>
      <c r="F967" s="23">
        <v>44346</v>
      </c>
      <c r="G967" s="1">
        <v>16877</v>
      </c>
    </row>
    <row r="968" spans="1:7">
      <c r="A968" t="s">
        <v>5711</v>
      </c>
      <c r="B968" t="s">
        <v>298</v>
      </c>
      <c r="C968" t="s">
        <v>2221</v>
      </c>
      <c r="D968" t="s">
        <v>2220</v>
      </c>
      <c r="E968" t="s">
        <v>4457</v>
      </c>
      <c r="F968" s="23">
        <v>44583</v>
      </c>
      <c r="G968" s="1">
        <v>680</v>
      </c>
    </row>
    <row r="969" spans="1:7">
      <c r="A969" t="s">
        <v>5711</v>
      </c>
      <c r="B969" t="s">
        <v>94</v>
      </c>
      <c r="C969" t="s">
        <v>1913</v>
      </c>
      <c r="D969" t="s">
        <v>1912</v>
      </c>
      <c r="E969" t="s">
        <v>4458</v>
      </c>
      <c r="F969" s="23">
        <v>44346</v>
      </c>
      <c r="G969" s="1">
        <v>15290</v>
      </c>
    </row>
    <row r="970" spans="1:7">
      <c r="A970" t="s">
        <v>5711</v>
      </c>
      <c r="B970" t="s">
        <v>233</v>
      </c>
      <c r="C970" t="s">
        <v>3073</v>
      </c>
      <c r="D970" t="s">
        <v>3072</v>
      </c>
      <c r="E970" t="s">
        <v>4459</v>
      </c>
      <c r="F970" s="23">
        <v>44346</v>
      </c>
      <c r="G970" s="1">
        <v>16837</v>
      </c>
    </row>
    <row r="971" spans="1:7">
      <c r="A971" t="s">
        <v>5711</v>
      </c>
      <c r="B971" t="s">
        <v>156</v>
      </c>
      <c r="C971" t="s">
        <v>1124</v>
      </c>
      <c r="D971" t="s">
        <v>1123</v>
      </c>
      <c r="E971" t="s">
        <v>4460</v>
      </c>
      <c r="F971" s="23">
        <v>44346</v>
      </c>
      <c r="G971" s="1">
        <v>14802</v>
      </c>
    </row>
    <row r="972" spans="1:7">
      <c r="A972" t="s">
        <v>5711</v>
      </c>
      <c r="B972" t="s">
        <v>94</v>
      </c>
      <c r="C972" t="s">
        <v>2927</v>
      </c>
      <c r="D972" t="s">
        <v>2926</v>
      </c>
      <c r="E972" t="s">
        <v>4461</v>
      </c>
      <c r="F972" s="23">
        <v>44615</v>
      </c>
      <c r="G972" s="1">
        <v>2839</v>
      </c>
    </row>
    <row r="973" spans="1:7">
      <c r="A973" t="s">
        <v>5711</v>
      </c>
      <c r="B973" t="s">
        <v>43</v>
      </c>
      <c r="C973" t="s">
        <v>509</v>
      </c>
      <c r="D973" t="s">
        <v>5598</v>
      </c>
      <c r="E973" t="s">
        <v>4462</v>
      </c>
      <c r="F973" s="23">
        <v>44810</v>
      </c>
      <c r="G973" s="1">
        <v>9836</v>
      </c>
    </row>
    <row r="974" spans="1:7">
      <c r="A974" t="s">
        <v>5711</v>
      </c>
      <c r="B974" t="s">
        <v>94</v>
      </c>
      <c r="C974" t="s">
        <v>3489</v>
      </c>
      <c r="D974" t="s">
        <v>1726</v>
      </c>
      <c r="E974" t="s">
        <v>4463</v>
      </c>
      <c r="F974" s="23">
        <v>44346</v>
      </c>
      <c r="G974" s="1">
        <v>16263</v>
      </c>
    </row>
    <row r="975" spans="1:7">
      <c r="A975" t="s">
        <v>5711</v>
      </c>
      <c r="B975" t="s">
        <v>94</v>
      </c>
      <c r="C975" t="s">
        <v>1857</v>
      </c>
      <c r="D975" t="s">
        <v>2910</v>
      </c>
      <c r="E975" t="s">
        <v>4464</v>
      </c>
      <c r="F975" s="23">
        <v>44346</v>
      </c>
      <c r="G975" s="1">
        <v>19069</v>
      </c>
    </row>
    <row r="976" spans="1:7">
      <c r="A976" t="s">
        <v>5711</v>
      </c>
      <c r="B976" t="s">
        <v>94</v>
      </c>
      <c r="C976" t="s">
        <v>2088</v>
      </c>
      <c r="D976" t="s">
        <v>2087</v>
      </c>
      <c r="E976" t="s">
        <v>4465</v>
      </c>
      <c r="F976" s="23">
        <v>44346</v>
      </c>
      <c r="G976" s="1">
        <v>3568</v>
      </c>
    </row>
    <row r="977" spans="1:7">
      <c r="A977" t="s">
        <v>5711</v>
      </c>
      <c r="B977" t="s">
        <v>464</v>
      </c>
      <c r="C977" t="s">
        <v>463</v>
      </c>
      <c r="D977" t="s">
        <v>5599</v>
      </c>
      <c r="E977" t="s">
        <v>4466</v>
      </c>
      <c r="F977" s="23">
        <v>44346</v>
      </c>
      <c r="G977" s="1">
        <v>4315</v>
      </c>
    </row>
    <row r="978" spans="1:7">
      <c r="A978" t="s">
        <v>5711</v>
      </c>
      <c r="B978" t="s">
        <v>43</v>
      </c>
      <c r="C978" t="s">
        <v>1190</v>
      </c>
      <c r="D978" t="s">
        <v>1189</v>
      </c>
      <c r="E978" t="s">
        <v>4467</v>
      </c>
      <c r="F978" s="23">
        <v>44346</v>
      </c>
      <c r="G978" s="1">
        <v>13237</v>
      </c>
    </row>
    <row r="979" spans="1:7">
      <c r="A979" t="s">
        <v>5711</v>
      </c>
      <c r="B979" t="s">
        <v>37</v>
      </c>
      <c r="C979" t="s">
        <v>1805</v>
      </c>
      <c r="D979" t="s">
        <v>1804</v>
      </c>
      <c r="E979" t="s">
        <v>4468</v>
      </c>
      <c r="F979" s="23">
        <v>44346</v>
      </c>
      <c r="G979" s="1">
        <v>18363</v>
      </c>
    </row>
    <row r="980" spans="1:7">
      <c r="A980" t="s">
        <v>5711</v>
      </c>
      <c r="B980" t="s">
        <v>298</v>
      </c>
      <c r="C980" t="s">
        <v>2824</v>
      </c>
      <c r="D980" t="s">
        <v>2823</v>
      </c>
      <c r="E980" t="s">
        <v>4469</v>
      </c>
      <c r="F980" s="23">
        <v>44346</v>
      </c>
      <c r="G980" s="1">
        <v>16481</v>
      </c>
    </row>
    <row r="981" spans="1:7">
      <c r="A981" t="s">
        <v>5711</v>
      </c>
      <c r="B981" t="s">
        <v>94</v>
      </c>
      <c r="C981" t="s">
        <v>3487</v>
      </c>
      <c r="D981" t="s">
        <v>124</v>
      </c>
      <c r="E981" t="s">
        <v>4470</v>
      </c>
      <c r="F981" s="23">
        <v>44346</v>
      </c>
      <c r="G981" s="1">
        <v>19532</v>
      </c>
    </row>
    <row r="982" spans="1:7">
      <c r="A982" t="s">
        <v>5711</v>
      </c>
      <c r="B982" t="s">
        <v>135</v>
      </c>
      <c r="C982" t="s">
        <v>134</v>
      </c>
      <c r="D982" t="s">
        <v>133</v>
      </c>
      <c r="E982" t="s">
        <v>4471</v>
      </c>
      <c r="F982" s="23">
        <v>44346</v>
      </c>
      <c r="G982" s="1">
        <v>5830</v>
      </c>
    </row>
    <row r="983" spans="1:7">
      <c r="A983" t="s">
        <v>5711</v>
      </c>
      <c r="B983" t="s">
        <v>85</v>
      </c>
      <c r="C983" t="s">
        <v>84</v>
      </c>
      <c r="D983" t="s">
        <v>83</v>
      </c>
      <c r="E983" t="s">
        <v>4472</v>
      </c>
      <c r="F983" s="23">
        <v>44346</v>
      </c>
      <c r="G983" s="1">
        <v>13052</v>
      </c>
    </row>
    <row r="984" spans="1:7">
      <c r="A984" t="s">
        <v>5711</v>
      </c>
      <c r="B984" t="s">
        <v>298</v>
      </c>
      <c r="C984" t="s">
        <v>2443</v>
      </c>
      <c r="D984" t="s">
        <v>2442</v>
      </c>
      <c r="E984" t="s">
        <v>4473</v>
      </c>
      <c r="F984" s="23">
        <v>44346</v>
      </c>
      <c r="G984" s="1">
        <v>12739</v>
      </c>
    </row>
    <row r="985" spans="1:7">
      <c r="A985" t="s">
        <v>5711</v>
      </c>
      <c r="B985" t="s">
        <v>470</v>
      </c>
      <c r="C985" t="s">
        <v>469</v>
      </c>
      <c r="D985" t="s">
        <v>468</v>
      </c>
      <c r="E985" t="s">
        <v>4474</v>
      </c>
      <c r="F985" s="23">
        <v>44445</v>
      </c>
      <c r="G985" s="1">
        <v>8201</v>
      </c>
    </row>
    <row r="986" spans="1:7">
      <c r="A986" t="s">
        <v>5711</v>
      </c>
      <c r="B986" t="s">
        <v>233</v>
      </c>
      <c r="C986" t="s">
        <v>2275</v>
      </c>
      <c r="D986" t="s">
        <v>2274</v>
      </c>
      <c r="E986" t="s">
        <v>4475</v>
      </c>
      <c r="F986" s="23">
        <v>45057</v>
      </c>
      <c r="G986" s="1">
        <v>1246</v>
      </c>
    </row>
    <row r="987" spans="1:7">
      <c r="A987" t="s">
        <v>5711</v>
      </c>
      <c r="B987" t="s">
        <v>106</v>
      </c>
      <c r="C987" t="s">
        <v>3377</v>
      </c>
      <c r="D987" t="s">
        <v>3376</v>
      </c>
      <c r="E987" t="s">
        <v>4476</v>
      </c>
      <c r="F987" s="23">
        <v>45015</v>
      </c>
      <c r="G987" s="1">
        <v>8014</v>
      </c>
    </row>
    <row r="988" spans="1:7">
      <c r="A988" t="s">
        <v>5711</v>
      </c>
      <c r="B988" t="s">
        <v>258</v>
      </c>
      <c r="C988" t="s">
        <v>511</v>
      </c>
      <c r="D988" t="s">
        <v>510</v>
      </c>
      <c r="E988" t="s">
        <v>4477</v>
      </c>
      <c r="F988" s="23">
        <v>44346</v>
      </c>
      <c r="G988" s="1">
        <v>12867</v>
      </c>
    </row>
    <row r="989" spans="1:7">
      <c r="A989" t="s">
        <v>5711</v>
      </c>
      <c r="B989" t="s">
        <v>298</v>
      </c>
      <c r="C989" t="s">
        <v>365</v>
      </c>
      <c r="D989" t="s">
        <v>1914</v>
      </c>
      <c r="E989" t="s">
        <v>4478</v>
      </c>
      <c r="F989" s="23">
        <v>44966</v>
      </c>
      <c r="G989" s="1">
        <v>7685</v>
      </c>
    </row>
    <row r="990" spans="1:7">
      <c r="A990" t="s">
        <v>5711</v>
      </c>
      <c r="B990" t="s">
        <v>233</v>
      </c>
      <c r="C990" t="s">
        <v>2177</v>
      </c>
      <c r="D990" t="s">
        <v>2176</v>
      </c>
      <c r="E990" t="s">
        <v>4479</v>
      </c>
      <c r="F990" s="23">
        <v>44346</v>
      </c>
      <c r="G990" s="1">
        <v>13722</v>
      </c>
    </row>
    <row r="991" spans="1:7">
      <c r="A991" t="s">
        <v>5711</v>
      </c>
      <c r="B991" t="s">
        <v>480</v>
      </c>
      <c r="C991" t="s">
        <v>1451</v>
      </c>
      <c r="D991" t="s">
        <v>1450</v>
      </c>
      <c r="E991" t="s">
        <v>4480</v>
      </c>
      <c r="F991" s="23">
        <v>44346</v>
      </c>
      <c r="G991" s="1">
        <v>15050</v>
      </c>
    </row>
    <row r="992" spans="1:7">
      <c r="A992" t="s">
        <v>5711</v>
      </c>
      <c r="B992" t="s">
        <v>97</v>
      </c>
      <c r="C992" t="s">
        <v>446</v>
      </c>
      <c r="D992" t="s">
        <v>445</v>
      </c>
      <c r="E992" t="s">
        <v>4481</v>
      </c>
      <c r="F992" s="23">
        <v>44988</v>
      </c>
      <c r="G992" s="1">
        <v>5029</v>
      </c>
    </row>
    <row r="993" spans="1:7">
      <c r="A993" t="s">
        <v>5711</v>
      </c>
      <c r="B993" t="s">
        <v>311</v>
      </c>
      <c r="C993" t="s">
        <v>1370</v>
      </c>
      <c r="D993" t="s">
        <v>2378</v>
      </c>
      <c r="E993" t="s">
        <v>4482</v>
      </c>
      <c r="F993" s="23">
        <v>44561</v>
      </c>
      <c r="G993" s="1">
        <v>2026</v>
      </c>
    </row>
    <row r="994" spans="1:7">
      <c r="A994" t="s">
        <v>5711</v>
      </c>
      <c r="B994" t="s">
        <v>85</v>
      </c>
      <c r="C994" t="s">
        <v>1491</v>
      </c>
      <c r="D994" t="s">
        <v>1490</v>
      </c>
      <c r="E994" t="s">
        <v>4483</v>
      </c>
      <c r="F994" s="23">
        <v>44346</v>
      </c>
      <c r="G994" s="1">
        <v>11251</v>
      </c>
    </row>
    <row r="995" spans="1:7">
      <c r="A995" t="s">
        <v>5711</v>
      </c>
      <c r="B995" t="s">
        <v>94</v>
      </c>
      <c r="C995" t="s">
        <v>561</v>
      </c>
      <c r="D995" t="s">
        <v>560</v>
      </c>
      <c r="E995" t="s">
        <v>4484</v>
      </c>
      <c r="F995" s="23">
        <v>44915</v>
      </c>
      <c r="G995" s="1">
        <v>5968</v>
      </c>
    </row>
    <row r="996" spans="1:7">
      <c r="A996" t="s">
        <v>5711</v>
      </c>
      <c r="B996" t="s">
        <v>311</v>
      </c>
      <c r="C996" t="s">
        <v>3042</v>
      </c>
      <c r="D996" t="s">
        <v>3041</v>
      </c>
      <c r="E996" t="s">
        <v>4485</v>
      </c>
      <c r="F996" s="23">
        <v>44346</v>
      </c>
      <c r="G996" s="1">
        <v>19501</v>
      </c>
    </row>
    <row r="997" spans="1:7">
      <c r="A997" t="s">
        <v>5711</v>
      </c>
      <c r="B997" t="s">
        <v>97</v>
      </c>
      <c r="C997" t="s">
        <v>1316</v>
      </c>
      <c r="D997" t="s">
        <v>1315</v>
      </c>
      <c r="E997" t="s">
        <v>4486</v>
      </c>
      <c r="F997" s="23">
        <v>44485</v>
      </c>
      <c r="G997" s="1">
        <v>2771</v>
      </c>
    </row>
    <row r="998" spans="1:7">
      <c r="A998" t="s">
        <v>5711</v>
      </c>
      <c r="B998" t="s">
        <v>75</v>
      </c>
      <c r="C998" t="s">
        <v>1672</v>
      </c>
      <c r="D998" t="s">
        <v>1671</v>
      </c>
      <c r="E998" t="s">
        <v>4487</v>
      </c>
      <c r="F998" s="23">
        <v>44668</v>
      </c>
      <c r="G998" s="1">
        <v>7887</v>
      </c>
    </row>
    <row r="999" spans="1:7">
      <c r="A999" t="s">
        <v>5711</v>
      </c>
      <c r="B999" t="s">
        <v>101</v>
      </c>
      <c r="C999" t="s">
        <v>191</v>
      </c>
      <c r="D999" t="s">
        <v>190</v>
      </c>
      <c r="E999" t="s">
        <v>4488</v>
      </c>
      <c r="F999" s="23">
        <v>44985</v>
      </c>
      <c r="G999" s="1">
        <v>3725</v>
      </c>
    </row>
    <row r="1000" spans="1:7">
      <c r="A1000" t="s">
        <v>5711</v>
      </c>
      <c r="B1000" t="s">
        <v>106</v>
      </c>
      <c r="C1000" t="s">
        <v>1188</v>
      </c>
      <c r="D1000" t="s">
        <v>1187</v>
      </c>
      <c r="E1000" t="s">
        <v>4489</v>
      </c>
      <c r="F1000" s="23">
        <v>44346</v>
      </c>
      <c r="G1000" s="1">
        <v>17679</v>
      </c>
    </row>
    <row r="1001" spans="1:7">
      <c r="A1001" t="s">
        <v>5711</v>
      </c>
      <c r="B1001" t="s">
        <v>208</v>
      </c>
      <c r="C1001" t="s">
        <v>1476</v>
      </c>
      <c r="D1001" t="s">
        <v>1475</v>
      </c>
      <c r="E1001" t="s">
        <v>4490</v>
      </c>
      <c r="F1001" s="23">
        <v>44818</v>
      </c>
      <c r="G1001" s="1">
        <v>11264</v>
      </c>
    </row>
    <row r="1002" spans="1:7">
      <c r="A1002" t="s">
        <v>5711</v>
      </c>
      <c r="B1002" t="s">
        <v>94</v>
      </c>
      <c r="C1002" t="s">
        <v>3489</v>
      </c>
      <c r="D1002" t="s">
        <v>848</v>
      </c>
      <c r="E1002" t="s">
        <v>4491</v>
      </c>
      <c r="F1002" s="23">
        <v>44489</v>
      </c>
      <c r="G1002" s="1">
        <v>9917</v>
      </c>
    </row>
    <row r="1003" spans="1:7">
      <c r="A1003" t="s">
        <v>5711</v>
      </c>
      <c r="B1003" t="s">
        <v>94</v>
      </c>
      <c r="C1003" t="s">
        <v>3490</v>
      </c>
      <c r="D1003" t="s">
        <v>1788</v>
      </c>
      <c r="E1003" t="s">
        <v>4492</v>
      </c>
      <c r="F1003" s="23">
        <v>44798</v>
      </c>
      <c r="G1003" s="1">
        <v>3361</v>
      </c>
    </row>
    <row r="1004" spans="1:7">
      <c r="A1004" t="s">
        <v>5711</v>
      </c>
      <c r="B1004" t="s">
        <v>236</v>
      </c>
      <c r="C1004" t="s">
        <v>1314</v>
      </c>
      <c r="D1004" t="s">
        <v>1313</v>
      </c>
      <c r="E1004" t="s">
        <v>4493</v>
      </c>
      <c r="F1004" s="23">
        <v>44346</v>
      </c>
      <c r="G1004" s="1">
        <v>17408</v>
      </c>
    </row>
    <row r="1005" spans="1:7">
      <c r="A1005" t="s">
        <v>5711</v>
      </c>
      <c r="B1005" t="s">
        <v>94</v>
      </c>
      <c r="C1005" t="s">
        <v>2996</v>
      </c>
      <c r="D1005" t="s">
        <v>3142</v>
      </c>
      <c r="E1005" t="s">
        <v>4494</v>
      </c>
      <c r="F1005" s="23">
        <v>44346</v>
      </c>
      <c r="G1005" s="1">
        <v>7468</v>
      </c>
    </row>
    <row r="1006" spans="1:7">
      <c r="A1006" t="s">
        <v>5711</v>
      </c>
      <c r="B1006" t="s">
        <v>106</v>
      </c>
      <c r="C1006" t="s">
        <v>1887</v>
      </c>
      <c r="D1006" t="s">
        <v>3273</v>
      </c>
      <c r="E1006" t="s">
        <v>4495</v>
      </c>
      <c r="F1006" s="23">
        <v>44601</v>
      </c>
      <c r="G1006" s="1">
        <v>1186</v>
      </c>
    </row>
    <row r="1007" spans="1:7">
      <c r="A1007" t="s">
        <v>5711</v>
      </c>
      <c r="B1007" t="s">
        <v>94</v>
      </c>
      <c r="C1007" t="s">
        <v>2612</v>
      </c>
      <c r="D1007" t="s">
        <v>2611</v>
      </c>
      <c r="E1007" t="s">
        <v>4496</v>
      </c>
      <c r="F1007" s="23">
        <v>44346</v>
      </c>
      <c r="G1007" s="1">
        <v>16900</v>
      </c>
    </row>
    <row r="1008" spans="1:7">
      <c r="A1008" t="s">
        <v>5711</v>
      </c>
      <c r="B1008" t="s">
        <v>94</v>
      </c>
      <c r="C1008" t="s">
        <v>305</v>
      </c>
      <c r="D1008" t="s">
        <v>304</v>
      </c>
      <c r="E1008" t="s">
        <v>4497</v>
      </c>
      <c r="F1008" s="23">
        <v>44346</v>
      </c>
      <c r="G1008" s="1">
        <v>10723</v>
      </c>
    </row>
    <row r="1009" spans="1:7">
      <c r="A1009" t="s">
        <v>5711</v>
      </c>
      <c r="B1009" t="s">
        <v>94</v>
      </c>
      <c r="C1009" t="s">
        <v>1998</v>
      </c>
      <c r="D1009" t="s">
        <v>5600</v>
      </c>
      <c r="E1009" t="s">
        <v>4498</v>
      </c>
      <c r="F1009" s="23">
        <v>44751</v>
      </c>
      <c r="G1009" s="1">
        <v>9829</v>
      </c>
    </row>
    <row r="1010" spans="1:7">
      <c r="A1010" t="s">
        <v>5711</v>
      </c>
      <c r="B1010" t="s">
        <v>233</v>
      </c>
      <c r="C1010" t="s">
        <v>2279</v>
      </c>
      <c r="D1010" t="s">
        <v>2278</v>
      </c>
      <c r="E1010" t="s">
        <v>4499</v>
      </c>
      <c r="F1010" s="23">
        <v>44346</v>
      </c>
      <c r="G1010" s="1">
        <v>16531</v>
      </c>
    </row>
    <row r="1011" spans="1:7">
      <c r="A1011" t="s">
        <v>5711</v>
      </c>
      <c r="B1011" t="s">
        <v>311</v>
      </c>
      <c r="C1011" t="s">
        <v>2113</v>
      </c>
      <c r="D1011" t="s">
        <v>2112</v>
      </c>
      <c r="E1011" t="s">
        <v>4500</v>
      </c>
      <c r="F1011" s="23">
        <v>44431</v>
      </c>
      <c r="G1011" s="1">
        <v>2979</v>
      </c>
    </row>
    <row r="1012" spans="1:7">
      <c r="A1012" t="s">
        <v>5711</v>
      </c>
      <c r="B1012" t="s">
        <v>97</v>
      </c>
      <c r="C1012" t="s">
        <v>96</v>
      </c>
      <c r="D1012" t="s">
        <v>95</v>
      </c>
      <c r="E1012" t="s">
        <v>4501</v>
      </c>
      <c r="F1012" s="23">
        <v>44346</v>
      </c>
      <c r="G1012" s="1">
        <v>19489</v>
      </c>
    </row>
    <row r="1013" spans="1:7">
      <c r="A1013" t="s">
        <v>5711</v>
      </c>
      <c r="B1013" t="s">
        <v>311</v>
      </c>
      <c r="C1013" t="s">
        <v>310</v>
      </c>
      <c r="D1013" t="s">
        <v>2398</v>
      </c>
      <c r="E1013" t="s">
        <v>4502</v>
      </c>
      <c r="F1013" s="23">
        <v>44346</v>
      </c>
      <c r="G1013" s="1">
        <v>8609</v>
      </c>
    </row>
    <row r="1014" spans="1:7">
      <c r="A1014" t="s">
        <v>5711</v>
      </c>
      <c r="B1014" t="s">
        <v>106</v>
      </c>
      <c r="C1014" t="s">
        <v>2397</v>
      </c>
      <c r="D1014" t="s">
        <v>2396</v>
      </c>
      <c r="E1014" t="s">
        <v>4503</v>
      </c>
      <c r="F1014" s="23">
        <v>44922</v>
      </c>
      <c r="G1014" s="1">
        <v>6880</v>
      </c>
    </row>
    <row r="1015" spans="1:7">
      <c r="A1015" t="s">
        <v>5711</v>
      </c>
      <c r="B1015" t="s">
        <v>94</v>
      </c>
      <c r="C1015" t="s">
        <v>3485</v>
      </c>
      <c r="D1015" t="s">
        <v>620</v>
      </c>
      <c r="E1015" t="s">
        <v>4504</v>
      </c>
      <c r="F1015" s="23">
        <v>44346</v>
      </c>
      <c r="G1015" s="1">
        <v>16215</v>
      </c>
    </row>
    <row r="1016" spans="1:7">
      <c r="A1016" t="s">
        <v>5711</v>
      </c>
      <c r="B1016" t="s">
        <v>68</v>
      </c>
      <c r="C1016" t="s">
        <v>904</v>
      </c>
      <c r="D1016" t="s">
        <v>903</v>
      </c>
      <c r="E1016" t="s">
        <v>4505</v>
      </c>
      <c r="F1016" s="23">
        <v>44472</v>
      </c>
      <c r="G1016" s="1">
        <v>7574</v>
      </c>
    </row>
    <row r="1017" spans="1:7">
      <c r="A1017" t="s">
        <v>5711</v>
      </c>
      <c r="B1017" t="s">
        <v>233</v>
      </c>
      <c r="C1017" t="s">
        <v>2391</v>
      </c>
      <c r="D1017" t="s">
        <v>2390</v>
      </c>
      <c r="E1017" t="s">
        <v>4506</v>
      </c>
      <c r="F1017" s="23">
        <v>44871</v>
      </c>
      <c r="G1017" s="1">
        <v>7705</v>
      </c>
    </row>
    <row r="1018" spans="1:7">
      <c r="A1018" t="s">
        <v>5711</v>
      </c>
      <c r="B1018" t="s">
        <v>94</v>
      </c>
      <c r="C1018" t="s">
        <v>3490</v>
      </c>
      <c r="D1018" t="s">
        <v>484</v>
      </c>
      <c r="E1018" t="s">
        <v>4507</v>
      </c>
      <c r="F1018" s="23">
        <v>44465</v>
      </c>
      <c r="G1018" s="1">
        <v>863</v>
      </c>
    </row>
    <row r="1019" spans="1:7">
      <c r="A1019" t="s">
        <v>5711</v>
      </c>
      <c r="B1019" t="s">
        <v>106</v>
      </c>
      <c r="C1019" t="s">
        <v>2170</v>
      </c>
      <c r="D1019" t="s">
        <v>2169</v>
      </c>
      <c r="E1019" t="s">
        <v>4508</v>
      </c>
      <c r="F1019" s="23">
        <v>44346</v>
      </c>
      <c r="G1019" s="1">
        <v>15144</v>
      </c>
    </row>
    <row r="1020" spans="1:7">
      <c r="A1020" t="s">
        <v>5711</v>
      </c>
      <c r="B1020" t="s">
        <v>94</v>
      </c>
      <c r="C1020" t="s">
        <v>3488</v>
      </c>
      <c r="D1020" t="s">
        <v>5601</v>
      </c>
      <c r="E1020" t="s">
        <v>4509</v>
      </c>
      <c r="F1020" s="23">
        <v>44346</v>
      </c>
      <c r="G1020" s="1">
        <v>17683</v>
      </c>
    </row>
    <row r="1021" spans="1:7">
      <c r="A1021" t="s">
        <v>5711</v>
      </c>
      <c r="B1021" t="s">
        <v>94</v>
      </c>
      <c r="C1021" t="s">
        <v>1116</v>
      </c>
      <c r="D1021" t="s">
        <v>5602</v>
      </c>
      <c r="E1021" t="s">
        <v>4510</v>
      </c>
      <c r="F1021" s="23">
        <v>44459</v>
      </c>
      <c r="G1021" s="1">
        <v>1975</v>
      </c>
    </row>
    <row r="1022" spans="1:7">
      <c r="A1022" t="s">
        <v>5711</v>
      </c>
      <c r="B1022" t="s">
        <v>97</v>
      </c>
      <c r="C1022" t="s">
        <v>667</v>
      </c>
      <c r="D1022" t="s">
        <v>666</v>
      </c>
      <c r="E1022" t="s">
        <v>4511</v>
      </c>
      <c r="F1022" s="23">
        <v>44346</v>
      </c>
      <c r="G1022" s="1">
        <v>13528</v>
      </c>
    </row>
    <row r="1023" spans="1:7">
      <c r="A1023" t="s">
        <v>5711</v>
      </c>
      <c r="B1023" t="s">
        <v>94</v>
      </c>
      <c r="C1023" t="s">
        <v>355</v>
      </c>
      <c r="D1023" t="s">
        <v>354</v>
      </c>
      <c r="E1023" t="s">
        <v>4512</v>
      </c>
      <c r="F1023" s="23">
        <v>44851</v>
      </c>
      <c r="G1023" s="1">
        <v>11737</v>
      </c>
    </row>
    <row r="1024" spans="1:7">
      <c r="A1024" t="s">
        <v>5711</v>
      </c>
      <c r="B1024" t="s">
        <v>94</v>
      </c>
      <c r="C1024" t="s">
        <v>2066</v>
      </c>
      <c r="D1024" t="s">
        <v>2065</v>
      </c>
      <c r="E1024" t="s">
        <v>4513</v>
      </c>
      <c r="F1024" s="23">
        <v>44346</v>
      </c>
      <c r="G1024" s="1">
        <v>12753</v>
      </c>
    </row>
    <row r="1025" spans="1:7">
      <c r="A1025" t="s">
        <v>5711</v>
      </c>
      <c r="B1025" t="s">
        <v>132</v>
      </c>
      <c r="C1025" t="s">
        <v>1503</v>
      </c>
      <c r="D1025" t="s">
        <v>1502</v>
      </c>
      <c r="E1025" t="s">
        <v>4514</v>
      </c>
      <c r="F1025" s="23">
        <v>44346</v>
      </c>
      <c r="G1025" s="1">
        <v>13706</v>
      </c>
    </row>
    <row r="1026" spans="1:7">
      <c r="A1026" t="s">
        <v>5711</v>
      </c>
      <c r="B1026" t="s">
        <v>78</v>
      </c>
      <c r="C1026" t="s">
        <v>636</v>
      </c>
      <c r="D1026" t="s">
        <v>635</v>
      </c>
      <c r="E1026" t="s">
        <v>4515</v>
      </c>
      <c r="F1026" s="23">
        <v>44708</v>
      </c>
      <c r="G1026" s="1">
        <v>3507</v>
      </c>
    </row>
    <row r="1027" spans="1:7">
      <c r="A1027" t="s">
        <v>5711</v>
      </c>
      <c r="B1027" t="s">
        <v>208</v>
      </c>
      <c r="C1027" t="s">
        <v>1556</v>
      </c>
      <c r="D1027" t="s">
        <v>1555</v>
      </c>
      <c r="E1027" t="s">
        <v>4516</v>
      </c>
      <c r="F1027" s="23">
        <v>44346</v>
      </c>
      <c r="G1027" s="1">
        <v>18979</v>
      </c>
    </row>
    <row r="1028" spans="1:7">
      <c r="A1028" t="s">
        <v>5711</v>
      </c>
      <c r="B1028" t="s">
        <v>94</v>
      </c>
      <c r="C1028" t="s">
        <v>1860</v>
      </c>
      <c r="D1028" t="s">
        <v>1859</v>
      </c>
      <c r="E1028" t="s">
        <v>4517</v>
      </c>
      <c r="F1028" s="23">
        <v>44346</v>
      </c>
      <c r="G1028" s="1">
        <v>13219</v>
      </c>
    </row>
    <row r="1029" spans="1:7">
      <c r="A1029" t="s">
        <v>5711</v>
      </c>
      <c r="B1029" t="s">
        <v>94</v>
      </c>
      <c r="C1029" t="s">
        <v>3488</v>
      </c>
      <c r="D1029" t="s">
        <v>371</v>
      </c>
      <c r="E1029" t="s">
        <v>4518</v>
      </c>
      <c r="F1029" s="23">
        <v>45022</v>
      </c>
      <c r="G1029" s="1">
        <v>9037</v>
      </c>
    </row>
    <row r="1030" spans="1:7">
      <c r="A1030" t="s">
        <v>5711</v>
      </c>
      <c r="B1030" t="s">
        <v>94</v>
      </c>
      <c r="C1030" t="s">
        <v>2196</v>
      </c>
      <c r="D1030" t="s">
        <v>2195</v>
      </c>
      <c r="E1030" t="s">
        <v>4519</v>
      </c>
      <c r="F1030" s="23">
        <v>44346</v>
      </c>
      <c r="G1030" s="1">
        <v>7713</v>
      </c>
    </row>
    <row r="1031" spans="1:7">
      <c r="A1031" t="s">
        <v>5711</v>
      </c>
      <c r="B1031" t="s">
        <v>68</v>
      </c>
      <c r="C1031" t="s">
        <v>947</v>
      </c>
      <c r="D1031" t="s">
        <v>946</v>
      </c>
      <c r="E1031" t="s">
        <v>4520</v>
      </c>
      <c r="F1031" s="23">
        <v>44346</v>
      </c>
      <c r="G1031" s="1">
        <v>12061</v>
      </c>
    </row>
    <row r="1032" spans="1:7">
      <c r="A1032" t="s">
        <v>5711</v>
      </c>
      <c r="B1032" t="s">
        <v>94</v>
      </c>
      <c r="C1032" t="s">
        <v>3486</v>
      </c>
      <c r="D1032" t="s">
        <v>47</v>
      </c>
      <c r="E1032" t="s">
        <v>4521</v>
      </c>
      <c r="F1032" s="23">
        <v>44346</v>
      </c>
      <c r="G1032" s="1">
        <v>5350</v>
      </c>
    </row>
    <row r="1033" spans="1:7">
      <c r="A1033" t="s">
        <v>5711</v>
      </c>
      <c r="B1033" t="s">
        <v>106</v>
      </c>
      <c r="C1033" t="s">
        <v>3015</v>
      </c>
      <c r="D1033" t="s">
        <v>3014</v>
      </c>
      <c r="E1033" t="s">
        <v>4522</v>
      </c>
      <c r="F1033" s="23">
        <v>44346</v>
      </c>
      <c r="G1033" s="1">
        <v>19113</v>
      </c>
    </row>
    <row r="1034" spans="1:7">
      <c r="A1034" t="s">
        <v>5711</v>
      </c>
      <c r="B1034" t="s">
        <v>106</v>
      </c>
      <c r="C1034" t="s">
        <v>902</v>
      </c>
      <c r="D1034" t="s">
        <v>901</v>
      </c>
      <c r="E1034" t="s">
        <v>4523</v>
      </c>
      <c r="F1034" s="23">
        <v>44346</v>
      </c>
      <c r="G1034" s="1">
        <v>14578</v>
      </c>
    </row>
    <row r="1035" spans="1:7">
      <c r="A1035" t="s">
        <v>5711</v>
      </c>
      <c r="B1035" t="s">
        <v>68</v>
      </c>
      <c r="C1035" t="s">
        <v>1164</v>
      </c>
      <c r="D1035" t="s">
        <v>1163</v>
      </c>
      <c r="E1035" t="s">
        <v>4524</v>
      </c>
      <c r="F1035" s="23">
        <v>44346</v>
      </c>
      <c r="G1035" s="1">
        <v>18691</v>
      </c>
    </row>
    <row r="1036" spans="1:7">
      <c r="A1036" t="s">
        <v>5711</v>
      </c>
      <c r="B1036" t="s">
        <v>94</v>
      </c>
      <c r="C1036" t="s">
        <v>2949</v>
      </c>
      <c r="D1036" t="s">
        <v>2948</v>
      </c>
      <c r="E1036" t="s">
        <v>4525</v>
      </c>
      <c r="F1036" s="23">
        <v>44346</v>
      </c>
      <c r="G1036" s="1">
        <v>12620</v>
      </c>
    </row>
    <row r="1037" spans="1:7">
      <c r="A1037" t="s">
        <v>5711</v>
      </c>
      <c r="B1037" t="s">
        <v>208</v>
      </c>
      <c r="C1037" t="s">
        <v>1137</v>
      </c>
      <c r="D1037" t="s">
        <v>1136</v>
      </c>
      <c r="E1037" t="s">
        <v>4526</v>
      </c>
      <c r="F1037" s="23">
        <v>44888</v>
      </c>
      <c r="G1037" s="1">
        <v>9744</v>
      </c>
    </row>
    <row r="1038" spans="1:7">
      <c r="A1038" t="s">
        <v>5711</v>
      </c>
      <c r="B1038" t="s">
        <v>106</v>
      </c>
      <c r="C1038" t="s">
        <v>1956</v>
      </c>
      <c r="D1038" t="s">
        <v>1955</v>
      </c>
      <c r="E1038" t="s">
        <v>4527</v>
      </c>
      <c r="F1038" s="23">
        <v>44346</v>
      </c>
      <c r="G1038" s="1">
        <v>15573</v>
      </c>
    </row>
    <row r="1039" spans="1:7">
      <c r="A1039" t="s">
        <v>5711</v>
      </c>
      <c r="B1039" t="s">
        <v>94</v>
      </c>
      <c r="C1039" t="s">
        <v>2582</v>
      </c>
      <c r="D1039" t="s">
        <v>2581</v>
      </c>
      <c r="E1039" t="s">
        <v>4528</v>
      </c>
      <c r="F1039" s="23">
        <v>44592</v>
      </c>
      <c r="G1039" s="1">
        <v>4904</v>
      </c>
    </row>
    <row r="1040" spans="1:7">
      <c r="A1040" t="s">
        <v>5711</v>
      </c>
      <c r="B1040" t="s">
        <v>43</v>
      </c>
      <c r="C1040" t="s">
        <v>1659</v>
      </c>
      <c r="D1040" t="s">
        <v>1658</v>
      </c>
      <c r="E1040" t="s">
        <v>4529</v>
      </c>
      <c r="F1040" s="23">
        <v>44503</v>
      </c>
      <c r="G1040" s="1">
        <v>7876</v>
      </c>
    </row>
    <row r="1041" spans="1:7">
      <c r="A1041" t="s">
        <v>5711</v>
      </c>
      <c r="B1041" t="s">
        <v>94</v>
      </c>
      <c r="C1041" t="s">
        <v>1306</v>
      </c>
      <c r="D1041" t="s">
        <v>1305</v>
      </c>
      <c r="E1041" t="s">
        <v>4530</v>
      </c>
      <c r="F1041" s="23">
        <v>44346</v>
      </c>
      <c r="G1041" s="1">
        <v>11392</v>
      </c>
    </row>
    <row r="1042" spans="1:7">
      <c r="A1042" t="s">
        <v>5711</v>
      </c>
      <c r="B1042" t="s">
        <v>1095</v>
      </c>
      <c r="C1042" t="s">
        <v>1094</v>
      </c>
      <c r="D1042" t="s">
        <v>1093</v>
      </c>
      <c r="E1042" t="s">
        <v>4531</v>
      </c>
      <c r="F1042" s="23">
        <v>44346</v>
      </c>
      <c r="G1042" s="1">
        <v>3291</v>
      </c>
    </row>
    <row r="1043" spans="1:7">
      <c r="A1043" t="s">
        <v>5711</v>
      </c>
      <c r="B1043" t="s">
        <v>37</v>
      </c>
      <c r="C1043" t="s">
        <v>634</v>
      </c>
      <c r="D1043" t="s">
        <v>633</v>
      </c>
      <c r="E1043" t="s">
        <v>4532</v>
      </c>
      <c r="F1043" s="23">
        <v>44346</v>
      </c>
      <c r="G1043" s="1">
        <v>4309</v>
      </c>
    </row>
    <row r="1044" spans="1:7">
      <c r="A1044" t="s">
        <v>5711</v>
      </c>
      <c r="B1044" t="s">
        <v>94</v>
      </c>
      <c r="C1044" t="s">
        <v>3023</v>
      </c>
      <c r="D1044" t="s">
        <v>3022</v>
      </c>
      <c r="E1044" t="s">
        <v>4533</v>
      </c>
      <c r="F1044" s="23">
        <v>44346</v>
      </c>
      <c r="G1044" s="1">
        <v>10398</v>
      </c>
    </row>
    <row r="1045" spans="1:7">
      <c r="A1045" t="s">
        <v>5711</v>
      </c>
      <c r="B1045" t="s">
        <v>94</v>
      </c>
      <c r="C1045" t="s">
        <v>2573</v>
      </c>
      <c r="D1045" t="s">
        <v>2572</v>
      </c>
      <c r="E1045" t="s">
        <v>4534</v>
      </c>
      <c r="F1045" s="23">
        <v>44346</v>
      </c>
      <c r="G1045" s="1">
        <v>3391</v>
      </c>
    </row>
    <row r="1046" spans="1:7">
      <c r="A1046" t="s">
        <v>5711</v>
      </c>
      <c r="B1046" t="s">
        <v>311</v>
      </c>
      <c r="C1046" t="s">
        <v>3069</v>
      </c>
      <c r="D1046" t="s">
        <v>3068</v>
      </c>
      <c r="E1046" t="s">
        <v>4535</v>
      </c>
      <c r="F1046" s="23">
        <v>44395</v>
      </c>
      <c r="G1046" s="1">
        <v>3358</v>
      </c>
    </row>
    <row r="1047" spans="1:7">
      <c r="A1047" t="s">
        <v>5711</v>
      </c>
      <c r="B1047" t="s">
        <v>106</v>
      </c>
      <c r="C1047" t="s">
        <v>2006</v>
      </c>
      <c r="D1047" t="s">
        <v>5603</v>
      </c>
      <c r="E1047" t="s">
        <v>4536</v>
      </c>
      <c r="F1047" s="23">
        <v>44498</v>
      </c>
      <c r="G1047" s="1">
        <v>5252</v>
      </c>
    </row>
    <row r="1048" spans="1:7">
      <c r="A1048" t="s">
        <v>5711</v>
      </c>
      <c r="B1048" t="s">
        <v>106</v>
      </c>
      <c r="C1048" t="s">
        <v>3350</v>
      </c>
      <c r="D1048" t="s">
        <v>3349</v>
      </c>
      <c r="E1048" t="s">
        <v>4537</v>
      </c>
      <c r="F1048" s="23">
        <v>44650</v>
      </c>
      <c r="G1048" s="1">
        <v>2770</v>
      </c>
    </row>
    <row r="1049" spans="1:7">
      <c r="A1049" t="s">
        <v>5711</v>
      </c>
      <c r="B1049" t="s">
        <v>94</v>
      </c>
      <c r="C1049" t="s">
        <v>3019</v>
      </c>
      <c r="D1049" t="s">
        <v>3018</v>
      </c>
      <c r="E1049" t="s">
        <v>4538</v>
      </c>
      <c r="F1049" s="23">
        <v>44544</v>
      </c>
      <c r="G1049" s="1">
        <v>3185</v>
      </c>
    </row>
    <row r="1050" spans="1:7">
      <c r="A1050" t="s">
        <v>5711</v>
      </c>
      <c r="B1050" t="s">
        <v>298</v>
      </c>
      <c r="C1050" t="s">
        <v>2358</v>
      </c>
      <c r="D1050" t="s">
        <v>2357</v>
      </c>
      <c r="E1050" t="s">
        <v>4539</v>
      </c>
      <c r="F1050" s="23">
        <v>44346</v>
      </c>
      <c r="G1050" s="1">
        <v>19827</v>
      </c>
    </row>
    <row r="1051" spans="1:7">
      <c r="A1051" t="s">
        <v>5711</v>
      </c>
      <c r="B1051" t="s">
        <v>94</v>
      </c>
      <c r="C1051" t="s">
        <v>2529</v>
      </c>
      <c r="D1051" t="s">
        <v>2528</v>
      </c>
      <c r="E1051" t="s">
        <v>4540</v>
      </c>
      <c r="F1051" s="23">
        <v>44346</v>
      </c>
      <c r="G1051" s="1">
        <v>17030</v>
      </c>
    </row>
    <row r="1052" spans="1:7">
      <c r="A1052" t="s">
        <v>5711</v>
      </c>
      <c r="B1052" t="s">
        <v>298</v>
      </c>
      <c r="C1052" t="s">
        <v>1885</v>
      </c>
      <c r="D1052" t="s">
        <v>2406</v>
      </c>
      <c r="E1052" t="s">
        <v>4541</v>
      </c>
      <c r="F1052" s="23">
        <v>44769</v>
      </c>
      <c r="G1052" s="1">
        <v>1906</v>
      </c>
    </row>
    <row r="1053" spans="1:7">
      <c r="A1053" t="s">
        <v>5711</v>
      </c>
      <c r="B1053" t="s">
        <v>1074</v>
      </c>
      <c r="C1053" t="s">
        <v>1073</v>
      </c>
      <c r="D1053" t="s">
        <v>5604</v>
      </c>
      <c r="E1053" t="s">
        <v>4542</v>
      </c>
      <c r="F1053" s="23">
        <v>44346</v>
      </c>
      <c r="G1053" s="1">
        <v>9564</v>
      </c>
    </row>
    <row r="1054" spans="1:7">
      <c r="A1054" t="s">
        <v>5711</v>
      </c>
      <c r="B1054" t="s">
        <v>298</v>
      </c>
      <c r="C1054" t="s">
        <v>365</v>
      </c>
      <c r="D1054" t="s">
        <v>2381</v>
      </c>
      <c r="E1054" t="s">
        <v>4543</v>
      </c>
      <c r="F1054" s="23">
        <v>44675</v>
      </c>
      <c r="G1054" s="1">
        <v>6349</v>
      </c>
    </row>
    <row r="1055" spans="1:7">
      <c r="A1055" t="s">
        <v>5711</v>
      </c>
      <c r="B1055" t="s">
        <v>94</v>
      </c>
      <c r="C1055" t="s">
        <v>3092</v>
      </c>
      <c r="D1055" t="s">
        <v>3091</v>
      </c>
      <c r="E1055" t="s">
        <v>4544</v>
      </c>
      <c r="F1055" s="23">
        <v>44346</v>
      </c>
      <c r="G1055" s="1">
        <v>18808</v>
      </c>
    </row>
    <row r="1056" spans="1:7">
      <c r="A1056" t="s">
        <v>5711</v>
      </c>
      <c r="B1056" t="s">
        <v>311</v>
      </c>
      <c r="C1056" t="s">
        <v>492</v>
      </c>
      <c r="D1056" t="s">
        <v>491</v>
      </c>
      <c r="E1056" t="s">
        <v>4545</v>
      </c>
      <c r="F1056" s="23">
        <v>44346</v>
      </c>
      <c r="G1056" s="1">
        <v>18483</v>
      </c>
    </row>
    <row r="1057" spans="1:7">
      <c r="A1057" t="s">
        <v>5711</v>
      </c>
      <c r="B1057" t="s">
        <v>311</v>
      </c>
      <c r="C1057" t="s">
        <v>3415</v>
      </c>
      <c r="D1057" t="s">
        <v>3414</v>
      </c>
      <c r="E1057" t="s">
        <v>4546</v>
      </c>
      <c r="F1057" s="23">
        <v>44692</v>
      </c>
      <c r="G1057" s="1">
        <v>5124</v>
      </c>
    </row>
    <row r="1058" spans="1:7">
      <c r="A1058" t="s">
        <v>5711</v>
      </c>
      <c r="B1058" t="s">
        <v>94</v>
      </c>
      <c r="C1058" t="s">
        <v>2632</v>
      </c>
      <c r="D1058" t="s">
        <v>2631</v>
      </c>
      <c r="E1058" t="s">
        <v>4547</v>
      </c>
      <c r="F1058" s="23">
        <v>44346</v>
      </c>
      <c r="G1058" s="1">
        <v>19687</v>
      </c>
    </row>
    <row r="1059" spans="1:7">
      <c r="A1059" t="s">
        <v>5711</v>
      </c>
      <c r="B1059" t="s">
        <v>1223</v>
      </c>
      <c r="C1059" t="s">
        <v>3419</v>
      </c>
      <c r="D1059" t="s">
        <v>3418</v>
      </c>
      <c r="E1059" t="s">
        <v>4548</v>
      </c>
      <c r="F1059" s="23">
        <v>44446</v>
      </c>
      <c r="G1059" s="1">
        <v>8563</v>
      </c>
    </row>
    <row r="1060" spans="1:7">
      <c r="A1060" t="s">
        <v>5711</v>
      </c>
      <c r="B1060" t="s">
        <v>106</v>
      </c>
      <c r="C1060" t="s">
        <v>2933</v>
      </c>
      <c r="D1060" t="s">
        <v>2932</v>
      </c>
      <c r="E1060" t="s">
        <v>4549</v>
      </c>
      <c r="F1060" s="23">
        <v>44346</v>
      </c>
      <c r="G1060" s="1">
        <v>6524</v>
      </c>
    </row>
    <row r="1061" spans="1:7">
      <c r="A1061" t="s">
        <v>5711</v>
      </c>
      <c r="B1061" t="s">
        <v>68</v>
      </c>
      <c r="C1061" t="s">
        <v>1506</v>
      </c>
      <c r="D1061" t="s">
        <v>1505</v>
      </c>
      <c r="E1061" t="s">
        <v>4550</v>
      </c>
      <c r="F1061" s="23">
        <v>44346</v>
      </c>
      <c r="G1061" s="1">
        <v>16279</v>
      </c>
    </row>
    <row r="1062" spans="1:7">
      <c r="A1062" t="s">
        <v>5711</v>
      </c>
      <c r="B1062" t="s">
        <v>106</v>
      </c>
      <c r="C1062" t="s">
        <v>2840</v>
      </c>
      <c r="D1062" t="s">
        <v>2839</v>
      </c>
      <c r="E1062" t="s">
        <v>4551</v>
      </c>
      <c r="F1062" s="23">
        <v>44346</v>
      </c>
      <c r="G1062" s="1">
        <v>2682</v>
      </c>
    </row>
    <row r="1063" spans="1:7">
      <c r="A1063" t="s">
        <v>5711</v>
      </c>
      <c r="B1063" t="s">
        <v>94</v>
      </c>
      <c r="C1063" t="s">
        <v>2437</v>
      </c>
      <c r="D1063" t="s">
        <v>2436</v>
      </c>
      <c r="E1063" t="s">
        <v>4552</v>
      </c>
      <c r="F1063" s="23">
        <v>44346</v>
      </c>
      <c r="G1063" s="1">
        <v>12014</v>
      </c>
    </row>
    <row r="1064" spans="1:7">
      <c r="A1064" t="s">
        <v>5711</v>
      </c>
      <c r="B1064" t="s">
        <v>94</v>
      </c>
      <c r="C1064" t="s">
        <v>2238</v>
      </c>
      <c r="D1064" t="s">
        <v>2237</v>
      </c>
      <c r="E1064" t="s">
        <v>4553</v>
      </c>
      <c r="F1064" s="23">
        <v>44346</v>
      </c>
      <c r="G1064" s="1">
        <v>15550</v>
      </c>
    </row>
    <row r="1065" spans="1:7">
      <c r="A1065" t="s">
        <v>5711</v>
      </c>
      <c r="B1065" t="s">
        <v>94</v>
      </c>
      <c r="C1065" t="s">
        <v>2769</v>
      </c>
      <c r="D1065" t="s">
        <v>2768</v>
      </c>
      <c r="E1065" t="s">
        <v>4554</v>
      </c>
      <c r="F1065" s="23">
        <v>44346</v>
      </c>
      <c r="G1065" s="1">
        <v>19848</v>
      </c>
    </row>
    <row r="1066" spans="1:7">
      <c r="A1066" t="s">
        <v>5711</v>
      </c>
      <c r="B1066" t="s">
        <v>94</v>
      </c>
      <c r="C1066" t="s">
        <v>3464</v>
      </c>
      <c r="D1066" t="s">
        <v>3463</v>
      </c>
      <c r="E1066" t="s">
        <v>4555</v>
      </c>
      <c r="F1066" s="23">
        <v>44832</v>
      </c>
      <c r="G1066" s="1">
        <v>6144</v>
      </c>
    </row>
    <row r="1067" spans="1:7">
      <c r="A1067" t="s">
        <v>5711</v>
      </c>
      <c r="B1067" t="s">
        <v>311</v>
      </c>
      <c r="C1067" t="s">
        <v>2478</v>
      </c>
      <c r="D1067" t="s">
        <v>2477</v>
      </c>
      <c r="E1067" t="s">
        <v>4556</v>
      </c>
      <c r="F1067" s="23">
        <v>44370</v>
      </c>
      <c r="G1067" s="1">
        <v>6148</v>
      </c>
    </row>
    <row r="1068" spans="1:7">
      <c r="A1068" t="s">
        <v>5711</v>
      </c>
      <c r="B1068" t="s">
        <v>135</v>
      </c>
      <c r="C1068" t="s">
        <v>1730</v>
      </c>
      <c r="D1068" t="s">
        <v>1729</v>
      </c>
      <c r="E1068" t="s">
        <v>4557</v>
      </c>
      <c r="F1068" s="23">
        <v>44750</v>
      </c>
      <c r="G1068" s="1">
        <v>7734</v>
      </c>
    </row>
    <row r="1069" spans="1:7">
      <c r="A1069" t="s">
        <v>5711</v>
      </c>
      <c r="B1069" t="s">
        <v>311</v>
      </c>
      <c r="C1069" t="s">
        <v>1994</v>
      </c>
      <c r="D1069" t="s">
        <v>1993</v>
      </c>
      <c r="E1069" t="s">
        <v>4558</v>
      </c>
      <c r="F1069" s="23">
        <v>44346</v>
      </c>
      <c r="G1069" s="1">
        <v>13580</v>
      </c>
    </row>
    <row r="1070" spans="1:7">
      <c r="A1070" t="s">
        <v>5711</v>
      </c>
      <c r="B1070" t="s">
        <v>85</v>
      </c>
      <c r="C1070" t="s">
        <v>1592</v>
      </c>
      <c r="D1070" t="s">
        <v>1591</v>
      </c>
      <c r="E1070" t="s">
        <v>4559</v>
      </c>
      <c r="F1070" s="23">
        <v>44711</v>
      </c>
      <c r="G1070" s="1">
        <v>2235</v>
      </c>
    </row>
    <row r="1071" spans="1:7">
      <c r="A1071" t="s">
        <v>5711</v>
      </c>
      <c r="B1071" t="s">
        <v>94</v>
      </c>
      <c r="C1071" t="s">
        <v>3486</v>
      </c>
      <c r="D1071" t="s">
        <v>915</v>
      </c>
      <c r="E1071" t="s">
        <v>4560</v>
      </c>
      <c r="F1071" s="23">
        <v>44346</v>
      </c>
      <c r="G1071" s="1">
        <v>19502</v>
      </c>
    </row>
    <row r="1072" spans="1:7">
      <c r="A1072" t="s">
        <v>5711</v>
      </c>
      <c r="B1072" t="s">
        <v>94</v>
      </c>
      <c r="C1072" t="s">
        <v>3486</v>
      </c>
      <c r="D1072" t="s">
        <v>285</v>
      </c>
      <c r="E1072" t="s">
        <v>4561</v>
      </c>
      <c r="F1072" s="23">
        <v>44946</v>
      </c>
      <c r="G1072" s="1">
        <v>9759</v>
      </c>
    </row>
    <row r="1073" spans="1:7">
      <c r="A1073" t="s">
        <v>5711</v>
      </c>
      <c r="B1073" t="s">
        <v>101</v>
      </c>
      <c r="C1073" t="s">
        <v>100</v>
      </c>
      <c r="D1073" t="s">
        <v>99</v>
      </c>
      <c r="E1073" t="s">
        <v>4562</v>
      </c>
      <c r="F1073" s="23">
        <v>44346</v>
      </c>
      <c r="G1073" s="1">
        <v>13090</v>
      </c>
    </row>
    <row r="1074" spans="1:7">
      <c r="A1074" t="s">
        <v>5711</v>
      </c>
      <c r="B1074" t="s">
        <v>85</v>
      </c>
      <c r="C1074" t="s">
        <v>1642</v>
      </c>
      <c r="D1074" t="s">
        <v>1641</v>
      </c>
      <c r="E1074" t="s">
        <v>4563</v>
      </c>
      <c r="F1074" s="23">
        <v>44346</v>
      </c>
      <c r="G1074" s="1">
        <v>16856</v>
      </c>
    </row>
    <row r="1075" spans="1:7">
      <c r="A1075" t="s">
        <v>5711</v>
      </c>
      <c r="B1075" t="s">
        <v>37</v>
      </c>
      <c r="C1075" t="s">
        <v>612</v>
      </c>
      <c r="D1075" t="s">
        <v>611</v>
      </c>
      <c r="E1075" t="s">
        <v>4564</v>
      </c>
      <c r="F1075" s="23">
        <v>44346</v>
      </c>
      <c r="G1075" s="1">
        <v>12654</v>
      </c>
    </row>
    <row r="1076" spans="1:7">
      <c r="A1076" t="s">
        <v>5711</v>
      </c>
      <c r="B1076" t="s">
        <v>78</v>
      </c>
      <c r="C1076" t="s">
        <v>869</v>
      </c>
      <c r="D1076" t="s">
        <v>5605</v>
      </c>
      <c r="E1076" t="s">
        <v>4565</v>
      </c>
      <c r="F1076" s="23">
        <v>44346</v>
      </c>
      <c r="G1076" s="1">
        <v>15922</v>
      </c>
    </row>
    <row r="1077" spans="1:7">
      <c r="A1077" t="s">
        <v>5711</v>
      </c>
      <c r="B1077" t="s">
        <v>94</v>
      </c>
      <c r="C1077" t="s">
        <v>3490</v>
      </c>
      <c r="D1077" t="s">
        <v>338</v>
      </c>
      <c r="E1077" t="s">
        <v>4566</v>
      </c>
      <c r="F1077" s="23">
        <v>44346</v>
      </c>
      <c r="G1077" s="1">
        <v>6168</v>
      </c>
    </row>
    <row r="1078" spans="1:7">
      <c r="A1078" t="s">
        <v>5711</v>
      </c>
      <c r="B1078" t="s">
        <v>122</v>
      </c>
      <c r="C1078" t="s">
        <v>451</v>
      </c>
      <c r="D1078" t="s">
        <v>450</v>
      </c>
      <c r="E1078" t="s">
        <v>4567</v>
      </c>
      <c r="F1078" s="23">
        <v>44346</v>
      </c>
      <c r="G1078" s="1">
        <v>18436</v>
      </c>
    </row>
    <row r="1079" spans="1:7">
      <c r="A1079" t="s">
        <v>5711</v>
      </c>
      <c r="B1079" t="s">
        <v>94</v>
      </c>
      <c r="C1079" t="s">
        <v>2446</v>
      </c>
      <c r="D1079" t="s">
        <v>3402</v>
      </c>
      <c r="E1079" t="s">
        <v>4568</v>
      </c>
      <c r="F1079" s="23">
        <v>44346</v>
      </c>
      <c r="G1079" s="1">
        <v>17830</v>
      </c>
    </row>
    <row r="1080" spans="1:7">
      <c r="A1080" t="s">
        <v>5711</v>
      </c>
      <c r="B1080" t="s">
        <v>298</v>
      </c>
      <c r="C1080" t="s">
        <v>2081</v>
      </c>
      <c r="D1080" t="s">
        <v>2080</v>
      </c>
      <c r="E1080" t="s">
        <v>4569</v>
      </c>
      <c r="F1080" s="23">
        <v>44346</v>
      </c>
      <c r="G1080" s="1">
        <v>16981</v>
      </c>
    </row>
    <row r="1081" spans="1:7">
      <c r="A1081" t="s">
        <v>5711</v>
      </c>
      <c r="B1081" t="s">
        <v>94</v>
      </c>
      <c r="C1081" t="s">
        <v>2311</v>
      </c>
      <c r="D1081" t="s">
        <v>2310</v>
      </c>
      <c r="E1081" t="s">
        <v>4570</v>
      </c>
      <c r="F1081" s="23">
        <v>44424</v>
      </c>
      <c r="G1081" s="1">
        <v>3097</v>
      </c>
    </row>
    <row r="1082" spans="1:7">
      <c r="A1082" t="s">
        <v>5711</v>
      </c>
      <c r="B1082" t="s">
        <v>298</v>
      </c>
      <c r="C1082" t="s">
        <v>2281</v>
      </c>
      <c r="D1082" t="s">
        <v>2280</v>
      </c>
      <c r="E1082" t="s">
        <v>4571</v>
      </c>
      <c r="F1082" s="23">
        <v>44346</v>
      </c>
      <c r="G1082" s="1">
        <v>9037</v>
      </c>
    </row>
    <row r="1083" spans="1:7">
      <c r="A1083" t="s">
        <v>5711</v>
      </c>
      <c r="B1083" t="s">
        <v>94</v>
      </c>
      <c r="C1083" t="s">
        <v>2233</v>
      </c>
      <c r="D1083" t="s">
        <v>2232</v>
      </c>
      <c r="E1083" t="s">
        <v>4572</v>
      </c>
      <c r="F1083" s="23">
        <v>44346</v>
      </c>
      <c r="G1083" s="1">
        <v>12419</v>
      </c>
    </row>
    <row r="1084" spans="1:7">
      <c r="A1084" t="s">
        <v>5711</v>
      </c>
      <c r="B1084" t="s">
        <v>94</v>
      </c>
      <c r="C1084" t="s">
        <v>2718</v>
      </c>
      <c r="D1084" t="s">
        <v>2792</v>
      </c>
      <c r="E1084" t="s">
        <v>4573</v>
      </c>
      <c r="F1084" s="23">
        <v>44346</v>
      </c>
      <c r="G1084" s="1">
        <v>19251</v>
      </c>
    </row>
    <row r="1085" spans="1:7">
      <c r="A1085" t="s">
        <v>5711</v>
      </c>
      <c r="B1085" t="s">
        <v>233</v>
      </c>
      <c r="C1085" t="s">
        <v>3237</v>
      </c>
      <c r="D1085" t="s">
        <v>3236</v>
      </c>
      <c r="E1085" t="s">
        <v>4574</v>
      </c>
      <c r="F1085" s="23">
        <v>44742</v>
      </c>
      <c r="G1085" s="1">
        <v>6052</v>
      </c>
    </row>
    <row r="1086" spans="1:7">
      <c r="A1086" t="s">
        <v>5711</v>
      </c>
      <c r="B1086" t="s">
        <v>94</v>
      </c>
      <c r="C1086" t="s">
        <v>3486</v>
      </c>
      <c r="D1086" t="s">
        <v>1748</v>
      </c>
      <c r="E1086" t="s">
        <v>4575</v>
      </c>
      <c r="F1086" s="23">
        <v>44346</v>
      </c>
      <c r="G1086" s="1">
        <v>8326</v>
      </c>
    </row>
    <row r="1087" spans="1:7">
      <c r="A1087" t="s">
        <v>5711</v>
      </c>
      <c r="B1087" t="s">
        <v>298</v>
      </c>
      <c r="C1087" t="s">
        <v>3045</v>
      </c>
      <c r="D1087" t="s">
        <v>3044</v>
      </c>
      <c r="E1087" t="s">
        <v>4576</v>
      </c>
      <c r="F1087" s="23">
        <v>44349</v>
      </c>
      <c r="G1087" s="1">
        <v>3097</v>
      </c>
    </row>
    <row r="1088" spans="1:7">
      <c r="A1088" t="s">
        <v>5711</v>
      </c>
      <c r="B1088" t="s">
        <v>1345</v>
      </c>
      <c r="C1088" t="s">
        <v>1344</v>
      </c>
      <c r="D1088" t="s">
        <v>1343</v>
      </c>
      <c r="E1088" t="s">
        <v>4577</v>
      </c>
      <c r="F1088" s="23">
        <v>44346</v>
      </c>
      <c r="G1088" s="1">
        <v>19319</v>
      </c>
    </row>
    <row r="1089" spans="1:7">
      <c r="A1089" t="s">
        <v>5711</v>
      </c>
      <c r="B1089" t="s">
        <v>94</v>
      </c>
      <c r="C1089" t="s">
        <v>266</v>
      </c>
      <c r="D1089" t="s">
        <v>2447</v>
      </c>
      <c r="E1089" t="s">
        <v>4578</v>
      </c>
      <c r="F1089" s="23">
        <v>45009</v>
      </c>
      <c r="G1089" s="1">
        <v>4035</v>
      </c>
    </row>
    <row r="1090" spans="1:7">
      <c r="A1090" t="s">
        <v>5711</v>
      </c>
      <c r="B1090" t="s">
        <v>61</v>
      </c>
      <c r="C1090" t="s">
        <v>1826</v>
      </c>
      <c r="D1090" t="s">
        <v>1825</v>
      </c>
      <c r="E1090" t="s">
        <v>4579</v>
      </c>
      <c r="F1090" s="23">
        <v>44346</v>
      </c>
      <c r="G1090" s="1">
        <v>17203</v>
      </c>
    </row>
    <row r="1091" spans="1:7">
      <c r="A1091" t="s">
        <v>5711</v>
      </c>
      <c r="B1091" t="s">
        <v>298</v>
      </c>
      <c r="C1091" t="s">
        <v>2082</v>
      </c>
      <c r="D1091" t="s">
        <v>2219</v>
      </c>
      <c r="E1091" t="s">
        <v>4580</v>
      </c>
      <c r="F1091" s="23">
        <v>44992</v>
      </c>
      <c r="G1091" s="1">
        <v>2674</v>
      </c>
    </row>
    <row r="1092" spans="1:7">
      <c r="A1092" t="s">
        <v>5711</v>
      </c>
      <c r="B1092" t="s">
        <v>94</v>
      </c>
      <c r="C1092" t="s">
        <v>3486</v>
      </c>
      <c r="D1092" t="s">
        <v>1820</v>
      </c>
      <c r="E1092" t="s">
        <v>4581</v>
      </c>
      <c r="F1092" s="23">
        <v>44648</v>
      </c>
      <c r="G1092" s="1">
        <v>2114</v>
      </c>
    </row>
    <row r="1093" spans="1:7">
      <c r="A1093" t="s">
        <v>5711</v>
      </c>
      <c r="B1093" t="s">
        <v>91</v>
      </c>
      <c r="C1093" t="s">
        <v>589</v>
      </c>
      <c r="D1093" t="s">
        <v>588</v>
      </c>
      <c r="E1093" t="s">
        <v>4582</v>
      </c>
      <c r="F1093" s="23">
        <v>44749</v>
      </c>
      <c r="G1093" s="1">
        <v>10707</v>
      </c>
    </row>
    <row r="1094" spans="1:7">
      <c r="A1094" t="s">
        <v>5711</v>
      </c>
      <c r="B1094" t="s">
        <v>426</v>
      </c>
      <c r="C1094" t="s">
        <v>1342</v>
      </c>
      <c r="D1094" t="s">
        <v>1341</v>
      </c>
      <c r="E1094" t="s">
        <v>4583</v>
      </c>
      <c r="F1094" s="23">
        <v>44346</v>
      </c>
      <c r="G1094" s="1">
        <v>7515</v>
      </c>
    </row>
    <row r="1095" spans="1:7">
      <c r="A1095" t="s">
        <v>5711</v>
      </c>
      <c r="B1095" t="s">
        <v>43</v>
      </c>
      <c r="C1095" t="s">
        <v>169</v>
      </c>
      <c r="D1095" t="s">
        <v>168</v>
      </c>
      <c r="E1095" t="s">
        <v>4584</v>
      </c>
      <c r="F1095" s="23">
        <v>44746</v>
      </c>
      <c r="G1095" s="1">
        <v>5700</v>
      </c>
    </row>
    <row r="1096" spans="1:7">
      <c r="A1096" t="s">
        <v>5711</v>
      </c>
      <c r="B1096" t="s">
        <v>303</v>
      </c>
      <c r="C1096" t="s">
        <v>522</v>
      </c>
      <c r="D1096" t="s">
        <v>521</v>
      </c>
      <c r="E1096" t="s">
        <v>4585</v>
      </c>
      <c r="F1096" s="23">
        <v>44899</v>
      </c>
      <c r="G1096" s="1">
        <v>10745</v>
      </c>
    </row>
    <row r="1097" spans="1:7">
      <c r="A1097" t="s">
        <v>5711</v>
      </c>
      <c r="B1097" t="s">
        <v>65</v>
      </c>
      <c r="C1097" t="s">
        <v>1439</v>
      </c>
      <c r="D1097" t="s">
        <v>1438</v>
      </c>
      <c r="E1097" t="s">
        <v>4586</v>
      </c>
      <c r="F1097" s="23">
        <v>44401</v>
      </c>
      <c r="G1097" s="1">
        <v>807</v>
      </c>
    </row>
    <row r="1098" spans="1:7">
      <c r="A1098" t="s">
        <v>5711</v>
      </c>
      <c r="B1098" t="s">
        <v>106</v>
      </c>
      <c r="C1098" t="s">
        <v>2775</v>
      </c>
      <c r="D1098" t="s">
        <v>2774</v>
      </c>
      <c r="E1098" t="s">
        <v>4587</v>
      </c>
      <c r="F1098" s="23">
        <v>44474</v>
      </c>
      <c r="G1098" s="1">
        <v>6531</v>
      </c>
    </row>
    <row r="1099" spans="1:7">
      <c r="A1099" t="s">
        <v>5711</v>
      </c>
      <c r="B1099" t="s">
        <v>896</v>
      </c>
      <c r="C1099" t="s">
        <v>993</v>
      </c>
      <c r="D1099" t="s">
        <v>992</v>
      </c>
      <c r="E1099" t="s">
        <v>4588</v>
      </c>
      <c r="F1099" s="23">
        <v>44797</v>
      </c>
      <c r="G1099" s="1">
        <v>8778</v>
      </c>
    </row>
    <row r="1100" spans="1:7">
      <c r="A1100" t="s">
        <v>5711</v>
      </c>
      <c r="B1100" t="s">
        <v>298</v>
      </c>
      <c r="C1100" t="s">
        <v>2161</v>
      </c>
      <c r="D1100" t="s">
        <v>2160</v>
      </c>
      <c r="E1100" t="s">
        <v>4589</v>
      </c>
      <c r="F1100" s="23">
        <v>44346</v>
      </c>
      <c r="G1100" s="1">
        <v>17395</v>
      </c>
    </row>
    <row r="1101" spans="1:7">
      <c r="A1101" t="s">
        <v>5711</v>
      </c>
      <c r="B1101" t="s">
        <v>43</v>
      </c>
      <c r="C1101" t="s">
        <v>639</v>
      </c>
      <c r="D1101" t="s">
        <v>5606</v>
      </c>
      <c r="E1101" t="s">
        <v>4590</v>
      </c>
      <c r="F1101" s="23">
        <v>44346</v>
      </c>
      <c r="G1101" s="1">
        <v>17253</v>
      </c>
    </row>
    <row r="1102" spans="1:7">
      <c r="A1102" t="s">
        <v>5711</v>
      </c>
      <c r="B1102" t="s">
        <v>298</v>
      </c>
      <c r="C1102" t="s">
        <v>297</v>
      </c>
      <c r="D1102" t="s">
        <v>2327</v>
      </c>
      <c r="E1102" t="s">
        <v>4591</v>
      </c>
      <c r="F1102" s="23">
        <v>44346</v>
      </c>
      <c r="G1102" s="1">
        <v>2320</v>
      </c>
    </row>
    <row r="1103" spans="1:7">
      <c r="A1103" t="s">
        <v>5711</v>
      </c>
      <c r="B1103" t="s">
        <v>97</v>
      </c>
      <c r="C1103" t="s">
        <v>802</v>
      </c>
      <c r="D1103" t="s">
        <v>801</v>
      </c>
      <c r="E1103" t="s">
        <v>4592</v>
      </c>
      <c r="F1103" s="23">
        <v>45063</v>
      </c>
      <c r="G1103" s="1">
        <v>10097</v>
      </c>
    </row>
    <row r="1104" spans="1:7">
      <c r="A1104" t="s">
        <v>5711</v>
      </c>
      <c r="B1104" t="s">
        <v>106</v>
      </c>
      <c r="C1104" t="s">
        <v>829</v>
      </c>
      <c r="D1104" t="s">
        <v>2145</v>
      </c>
      <c r="E1104" t="s">
        <v>4593</v>
      </c>
      <c r="F1104" s="23">
        <v>44476</v>
      </c>
      <c r="G1104" s="1">
        <v>11779</v>
      </c>
    </row>
    <row r="1105" spans="1:7">
      <c r="A1105" t="s">
        <v>5711</v>
      </c>
      <c r="B1105" t="s">
        <v>208</v>
      </c>
      <c r="C1105" t="s">
        <v>1759</v>
      </c>
      <c r="D1105" t="s">
        <v>1758</v>
      </c>
      <c r="E1105" t="s">
        <v>4594</v>
      </c>
      <c r="F1105" s="23">
        <v>44872</v>
      </c>
      <c r="G1105" s="1">
        <v>5407</v>
      </c>
    </row>
    <row r="1106" spans="1:7">
      <c r="A1106" t="s">
        <v>5711</v>
      </c>
      <c r="B1106" t="s">
        <v>94</v>
      </c>
      <c r="C1106" t="s">
        <v>2807</v>
      </c>
      <c r="D1106" t="s">
        <v>2806</v>
      </c>
      <c r="E1106" t="s">
        <v>4595</v>
      </c>
      <c r="F1106" s="23">
        <v>44810</v>
      </c>
      <c r="G1106" s="1">
        <v>10551</v>
      </c>
    </row>
    <row r="1107" spans="1:7">
      <c r="A1107" t="s">
        <v>5711</v>
      </c>
      <c r="B1107" t="s">
        <v>94</v>
      </c>
      <c r="C1107" t="s">
        <v>2881</v>
      </c>
      <c r="D1107" t="s">
        <v>2880</v>
      </c>
      <c r="E1107" t="s">
        <v>4596</v>
      </c>
      <c r="F1107" s="23">
        <v>44885</v>
      </c>
      <c r="G1107" s="1">
        <v>6337</v>
      </c>
    </row>
    <row r="1108" spans="1:7">
      <c r="A1108" t="s">
        <v>5711</v>
      </c>
      <c r="B1108" t="s">
        <v>106</v>
      </c>
      <c r="C1108" t="s">
        <v>2362</v>
      </c>
      <c r="D1108" t="s">
        <v>2654</v>
      </c>
      <c r="E1108" t="s">
        <v>4597</v>
      </c>
      <c r="F1108" s="23">
        <v>44579</v>
      </c>
      <c r="G1108" s="1">
        <v>11787</v>
      </c>
    </row>
    <row r="1109" spans="1:7">
      <c r="A1109" t="s">
        <v>5711</v>
      </c>
      <c r="B1109" t="s">
        <v>135</v>
      </c>
      <c r="C1109" t="s">
        <v>1813</v>
      </c>
      <c r="D1109" t="s">
        <v>5607</v>
      </c>
      <c r="E1109" t="s">
        <v>4598</v>
      </c>
      <c r="F1109" s="23">
        <v>44346</v>
      </c>
      <c r="G1109" s="1">
        <v>4583</v>
      </c>
    </row>
    <row r="1110" spans="1:7">
      <c r="A1110" t="s">
        <v>5711</v>
      </c>
      <c r="B1110" t="s">
        <v>94</v>
      </c>
      <c r="C1110" t="s">
        <v>743</v>
      </c>
      <c r="D1110" t="s">
        <v>742</v>
      </c>
      <c r="E1110" t="s">
        <v>4599</v>
      </c>
      <c r="F1110" s="23">
        <v>44902</v>
      </c>
      <c r="G1110" s="1">
        <v>11235</v>
      </c>
    </row>
    <row r="1111" spans="1:7">
      <c r="A1111" t="s">
        <v>5711</v>
      </c>
      <c r="B1111" t="s">
        <v>233</v>
      </c>
      <c r="C1111" t="s">
        <v>1892</v>
      </c>
      <c r="D1111" t="s">
        <v>5608</v>
      </c>
      <c r="E1111" t="s">
        <v>4600</v>
      </c>
      <c r="F1111" s="23">
        <v>44346</v>
      </c>
      <c r="G1111" s="1">
        <v>1412</v>
      </c>
    </row>
    <row r="1112" spans="1:7">
      <c r="A1112" t="s">
        <v>5711</v>
      </c>
      <c r="B1112" t="s">
        <v>46</v>
      </c>
      <c r="C1112" t="s">
        <v>1146</v>
      </c>
      <c r="D1112" t="s">
        <v>1145</v>
      </c>
      <c r="E1112" t="s">
        <v>4601</v>
      </c>
      <c r="F1112" s="23">
        <v>44346</v>
      </c>
      <c r="G1112" s="1">
        <v>14129</v>
      </c>
    </row>
    <row r="1113" spans="1:7">
      <c r="A1113" t="s">
        <v>5711</v>
      </c>
      <c r="B1113" t="s">
        <v>311</v>
      </c>
      <c r="C1113" t="s">
        <v>2984</v>
      </c>
      <c r="D1113" t="s">
        <v>2983</v>
      </c>
      <c r="E1113" t="s">
        <v>4602</v>
      </c>
      <c r="F1113" s="23">
        <v>44885</v>
      </c>
      <c r="G1113" s="1">
        <v>611</v>
      </c>
    </row>
    <row r="1114" spans="1:7">
      <c r="A1114" t="s">
        <v>5711</v>
      </c>
      <c r="B1114" t="s">
        <v>94</v>
      </c>
      <c r="C1114" t="s">
        <v>3488</v>
      </c>
      <c r="D1114" t="s">
        <v>776</v>
      </c>
      <c r="E1114" t="s">
        <v>4603</v>
      </c>
      <c r="F1114" s="23">
        <v>44982</v>
      </c>
      <c r="G1114" s="1">
        <v>7930</v>
      </c>
    </row>
    <row r="1115" spans="1:7">
      <c r="A1115" t="s">
        <v>5711</v>
      </c>
      <c r="B1115" t="s">
        <v>94</v>
      </c>
      <c r="C1115" t="s">
        <v>3490</v>
      </c>
      <c r="D1115" t="s">
        <v>341</v>
      </c>
      <c r="E1115" t="s">
        <v>4604</v>
      </c>
      <c r="F1115" s="23">
        <v>44346</v>
      </c>
      <c r="G1115" s="1">
        <v>15054</v>
      </c>
    </row>
    <row r="1116" spans="1:7">
      <c r="A1116" t="s">
        <v>5711</v>
      </c>
      <c r="B1116" t="s">
        <v>106</v>
      </c>
      <c r="C1116" t="s">
        <v>2012</v>
      </c>
      <c r="D1116" t="s">
        <v>2011</v>
      </c>
      <c r="E1116" t="s">
        <v>4605</v>
      </c>
      <c r="F1116" s="23">
        <v>44346</v>
      </c>
      <c r="G1116" s="1">
        <v>19594</v>
      </c>
    </row>
    <row r="1117" spans="1:7">
      <c r="A1117" t="s">
        <v>5711</v>
      </c>
      <c r="B1117" t="s">
        <v>233</v>
      </c>
      <c r="C1117" t="s">
        <v>2079</v>
      </c>
      <c r="D1117" t="s">
        <v>2078</v>
      </c>
      <c r="E1117" t="s">
        <v>4606</v>
      </c>
      <c r="F1117" s="23">
        <v>45033</v>
      </c>
      <c r="G1117" s="1">
        <v>3878</v>
      </c>
    </row>
    <row r="1118" spans="1:7">
      <c r="A1118" t="s">
        <v>5711</v>
      </c>
      <c r="B1118" t="s">
        <v>94</v>
      </c>
      <c r="C1118" t="s">
        <v>2050</v>
      </c>
      <c r="D1118" t="s">
        <v>2049</v>
      </c>
      <c r="E1118" t="s">
        <v>4607</v>
      </c>
      <c r="F1118" s="23">
        <v>44706</v>
      </c>
      <c r="G1118" s="1">
        <v>8188</v>
      </c>
    </row>
    <row r="1119" spans="1:7">
      <c r="A1119" t="s">
        <v>5711</v>
      </c>
      <c r="B1119" t="s">
        <v>43</v>
      </c>
      <c r="C1119" t="s">
        <v>970</v>
      </c>
      <c r="D1119" t="s">
        <v>969</v>
      </c>
      <c r="E1119" t="s">
        <v>4608</v>
      </c>
      <c r="F1119" s="23">
        <v>44807</v>
      </c>
      <c r="G1119" s="1">
        <v>9560</v>
      </c>
    </row>
    <row r="1120" spans="1:7">
      <c r="A1120" t="s">
        <v>5711</v>
      </c>
      <c r="B1120" t="s">
        <v>132</v>
      </c>
      <c r="C1120" t="s">
        <v>1723</v>
      </c>
      <c r="D1120" t="s">
        <v>1722</v>
      </c>
      <c r="E1120" t="s">
        <v>4609</v>
      </c>
      <c r="F1120" s="23">
        <v>44346</v>
      </c>
      <c r="G1120" s="1">
        <v>7609</v>
      </c>
    </row>
    <row r="1121" spans="1:7">
      <c r="A1121" t="s">
        <v>5711</v>
      </c>
      <c r="B1121" t="s">
        <v>43</v>
      </c>
      <c r="C1121" t="s">
        <v>906</v>
      </c>
      <c r="D1121" t="s">
        <v>905</v>
      </c>
      <c r="E1121" t="s">
        <v>4610</v>
      </c>
      <c r="F1121" s="23">
        <v>44346</v>
      </c>
      <c r="G1121" s="1">
        <v>12210</v>
      </c>
    </row>
    <row r="1122" spans="1:7">
      <c r="A1122" t="s">
        <v>5711</v>
      </c>
      <c r="B1122" t="s">
        <v>94</v>
      </c>
      <c r="C1122" t="s">
        <v>3487</v>
      </c>
      <c r="D1122" t="s">
        <v>137</v>
      </c>
      <c r="E1122" t="s">
        <v>4611</v>
      </c>
      <c r="F1122" s="23">
        <v>44909</v>
      </c>
      <c r="G1122" s="1">
        <v>9805</v>
      </c>
    </row>
    <row r="1123" spans="1:7">
      <c r="A1123" t="s">
        <v>5711</v>
      </c>
      <c r="B1123" t="s">
        <v>97</v>
      </c>
      <c r="C1123" t="s">
        <v>446</v>
      </c>
      <c r="D1123" t="s">
        <v>1002</v>
      </c>
      <c r="E1123" t="s">
        <v>4612</v>
      </c>
      <c r="F1123" s="23">
        <v>44346</v>
      </c>
      <c r="G1123" s="1">
        <v>1236</v>
      </c>
    </row>
    <row r="1124" spans="1:7">
      <c r="A1124" t="s">
        <v>5711</v>
      </c>
      <c r="B1124" t="s">
        <v>94</v>
      </c>
      <c r="C1124" t="s">
        <v>2259</v>
      </c>
      <c r="D1124" t="s">
        <v>2370</v>
      </c>
      <c r="E1124" t="s">
        <v>4613</v>
      </c>
      <c r="F1124" s="23">
        <v>44798</v>
      </c>
      <c r="G1124" s="1">
        <v>4260</v>
      </c>
    </row>
    <row r="1125" spans="1:7">
      <c r="A1125" t="s">
        <v>5711</v>
      </c>
      <c r="B1125" t="s">
        <v>891</v>
      </c>
      <c r="C1125" t="s">
        <v>890</v>
      </c>
      <c r="D1125" t="s">
        <v>889</v>
      </c>
      <c r="E1125" t="s">
        <v>4614</v>
      </c>
      <c r="F1125" s="23">
        <v>44346</v>
      </c>
      <c r="G1125" s="1">
        <v>16801</v>
      </c>
    </row>
    <row r="1126" spans="1:7">
      <c r="A1126" t="s">
        <v>5711</v>
      </c>
      <c r="B1126" t="s">
        <v>298</v>
      </c>
      <c r="C1126" t="s">
        <v>3393</v>
      </c>
      <c r="D1126" t="s">
        <v>3392</v>
      </c>
      <c r="E1126" t="s">
        <v>4615</v>
      </c>
      <c r="F1126" s="23">
        <v>44346</v>
      </c>
      <c r="G1126" s="1">
        <v>7215</v>
      </c>
    </row>
    <row r="1127" spans="1:7">
      <c r="A1127" t="s">
        <v>5711</v>
      </c>
      <c r="B1127" t="s">
        <v>1285</v>
      </c>
      <c r="C1127" t="s">
        <v>1284</v>
      </c>
      <c r="D1127" t="s">
        <v>1283</v>
      </c>
      <c r="E1127" t="s">
        <v>4616</v>
      </c>
      <c r="F1127" s="23">
        <v>44786</v>
      </c>
      <c r="G1127" s="1">
        <v>7212</v>
      </c>
    </row>
    <row r="1128" spans="1:7">
      <c r="A1128" t="s">
        <v>5711</v>
      </c>
      <c r="B1128" t="s">
        <v>174</v>
      </c>
      <c r="C1128" t="s">
        <v>420</v>
      </c>
      <c r="D1128" t="s">
        <v>419</v>
      </c>
      <c r="E1128" t="s">
        <v>4617</v>
      </c>
      <c r="F1128" s="23">
        <v>44486</v>
      </c>
      <c r="G1128" s="1">
        <v>6879</v>
      </c>
    </row>
    <row r="1129" spans="1:7">
      <c r="A1129" t="s">
        <v>5711</v>
      </c>
      <c r="B1129" t="s">
        <v>94</v>
      </c>
      <c r="C1129" t="s">
        <v>3326</v>
      </c>
      <c r="D1129" t="s">
        <v>3325</v>
      </c>
      <c r="E1129" t="s">
        <v>4618</v>
      </c>
      <c r="F1129" s="23">
        <v>44711</v>
      </c>
      <c r="G1129" s="1">
        <v>1016</v>
      </c>
    </row>
    <row r="1130" spans="1:7">
      <c r="A1130" t="s">
        <v>5711</v>
      </c>
      <c r="B1130" t="s">
        <v>311</v>
      </c>
      <c r="C1130" t="s">
        <v>3389</v>
      </c>
      <c r="D1130" t="s">
        <v>3453</v>
      </c>
      <c r="E1130" t="s">
        <v>4619</v>
      </c>
      <c r="F1130" s="23">
        <v>44346</v>
      </c>
      <c r="G1130" s="1">
        <v>11168</v>
      </c>
    </row>
    <row r="1131" spans="1:7">
      <c r="A1131" t="s">
        <v>5711</v>
      </c>
      <c r="B1131" t="s">
        <v>233</v>
      </c>
      <c r="C1131" t="s">
        <v>2090</v>
      </c>
      <c r="D1131" t="s">
        <v>2089</v>
      </c>
      <c r="E1131" t="s">
        <v>4620</v>
      </c>
      <c r="F1131" s="23">
        <v>44748</v>
      </c>
      <c r="G1131" s="1">
        <v>7587</v>
      </c>
    </row>
    <row r="1132" spans="1:7">
      <c r="A1132" t="s">
        <v>5711</v>
      </c>
      <c r="B1132" t="s">
        <v>37</v>
      </c>
      <c r="C1132" t="s">
        <v>805</v>
      </c>
      <c r="D1132" t="s">
        <v>804</v>
      </c>
      <c r="E1132" t="s">
        <v>4621</v>
      </c>
      <c r="F1132" s="23">
        <v>44346</v>
      </c>
      <c r="G1132" s="1">
        <v>17276</v>
      </c>
    </row>
    <row r="1133" spans="1:7">
      <c r="A1133" t="s">
        <v>5711</v>
      </c>
      <c r="B1133" t="s">
        <v>208</v>
      </c>
      <c r="C1133" t="s">
        <v>1511</v>
      </c>
      <c r="D1133" t="s">
        <v>5609</v>
      </c>
      <c r="E1133" t="s">
        <v>4622</v>
      </c>
      <c r="F1133" s="23">
        <v>44397</v>
      </c>
      <c r="G1133" s="1">
        <v>9232</v>
      </c>
    </row>
    <row r="1134" spans="1:7">
      <c r="A1134" t="s">
        <v>5711</v>
      </c>
      <c r="B1134" t="s">
        <v>106</v>
      </c>
      <c r="C1134" t="s">
        <v>2364</v>
      </c>
      <c r="D1134" t="s">
        <v>2363</v>
      </c>
      <c r="E1134" t="s">
        <v>4623</v>
      </c>
      <c r="F1134" s="23">
        <v>44346</v>
      </c>
      <c r="G1134" s="1">
        <v>11326</v>
      </c>
    </row>
    <row r="1135" spans="1:7">
      <c r="A1135" t="s">
        <v>5711</v>
      </c>
      <c r="B1135" t="s">
        <v>101</v>
      </c>
      <c r="C1135" t="s">
        <v>1444</v>
      </c>
      <c r="D1135" t="s">
        <v>1443</v>
      </c>
      <c r="E1135" t="s">
        <v>4624</v>
      </c>
      <c r="F1135" s="23">
        <v>44346</v>
      </c>
      <c r="G1135" s="1">
        <v>12905</v>
      </c>
    </row>
    <row r="1136" spans="1:7">
      <c r="A1136" t="s">
        <v>5711</v>
      </c>
      <c r="B1136" t="s">
        <v>135</v>
      </c>
      <c r="C1136" t="s">
        <v>722</v>
      </c>
      <c r="D1136" t="s">
        <v>721</v>
      </c>
      <c r="E1136" t="s">
        <v>4625</v>
      </c>
      <c r="F1136" s="23">
        <v>44774</v>
      </c>
      <c r="G1136" s="1">
        <v>3892</v>
      </c>
    </row>
    <row r="1137" spans="1:7">
      <c r="A1137" t="s">
        <v>5711</v>
      </c>
      <c r="B1137" t="s">
        <v>94</v>
      </c>
      <c r="C1137" t="s">
        <v>3490</v>
      </c>
      <c r="D1137" t="s">
        <v>1545</v>
      </c>
      <c r="E1137" t="s">
        <v>4626</v>
      </c>
      <c r="F1137" s="23">
        <v>44346</v>
      </c>
      <c r="G1137" s="1">
        <v>16762</v>
      </c>
    </row>
    <row r="1138" spans="1:7">
      <c r="A1138" t="s">
        <v>5711</v>
      </c>
      <c r="B1138" t="s">
        <v>101</v>
      </c>
      <c r="C1138" t="s">
        <v>1227</v>
      </c>
      <c r="D1138" t="s">
        <v>1226</v>
      </c>
      <c r="E1138" t="s">
        <v>4627</v>
      </c>
      <c r="F1138" s="23">
        <v>44392</v>
      </c>
      <c r="G1138" s="1">
        <v>6919</v>
      </c>
    </row>
    <row r="1139" spans="1:7">
      <c r="A1139" t="s">
        <v>5711</v>
      </c>
      <c r="B1139" t="s">
        <v>311</v>
      </c>
      <c r="C1139" t="s">
        <v>1958</v>
      </c>
      <c r="D1139" t="s">
        <v>1957</v>
      </c>
      <c r="E1139" t="s">
        <v>4628</v>
      </c>
      <c r="F1139" s="23">
        <v>44953</v>
      </c>
      <c r="G1139" s="1">
        <v>11148</v>
      </c>
    </row>
    <row r="1140" spans="1:7">
      <c r="A1140" t="s">
        <v>5711</v>
      </c>
      <c r="B1140" t="s">
        <v>106</v>
      </c>
      <c r="C1140" t="s">
        <v>1188</v>
      </c>
      <c r="D1140" t="s">
        <v>2433</v>
      </c>
      <c r="E1140" t="s">
        <v>4629</v>
      </c>
      <c r="F1140" s="23">
        <v>44346</v>
      </c>
      <c r="G1140" s="1">
        <v>16467</v>
      </c>
    </row>
    <row r="1141" spans="1:7">
      <c r="A1141" t="s">
        <v>5711</v>
      </c>
      <c r="B1141" t="s">
        <v>94</v>
      </c>
      <c r="C1141" t="s">
        <v>2698</v>
      </c>
      <c r="D1141" t="s">
        <v>2972</v>
      </c>
      <c r="E1141" t="s">
        <v>4630</v>
      </c>
      <c r="F1141" s="23">
        <v>45003</v>
      </c>
      <c r="G1141" s="1">
        <v>7909</v>
      </c>
    </row>
    <row r="1142" spans="1:7">
      <c r="A1142" t="s">
        <v>5711</v>
      </c>
      <c r="B1142" t="s">
        <v>311</v>
      </c>
      <c r="C1142" t="s">
        <v>2710</v>
      </c>
      <c r="D1142" t="s">
        <v>2709</v>
      </c>
      <c r="E1142" t="s">
        <v>4631</v>
      </c>
      <c r="F1142" s="23">
        <v>44791</v>
      </c>
      <c r="G1142" s="1">
        <v>4885</v>
      </c>
    </row>
    <row r="1143" spans="1:7">
      <c r="A1143" t="s">
        <v>5711</v>
      </c>
      <c r="B1143" t="s">
        <v>94</v>
      </c>
      <c r="C1143" t="s">
        <v>3486</v>
      </c>
      <c r="D1143" t="s">
        <v>5610</v>
      </c>
      <c r="E1143" t="s">
        <v>4632</v>
      </c>
      <c r="F1143" s="23">
        <v>44665</v>
      </c>
      <c r="G1143" s="1">
        <v>9624</v>
      </c>
    </row>
    <row r="1144" spans="1:7">
      <c r="A1144" t="s">
        <v>5711</v>
      </c>
      <c r="B1144" t="s">
        <v>94</v>
      </c>
      <c r="C1144" t="s">
        <v>743</v>
      </c>
      <c r="D1144" t="s">
        <v>2642</v>
      </c>
      <c r="E1144" t="s">
        <v>4633</v>
      </c>
      <c r="F1144" s="23">
        <v>44896</v>
      </c>
      <c r="G1144" s="1">
        <v>6680</v>
      </c>
    </row>
    <row r="1145" spans="1:7">
      <c r="A1145" t="s">
        <v>5711</v>
      </c>
      <c r="B1145" t="s">
        <v>94</v>
      </c>
      <c r="C1145" t="s">
        <v>3485</v>
      </c>
      <c r="D1145" t="s">
        <v>971</v>
      </c>
      <c r="E1145" t="s">
        <v>4634</v>
      </c>
      <c r="F1145" s="23">
        <v>44346</v>
      </c>
      <c r="G1145" s="1">
        <v>9931</v>
      </c>
    </row>
    <row r="1146" spans="1:7">
      <c r="A1146" t="s">
        <v>5711</v>
      </c>
      <c r="B1146" t="s">
        <v>676</v>
      </c>
      <c r="C1146" t="s">
        <v>856</v>
      </c>
      <c r="D1146" t="s">
        <v>855</v>
      </c>
      <c r="E1146" t="s">
        <v>4635</v>
      </c>
      <c r="F1146" s="23">
        <v>44573</v>
      </c>
      <c r="G1146" s="1">
        <v>8559</v>
      </c>
    </row>
    <row r="1147" spans="1:7">
      <c r="A1147" t="s">
        <v>5711</v>
      </c>
      <c r="B1147" t="s">
        <v>833</v>
      </c>
      <c r="C1147" t="s">
        <v>1541</v>
      </c>
      <c r="D1147" t="s">
        <v>1540</v>
      </c>
      <c r="E1147" t="s">
        <v>4636</v>
      </c>
      <c r="F1147" s="23">
        <v>44876</v>
      </c>
      <c r="G1147" s="1">
        <v>3666</v>
      </c>
    </row>
    <row r="1148" spans="1:7">
      <c r="A1148" t="s">
        <v>5711</v>
      </c>
      <c r="B1148" t="s">
        <v>298</v>
      </c>
      <c r="C1148" t="s">
        <v>2627</v>
      </c>
      <c r="D1148" t="s">
        <v>2626</v>
      </c>
      <c r="E1148" t="s">
        <v>4637</v>
      </c>
      <c r="F1148" s="23">
        <v>44346</v>
      </c>
      <c r="G1148" s="1">
        <v>12023</v>
      </c>
    </row>
    <row r="1149" spans="1:7">
      <c r="A1149" t="s">
        <v>5711</v>
      </c>
      <c r="B1149" t="s">
        <v>149</v>
      </c>
      <c r="C1149" t="s">
        <v>1174</v>
      </c>
      <c r="D1149" t="s">
        <v>1173</v>
      </c>
      <c r="E1149" t="s">
        <v>4638</v>
      </c>
      <c r="F1149" s="23">
        <v>44346</v>
      </c>
      <c r="G1149" s="1">
        <v>14226</v>
      </c>
    </row>
    <row r="1150" spans="1:7">
      <c r="A1150" t="s">
        <v>5711</v>
      </c>
      <c r="B1150" t="s">
        <v>94</v>
      </c>
      <c r="C1150" t="s">
        <v>3345</v>
      </c>
      <c r="D1150" t="s">
        <v>3344</v>
      </c>
      <c r="E1150" t="s">
        <v>4639</v>
      </c>
      <c r="F1150" s="23">
        <v>44346</v>
      </c>
      <c r="G1150" s="1">
        <v>15044</v>
      </c>
    </row>
    <row r="1151" spans="1:7">
      <c r="A1151" t="s">
        <v>5711</v>
      </c>
      <c r="B1151" t="s">
        <v>106</v>
      </c>
      <c r="C1151" t="s">
        <v>2608</v>
      </c>
      <c r="D1151" t="s">
        <v>2607</v>
      </c>
      <c r="E1151" t="s">
        <v>4640</v>
      </c>
      <c r="F1151" s="23">
        <v>44346</v>
      </c>
      <c r="G1151" s="1">
        <v>19911</v>
      </c>
    </row>
    <row r="1152" spans="1:7">
      <c r="A1152" t="s">
        <v>5711</v>
      </c>
      <c r="B1152" t="s">
        <v>106</v>
      </c>
      <c r="C1152" t="s">
        <v>2595</v>
      </c>
      <c r="D1152" t="s">
        <v>2594</v>
      </c>
      <c r="E1152" t="s">
        <v>4641</v>
      </c>
      <c r="F1152" s="23">
        <v>44346</v>
      </c>
      <c r="G1152" s="1">
        <v>15249</v>
      </c>
    </row>
    <row r="1153" spans="1:7">
      <c r="A1153" t="s">
        <v>5711</v>
      </c>
      <c r="B1153" t="s">
        <v>94</v>
      </c>
      <c r="C1153" t="s">
        <v>3487</v>
      </c>
      <c r="D1153" t="s">
        <v>5611</v>
      </c>
      <c r="E1153" t="s">
        <v>4642</v>
      </c>
      <c r="F1153" s="23">
        <v>44832</v>
      </c>
      <c r="G1153" s="1">
        <v>5998</v>
      </c>
    </row>
    <row r="1154" spans="1:7">
      <c r="A1154" t="s">
        <v>5711</v>
      </c>
      <c r="B1154" t="s">
        <v>78</v>
      </c>
      <c r="C1154" t="s">
        <v>951</v>
      </c>
      <c r="D1154" t="s">
        <v>950</v>
      </c>
      <c r="E1154" t="s">
        <v>4643</v>
      </c>
      <c r="F1154" s="23">
        <v>44346</v>
      </c>
      <c r="G1154" s="1">
        <v>18016</v>
      </c>
    </row>
    <row r="1155" spans="1:7">
      <c r="A1155" t="s">
        <v>5711</v>
      </c>
      <c r="B1155" t="s">
        <v>826</v>
      </c>
      <c r="C1155" t="s">
        <v>825</v>
      </c>
      <c r="D1155" t="s">
        <v>824</v>
      </c>
      <c r="E1155" t="s">
        <v>4644</v>
      </c>
      <c r="F1155" s="23">
        <v>44393</v>
      </c>
      <c r="G1155" s="1">
        <v>8996</v>
      </c>
    </row>
    <row r="1156" spans="1:7">
      <c r="A1156" t="s">
        <v>5711</v>
      </c>
      <c r="B1156" t="s">
        <v>94</v>
      </c>
      <c r="C1156" t="s">
        <v>2014</v>
      </c>
      <c r="D1156" t="s">
        <v>2013</v>
      </c>
      <c r="E1156" t="s">
        <v>4645</v>
      </c>
      <c r="F1156" s="23">
        <v>44346</v>
      </c>
      <c r="G1156" s="1">
        <v>17493</v>
      </c>
    </row>
    <row r="1157" spans="1:7">
      <c r="A1157" t="s">
        <v>5711</v>
      </c>
      <c r="B1157" t="s">
        <v>94</v>
      </c>
      <c r="C1157" t="s">
        <v>2106</v>
      </c>
      <c r="D1157" t="s">
        <v>2516</v>
      </c>
      <c r="E1157" t="s">
        <v>4646</v>
      </c>
      <c r="F1157" s="23">
        <v>44346</v>
      </c>
      <c r="G1157" s="1">
        <v>7714</v>
      </c>
    </row>
    <row r="1158" spans="1:7">
      <c r="A1158" t="s">
        <v>5711</v>
      </c>
      <c r="B1158" t="s">
        <v>94</v>
      </c>
      <c r="C1158" t="s">
        <v>1920</v>
      </c>
      <c r="D1158" t="s">
        <v>1919</v>
      </c>
      <c r="E1158" t="s">
        <v>4647</v>
      </c>
      <c r="F1158" s="23">
        <v>44346</v>
      </c>
      <c r="G1158" s="1">
        <v>11210</v>
      </c>
    </row>
    <row r="1159" spans="1:7">
      <c r="A1159" t="s">
        <v>5711</v>
      </c>
      <c r="B1159" t="s">
        <v>106</v>
      </c>
      <c r="C1159" t="s">
        <v>2158</v>
      </c>
      <c r="D1159" t="s">
        <v>2157</v>
      </c>
      <c r="E1159" t="s">
        <v>4648</v>
      </c>
      <c r="F1159" s="23">
        <v>44552</v>
      </c>
      <c r="G1159" s="1">
        <v>1085</v>
      </c>
    </row>
    <row r="1160" spans="1:7">
      <c r="A1160" t="s">
        <v>5711</v>
      </c>
      <c r="B1160" t="s">
        <v>97</v>
      </c>
      <c r="C1160" t="s">
        <v>949</v>
      </c>
      <c r="D1160" t="s">
        <v>948</v>
      </c>
      <c r="E1160" t="s">
        <v>4649</v>
      </c>
      <c r="F1160" s="23">
        <v>44346</v>
      </c>
      <c r="G1160" s="1">
        <v>9440</v>
      </c>
    </row>
    <row r="1161" spans="1:7">
      <c r="A1161" t="s">
        <v>5711</v>
      </c>
      <c r="B1161" t="s">
        <v>37</v>
      </c>
      <c r="C1161" t="s">
        <v>770</v>
      </c>
      <c r="D1161" t="s">
        <v>769</v>
      </c>
      <c r="E1161" t="s">
        <v>4650</v>
      </c>
      <c r="F1161" s="23">
        <v>44346</v>
      </c>
      <c r="G1161" s="1">
        <v>17908</v>
      </c>
    </row>
    <row r="1162" spans="1:7">
      <c r="A1162" t="s">
        <v>5711</v>
      </c>
      <c r="B1162" t="s">
        <v>106</v>
      </c>
      <c r="C1162" t="s">
        <v>267</v>
      </c>
      <c r="D1162" t="s">
        <v>5612</v>
      </c>
      <c r="E1162" t="s">
        <v>4651</v>
      </c>
      <c r="F1162" s="23">
        <v>45006</v>
      </c>
      <c r="G1162" s="1">
        <v>9162</v>
      </c>
    </row>
    <row r="1163" spans="1:7">
      <c r="A1163" t="s">
        <v>5711</v>
      </c>
      <c r="B1163" t="s">
        <v>311</v>
      </c>
      <c r="C1163" t="s">
        <v>1874</v>
      </c>
      <c r="D1163" t="s">
        <v>1873</v>
      </c>
      <c r="E1163" t="s">
        <v>4652</v>
      </c>
      <c r="F1163" s="23">
        <v>44346</v>
      </c>
      <c r="G1163" s="1">
        <v>10333</v>
      </c>
    </row>
    <row r="1164" spans="1:7">
      <c r="A1164" t="s">
        <v>5711</v>
      </c>
      <c r="B1164" t="s">
        <v>94</v>
      </c>
      <c r="C1164" t="s">
        <v>1887</v>
      </c>
      <c r="D1164" t="s">
        <v>2687</v>
      </c>
      <c r="E1164" t="s">
        <v>4653</v>
      </c>
      <c r="F1164" s="23">
        <v>44368</v>
      </c>
      <c r="G1164" s="1">
        <v>6515</v>
      </c>
    </row>
    <row r="1165" spans="1:7">
      <c r="A1165" t="s">
        <v>5711</v>
      </c>
      <c r="B1165" t="s">
        <v>1006</v>
      </c>
      <c r="C1165" t="s">
        <v>1005</v>
      </c>
      <c r="D1165" t="s">
        <v>1004</v>
      </c>
      <c r="E1165" t="s">
        <v>4654</v>
      </c>
      <c r="F1165" s="23">
        <v>44378</v>
      </c>
      <c r="G1165" s="1">
        <v>5069</v>
      </c>
    </row>
    <row r="1166" spans="1:7">
      <c r="A1166" t="s">
        <v>5711</v>
      </c>
      <c r="B1166" t="s">
        <v>233</v>
      </c>
      <c r="C1166" t="s">
        <v>1922</v>
      </c>
      <c r="D1166" t="s">
        <v>1921</v>
      </c>
      <c r="E1166" t="s">
        <v>4655</v>
      </c>
      <c r="F1166" s="23">
        <v>44346</v>
      </c>
      <c r="G1166" s="1">
        <v>16706</v>
      </c>
    </row>
    <row r="1167" spans="1:7">
      <c r="A1167" t="s">
        <v>5711</v>
      </c>
      <c r="B1167" t="s">
        <v>375</v>
      </c>
      <c r="C1167" t="s">
        <v>1214</v>
      </c>
      <c r="D1167" t="s">
        <v>1213</v>
      </c>
      <c r="E1167" t="s">
        <v>4656</v>
      </c>
      <c r="F1167" s="23">
        <v>44346</v>
      </c>
      <c r="G1167" s="1">
        <v>2067</v>
      </c>
    </row>
    <row r="1168" spans="1:7">
      <c r="A1168" t="s">
        <v>5711</v>
      </c>
      <c r="B1168" t="s">
        <v>43</v>
      </c>
      <c r="C1168" t="s">
        <v>1327</v>
      </c>
      <c r="D1168" t="s">
        <v>1326</v>
      </c>
      <c r="E1168" t="s">
        <v>4657</v>
      </c>
      <c r="F1168" s="23">
        <v>44471</v>
      </c>
      <c r="G1168" s="1">
        <v>2813</v>
      </c>
    </row>
    <row r="1169" spans="1:7">
      <c r="A1169" t="s">
        <v>5711</v>
      </c>
      <c r="B1169" t="s">
        <v>106</v>
      </c>
      <c r="C1169" t="s">
        <v>2700</v>
      </c>
      <c r="D1169" t="s">
        <v>2699</v>
      </c>
      <c r="E1169" t="s">
        <v>4658</v>
      </c>
      <c r="F1169" s="23">
        <v>44356</v>
      </c>
      <c r="G1169" s="1">
        <v>11111</v>
      </c>
    </row>
    <row r="1170" spans="1:7">
      <c r="A1170" t="s">
        <v>5711</v>
      </c>
      <c r="B1170" t="s">
        <v>43</v>
      </c>
      <c r="C1170" t="s">
        <v>1536</v>
      </c>
      <c r="D1170" t="s">
        <v>1535</v>
      </c>
      <c r="E1170" t="s">
        <v>4659</v>
      </c>
      <c r="F1170" s="23">
        <v>44967</v>
      </c>
      <c r="G1170" s="1">
        <v>4605</v>
      </c>
    </row>
    <row r="1171" spans="1:7">
      <c r="A1171" t="s">
        <v>5711</v>
      </c>
      <c r="B1171" t="s">
        <v>298</v>
      </c>
      <c r="C1171" t="s">
        <v>2737</v>
      </c>
      <c r="D1171" t="s">
        <v>2736</v>
      </c>
      <c r="E1171" t="s">
        <v>4660</v>
      </c>
      <c r="F1171" s="23">
        <v>44818</v>
      </c>
      <c r="G1171" s="1">
        <v>1839</v>
      </c>
    </row>
    <row r="1172" spans="1:7">
      <c r="A1172" t="s">
        <v>5711</v>
      </c>
      <c r="B1172" t="s">
        <v>233</v>
      </c>
      <c r="C1172" t="s">
        <v>1878</v>
      </c>
      <c r="D1172" t="s">
        <v>1877</v>
      </c>
      <c r="E1172" t="s">
        <v>4661</v>
      </c>
      <c r="F1172" s="23">
        <v>44346</v>
      </c>
      <c r="G1172" s="1">
        <v>12525</v>
      </c>
    </row>
    <row r="1173" spans="1:7">
      <c r="A1173" t="s">
        <v>5711</v>
      </c>
      <c r="B1173" t="s">
        <v>94</v>
      </c>
      <c r="C1173" t="s">
        <v>3486</v>
      </c>
      <c r="D1173" t="s">
        <v>975</v>
      </c>
      <c r="E1173" t="s">
        <v>4662</v>
      </c>
      <c r="F1173" s="23">
        <v>44877</v>
      </c>
      <c r="G1173" s="1">
        <v>10739</v>
      </c>
    </row>
    <row r="1174" spans="1:7">
      <c r="A1174" t="s">
        <v>5711</v>
      </c>
      <c r="B1174" t="s">
        <v>298</v>
      </c>
      <c r="C1174" t="s">
        <v>3221</v>
      </c>
      <c r="D1174" t="s">
        <v>3315</v>
      </c>
      <c r="E1174" t="s">
        <v>4663</v>
      </c>
      <c r="F1174" s="23">
        <v>45020</v>
      </c>
      <c r="G1174" s="1">
        <v>6572</v>
      </c>
    </row>
    <row r="1175" spans="1:7">
      <c r="A1175" t="s">
        <v>5711</v>
      </c>
      <c r="B1175" t="s">
        <v>298</v>
      </c>
      <c r="C1175" t="s">
        <v>2828</v>
      </c>
      <c r="D1175" t="s">
        <v>2827</v>
      </c>
      <c r="E1175" t="s">
        <v>4664</v>
      </c>
      <c r="F1175" s="23">
        <v>44809</v>
      </c>
      <c r="G1175" s="1">
        <v>7611</v>
      </c>
    </row>
    <row r="1176" spans="1:7">
      <c r="A1176" t="s">
        <v>5711</v>
      </c>
      <c r="B1176" t="s">
        <v>94</v>
      </c>
      <c r="C1176" t="s">
        <v>1887</v>
      </c>
      <c r="D1176" t="s">
        <v>2621</v>
      </c>
      <c r="E1176" t="s">
        <v>4665</v>
      </c>
      <c r="F1176" s="23">
        <v>44636</v>
      </c>
      <c r="G1176" s="1">
        <v>5929</v>
      </c>
    </row>
    <row r="1177" spans="1:7">
      <c r="A1177" t="s">
        <v>5711</v>
      </c>
      <c r="B1177" t="s">
        <v>94</v>
      </c>
      <c r="C1177" t="s">
        <v>2630</v>
      </c>
      <c r="D1177" t="s">
        <v>2834</v>
      </c>
      <c r="E1177" t="s">
        <v>4666</v>
      </c>
      <c r="F1177" s="23">
        <v>44525</v>
      </c>
      <c r="G1177" s="1">
        <v>7197</v>
      </c>
    </row>
    <row r="1178" spans="1:7">
      <c r="A1178" t="s">
        <v>5711</v>
      </c>
      <c r="B1178" t="s">
        <v>37</v>
      </c>
      <c r="C1178" t="s">
        <v>1594</v>
      </c>
      <c r="D1178" t="s">
        <v>1593</v>
      </c>
      <c r="E1178" t="s">
        <v>4667</v>
      </c>
      <c r="F1178" s="23">
        <v>44402</v>
      </c>
      <c r="G1178" s="1">
        <v>7644</v>
      </c>
    </row>
    <row r="1179" spans="1:7">
      <c r="A1179" t="s">
        <v>5711</v>
      </c>
      <c r="B1179" t="s">
        <v>208</v>
      </c>
      <c r="C1179" t="s">
        <v>1260</v>
      </c>
      <c r="D1179" t="s">
        <v>1259</v>
      </c>
      <c r="E1179" t="s">
        <v>4668</v>
      </c>
      <c r="F1179" s="23">
        <v>44346</v>
      </c>
      <c r="G1179" s="1">
        <v>10392</v>
      </c>
    </row>
    <row r="1180" spans="1:7">
      <c r="A1180" t="s">
        <v>5711</v>
      </c>
      <c r="B1180" t="s">
        <v>311</v>
      </c>
      <c r="C1180" t="s">
        <v>3235</v>
      </c>
      <c r="D1180" t="s">
        <v>3234</v>
      </c>
      <c r="E1180" t="s">
        <v>4669</v>
      </c>
      <c r="F1180" s="23">
        <v>44346</v>
      </c>
      <c r="G1180" s="1">
        <v>7785</v>
      </c>
    </row>
    <row r="1181" spans="1:7">
      <c r="A1181" t="s">
        <v>5711</v>
      </c>
      <c r="B1181" t="s">
        <v>106</v>
      </c>
      <c r="C1181" t="s">
        <v>2921</v>
      </c>
      <c r="D1181" t="s">
        <v>2920</v>
      </c>
      <c r="E1181" t="s">
        <v>4670</v>
      </c>
      <c r="F1181" s="23">
        <v>44346</v>
      </c>
      <c r="G1181" s="1">
        <v>5008</v>
      </c>
    </row>
    <row r="1182" spans="1:7">
      <c r="A1182" t="s">
        <v>5711</v>
      </c>
      <c r="B1182" t="s">
        <v>94</v>
      </c>
      <c r="C1182" t="s">
        <v>2857</v>
      </c>
      <c r="D1182" t="s">
        <v>2856</v>
      </c>
      <c r="E1182" t="s">
        <v>4671</v>
      </c>
      <c r="F1182" s="23">
        <v>44346</v>
      </c>
      <c r="G1182" s="1">
        <v>14618</v>
      </c>
    </row>
    <row r="1183" spans="1:7">
      <c r="A1183" t="s">
        <v>5711</v>
      </c>
      <c r="B1183" t="s">
        <v>233</v>
      </c>
      <c r="C1183" t="s">
        <v>2156</v>
      </c>
      <c r="D1183" t="s">
        <v>2155</v>
      </c>
      <c r="E1183" t="s">
        <v>4672</v>
      </c>
      <c r="F1183" s="23">
        <v>44989</v>
      </c>
      <c r="G1183" s="1">
        <v>4802</v>
      </c>
    </row>
    <row r="1184" spans="1:7">
      <c r="A1184" t="s">
        <v>5711</v>
      </c>
      <c r="B1184" t="s">
        <v>375</v>
      </c>
      <c r="C1184" t="s">
        <v>789</v>
      </c>
      <c r="D1184" t="s">
        <v>788</v>
      </c>
      <c r="E1184" t="s">
        <v>4673</v>
      </c>
      <c r="F1184" s="23">
        <v>44346</v>
      </c>
      <c r="G1184" s="1">
        <v>9719</v>
      </c>
    </row>
    <row r="1185" spans="1:7">
      <c r="A1185" t="s">
        <v>5711</v>
      </c>
      <c r="B1185" t="s">
        <v>247</v>
      </c>
      <c r="C1185" t="s">
        <v>246</v>
      </c>
      <c r="D1185" t="s">
        <v>245</v>
      </c>
      <c r="E1185" t="s">
        <v>4674</v>
      </c>
      <c r="F1185" s="23">
        <v>44346</v>
      </c>
      <c r="G1185" s="1">
        <v>18765</v>
      </c>
    </row>
    <row r="1186" spans="1:7">
      <c r="A1186" t="s">
        <v>5711</v>
      </c>
      <c r="B1186" t="s">
        <v>94</v>
      </c>
      <c r="C1186" t="s">
        <v>3489</v>
      </c>
      <c r="D1186" t="s">
        <v>599</v>
      </c>
      <c r="E1186" t="s">
        <v>4675</v>
      </c>
      <c r="F1186" s="23">
        <v>44346</v>
      </c>
      <c r="G1186" s="1">
        <v>17027</v>
      </c>
    </row>
    <row r="1187" spans="1:7">
      <c r="A1187" t="s">
        <v>5711</v>
      </c>
      <c r="B1187" t="s">
        <v>94</v>
      </c>
      <c r="C1187" t="s">
        <v>2115</v>
      </c>
      <c r="D1187" t="s">
        <v>2114</v>
      </c>
      <c r="E1187" t="s">
        <v>4676</v>
      </c>
      <c r="F1187" s="23">
        <v>44827</v>
      </c>
      <c r="G1187" s="1">
        <v>7840</v>
      </c>
    </row>
    <row r="1188" spans="1:7">
      <c r="A1188" t="s">
        <v>5711</v>
      </c>
      <c r="B1188" t="s">
        <v>298</v>
      </c>
      <c r="C1188" t="s">
        <v>2184</v>
      </c>
      <c r="D1188" t="s">
        <v>2183</v>
      </c>
      <c r="E1188" t="s">
        <v>4677</v>
      </c>
      <c r="F1188" s="23">
        <v>44346</v>
      </c>
      <c r="G1188" s="1">
        <v>17029</v>
      </c>
    </row>
    <row r="1189" spans="1:7">
      <c r="A1189" t="s">
        <v>5711</v>
      </c>
      <c r="B1189" t="s">
        <v>106</v>
      </c>
      <c r="C1189" t="s">
        <v>1887</v>
      </c>
      <c r="D1189" t="s">
        <v>5613</v>
      </c>
      <c r="E1189" t="s">
        <v>4678</v>
      </c>
      <c r="F1189" s="23">
        <v>45020</v>
      </c>
      <c r="G1189" s="1">
        <v>8718</v>
      </c>
    </row>
    <row r="1190" spans="1:7">
      <c r="A1190" t="s">
        <v>5711</v>
      </c>
      <c r="B1190" t="s">
        <v>94</v>
      </c>
      <c r="C1190" t="s">
        <v>2193</v>
      </c>
      <c r="D1190" t="s">
        <v>2192</v>
      </c>
      <c r="E1190" t="s">
        <v>4679</v>
      </c>
      <c r="F1190" s="23">
        <v>44549</v>
      </c>
      <c r="G1190" s="1">
        <v>3643</v>
      </c>
    </row>
    <row r="1191" spans="1:7">
      <c r="A1191" t="s">
        <v>5711</v>
      </c>
      <c r="B1191" t="s">
        <v>106</v>
      </c>
      <c r="C1191" t="s">
        <v>2789</v>
      </c>
      <c r="D1191" t="s">
        <v>2788</v>
      </c>
      <c r="E1191" t="s">
        <v>4680</v>
      </c>
      <c r="F1191" s="23">
        <v>44346</v>
      </c>
      <c r="G1191" s="1">
        <v>15311</v>
      </c>
    </row>
    <row r="1192" spans="1:7">
      <c r="A1192" t="s">
        <v>5711</v>
      </c>
      <c r="B1192" t="s">
        <v>94</v>
      </c>
      <c r="C1192" t="s">
        <v>980</v>
      </c>
      <c r="D1192" t="s">
        <v>979</v>
      </c>
      <c r="E1192" t="s">
        <v>4681</v>
      </c>
      <c r="F1192" s="23">
        <v>44346</v>
      </c>
      <c r="G1192" s="1">
        <v>1042</v>
      </c>
    </row>
    <row r="1193" spans="1:7">
      <c r="A1193" t="s">
        <v>5711</v>
      </c>
      <c r="B1193" t="s">
        <v>233</v>
      </c>
      <c r="C1193" t="s">
        <v>2797</v>
      </c>
      <c r="D1193" t="s">
        <v>2796</v>
      </c>
      <c r="E1193" t="s">
        <v>4682</v>
      </c>
      <c r="F1193" s="23">
        <v>44367</v>
      </c>
      <c r="G1193" s="1">
        <v>3039</v>
      </c>
    </row>
    <row r="1194" spans="1:7">
      <c r="A1194" t="s">
        <v>5711</v>
      </c>
      <c r="B1194" t="s">
        <v>94</v>
      </c>
      <c r="C1194" t="s">
        <v>1887</v>
      </c>
      <c r="D1194" t="s">
        <v>2783</v>
      </c>
      <c r="E1194" t="s">
        <v>4683</v>
      </c>
      <c r="F1194" s="23">
        <v>44413</v>
      </c>
      <c r="G1194" s="1">
        <v>6543</v>
      </c>
    </row>
    <row r="1195" spans="1:7">
      <c r="A1195" t="s">
        <v>5711</v>
      </c>
      <c r="B1195" t="s">
        <v>94</v>
      </c>
      <c r="C1195" t="s">
        <v>3335</v>
      </c>
      <c r="D1195" t="s">
        <v>3334</v>
      </c>
      <c r="E1195" t="s">
        <v>4684</v>
      </c>
      <c r="F1195" s="23">
        <v>45056</v>
      </c>
      <c r="G1195" s="1">
        <v>6808</v>
      </c>
    </row>
    <row r="1196" spans="1:7">
      <c r="A1196" t="s">
        <v>5711</v>
      </c>
      <c r="B1196" t="s">
        <v>94</v>
      </c>
      <c r="C1196" t="s">
        <v>3265</v>
      </c>
      <c r="D1196" t="s">
        <v>1449</v>
      </c>
      <c r="E1196" t="s">
        <v>4685</v>
      </c>
      <c r="F1196" s="23">
        <v>44346</v>
      </c>
      <c r="G1196" s="1">
        <v>13878</v>
      </c>
    </row>
    <row r="1197" spans="1:7">
      <c r="A1197" t="s">
        <v>5711</v>
      </c>
      <c r="B1197" t="s">
        <v>106</v>
      </c>
      <c r="C1197" t="s">
        <v>1985</v>
      </c>
      <c r="D1197" t="s">
        <v>1984</v>
      </c>
      <c r="E1197" t="s">
        <v>4686</v>
      </c>
      <c r="F1197" s="23">
        <v>44376</v>
      </c>
      <c r="G1197" s="1">
        <v>4362</v>
      </c>
    </row>
    <row r="1198" spans="1:7">
      <c r="A1198" t="s">
        <v>5711</v>
      </c>
      <c r="B1198" t="s">
        <v>68</v>
      </c>
      <c r="C1198" t="s">
        <v>904</v>
      </c>
      <c r="D1198" t="s">
        <v>5614</v>
      </c>
      <c r="E1198" t="s">
        <v>4687</v>
      </c>
      <c r="F1198" s="23">
        <v>44346</v>
      </c>
      <c r="G1198" s="1">
        <v>15749</v>
      </c>
    </row>
    <row r="1199" spans="1:7">
      <c r="A1199" t="s">
        <v>5711</v>
      </c>
      <c r="B1199" t="s">
        <v>58</v>
      </c>
      <c r="C1199" t="s">
        <v>1810</v>
      </c>
      <c r="D1199" t="s">
        <v>5615</v>
      </c>
      <c r="E1199" t="s">
        <v>4688</v>
      </c>
      <c r="F1199" s="23">
        <v>44873</v>
      </c>
      <c r="G1199" s="1">
        <v>2350</v>
      </c>
    </row>
    <row r="1200" spans="1:7">
      <c r="A1200" t="s">
        <v>5711</v>
      </c>
      <c r="B1200" t="s">
        <v>311</v>
      </c>
      <c r="C1200" t="s">
        <v>2064</v>
      </c>
      <c r="D1200" t="s">
        <v>2063</v>
      </c>
      <c r="E1200" t="s">
        <v>4689</v>
      </c>
      <c r="F1200" s="23">
        <v>44346</v>
      </c>
      <c r="G1200" s="1">
        <v>18501</v>
      </c>
    </row>
    <row r="1201" spans="1:7">
      <c r="A1201" t="s">
        <v>5711</v>
      </c>
      <c r="B1201" t="s">
        <v>106</v>
      </c>
      <c r="C1201" t="s">
        <v>984</v>
      </c>
      <c r="D1201" t="s">
        <v>983</v>
      </c>
      <c r="E1201" t="s">
        <v>4690</v>
      </c>
      <c r="F1201" s="23">
        <v>44976</v>
      </c>
      <c r="G1201" s="1">
        <v>3686</v>
      </c>
    </row>
    <row r="1202" spans="1:7">
      <c r="A1202" t="s">
        <v>5711</v>
      </c>
      <c r="B1202" t="s">
        <v>101</v>
      </c>
      <c r="C1202" t="s">
        <v>157</v>
      </c>
      <c r="D1202" t="s">
        <v>5616</v>
      </c>
      <c r="E1202" t="s">
        <v>4691</v>
      </c>
      <c r="F1202" s="23">
        <v>44571</v>
      </c>
      <c r="G1202" s="1">
        <v>4855</v>
      </c>
    </row>
    <row r="1203" spans="1:7">
      <c r="A1203" t="s">
        <v>5711</v>
      </c>
      <c r="B1203" t="s">
        <v>233</v>
      </c>
      <c r="C1203" t="s">
        <v>506</v>
      </c>
      <c r="D1203" t="s">
        <v>505</v>
      </c>
      <c r="E1203" t="s">
        <v>4692</v>
      </c>
      <c r="F1203" s="23">
        <v>44346</v>
      </c>
      <c r="G1203" s="1">
        <v>14341</v>
      </c>
    </row>
    <row r="1204" spans="1:7">
      <c r="A1204" t="s">
        <v>5711</v>
      </c>
      <c r="B1204" t="s">
        <v>101</v>
      </c>
      <c r="C1204" t="s">
        <v>1129</v>
      </c>
      <c r="D1204" t="s">
        <v>5617</v>
      </c>
      <c r="E1204" t="s">
        <v>4693</v>
      </c>
      <c r="F1204" s="23">
        <v>44346</v>
      </c>
      <c r="G1204" s="1">
        <v>4920</v>
      </c>
    </row>
    <row r="1205" spans="1:7">
      <c r="A1205" t="s">
        <v>5711</v>
      </c>
      <c r="B1205" t="s">
        <v>43</v>
      </c>
      <c r="C1205" t="s">
        <v>1564</v>
      </c>
      <c r="D1205" t="s">
        <v>1563</v>
      </c>
      <c r="E1205" t="s">
        <v>4694</v>
      </c>
      <c r="F1205" s="23">
        <v>44346</v>
      </c>
      <c r="G1205" s="1">
        <v>14102</v>
      </c>
    </row>
    <row r="1206" spans="1:7">
      <c r="A1206" t="s">
        <v>5711</v>
      </c>
      <c r="B1206" t="s">
        <v>37</v>
      </c>
      <c r="C1206" t="s">
        <v>1790</v>
      </c>
      <c r="D1206" t="s">
        <v>1789</v>
      </c>
      <c r="E1206" t="s">
        <v>4695</v>
      </c>
      <c r="F1206" s="23">
        <v>44673</v>
      </c>
      <c r="G1206" s="1">
        <v>8932</v>
      </c>
    </row>
    <row r="1207" spans="1:7">
      <c r="A1207" t="s">
        <v>5711</v>
      </c>
      <c r="B1207" t="s">
        <v>43</v>
      </c>
      <c r="C1207" t="s">
        <v>1201</v>
      </c>
      <c r="D1207" t="s">
        <v>1200</v>
      </c>
      <c r="E1207" t="s">
        <v>4696</v>
      </c>
      <c r="F1207" s="23">
        <v>44772</v>
      </c>
      <c r="G1207" s="1">
        <v>10864</v>
      </c>
    </row>
    <row r="1208" spans="1:7">
      <c r="A1208" t="s">
        <v>5711</v>
      </c>
      <c r="B1208" t="s">
        <v>94</v>
      </c>
      <c r="C1208" t="s">
        <v>2487</v>
      </c>
      <c r="D1208" t="s">
        <v>2486</v>
      </c>
      <c r="E1208" t="s">
        <v>4697</v>
      </c>
      <c r="F1208" s="23">
        <v>44908</v>
      </c>
      <c r="G1208" s="1">
        <v>3954</v>
      </c>
    </row>
    <row r="1209" spans="1:7">
      <c r="A1209" t="s">
        <v>5711</v>
      </c>
      <c r="B1209" t="s">
        <v>174</v>
      </c>
      <c r="C1209" t="s">
        <v>488</v>
      </c>
      <c r="D1209" t="s">
        <v>487</v>
      </c>
      <c r="E1209" t="s">
        <v>4698</v>
      </c>
      <c r="F1209" s="23">
        <v>44819</v>
      </c>
      <c r="G1209" s="1">
        <v>9075</v>
      </c>
    </row>
    <row r="1210" spans="1:7">
      <c r="A1210" t="s">
        <v>5711</v>
      </c>
      <c r="B1210" t="s">
        <v>37</v>
      </c>
      <c r="C1210" t="s">
        <v>325</v>
      </c>
      <c r="D1210" t="s">
        <v>324</v>
      </c>
      <c r="E1210" t="s">
        <v>4699</v>
      </c>
      <c r="F1210" s="23">
        <v>44421</v>
      </c>
      <c r="G1210" s="1">
        <v>9007</v>
      </c>
    </row>
    <row r="1211" spans="1:7">
      <c r="A1211" t="s">
        <v>5711</v>
      </c>
      <c r="B1211" t="s">
        <v>132</v>
      </c>
      <c r="C1211" t="s">
        <v>914</v>
      </c>
      <c r="D1211" t="s">
        <v>913</v>
      </c>
      <c r="E1211" t="s">
        <v>4700</v>
      </c>
      <c r="F1211" s="23">
        <v>44346</v>
      </c>
      <c r="G1211" s="1">
        <v>16149</v>
      </c>
    </row>
    <row r="1212" spans="1:7">
      <c r="A1212" t="s">
        <v>5711</v>
      </c>
      <c r="B1212" t="s">
        <v>298</v>
      </c>
      <c r="C1212" t="s">
        <v>3445</v>
      </c>
      <c r="D1212" t="s">
        <v>3444</v>
      </c>
      <c r="E1212" t="s">
        <v>4701</v>
      </c>
      <c r="F1212" s="23">
        <v>44346</v>
      </c>
      <c r="G1212" s="1">
        <v>1294</v>
      </c>
    </row>
    <row r="1213" spans="1:7">
      <c r="A1213" t="s">
        <v>5711</v>
      </c>
      <c r="B1213" t="s">
        <v>68</v>
      </c>
      <c r="C1213" t="s">
        <v>1583</v>
      </c>
      <c r="D1213" t="s">
        <v>5618</v>
      </c>
      <c r="E1213" t="s">
        <v>4702</v>
      </c>
      <c r="F1213" s="23">
        <v>44346</v>
      </c>
      <c r="G1213" s="1">
        <v>7826</v>
      </c>
    </row>
    <row r="1214" spans="1:7">
      <c r="A1214" t="s">
        <v>5711</v>
      </c>
      <c r="B1214" t="s">
        <v>826</v>
      </c>
      <c r="C1214" t="s">
        <v>847</v>
      </c>
      <c r="D1214" t="s">
        <v>846</v>
      </c>
      <c r="E1214" t="s">
        <v>4703</v>
      </c>
      <c r="F1214" s="23">
        <v>44854</v>
      </c>
      <c r="G1214" s="1">
        <v>6875</v>
      </c>
    </row>
    <row r="1215" spans="1:7">
      <c r="A1215" t="s">
        <v>5711</v>
      </c>
      <c r="B1215" t="s">
        <v>106</v>
      </c>
      <c r="C1215" t="s">
        <v>2651</v>
      </c>
      <c r="D1215" t="s">
        <v>2650</v>
      </c>
      <c r="E1215" t="s">
        <v>4704</v>
      </c>
      <c r="F1215" s="23">
        <v>44346</v>
      </c>
      <c r="G1215" s="1">
        <v>7918</v>
      </c>
    </row>
    <row r="1216" spans="1:7">
      <c r="A1216" t="s">
        <v>5711</v>
      </c>
      <c r="B1216" t="s">
        <v>106</v>
      </c>
      <c r="C1216" t="s">
        <v>3324</v>
      </c>
      <c r="D1216" t="s">
        <v>3323</v>
      </c>
      <c r="E1216" t="s">
        <v>4705</v>
      </c>
      <c r="F1216" s="23">
        <v>44994</v>
      </c>
      <c r="G1216" s="1">
        <v>2270</v>
      </c>
    </row>
    <row r="1217" spans="1:7">
      <c r="A1217" t="s">
        <v>5711</v>
      </c>
      <c r="B1217" t="s">
        <v>97</v>
      </c>
      <c r="C1217" t="s">
        <v>1522</v>
      </c>
      <c r="D1217" t="s">
        <v>1521</v>
      </c>
      <c r="E1217" t="s">
        <v>4706</v>
      </c>
      <c r="F1217" s="23">
        <v>44346</v>
      </c>
      <c r="G1217" s="1">
        <v>17395</v>
      </c>
    </row>
    <row r="1218" spans="1:7">
      <c r="A1218" t="s">
        <v>5711</v>
      </c>
      <c r="B1218" t="s">
        <v>94</v>
      </c>
      <c r="C1218" t="s">
        <v>2718</v>
      </c>
      <c r="D1218" t="s">
        <v>2717</v>
      </c>
      <c r="E1218" t="s">
        <v>4707</v>
      </c>
      <c r="F1218" s="23">
        <v>44742</v>
      </c>
      <c r="G1218" s="1">
        <v>4321</v>
      </c>
    </row>
    <row r="1219" spans="1:7">
      <c r="A1219" t="s">
        <v>5711</v>
      </c>
      <c r="B1219" t="s">
        <v>122</v>
      </c>
      <c r="C1219" t="s">
        <v>1172</v>
      </c>
      <c r="D1219" t="s">
        <v>1171</v>
      </c>
      <c r="E1219" t="s">
        <v>4708</v>
      </c>
      <c r="F1219" s="23">
        <v>44346</v>
      </c>
      <c r="G1219" s="1">
        <v>14624</v>
      </c>
    </row>
    <row r="1220" spans="1:7">
      <c r="A1220" t="s">
        <v>5711</v>
      </c>
      <c r="B1220" t="s">
        <v>37</v>
      </c>
      <c r="C1220" t="s">
        <v>1099</v>
      </c>
      <c r="D1220" t="s">
        <v>1098</v>
      </c>
      <c r="E1220" t="s">
        <v>4709</v>
      </c>
      <c r="F1220" s="23">
        <v>44346</v>
      </c>
      <c r="G1220" s="1">
        <v>8865</v>
      </c>
    </row>
    <row r="1221" spans="1:7">
      <c r="A1221" t="s">
        <v>5711</v>
      </c>
      <c r="B1221" t="s">
        <v>94</v>
      </c>
      <c r="C1221" t="s">
        <v>3196</v>
      </c>
      <c r="D1221" t="s">
        <v>3195</v>
      </c>
      <c r="E1221" t="s">
        <v>4710</v>
      </c>
      <c r="F1221" s="23">
        <v>44827</v>
      </c>
      <c r="G1221" s="1">
        <v>7302</v>
      </c>
    </row>
    <row r="1222" spans="1:7">
      <c r="A1222" t="s">
        <v>5711</v>
      </c>
      <c r="B1222" t="s">
        <v>298</v>
      </c>
      <c r="C1222" t="s">
        <v>1964</v>
      </c>
      <c r="D1222" t="s">
        <v>2316</v>
      </c>
      <c r="E1222" t="s">
        <v>4711</v>
      </c>
      <c r="F1222" s="23">
        <v>44346</v>
      </c>
      <c r="G1222" s="1">
        <v>15898</v>
      </c>
    </row>
    <row r="1223" spans="1:7">
      <c r="A1223" t="s">
        <v>5711</v>
      </c>
      <c r="B1223" t="s">
        <v>94</v>
      </c>
      <c r="C1223" t="s">
        <v>3490</v>
      </c>
      <c r="D1223" t="s">
        <v>1131</v>
      </c>
      <c r="E1223" t="s">
        <v>4712</v>
      </c>
      <c r="F1223" s="23">
        <v>44346</v>
      </c>
      <c r="G1223" s="1">
        <v>7963</v>
      </c>
    </row>
    <row r="1224" spans="1:7">
      <c r="A1224" t="s">
        <v>5711</v>
      </c>
      <c r="B1224" t="s">
        <v>208</v>
      </c>
      <c r="C1224" t="s">
        <v>1657</v>
      </c>
      <c r="D1224" t="s">
        <v>1655</v>
      </c>
      <c r="E1224" t="s">
        <v>4713</v>
      </c>
      <c r="F1224" s="23">
        <v>44346</v>
      </c>
      <c r="G1224" s="1">
        <v>19704</v>
      </c>
    </row>
    <row r="1225" spans="1:7">
      <c r="A1225" t="s">
        <v>5711</v>
      </c>
      <c r="B1225" t="s">
        <v>236</v>
      </c>
      <c r="C1225" t="s">
        <v>1650</v>
      </c>
      <c r="D1225" t="s">
        <v>1649</v>
      </c>
      <c r="E1225" t="s">
        <v>4714</v>
      </c>
      <c r="F1225" s="23">
        <v>44346</v>
      </c>
      <c r="G1225" s="1">
        <v>6222</v>
      </c>
    </row>
    <row r="1226" spans="1:7">
      <c r="A1226" t="s">
        <v>5711</v>
      </c>
      <c r="B1226" t="s">
        <v>298</v>
      </c>
      <c r="C1226" t="s">
        <v>3201</v>
      </c>
      <c r="D1226" t="s">
        <v>3200</v>
      </c>
      <c r="E1226" t="s">
        <v>4715</v>
      </c>
      <c r="F1226" s="23">
        <v>44346</v>
      </c>
      <c r="G1226" s="1">
        <v>14337</v>
      </c>
    </row>
    <row r="1227" spans="1:7">
      <c r="A1227" t="s">
        <v>5711</v>
      </c>
      <c r="B1227" t="s">
        <v>43</v>
      </c>
      <c r="C1227" t="s">
        <v>1240</v>
      </c>
      <c r="D1227" t="s">
        <v>1239</v>
      </c>
      <c r="E1227" t="s">
        <v>4716</v>
      </c>
      <c r="F1227" s="23">
        <v>44927</v>
      </c>
      <c r="G1227" s="1">
        <v>11243</v>
      </c>
    </row>
    <row r="1228" spans="1:7">
      <c r="A1228" t="s">
        <v>5711</v>
      </c>
      <c r="B1228" t="s">
        <v>208</v>
      </c>
      <c r="C1228" t="s">
        <v>1144</v>
      </c>
      <c r="D1228" t="s">
        <v>1143</v>
      </c>
      <c r="E1228" t="s">
        <v>4717</v>
      </c>
      <c r="F1228" s="23">
        <v>44346</v>
      </c>
      <c r="G1228" s="1">
        <v>16955</v>
      </c>
    </row>
    <row r="1229" spans="1:7">
      <c r="A1229" t="s">
        <v>5711</v>
      </c>
      <c r="B1229" t="s">
        <v>298</v>
      </c>
      <c r="C1229" t="s">
        <v>974</v>
      </c>
      <c r="D1229" t="s">
        <v>3094</v>
      </c>
      <c r="E1229" t="s">
        <v>4718</v>
      </c>
      <c r="F1229" s="23">
        <v>45056</v>
      </c>
      <c r="G1229" s="1">
        <v>10761</v>
      </c>
    </row>
    <row r="1230" spans="1:7">
      <c r="A1230" t="s">
        <v>5711</v>
      </c>
      <c r="B1230" t="s">
        <v>91</v>
      </c>
      <c r="C1230" t="s">
        <v>185</v>
      </c>
      <c r="D1230" t="s">
        <v>5619</v>
      </c>
      <c r="E1230" t="s">
        <v>4719</v>
      </c>
      <c r="F1230" s="23">
        <v>44643</v>
      </c>
      <c r="G1230" s="1">
        <v>9695</v>
      </c>
    </row>
    <row r="1231" spans="1:7">
      <c r="A1231" t="s">
        <v>5711</v>
      </c>
      <c r="B1231" t="s">
        <v>819</v>
      </c>
      <c r="C1231" t="s">
        <v>818</v>
      </c>
      <c r="D1231" t="s">
        <v>817</v>
      </c>
      <c r="E1231" t="s">
        <v>4720</v>
      </c>
      <c r="F1231" s="23">
        <v>44860</v>
      </c>
      <c r="G1231" s="1">
        <v>3853</v>
      </c>
    </row>
    <row r="1232" spans="1:7">
      <c r="A1232" t="s">
        <v>5711</v>
      </c>
      <c r="B1232" t="s">
        <v>68</v>
      </c>
      <c r="C1232" t="s">
        <v>252</v>
      </c>
      <c r="D1232" t="s">
        <v>449</v>
      </c>
      <c r="E1232" t="s">
        <v>4721</v>
      </c>
      <c r="F1232" s="23">
        <v>44346</v>
      </c>
      <c r="G1232" s="1">
        <v>15635</v>
      </c>
    </row>
    <row r="1233" spans="1:7">
      <c r="A1233" t="s">
        <v>5711</v>
      </c>
      <c r="B1233" t="s">
        <v>233</v>
      </c>
      <c r="C1233" t="s">
        <v>2044</v>
      </c>
      <c r="D1233" t="s">
        <v>2043</v>
      </c>
      <c r="E1233" t="s">
        <v>4722</v>
      </c>
      <c r="F1233" s="23">
        <v>44511</v>
      </c>
      <c r="G1233" s="1">
        <v>1944</v>
      </c>
    </row>
    <row r="1234" spans="1:7">
      <c r="A1234" t="s">
        <v>5711</v>
      </c>
      <c r="B1234" t="s">
        <v>94</v>
      </c>
      <c r="C1234" t="s">
        <v>2446</v>
      </c>
      <c r="D1234" t="s">
        <v>2445</v>
      </c>
      <c r="E1234" t="s">
        <v>4723</v>
      </c>
      <c r="F1234" s="23">
        <v>44346</v>
      </c>
      <c r="G1234" s="1">
        <v>18989</v>
      </c>
    </row>
    <row r="1235" spans="1:7">
      <c r="A1235" t="s">
        <v>5711</v>
      </c>
      <c r="B1235" t="s">
        <v>298</v>
      </c>
      <c r="C1235" t="s">
        <v>2057</v>
      </c>
      <c r="D1235" t="s">
        <v>2056</v>
      </c>
      <c r="E1235" t="s">
        <v>4724</v>
      </c>
      <c r="F1235" s="23">
        <v>44967</v>
      </c>
      <c r="G1235" s="1">
        <v>5044</v>
      </c>
    </row>
    <row r="1236" spans="1:7">
      <c r="A1236" t="s">
        <v>5711</v>
      </c>
      <c r="B1236" t="s">
        <v>88</v>
      </c>
      <c r="C1236" t="s">
        <v>1627</v>
      </c>
      <c r="D1236" t="s">
        <v>5620</v>
      </c>
      <c r="E1236" t="s">
        <v>4725</v>
      </c>
      <c r="F1236" s="23">
        <v>44346</v>
      </c>
      <c r="G1236" s="1">
        <v>17885</v>
      </c>
    </row>
    <row r="1237" spans="1:7">
      <c r="A1237" t="s">
        <v>5711</v>
      </c>
      <c r="B1237" t="s">
        <v>43</v>
      </c>
      <c r="C1237" t="s">
        <v>1332</v>
      </c>
      <c r="D1237" t="s">
        <v>1331</v>
      </c>
      <c r="E1237" t="s">
        <v>4726</v>
      </c>
      <c r="F1237" s="23">
        <v>44960</v>
      </c>
      <c r="G1237" s="1">
        <v>2861</v>
      </c>
    </row>
    <row r="1238" spans="1:7">
      <c r="A1238" t="s">
        <v>5711</v>
      </c>
      <c r="B1238" t="s">
        <v>94</v>
      </c>
      <c r="C1238" t="s">
        <v>1887</v>
      </c>
      <c r="D1238" t="s">
        <v>3477</v>
      </c>
      <c r="E1238" t="s">
        <v>4727</v>
      </c>
      <c r="F1238" s="23">
        <v>44346</v>
      </c>
      <c r="G1238" s="1">
        <v>13337</v>
      </c>
    </row>
    <row r="1239" spans="1:7">
      <c r="A1239" t="s">
        <v>5711</v>
      </c>
      <c r="B1239" t="s">
        <v>94</v>
      </c>
      <c r="C1239" t="s">
        <v>3489</v>
      </c>
      <c r="D1239" t="s">
        <v>656</v>
      </c>
      <c r="E1239" t="s">
        <v>4728</v>
      </c>
      <c r="F1239" s="23">
        <v>45028</v>
      </c>
      <c r="G1239" s="1">
        <v>3106</v>
      </c>
    </row>
    <row r="1240" spans="1:7">
      <c r="A1240" t="s">
        <v>5711</v>
      </c>
      <c r="B1240" t="s">
        <v>311</v>
      </c>
      <c r="C1240" t="s">
        <v>1828</v>
      </c>
      <c r="D1240" t="s">
        <v>1827</v>
      </c>
      <c r="E1240" t="s">
        <v>4729</v>
      </c>
      <c r="F1240" s="23">
        <v>44393</v>
      </c>
      <c r="G1240" s="1">
        <v>5358</v>
      </c>
    </row>
    <row r="1241" spans="1:7">
      <c r="A1241" t="s">
        <v>5711</v>
      </c>
      <c r="B1241" t="s">
        <v>46</v>
      </c>
      <c r="C1241" t="s">
        <v>363</v>
      </c>
      <c r="D1241" t="s">
        <v>362</v>
      </c>
      <c r="E1241" t="s">
        <v>4730</v>
      </c>
      <c r="F1241" s="23">
        <v>44346</v>
      </c>
      <c r="G1241" s="1">
        <v>19542</v>
      </c>
    </row>
    <row r="1242" spans="1:7">
      <c r="A1242" t="s">
        <v>5711</v>
      </c>
      <c r="B1242" t="s">
        <v>149</v>
      </c>
      <c r="C1242" t="s">
        <v>1031</v>
      </c>
      <c r="D1242" t="s">
        <v>1030</v>
      </c>
      <c r="E1242" t="s">
        <v>4731</v>
      </c>
      <c r="F1242" s="23">
        <v>44798</v>
      </c>
      <c r="G1242" s="1">
        <v>1312</v>
      </c>
    </row>
    <row r="1243" spans="1:7">
      <c r="A1243" t="s">
        <v>5711</v>
      </c>
      <c r="B1243" t="s">
        <v>106</v>
      </c>
      <c r="C1243" t="s">
        <v>2874</v>
      </c>
      <c r="D1243" t="s">
        <v>2873</v>
      </c>
      <c r="E1243" t="s">
        <v>4732</v>
      </c>
      <c r="F1243" s="23">
        <v>44678</v>
      </c>
      <c r="G1243" s="1">
        <v>9256</v>
      </c>
    </row>
    <row r="1244" spans="1:7">
      <c r="A1244" t="s">
        <v>5711</v>
      </c>
      <c r="B1244" t="s">
        <v>106</v>
      </c>
      <c r="C1244" t="s">
        <v>2387</v>
      </c>
      <c r="D1244" t="s">
        <v>2386</v>
      </c>
      <c r="E1244" t="s">
        <v>4733</v>
      </c>
      <c r="F1244" s="23">
        <v>44346</v>
      </c>
      <c r="G1244" s="1">
        <v>15964</v>
      </c>
    </row>
    <row r="1245" spans="1:7">
      <c r="A1245" t="s">
        <v>5711</v>
      </c>
      <c r="B1245" t="s">
        <v>43</v>
      </c>
      <c r="C1245" t="s">
        <v>62</v>
      </c>
      <c r="D1245" t="s">
        <v>5621</v>
      </c>
      <c r="E1245" t="s">
        <v>4734</v>
      </c>
      <c r="F1245" s="23">
        <v>44953</v>
      </c>
      <c r="G1245" s="1">
        <v>3921</v>
      </c>
    </row>
    <row r="1246" spans="1:7">
      <c r="A1246" t="s">
        <v>5711</v>
      </c>
      <c r="B1246" t="s">
        <v>219</v>
      </c>
      <c r="C1246" t="s">
        <v>1087</v>
      </c>
      <c r="D1246" t="s">
        <v>1086</v>
      </c>
      <c r="E1246" t="s">
        <v>4735</v>
      </c>
      <c r="F1246" s="23">
        <v>44346</v>
      </c>
      <c r="G1246" s="1">
        <v>16144</v>
      </c>
    </row>
    <row r="1247" spans="1:7">
      <c r="A1247" t="s">
        <v>5711</v>
      </c>
      <c r="B1247" t="s">
        <v>91</v>
      </c>
      <c r="C1247" t="s">
        <v>1625</v>
      </c>
      <c r="D1247" t="s">
        <v>5622</v>
      </c>
      <c r="E1247" t="s">
        <v>4736</v>
      </c>
      <c r="F1247" s="23">
        <v>44346</v>
      </c>
      <c r="G1247" s="1">
        <v>13262</v>
      </c>
    </row>
    <row r="1248" spans="1:7">
      <c r="A1248" t="s">
        <v>5711</v>
      </c>
      <c r="B1248" t="s">
        <v>94</v>
      </c>
      <c r="C1248" t="s">
        <v>3212</v>
      </c>
      <c r="D1248" t="s">
        <v>3211</v>
      </c>
      <c r="E1248" t="s">
        <v>4737</v>
      </c>
      <c r="F1248" s="23">
        <v>44996</v>
      </c>
      <c r="G1248" s="1">
        <v>10718</v>
      </c>
    </row>
    <row r="1249" spans="1:7">
      <c r="A1249" t="s">
        <v>5711</v>
      </c>
      <c r="B1249" t="s">
        <v>1154</v>
      </c>
      <c r="C1249" t="s">
        <v>1153</v>
      </c>
      <c r="D1249" t="s">
        <v>1152</v>
      </c>
      <c r="E1249" t="s">
        <v>4738</v>
      </c>
      <c r="F1249" s="23">
        <v>44819</v>
      </c>
      <c r="G1249" s="1">
        <v>10580</v>
      </c>
    </row>
    <row r="1250" spans="1:7">
      <c r="A1250" t="s">
        <v>5711</v>
      </c>
      <c r="B1250" t="s">
        <v>94</v>
      </c>
      <c r="C1250" t="s">
        <v>1887</v>
      </c>
      <c r="D1250" t="s">
        <v>5623</v>
      </c>
      <c r="E1250" t="s">
        <v>4739</v>
      </c>
      <c r="F1250" s="23">
        <v>44346</v>
      </c>
      <c r="G1250" s="1">
        <v>17358</v>
      </c>
    </row>
    <row r="1251" spans="1:7">
      <c r="A1251" t="s">
        <v>5711</v>
      </c>
      <c r="B1251" t="s">
        <v>298</v>
      </c>
      <c r="C1251" t="s">
        <v>3175</v>
      </c>
      <c r="D1251" t="s">
        <v>3174</v>
      </c>
      <c r="E1251" t="s">
        <v>4740</v>
      </c>
      <c r="F1251" s="23">
        <v>44691</v>
      </c>
      <c r="G1251" s="1">
        <v>3056</v>
      </c>
    </row>
    <row r="1252" spans="1:7">
      <c r="A1252" t="s">
        <v>5711</v>
      </c>
      <c r="B1252" t="s">
        <v>1223</v>
      </c>
      <c r="C1252" t="s">
        <v>201</v>
      </c>
      <c r="D1252" t="s">
        <v>2882</v>
      </c>
      <c r="E1252" t="s">
        <v>4741</v>
      </c>
      <c r="F1252" s="23">
        <v>44346</v>
      </c>
      <c r="G1252" s="1">
        <v>17875</v>
      </c>
    </row>
    <row r="1253" spans="1:7">
      <c r="A1253" t="s">
        <v>5711</v>
      </c>
      <c r="B1253" t="s">
        <v>94</v>
      </c>
      <c r="C1253" t="s">
        <v>3488</v>
      </c>
      <c r="D1253" t="s">
        <v>500</v>
      </c>
      <c r="E1253" t="s">
        <v>4742</v>
      </c>
      <c r="F1253" s="23">
        <v>44346</v>
      </c>
      <c r="G1253" s="1">
        <v>17819</v>
      </c>
    </row>
    <row r="1254" spans="1:7">
      <c r="A1254" t="s">
        <v>5711</v>
      </c>
      <c r="B1254" t="s">
        <v>208</v>
      </c>
      <c r="C1254" t="s">
        <v>1795</v>
      </c>
      <c r="D1254" t="s">
        <v>1794</v>
      </c>
      <c r="E1254" t="s">
        <v>4743</v>
      </c>
      <c r="F1254" s="23">
        <v>44346</v>
      </c>
      <c r="G1254" s="1">
        <v>6043</v>
      </c>
    </row>
    <row r="1255" spans="1:7">
      <c r="A1255" t="s">
        <v>5711</v>
      </c>
      <c r="B1255" t="s">
        <v>1223</v>
      </c>
      <c r="C1255" t="s">
        <v>1887</v>
      </c>
      <c r="D1255" t="s">
        <v>2201</v>
      </c>
      <c r="E1255" t="s">
        <v>4744</v>
      </c>
      <c r="F1255" s="23">
        <v>44346</v>
      </c>
      <c r="G1255" s="1">
        <v>13864</v>
      </c>
    </row>
    <row r="1256" spans="1:7">
      <c r="A1256" t="s">
        <v>5711</v>
      </c>
      <c r="B1256" t="s">
        <v>208</v>
      </c>
      <c r="C1256" t="s">
        <v>429</v>
      </c>
      <c r="D1256" t="s">
        <v>428</v>
      </c>
      <c r="E1256" t="s">
        <v>4745</v>
      </c>
      <c r="F1256" s="23">
        <v>44346</v>
      </c>
      <c r="G1256" s="1">
        <v>17044</v>
      </c>
    </row>
    <row r="1257" spans="1:7">
      <c r="A1257" t="s">
        <v>5711</v>
      </c>
      <c r="B1257" t="s">
        <v>233</v>
      </c>
      <c r="C1257" t="s">
        <v>1887</v>
      </c>
      <c r="D1257" t="s">
        <v>2444</v>
      </c>
      <c r="E1257" t="s">
        <v>4746</v>
      </c>
      <c r="F1257" s="23">
        <v>44417</v>
      </c>
      <c r="G1257" s="1">
        <v>1158</v>
      </c>
    </row>
    <row r="1258" spans="1:7">
      <c r="A1258" t="s">
        <v>5711</v>
      </c>
      <c r="B1258" t="s">
        <v>94</v>
      </c>
      <c r="C1258" t="s">
        <v>3486</v>
      </c>
      <c r="D1258" t="s">
        <v>1700</v>
      </c>
      <c r="E1258" t="s">
        <v>4747</v>
      </c>
      <c r="F1258" s="23">
        <v>44925</v>
      </c>
      <c r="G1258" s="1">
        <v>4439</v>
      </c>
    </row>
    <row r="1259" spans="1:7">
      <c r="A1259" t="s">
        <v>5711</v>
      </c>
      <c r="B1259" t="s">
        <v>106</v>
      </c>
      <c r="C1259" t="s">
        <v>1044</v>
      </c>
      <c r="D1259" t="s">
        <v>1043</v>
      </c>
      <c r="E1259" t="s">
        <v>4748</v>
      </c>
      <c r="F1259" s="23">
        <v>44346</v>
      </c>
      <c r="G1259" s="1">
        <v>5537</v>
      </c>
    </row>
    <row r="1260" spans="1:7">
      <c r="A1260" t="s">
        <v>5711</v>
      </c>
      <c r="B1260" t="s">
        <v>43</v>
      </c>
      <c r="C1260" t="s">
        <v>1231</v>
      </c>
      <c r="D1260" t="s">
        <v>1230</v>
      </c>
      <c r="E1260" t="s">
        <v>4749</v>
      </c>
      <c r="F1260" s="23">
        <v>44785</v>
      </c>
      <c r="G1260" s="1">
        <v>7967</v>
      </c>
    </row>
    <row r="1261" spans="1:7">
      <c r="A1261" t="s">
        <v>5711</v>
      </c>
      <c r="B1261" t="s">
        <v>311</v>
      </c>
      <c r="C1261" t="s">
        <v>3122</v>
      </c>
      <c r="D1261" t="s">
        <v>3121</v>
      </c>
      <c r="E1261" t="s">
        <v>4750</v>
      </c>
      <c r="F1261" s="23">
        <v>44900</v>
      </c>
      <c r="G1261" s="1">
        <v>3167</v>
      </c>
    </row>
    <row r="1262" spans="1:7">
      <c r="A1262" t="s">
        <v>5711</v>
      </c>
      <c r="B1262" t="s">
        <v>94</v>
      </c>
      <c r="C1262" t="s">
        <v>1013</v>
      </c>
      <c r="D1262" t="s">
        <v>1012</v>
      </c>
      <c r="E1262" t="s">
        <v>4751</v>
      </c>
      <c r="F1262" s="23">
        <v>45048</v>
      </c>
      <c r="G1262" s="1">
        <v>10272</v>
      </c>
    </row>
    <row r="1263" spans="1:7">
      <c r="A1263" t="s">
        <v>5711</v>
      </c>
      <c r="B1263" t="s">
        <v>101</v>
      </c>
      <c r="C1263" t="s">
        <v>1061</v>
      </c>
      <c r="D1263" t="s">
        <v>1060</v>
      </c>
      <c r="E1263" t="s">
        <v>4752</v>
      </c>
      <c r="F1263" s="23">
        <v>44606</v>
      </c>
      <c r="G1263" s="1">
        <v>4357</v>
      </c>
    </row>
    <row r="1264" spans="1:7">
      <c r="A1264" t="s">
        <v>5711</v>
      </c>
      <c r="B1264" t="s">
        <v>208</v>
      </c>
      <c r="C1264" t="s">
        <v>271</v>
      </c>
      <c r="D1264" t="s">
        <v>270</v>
      </c>
      <c r="E1264" t="s">
        <v>4753</v>
      </c>
      <c r="F1264" s="23">
        <v>44946</v>
      </c>
      <c r="G1264" s="1">
        <v>2165</v>
      </c>
    </row>
    <row r="1265" spans="1:7">
      <c r="A1265" t="s">
        <v>5711</v>
      </c>
      <c r="B1265" t="s">
        <v>311</v>
      </c>
      <c r="C1265" t="s">
        <v>999</v>
      </c>
      <c r="D1265" t="s">
        <v>998</v>
      </c>
      <c r="E1265" t="s">
        <v>4754</v>
      </c>
      <c r="F1265" s="23">
        <v>44346</v>
      </c>
      <c r="G1265" s="1">
        <v>19834</v>
      </c>
    </row>
    <row r="1266" spans="1:7">
      <c r="A1266" t="s">
        <v>5711</v>
      </c>
      <c r="B1266" t="s">
        <v>106</v>
      </c>
      <c r="C1266" t="s">
        <v>2791</v>
      </c>
      <c r="D1266" t="s">
        <v>2790</v>
      </c>
      <c r="E1266" t="s">
        <v>4755</v>
      </c>
      <c r="F1266" s="23">
        <v>44346</v>
      </c>
      <c r="G1266" s="1">
        <v>19501</v>
      </c>
    </row>
    <row r="1267" spans="1:7">
      <c r="A1267" t="s">
        <v>5711</v>
      </c>
      <c r="B1267" t="s">
        <v>311</v>
      </c>
      <c r="C1267" t="s">
        <v>3429</v>
      </c>
      <c r="D1267" t="s">
        <v>3428</v>
      </c>
      <c r="E1267" t="s">
        <v>4756</v>
      </c>
      <c r="F1267" s="23">
        <v>44346</v>
      </c>
      <c r="G1267" s="1">
        <v>10730</v>
      </c>
    </row>
    <row r="1268" spans="1:7">
      <c r="A1268" t="s">
        <v>5711</v>
      </c>
      <c r="B1268" t="s">
        <v>311</v>
      </c>
      <c r="C1268" t="s">
        <v>3090</v>
      </c>
      <c r="D1268" t="s">
        <v>3089</v>
      </c>
      <c r="E1268" t="s">
        <v>4757</v>
      </c>
      <c r="F1268" s="23">
        <v>44346</v>
      </c>
      <c r="G1268" s="1">
        <v>978</v>
      </c>
    </row>
    <row r="1269" spans="1:7">
      <c r="A1269" t="s">
        <v>5711</v>
      </c>
      <c r="B1269" t="s">
        <v>106</v>
      </c>
      <c r="C1269" t="s">
        <v>614</v>
      </c>
      <c r="D1269" t="s">
        <v>613</v>
      </c>
      <c r="E1269" t="s">
        <v>4758</v>
      </c>
      <c r="F1269" s="23">
        <v>44557</v>
      </c>
      <c r="G1269" s="1">
        <v>10996</v>
      </c>
    </row>
    <row r="1270" spans="1:7">
      <c r="A1270" t="s">
        <v>5711</v>
      </c>
      <c r="B1270" t="s">
        <v>106</v>
      </c>
      <c r="C1270" t="s">
        <v>1617</v>
      </c>
      <c r="D1270" t="s">
        <v>1616</v>
      </c>
      <c r="E1270" t="s">
        <v>4759</v>
      </c>
      <c r="F1270" s="23">
        <v>44346</v>
      </c>
      <c r="G1270" s="1">
        <v>17188</v>
      </c>
    </row>
    <row r="1271" spans="1:7">
      <c r="A1271" t="s">
        <v>5711</v>
      </c>
      <c r="B1271" t="s">
        <v>94</v>
      </c>
      <c r="C1271" t="s">
        <v>1887</v>
      </c>
      <c r="D1271" t="s">
        <v>2367</v>
      </c>
      <c r="E1271" t="s">
        <v>4760</v>
      </c>
      <c r="F1271" s="23">
        <v>44346</v>
      </c>
      <c r="G1271" s="1">
        <v>552</v>
      </c>
    </row>
    <row r="1272" spans="1:7">
      <c r="A1272" t="s">
        <v>5711</v>
      </c>
      <c r="B1272" t="s">
        <v>97</v>
      </c>
      <c r="C1272" t="s">
        <v>527</v>
      </c>
      <c r="D1272" t="s">
        <v>5624</v>
      </c>
      <c r="E1272" t="s">
        <v>4761</v>
      </c>
      <c r="F1272" s="23">
        <v>44346</v>
      </c>
      <c r="G1272" s="1">
        <v>3867</v>
      </c>
    </row>
    <row r="1273" spans="1:7">
      <c r="A1273" t="s">
        <v>5711</v>
      </c>
      <c r="B1273" t="s">
        <v>101</v>
      </c>
      <c r="C1273" t="s">
        <v>1203</v>
      </c>
      <c r="D1273" t="s">
        <v>1202</v>
      </c>
      <c r="E1273" t="s">
        <v>4762</v>
      </c>
      <c r="F1273" s="23">
        <v>44432</v>
      </c>
      <c r="G1273" s="1">
        <v>11453</v>
      </c>
    </row>
    <row r="1274" spans="1:7">
      <c r="A1274" t="s">
        <v>5711</v>
      </c>
      <c r="B1274" t="s">
        <v>43</v>
      </c>
      <c r="C1274" t="s">
        <v>1266</v>
      </c>
      <c r="D1274" t="s">
        <v>1265</v>
      </c>
      <c r="E1274" t="s">
        <v>4763</v>
      </c>
      <c r="F1274" s="23">
        <v>44808</v>
      </c>
      <c r="G1274" s="1">
        <v>4077</v>
      </c>
    </row>
    <row r="1275" spans="1:7">
      <c r="A1275" t="s">
        <v>5711</v>
      </c>
      <c r="B1275" t="s">
        <v>94</v>
      </c>
      <c r="C1275" t="s">
        <v>2597</v>
      </c>
      <c r="D1275" t="s">
        <v>2596</v>
      </c>
      <c r="E1275" t="s">
        <v>4764</v>
      </c>
      <c r="F1275" s="23">
        <v>44346</v>
      </c>
      <c r="G1275" s="1">
        <v>1033</v>
      </c>
    </row>
    <row r="1276" spans="1:7">
      <c r="A1276" t="s">
        <v>5711</v>
      </c>
      <c r="B1276" t="s">
        <v>106</v>
      </c>
      <c r="C1276" t="s">
        <v>2054</v>
      </c>
      <c r="D1276" t="s">
        <v>2053</v>
      </c>
      <c r="E1276" t="s">
        <v>4765</v>
      </c>
      <c r="F1276" s="23">
        <v>44346</v>
      </c>
      <c r="G1276" s="1">
        <v>6376</v>
      </c>
    </row>
    <row r="1277" spans="1:7">
      <c r="A1277" t="s">
        <v>5711</v>
      </c>
      <c r="B1277" t="s">
        <v>94</v>
      </c>
      <c r="C1277" t="s">
        <v>3231</v>
      </c>
      <c r="D1277" t="s">
        <v>5625</v>
      </c>
      <c r="E1277" t="s">
        <v>4766</v>
      </c>
      <c r="F1277" s="23">
        <v>44346</v>
      </c>
      <c r="G1277" s="1">
        <v>14781</v>
      </c>
    </row>
    <row r="1278" spans="1:7">
      <c r="A1278" t="s">
        <v>5711</v>
      </c>
      <c r="B1278" t="s">
        <v>122</v>
      </c>
      <c r="C1278" t="s">
        <v>821</v>
      </c>
      <c r="D1278" t="s">
        <v>5626</v>
      </c>
      <c r="E1278" t="s">
        <v>4767</v>
      </c>
      <c r="F1278" s="23">
        <v>44346</v>
      </c>
      <c r="G1278" s="1">
        <v>12613</v>
      </c>
    </row>
    <row r="1279" spans="1:7">
      <c r="A1279" t="s">
        <v>5711</v>
      </c>
      <c r="B1279" t="s">
        <v>75</v>
      </c>
      <c r="C1279" t="s">
        <v>691</v>
      </c>
      <c r="D1279" t="s">
        <v>690</v>
      </c>
      <c r="E1279" t="s">
        <v>4768</v>
      </c>
      <c r="F1279" s="23">
        <v>44346</v>
      </c>
      <c r="G1279" s="1">
        <v>9361</v>
      </c>
    </row>
    <row r="1280" spans="1:7">
      <c r="A1280" t="s">
        <v>5711</v>
      </c>
      <c r="B1280" t="s">
        <v>106</v>
      </c>
      <c r="C1280" t="s">
        <v>2767</v>
      </c>
      <c r="D1280" t="s">
        <v>2766</v>
      </c>
      <c r="E1280" t="s">
        <v>4769</v>
      </c>
      <c r="F1280" s="23">
        <v>44346</v>
      </c>
      <c r="G1280" s="1">
        <v>19448</v>
      </c>
    </row>
    <row r="1281" spans="1:7">
      <c r="A1281" t="s">
        <v>5711</v>
      </c>
      <c r="B1281" t="s">
        <v>43</v>
      </c>
      <c r="C1281" t="s">
        <v>739</v>
      </c>
      <c r="D1281" t="s">
        <v>738</v>
      </c>
      <c r="E1281" t="s">
        <v>4770</v>
      </c>
      <c r="F1281" s="23">
        <v>44346</v>
      </c>
      <c r="G1281" s="1">
        <v>6086</v>
      </c>
    </row>
    <row r="1282" spans="1:7">
      <c r="A1282" t="s">
        <v>5711</v>
      </c>
      <c r="B1282" t="s">
        <v>106</v>
      </c>
      <c r="C1282" t="s">
        <v>1991</v>
      </c>
      <c r="D1282" t="s">
        <v>1990</v>
      </c>
      <c r="E1282" t="s">
        <v>4771</v>
      </c>
      <c r="F1282" s="23">
        <v>44636</v>
      </c>
      <c r="G1282" s="1">
        <v>1515</v>
      </c>
    </row>
    <row r="1283" spans="1:7">
      <c r="A1283" t="s">
        <v>5711</v>
      </c>
      <c r="B1283" t="s">
        <v>94</v>
      </c>
      <c r="C1283" t="s">
        <v>2466</v>
      </c>
      <c r="D1283" t="s">
        <v>5627</v>
      </c>
      <c r="E1283" t="s">
        <v>4772</v>
      </c>
      <c r="F1283" s="23">
        <v>45032</v>
      </c>
      <c r="G1283" s="1">
        <v>3110</v>
      </c>
    </row>
    <row r="1284" spans="1:7">
      <c r="A1284" t="s">
        <v>5711</v>
      </c>
      <c r="B1284" t="s">
        <v>233</v>
      </c>
      <c r="C1284" t="s">
        <v>2637</v>
      </c>
      <c r="D1284" t="s">
        <v>2636</v>
      </c>
      <c r="E1284" t="s">
        <v>4773</v>
      </c>
      <c r="F1284" s="23">
        <v>44507</v>
      </c>
      <c r="G1284" s="1">
        <v>5209</v>
      </c>
    </row>
    <row r="1285" spans="1:7">
      <c r="A1285" t="s">
        <v>5711</v>
      </c>
      <c r="B1285" t="s">
        <v>106</v>
      </c>
      <c r="C1285" t="s">
        <v>3233</v>
      </c>
      <c r="D1285" t="s">
        <v>3232</v>
      </c>
      <c r="E1285" t="s">
        <v>4774</v>
      </c>
      <c r="F1285" s="23">
        <v>44346</v>
      </c>
      <c r="G1285" s="1">
        <v>11168</v>
      </c>
    </row>
    <row r="1286" spans="1:7">
      <c r="A1286" t="s">
        <v>5711</v>
      </c>
      <c r="B1286" t="s">
        <v>311</v>
      </c>
      <c r="C1286" t="s">
        <v>1819</v>
      </c>
      <c r="D1286" t="s">
        <v>1818</v>
      </c>
      <c r="E1286" t="s">
        <v>4775</v>
      </c>
      <c r="F1286" s="23">
        <v>44728</v>
      </c>
      <c r="G1286" s="1">
        <v>10549</v>
      </c>
    </row>
    <row r="1287" spans="1:7">
      <c r="A1287" t="s">
        <v>5711</v>
      </c>
      <c r="B1287" t="s">
        <v>94</v>
      </c>
      <c r="C1287" t="s">
        <v>3487</v>
      </c>
      <c r="D1287" t="s">
        <v>1501</v>
      </c>
      <c r="E1287" t="s">
        <v>4776</v>
      </c>
      <c r="F1287" s="23">
        <v>44745</v>
      </c>
      <c r="G1287" s="1">
        <v>2795</v>
      </c>
    </row>
    <row r="1288" spans="1:7">
      <c r="A1288" t="s">
        <v>5711</v>
      </c>
      <c r="B1288" t="s">
        <v>37</v>
      </c>
      <c r="C1288" t="s">
        <v>538</v>
      </c>
      <c r="D1288" t="s">
        <v>537</v>
      </c>
      <c r="E1288" t="s">
        <v>4777</v>
      </c>
      <c r="F1288" s="23">
        <v>45028</v>
      </c>
      <c r="G1288" s="1">
        <v>5724</v>
      </c>
    </row>
    <row r="1289" spans="1:7">
      <c r="A1289" t="s">
        <v>5711</v>
      </c>
      <c r="B1289" t="s">
        <v>106</v>
      </c>
      <c r="C1289" t="s">
        <v>829</v>
      </c>
      <c r="D1289" t="s">
        <v>3049</v>
      </c>
      <c r="E1289" t="s">
        <v>4778</v>
      </c>
      <c r="F1289" s="23">
        <v>44346</v>
      </c>
      <c r="G1289" s="1">
        <v>11962</v>
      </c>
    </row>
    <row r="1290" spans="1:7">
      <c r="A1290" t="s">
        <v>5711</v>
      </c>
      <c r="B1290" t="s">
        <v>94</v>
      </c>
      <c r="C1290" t="s">
        <v>3486</v>
      </c>
      <c r="D1290" t="s">
        <v>543</v>
      </c>
      <c r="E1290" t="s">
        <v>4779</v>
      </c>
      <c r="F1290" s="23">
        <v>44355</v>
      </c>
      <c r="G1290" s="1">
        <v>4385</v>
      </c>
    </row>
    <row r="1291" spans="1:7">
      <c r="A1291" t="s">
        <v>5711</v>
      </c>
      <c r="B1291" t="s">
        <v>101</v>
      </c>
      <c r="C1291" t="s">
        <v>717</v>
      </c>
      <c r="D1291" t="s">
        <v>716</v>
      </c>
      <c r="E1291" t="s">
        <v>4780</v>
      </c>
      <c r="F1291" s="23">
        <v>44821</v>
      </c>
      <c r="G1291" s="1">
        <v>7482</v>
      </c>
    </row>
    <row r="1292" spans="1:7">
      <c r="A1292" t="s">
        <v>5711</v>
      </c>
      <c r="B1292" t="s">
        <v>75</v>
      </c>
      <c r="C1292" t="s">
        <v>693</v>
      </c>
      <c r="D1292" t="s">
        <v>692</v>
      </c>
      <c r="E1292" t="s">
        <v>4781</v>
      </c>
      <c r="F1292" s="23">
        <v>44694</v>
      </c>
      <c r="G1292" s="1">
        <v>10377</v>
      </c>
    </row>
    <row r="1293" spans="1:7">
      <c r="A1293" t="s">
        <v>5711</v>
      </c>
      <c r="B1293" t="s">
        <v>94</v>
      </c>
      <c r="C1293" t="s">
        <v>3011</v>
      </c>
      <c r="D1293" t="s">
        <v>3010</v>
      </c>
      <c r="E1293" t="s">
        <v>4782</v>
      </c>
      <c r="F1293" s="23">
        <v>44346</v>
      </c>
      <c r="G1293" s="1">
        <v>18294</v>
      </c>
    </row>
    <row r="1294" spans="1:7">
      <c r="A1294" t="s">
        <v>5711</v>
      </c>
      <c r="B1294" t="s">
        <v>94</v>
      </c>
      <c r="C1294" t="s">
        <v>3330</v>
      </c>
      <c r="D1294" t="s">
        <v>5628</v>
      </c>
      <c r="E1294" t="s">
        <v>4783</v>
      </c>
      <c r="F1294" s="23">
        <v>44346</v>
      </c>
      <c r="G1294" s="1">
        <v>14726</v>
      </c>
    </row>
    <row r="1295" spans="1:7">
      <c r="A1295" t="s">
        <v>5711</v>
      </c>
      <c r="B1295" t="s">
        <v>68</v>
      </c>
      <c r="C1295" t="s">
        <v>407</v>
      </c>
      <c r="D1295" t="s">
        <v>406</v>
      </c>
      <c r="E1295" t="s">
        <v>4784</v>
      </c>
      <c r="F1295" s="23">
        <v>44504</v>
      </c>
      <c r="G1295" s="1">
        <v>11546</v>
      </c>
    </row>
    <row r="1296" spans="1:7">
      <c r="A1296" t="s">
        <v>5711</v>
      </c>
      <c r="B1296" t="s">
        <v>94</v>
      </c>
      <c r="C1296" t="s">
        <v>1903</v>
      </c>
      <c r="D1296" t="s">
        <v>3348</v>
      </c>
      <c r="E1296" t="s">
        <v>4785</v>
      </c>
      <c r="F1296" s="23">
        <v>44346</v>
      </c>
      <c r="G1296" s="1">
        <v>15128</v>
      </c>
    </row>
    <row r="1297" spans="1:7">
      <c r="A1297" t="s">
        <v>5711</v>
      </c>
      <c r="B1297" t="s">
        <v>94</v>
      </c>
      <c r="C1297" t="s">
        <v>1013</v>
      </c>
      <c r="D1297" t="s">
        <v>2534</v>
      </c>
      <c r="E1297" t="s">
        <v>4786</v>
      </c>
      <c r="F1297" s="23">
        <v>44356</v>
      </c>
      <c r="G1297" s="1">
        <v>4854</v>
      </c>
    </row>
    <row r="1298" spans="1:7">
      <c r="A1298" t="s">
        <v>5711</v>
      </c>
      <c r="B1298" t="s">
        <v>106</v>
      </c>
      <c r="C1298" t="s">
        <v>2989</v>
      </c>
      <c r="D1298" t="s">
        <v>2988</v>
      </c>
      <c r="E1298" t="s">
        <v>4787</v>
      </c>
      <c r="F1298" s="23">
        <v>44346</v>
      </c>
      <c r="G1298" s="1">
        <v>14529</v>
      </c>
    </row>
    <row r="1299" spans="1:7">
      <c r="A1299" t="s">
        <v>5711</v>
      </c>
      <c r="B1299" t="s">
        <v>106</v>
      </c>
      <c r="C1299" t="s">
        <v>3218</v>
      </c>
      <c r="D1299" t="s">
        <v>3217</v>
      </c>
      <c r="E1299" t="s">
        <v>4788</v>
      </c>
      <c r="F1299" s="23">
        <v>44346</v>
      </c>
      <c r="G1299" s="1">
        <v>17662</v>
      </c>
    </row>
    <row r="1300" spans="1:7">
      <c r="A1300" t="s">
        <v>5711</v>
      </c>
      <c r="B1300" t="s">
        <v>480</v>
      </c>
      <c r="C1300" t="s">
        <v>1520</v>
      </c>
      <c r="D1300" t="s">
        <v>1519</v>
      </c>
      <c r="E1300" t="s">
        <v>4789</v>
      </c>
      <c r="F1300" s="23">
        <v>44346</v>
      </c>
      <c r="G1300" s="1">
        <v>6748</v>
      </c>
    </row>
    <row r="1301" spans="1:7">
      <c r="A1301" t="s">
        <v>5711</v>
      </c>
      <c r="B1301" t="s">
        <v>72</v>
      </c>
      <c r="C1301" t="s">
        <v>520</v>
      </c>
      <c r="D1301" t="s">
        <v>519</v>
      </c>
      <c r="E1301" t="s">
        <v>4790</v>
      </c>
      <c r="F1301" s="23">
        <v>44346</v>
      </c>
      <c r="G1301" s="1">
        <v>17482</v>
      </c>
    </row>
    <row r="1302" spans="1:7">
      <c r="A1302" t="s">
        <v>5711</v>
      </c>
      <c r="B1302" t="s">
        <v>91</v>
      </c>
      <c r="C1302" t="s">
        <v>90</v>
      </c>
      <c r="D1302" t="s">
        <v>89</v>
      </c>
      <c r="E1302" t="s">
        <v>4791</v>
      </c>
      <c r="F1302" s="23">
        <v>44346</v>
      </c>
      <c r="G1302" s="1">
        <v>12601</v>
      </c>
    </row>
    <row r="1303" spans="1:7">
      <c r="A1303" t="s">
        <v>5711</v>
      </c>
      <c r="B1303" t="s">
        <v>43</v>
      </c>
      <c r="C1303" t="s">
        <v>1310</v>
      </c>
      <c r="D1303" t="s">
        <v>1426</v>
      </c>
      <c r="E1303" t="s">
        <v>4792</v>
      </c>
      <c r="F1303" s="23">
        <v>44346</v>
      </c>
      <c r="G1303" s="1">
        <v>16728</v>
      </c>
    </row>
    <row r="1304" spans="1:7">
      <c r="A1304" t="s">
        <v>5711</v>
      </c>
      <c r="B1304" t="s">
        <v>367</v>
      </c>
      <c r="C1304" t="s">
        <v>705</v>
      </c>
      <c r="D1304" t="s">
        <v>704</v>
      </c>
      <c r="E1304" t="s">
        <v>4793</v>
      </c>
      <c r="F1304" s="23">
        <v>44346</v>
      </c>
      <c r="G1304" s="1">
        <v>19385</v>
      </c>
    </row>
    <row r="1305" spans="1:7">
      <c r="A1305" t="s">
        <v>5711</v>
      </c>
      <c r="B1305" t="s">
        <v>497</v>
      </c>
      <c r="C1305" t="s">
        <v>496</v>
      </c>
      <c r="D1305" t="s">
        <v>495</v>
      </c>
      <c r="E1305" t="s">
        <v>4794</v>
      </c>
      <c r="F1305" s="23">
        <v>44346</v>
      </c>
      <c r="G1305" s="1">
        <v>4865</v>
      </c>
    </row>
    <row r="1306" spans="1:7">
      <c r="A1306" t="s">
        <v>5711</v>
      </c>
      <c r="B1306" t="s">
        <v>94</v>
      </c>
      <c r="C1306" t="s">
        <v>3486</v>
      </c>
      <c r="D1306" t="s">
        <v>1836</v>
      </c>
      <c r="E1306" t="s">
        <v>4795</v>
      </c>
      <c r="F1306" s="23">
        <v>44634</v>
      </c>
      <c r="G1306" s="1">
        <v>9756</v>
      </c>
    </row>
    <row r="1307" spans="1:7">
      <c r="A1307" t="s">
        <v>5711</v>
      </c>
      <c r="B1307" t="s">
        <v>94</v>
      </c>
      <c r="C1307" t="s">
        <v>3486</v>
      </c>
      <c r="D1307" t="s">
        <v>1365</v>
      </c>
      <c r="E1307" t="s">
        <v>4796</v>
      </c>
      <c r="F1307" s="23">
        <v>44346</v>
      </c>
      <c r="G1307" s="1">
        <v>2431</v>
      </c>
    </row>
    <row r="1308" spans="1:7">
      <c r="A1308" t="s">
        <v>5711</v>
      </c>
      <c r="B1308" t="s">
        <v>94</v>
      </c>
      <c r="C1308" t="s">
        <v>1467</v>
      </c>
      <c r="D1308" t="s">
        <v>1466</v>
      </c>
      <c r="E1308" t="s">
        <v>4797</v>
      </c>
      <c r="F1308" s="23">
        <v>44346</v>
      </c>
      <c r="G1308" s="1">
        <v>7902</v>
      </c>
    </row>
    <row r="1309" spans="1:7">
      <c r="A1309" t="s">
        <v>5711</v>
      </c>
      <c r="B1309" t="s">
        <v>94</v>
      </c>
      <c r="C1309" t="s">
        <v>3489</v>
      </c>
      <c r="D1309" t="s">
        <v>991</v>
      </c>
      <c r="E1309" t="s">
        <v>4798</v>
      </c>
      <c r="F1309" s="23">
        <v>44749</v>
      </c>
      <c r="G1309" s="1">
        <v>595</v>
      </c>
    </row>
    <row r="1310" spans="1:7">
      <c r="A1310" t="s">
        <v>5711</v>
      </c>
      <c r="B1310" t="s">
        <v>94</v>
      </c>
      <c r="C1310" t="s">
        <v>3456</v>
      </c>
      <c r="D1310" t="s">
        <v>3455</v>
      </c>
      <c r="E1310" t="s">
        <v>4799</v>
      </c>
      <c r="F1310" s="23">
        <v>44346</v>
      </c>
      <c r="G1310" s="1">
        <v>15449</v>
      </c>
    </row>
    <row r="1311" spans="1:7">
      <c r="A1311" t="s">
        <v>5711</v>
      </c>
      <c r="B1311" t="s">
        <v>389</v>
      </c>
      <c r="C1311" t="s">
        <v>388</v>
      </c>
      <c r="D1311" t="s">
        <v>387</v>
      </c>
      <c r="E1311" t="s">
        <v>4800</v>
      </c>
      <c r="F1311" s="23">
        <v>44346</v>
      </c>
      <c r="G1311" s="1">
        <v>18914</v>
      </c>
    </row>
    <row r="1312" spans="1:7">
      <c r="A1312" t="s">
        <v>5711</v>
      </c>
      <c r="B1312" t="s">
        <v>298</v>
      </c>
      <c r="C1312" t="s">
        <v>2869</v>
      </c>
      <c r="D1312" t="s">
        <v>2868</v>
      </c>
      <c r="E1312" t="s">
        <v>4801</v>
      </c>
      <c r="F1312" s="23">
        <v>44346</v>
      </c>
      <c r="G1312" s="1">
        <v>19898</v>
      </c>
    </row>
    <row r="1313" spans="1:7">
      <c r="A1313" t="s">
        <v>5711</v>
      </c>
      <c r="B1313" t="s">
        <v>94</v>
      </c>
      <c r="C1313" t="s">
        <v>3486</v>
      </c>
      <c r="D1313" t="s">
        <v>834</v>
      </c>
      <c r="E1313" t="s">
        <v>4802</v>
      </c>
      <c r="F1313" s="23">
        <v>44346</v>
      </c>
      <c r="G1313" s="1">
        <v>12378</v>
      </c>
    </row>
    <row r="1314" spans="1:7">
      <c r="A1314" t="s">
        <v>5711</v>
      </c>
      <c r="B1314" t="s">
        <v>298</v>
      </c>
      <c r="C1314" t="s">
        <v>365</v>
      </c>
      <c r="D1314" t="s">
        <v>364</v>
      </c>
      <c r="E1314" t="s">
        <v>4803</v>
      </c>
      <c r="F1314" s="23">
        <v>44663</v>
      </c>
      <c r="G1314" s="1">
        <v>965</v>
      </c>
    </row>
    <row r="1315" spans="1:7">
      <c r="A1315" t="s">
        <v>5711</v>
      </c>
      <c r="B1315" t="s">
        <v>233</v>
      </c>
      <c r="C1315" t="s">
        <v>2777</v>
      </c>
      <c r="D1315" t="s">
        <v>2776</v>
      </c>
      <c r="E1315" t="s">
        <v>4804</v>
      </c>
      <c r="F1315" s="23">
        <v>45061</v>
      </c>
      <c r="G1315" s="1">
        <v>11906</v>
      </c>
    </row>
    <row r="1316" spans="1:7">
      <c r="A1316" t="s">
        <v>5711</v>
      </c>
      <c r="B1316" t="s">
        <v>94</v>
      </c>
      <c r="C1316" t="s">
        <v>2741</v>
      </c>
      <c r="D1316" t="s">
        <v>3020</v>
      </c>
      <c r="E1316" t="s">
        <v>4805</v>
      </c>
      <c r="F1316" s="23">
        <v>44957</v>
      </c>
      <c r="G1316" s="1">
        <v>8865</v>
      </c>
    </row>
    <row r="1317" spans="1:7">
      <c r="A1317" t="s">
        <v>5711</v>
      </c>
      <c r="B1317" t="s">
        <v>43</v>
      </c>
      <c r="C1317" t="s">
        <v>1590</v>
      </c>
      <c r="D1317" t="s">
        <v>5629</v>
      </c>
      <c r="E1317" t="s">
        <v>4806</v>
      </c>
      <c r="F1317" s="23">
        <v>44346</v>
      </c>
      <c r="G1317" s="1">
        <v>1869</v>
      </c>
    </row>
    <row r="1318" spans="1:7">
      <c r="A1318" t="s">
        <v>5711</v>
      </c>
      <c r="B1318" t="s">
        <v>106</v>
      </c>
      <c r="C1318" t="s">
        <v>2498</v>
      </c>
      <c r="D1318" t="s">
        <v>2497</v>
      </c>
      <c r="E1318" t="s">
        <v>4807</v>
      </c>
      <c r="F1318" s="23">
        <v>44681</v>
      </c>
      <c r="G1318" s="1">
        <v>2104</v>
      </c>
    </row>
    <row r="1319" spans="1:7">
      <c r="A1319" t="s">
        <v>5711</v>
      </c>
      <c r="B1319" t="s">
        <v>94</v>
      </c>
      <c r="C1319" t="s">
        <v>2545</v>
      </c>
      <c r="D1319" t="s">
        <v>2544</v>
      </c>
      <c r="E1319" t="s">
        <v>4808</v>
      </c>
      <c r="F1319" s="23">
        <v>44838</v>
      </c>
      <c r="G1319" s="1">
        <v>1926</v>
      </c>
    </row>
    <row r="1320" spans="1:7">
      <c r="A1320" t="s">
        <v>5711</v>
      </c>
      <c r="B1320" t="s">
        <v>1223</v>
      </c>
      <c r="C1320" t="s">
        <v>3249</v>
      </c>
      <c r="D1320" t="s">
        <v>3248</v>
      </c>
      <c r="E1320" t="s">
        <v>4809</v>
      </c>
      <c r="F1320" s="23">
        <v>44605</v>
      </c>
      <c r="G1320" s="1">
        <v>9213</v>
      </c>
    </row>
    <row r="1321" spans="1:7">
      <c r="A1321" t="s">
        <v>5711</v>
      </c>
      <c r="B1321" t="s">
        <v>298</v>
      </c>
      <c r="C1321" t="s">
        <v>2236</v>
      </c>
      <c r="D1321" t="s">
        <v>2234</v>
      </c>
      <c r="E1321" t="s">
        <v>4810</v>
      </c>
      <c r="F1321" s="23">
        <v>44554</v>
      </c>
      <c r="G1321" s="1">
        <v>2951</v>
      </c>
    </row>
    <row r="1322" spans="1:7">
      <c r="A1322" t="s">
        <v>5711</v>
      </c>
      <c r="B1322" t="s">
        <v>106</v>
      </c>
      <c r="C1322" t="s">
        <v>355</v>
      </c>
      <c r="D1322" t="s">
        <v>2541</v>
      </c>
      <c r="E1322" t="s">
        <v>4811</v>
      </c>
      <c r="F1322" s="23">
        <v>44346</v>
      </c>
      <c r="G1322" s="1">
        <v>6477</v>
      </c>
    </row>
    <row r="1323" spans="1:7">
      <c r="A1323" t="s">
        <v>5711</v>
      </c>
      <c r="B1323" t="s">
        <v>101</v>
      </c>
      <c r="C1323" t="s">
        <v>347</v>
      </c>
      <c r="D1323" t="s">
        <v>346</v>
      </c>
      <c r="E1323" t="s">
        <v>4812</v>
      </c>
      <c r="F1323" s="23">
        <v>44953</v>
      </c>
      <c r="G1323" s="1">
        <v>2634</v>
      </c>
    </row>
    <row r="1324" spans="1:7">
      <c r="A1324" t="s">
        <v>5711</v>
      </c>
      <c r="B1324" t="s">
        <v>298</v>
      </c>
      <c r="C1324" t="s">
        <v>126</v>
      </c>
      <c r="D1324" t="s">
        <v>2165</v>
      </c>
      <c r="E1324" t="s">
        <v>4813</v>
      </c>
      <c r="F1324" s="23">
        <v>44346</v>
      </c>
      <c r="G1324" s="1">
        <v>2707</v>
      </c>
    </row>
    <row r="1325" spans="1:7">
      <c r="A1325" t="s">
        <v>5711</v>
      </c>
      <c r="B1325" t="s">
        <v>94</v>
      </c>
      <c r="C1325" t="s">
        <v>3486</v>
      </c>
      <c r="D1325" t="s">
        <v>1457</v>
      </c>
      <c r="E1325" t="s">
        <v>4814</v>
      </c>
      <c r="F1325" s="23">
        <v>44720</v>
      </c>
      <c r="G1325" s="1">
        <v>5168</v>
      </c>
    </row>
    <row r="1326" spans="1:7">
      <c r="A1326" t="s">
        <v>5711</v>
      </c>
      <c r="B1326" t="s">
        <v>311</v>
      </c>
      <c r="C1326" t="s">
        <v>2123</v>
      </c>
      <c r="D1326" t="s">
        <v>2122</v>
      </c>
      <c r="E1326" t="s">
        <v>4815</v>
      </c>
      <c r="F1326" s="23">
        <v>44567</v>
      </c>
      <c r="G1326" s="1">
        <v>717</v>
      </c>
    </row>
    <row r="1327" spans="1:7">
      <c r="A1327" t="s">
        <v>5711</v>
      </c>
      <c r="B1327" t="s">
        <v>174</v>
      </c>
      <c r="C1327" t="s">
        <v>216</v>
      </c>
      <c r="D1327" t="s">
        <v>215</v>
      </c>
      <c r="E1327" t="s">
        <v>4816</v>
      </c>
      <c r="F1327" s="23">
        <v>44352</v>
      </c>
      <c r="G1327" s="1">
        <v>2331</v>
      </c>
    </row>
    <row r="1328" spans="1:7">
      <c r="A1328" t="s">
        <v>5711</v>
      </c>
      <c r="B1328" t="s">
        <v>106</v>
      </c>
      <c r="C1328" t="s">
        <v>2108</v>
      </c>
      <c r="D1328" t="s">
        <v>2107</v>
      </c>
      <c r="E1328" t="s">
        <v>4817</v>
      </c>
      <c r="F1328" s="23">
        <v>44346</v>
      </c>
      <c r="G1328" s="1">
        <v>4136</v>
      </c>
    </row>
    <row r="1329" spans="1:7">
      <c r="A1329" t="s">
        <v>5711</v>
      </c>
      <c r="B1329" t="s">
        <v>106</v>
      </c>
      <c r="C1329" t="s">
        <v>3160</v>
      </c>
      <c r="D1329" t="s">
        <v>3159</v>
      </c>
      <c r="E1329" t="s">
        <v>4818</v>
      </c>
      <c r="F1329" s="23">
        <v>44346</v>
      </c>
      <c r="G1329" s="1">
        <v>13943</v>
      </c>
    </row>
    <row r="1330" spans="1:7">
      <c r="A1330" t="s">
        <v>5711</v>
      </c>
      <c r="B1330" t="s">
        <v>94</v>
      </c>
      <c r="C1330" t="s">
        <v>3486</v>
      </c>
      <c r="D1330" t="s">
        <v>924</v>
      </c>
      <c r="E1330" t="s">
        <v>4819</v>
      </c>
      <c r="F1330" s="23">
        <v>44531</v>
      </c>
      <c r="G1330" s="1">
        <v>7658</v>
      </c>
    </row>
    <row r="1331" spans="1:7">
      <c r="A1331" t="s">
        <v>5711</v>
      </c>
      <c r="B1331" t="s">
        <v>106</v>
      </c>
      <c r="C1331" t="s">
        <v>680</v>
      </c>
      <c r="D1331" t="s">
        <v>679</v>
      </c>
      <c r="E1331" t="s">
        <v>4820</v>
      </c>
      <c r="F1331" s="23">
        <v>44346</v>
      </c>
      <c r="G1331" s="1">
        <v>16412</v>
      </c>
    </row>
    <row r="1332" spans="1:7">
      <c r="A1332" t="s">
        <v>5711</v>
      </c>
      <c r="B1332" t="s">
        <v>473</v>
      </c>
      <c r="C1332" t="s">
        <v>936</v>
      </c>
      <c r="D1332" t="s">
        <v>935</v>
      </c>
      <c r="E1332" t="s">
        <v>4821</v>
      </c>
      <c r="F1332" s="23">
        <v>44346</v>
      </c>
      <c r="G1332" s="1">
        <v>17827</v>
      </c>
    </row>
    <row r="1333" spans="1:7">
      <c r="A1333" t="s">
        <v>5711</v>
      </c>
      <c r="B1333" t="s">
        <v>94</v>
      </c>
      <c r="C1333" t="s">
        <v>3490</v>
      </c>
      <c r="D1333" t="s">
        <v>532</v>
      </c>
      <c r="E1333" t="s">
        <v>4822</v>
      </c>
      <c r="F1333" s="23">
        <v>44583</v>
      </c>
      <c r="G1333" s="1">
        <v>10455</v>
      </c>
    </row>
    <row r="1334" spans="1:7">
      <c r="A1334" t="s">
        <v>5711</v>
      </c>
      <c r="B1334" t="s">
        <v>91</v>
      </c>
      <c r="C1334" t="s">
        <v>204</v>
      </c>
      <c r="D1334" t="s">
        <v>203</v>
      </c>
      <c r="E1334" t="s">
        <v>4823</v>
      </c>
      <c r="F1334" s="23">
        <v>44346</v>
      </c>
      <c r="G1334" s="1">
        <v>12590</v>
      </c>
    </row>
    <row r="1335" spans="1:7">
      <c r="A1335" t="s">
        <v>5711</v>
      </c>
      <c r="B1335" t="s">
        <v>94</v>
      </c>
      <c r="C1335" t="s">
        <v>3291</v>
      </c>
      <c r="D1335" t="s">
        <v>3290</v>
      </c>
      <c r="E1335" t="s">
        <v>4824</v>
      </c>
      <c r="F1335" s="23">
        <v>44346</v>
      </c>
      <c r="G1335" s="1">
        <v>14915</v>
      </c>
    </row>
    <row r="1336" spans="1:7">
      <c r="A1336" t="s">
        <v>5711</v>
      </c>
      <c r="B1336" t="s">
        <v>208</v>
      </c>
      <c r="C1336" t="s">
        <v>207</v>
      </c>
      <c r="D1336" t="s">
        <v>206</v>
      </c>
      <c r="E1336" t="s">
        <v>4825</v>
      </c>
      <c r="F1336" s="23">
        <v>44871</v>
      </c>
      <c r="G1336" s="1">
        <v>10997</v>
      </c>
    </row>
    <row r="1337" spans="1:7">
      <c r="A1337" t="s">
        <v>5711</v>
      </c>
      <c r="B1337" t="s">
        <v>94</v>
      </c>
      <c r="C1337" t="s">
        <v>3489</v>
      </c>
      <c r="D1337" t="s">
        <v>1734</v>
      </c>
      <c r="E1337" t="s">
        <v>4826</v>
      </c>
      <c r="F1337" s="23">
        <v>44346</v>
      </c>
      <c r="G1337" s="1">
        <v>17000</v>
      </c>
    </row>
    <row r="1338" spans="1:7">
      <c r="A1338" t="s">
        <v>5711</v>
      </c>
      <c r="B1338" t="s">
        <v>94</v>
      </c>
      <c r="C1338" t="s">
        <v>3451</v>
      </c>
      <c r="D1338" t="s">
        <v>3450</v>
      </c>
      <c r="E1338" t="s">
        <v>4827</v>
      </c>
      <c r="F1338" s="23">
        <v>45071</v>
      </c>
      <c r="G1338" s="1">
        <v>6897</v>
      </c>
    </row>
    <row r="1339" spans="1:7">
      <c r="A1339" t="s">
        <v>5711</v>
      </c>
      <c r="B1339" t="s">
        <v>78</v>
      </c>
      <c r="C1339" t="s">
        <v>1302</v>
      </c>
      <c r="D1339" t="s">
        <v>1301</v>
      </c>
      <c r="E1339" t="s">
        <v>4828</v>
      </c>
      <c r="F1339" s="23">
        <v>44971</v>
      </c>
      <c r="G1339" s="1">
        <v>6580</v>
      </c>
    </row>
    <row r="1340" spans="1:7">
      <c r="A1340" t="s">
        <v>5711</v>
      </c>
      <c r="B1340" t="s">
        <v>68</v>
      </c>
      <c r="C1340" t="s">
        <v>111</v>
      </c>
      <c r="D1340" t="s">
        <v>110</v>
      </c>
      <c r="E1340" t="s">
        <v>4829</v>
      </c>
      <c r="F1340" s="23">
        <v>44346</v>
      </c>
      <c r="G1340" s="1">
        <v>16084</v>
      </c>
    </row>
    <row r="1341" spans="1:7">
      <c r="A1341" t="s">
        <v>5711</v>
      </c>
      <c r="B1341" t="s">
        <v>106</v>
      </c>
      <c r="C1341" t="s">
        <v>3056</v>
      </c>
      <c r="D1341" t="s">
        <v>3055</v>
      </c>
      <c r="E1341" t="s">
        <v>4830</v>
      </c>
      <c r="F1341" s="23">
        <v>44346</v>
      </c>
      <c r="G1341" s="1">
        <v>13575</v>
      </c>
    </row>
    <row r="1342" spans="1:7">
      <c r="A1342" t="s">
        <v>5711</v>
      </c>
      <c r="B1342" t="s">
        <v>367</v>
      </c>
      <c r="C1342" t="s">
        <v>1053</v>
      </c>
      <c r="D1342" t="s">
        <v>1052</v>
      </c>
      <c r="E1342" t="s">
        <v>4831</v>
      </c>
      <c r="F1342" s="23">
        <v>44880</v>
      </c>
      <c r="G1342" s="1">
        <v>5146</v>
      </c>
    </row>
    <row r="1343" spans="1:7">
      <c r="A1343" t="s">
        <v>5711</v>
      </c>
      <c r="B1343" t="s">
        <v>94</v>
      </c>
      <c r="C1343" t="s">
        <v>2020</v>
      </c>
      <c r="D1343" t="s">
        <v>5630</v>
      </c>
      <c r="E1343" t="s">
        <v>4832</v>
      </c>
      <c r="F1343" s="23">
        <v>44346</v>
      </c>
      <c r="G1343" s="1">
        <v>17289</v>
      </c>
    </row>
    <row r="1344" spans="1:7">
      <c r="A1344" t="s">
        <v>5711</v>
      </c>
      <c r="B1344" t="s">
        <v>94</v>
      </c>
      <c r="C1344" t="s">
        <v>1966</v>
      </c>
      <c r="D1344" t="s">
        <v>1965</v>
      </c>
      <c r="E1344" t="s">
        <v>4833</v>
      </c>
      <c r="F1344" s="23">
        <v>44346</v>
      </c>
      <c r="G1344" s="1">
        <v>14983</v>
      </c>
    </row>
    <row r="1345" spans="1:7">
      <c r="A1345" t="s">
        <v>5711</v>
      </c>
      <c r="B1345" t="s">
        <v>106</v>
      </c>
      <c r="C1345" t="s">
        <v>3343</v>
      </c>
      <c r="D1345" t="s">
        <v>3342</v>
      </c>
      <c r="E1345" t="s">
        <v>4834</v>
      </c>
      <c r="F1345" s="23">
        <v>45059</v>
      </c>
      <c r="G1345" s="1">
        <v>4784</v>
      </c>
    </row>
    <row r="1346" spans="1:7">
      <c r="A1346" t="s">
        <v>5711</v>
      </c>
      <c r="B1346" t="s">
        <v>311</v>
      </c>
      <c r="C1346" t="s">
        <v>2761</v>
      </c>
      <c r="D1346" t="s">
        <v>5631</v>
      </c>
      <c r="E1346" t="s">
        <v>4835</v>
      </c>
      <c r="F1346" s="23">
        <v>44346</v>
      </c>
      <c r="G1346" s="1">
        <v>18862</v>
      </c>
    </row>
    <row r="1347" spans="1:7">
      <c r="A1347" t="s">
        <v>5711</v>
      </c>
      <c r="B1347" t="s">
        <v>2062</v>
      </c>
      <c r="C1347" t="s">
        <v>2369</v>
      </c>
      <c r="D1347" t="s">
        <v>2368</v>
      </c>
      <c r="E1347" t="s">
        <v>4836</v>
      </c>
      <c r="F1347" s="23">
        <v>44346</v>
      </c>
      <c r="G1347" s="1">
        <v>12376</v>
      </c>
    </row>
    <row r="1348" spans="1:7">
      <c r="A1348" t="s">
        <v>5711</v>
      </c>
      <c r="B1348" t="s">
        <v>68</v>
      </c>
      <c r="C1348" t="s">
        <v>1664</v>
      </c>
      <c r="D1348" t="s">
        <v>1663</v>
      </c>
      <c r="E1348" t="s">
        <v>4837</v>
      </c>
      <c r="F1348" s="23">
        <v>44346</v>
      </c>
      <c r="G1348" s="1">
        <v>18328</v>
      </c>
    </row>
    <row r="1349" spans="1:7">
      <c r="A1349" t="s">
        <v>5711</v>
      </c>
      <c r="B1349" t="s">
        <v>68</v>
      </c>
      <c r="C1349" t="s">
        <v>682</v>
      </c>
      <c r="D1349" t="s">
        <v>681</v>
      </c>
      <c r="E1349" t="s">
        <v>4838</v>
      </c>
      <c r="F1349" s="23">
        <v>44530</v>
      </c>
      <c r="G1349" s="1">
        <v>8024</v>
      </c>
    </row>
    <row r="1350" spans="1:7">
      <c r="A1350" t="s">
        <v>5711</v>
      </c>
      <c r="B1350" t="s">
        <v>94</v>
      </c>
      <c r="C1350" t="s">
        <v>1887</v>
      </c>
      <c r="D1350" t="s">
        <v>2676</v>
      </c>
      <c r="E1350" t="s">
        <v>4839</v>
      </c>
      <c r="F1350" s="23">
        <v>44829</v>
      </c>
      <c r="G1350" s="1">
        <v>9085</v>
      </c>
    </row>
    <row r="1351" spans="1:7">
      <c r="A1351" t="s">
        <v>5711</v>
      </c>
      <c r="B1351" t="s">
        <v>106</v>
      </c>
      <c r="C1351" t="s">
        <v>2038</v>
      </c>
      <c r="D1351" t="s">
        <v>2037</v>
      </c>
      <c r="E1351" t="s">
        <v>4840</v>
      </c>
      <c r="F1351" s="23">
        <v>44346</v>
      </c>
      <c r="G1351" s="1">
        <v>13345</v>
      </c>
    </row>
    <row r="1352" spans="1:7">
      <c r="A1352" t="s">
        <v>5711</v>
      </c>
      <c r="B1352" t="s">
        <v>230</v>
      </c>
      <c r="C1352" t="s">
        <v>229</v>
      </c>
      <c r="D1352" t="s">
        <v>5632</v>
      </c>
      <c r="E1352" t="s">
        <v>4841</v>
      </c>
      <c r="F1352" s="23">
        <v>44818</v>
      </c>
      <c r="G1352" s="1">
        <v>2434</v>
      </c>
    </row>
    <row r="1353" spans="1:7">
      <c r="A1353" t="s">
        <v>5711</v>
      </c>
      <c r="B1353" t="s">
        <v>311</v>
      </c>
      <c r="C1353" t="s">
        <v>2030</v>
      </c>
      <c r="D1353" t="s">
        <v>5633</v>
      </c>
      <c r="E1353" t="s">
        <v>4842</v>
      </c>
      <c r="F1353" s="23">
        <v>44668</v>
      </c>
      <c r="G1353" s="1">
        <v>1474</v>
      </c>
    </row>
    <row r="1354" spans="1:7">
      <c r="A1354" t="s">
        <v>5711</v>
      </c>
      <c r="B1354" t="s">
        <v>94</v>
      </c>
      <c r="C1354" t="s">
        <v>3485</v>
      </c>
      <c r="D1354" t="s">
        <v>1762</v>
      </c>
      <c r="E1354" t="s">
        <v>4843</v>
      </c>
      <c r="F1354" s="23">
        <v>44346</v>
      </c>
      <c r="G1354" s="1">
        <v>1480</v>
      </c>
    </row>
    <row r="1355" spans="1:7">
      <c r="A1355" t="s">
        <v>5711</v>
      </c>
      <c r="B1355" t="s">
        <v>94</v>
      </c>
      <c r="C1355" t="s">
        <v>1008</v>
      </c>
      <c r="D1355" t="s">
        <v>1007</v>
      </c>
      <c r="E1355" t="s">
        <v>4844</v>
      </c>
      <c r="F1355" s="23">
        <v>44346</v>
      </c>
      <c r="G1355" s="1">
        <v>13645</v>
      </c>
    </row>
    <row r="1356" spans="1:7">
      <c r="A1356" t="s">
        <v>5711</v>
      </c>
      <c r="B1356" t="s">
        <v>94</v>
      </c>
      <c r="C1356" t="s">
        <v>3488</v>
      </c>
      <c r="D1356" t="s">
        <v>1244</v>
      </c>
      <c r="E1356" t="s">
        <v>4845</v>
      </c>
      <c r="F1356" s="23">
        <v>44346</v>
      </c>
      <c r="G1356" s="1">
        <v>1924</v>
      </c>
    </row>
    <row r="1357" spans="1:7">
      <c r="A1357" t="s">
        <v>5711</v>
      </c>
      <c r="B1357" t="s">
        <v>37</v>
      </c>
      <c r="C1357" t="s">
        <v>1417</v>
      </c>
      <c r="D1357" t="s">
        <v>1416</v>
      </c>
      <c r="E1357" t="s">
        <v>4846</v>
      </c>
      <c r="F1357" s="23">
        <v>44346</v>
      </c>
      <c r="G1357" s="1">
        <v>6076</v>
      </c>
    </row>
    <row r="1358" spans="1:7">
      <c r="A1358" t="s">
        <v>5711</v>
      </c>
      <c r="B1358" t="s">
        <v>244</v>
      </c>
      <c r="C1358" t="s">
        <v>1268</v>
      </c>
      <c r="D1358" t="s">
        <v>1267</v>
      </c>
      <c r="E1358" t="s">
        <v>4847</v>
      </c>
      <c r="F1358" s="23">
        <v>44346</v>
      </c>
      <c r="G1358" s="1">
        <v>16754</v>
      </c>
    </row>
    <row r="1359" spans="1:7">
      <c r="A1359" t="s">
        <v>5711</v>
      </c>
      <c r="B1359" t="s">
        <v>298</v>
      </c>
      <c r="C1359" t="s">
        <v>2336</v>
      </c>
      <c r="D1359" t="s">
        <v>2335</v>
      </c>
      <c r="E1359" t="s">
        <v>4848</v>
      </c>
      <c r="F1359" s="23">
        <v>44346</v>
      </c>
      <c r="G1359" s="1">
        <v>15780</v>
      </c>
    </row>
    <row r="1360" spans="1:7">
      <c r="A1360" t="s">
        <v>5711</v>
      </c>
      <c r="B1360" t="s">
        <v>101</v>
      </c>
      <c r="C1360" t="s">
        <v>380</v>
      </c>
      <c r="D1360" t="s">
        <v>379</v>
      </c>
      <c r="E1360" t="s">
        <v>4849</v>
      </c>
      <c r="F1360" s="23">
        <v>44617</v>
      </c>
      <c r="G1360" s="1">
        <v>5633</v>
      </c>
    </row>
    <row r="1361" spans="1:7">
      <c r="A1361" t="s">
        <v>5711</v>
      </c>
      <c r="B1361" t="s">
        <v>233</v>
      </c>
      <c r="C1361" t="s">
        <v>3417</v>
      </c>
      <c r="D1361" t="s">
        <v>3416</v>
      </c>
      <c r="E1361" t="s">
        <v>4850</v>
      </c>
      <c r="F1361" s="23">
        <v>44346</v>
      </c>
      <c r="G1361" s="1">
        <v>14634</v>
      </c>
    </row>
    <row r="1362" spans="1:7">
      <c r="A1362" t="s">
        <v>5711</v>
      </c>
      <c r="B1362" t="s">
        <v>122</v>
      </c>
      <c r="C1362" t="s">
        <v>660</v>
      </c>
      <c r="D1362" t="s">
        <v>659</v>
      </c>
      <c r="E1362" t="s">
        <v>4851</v>
      </c>
      <c r="F1362" s="23">
        <v>44931</v>
      </c>
      <c r="G1362" s="1">
        <v>4057</v>
      </c>
    </row>
    <row r="1363" spans="1:7">
      <c r="A1363" t="s">
        <v>5711</v>
      </c>
      <c r="B1363" t="s">
        <v>298</v>
      </c>
      <c r="C1363" t="s">
        <v>2181</v>
      </c>
      <c r="D1363" t="s">
        <v>2180</v>
      </c>
      <c r="E1363" t="s">
        <v>4852</v>
      </c>
      <c r="F1363" s="23">
        <v>44859</v>
      </c>
      <c r="G1363" s="1">
        <v>4343</v>
      </c>
    </row>
    <row r="1364" spans="1:7">
      <c r="A1364" t="s">
        <v>5711</v>
      </c>
      <c r="B1364" t="s">
        <v>480</v>
      </c>
      <c r="C1364" t="s">
        <v>479</v>
      </c>
      <c r="D1364" t="s">
        <v>478</v>
      </c>
      <c r="E1364" t="s">
        <v>4853</v>
      </c>
      <c r="F1364" s="23">
        <v>44548</v>
      </c>
      <c r="G1364" s="1">
        <v>8421</v>
      </c>
    </row>
    <row r="1365" spans="1:7">
      <c r="A1365" t="s">
        <v>5711</v>
      </c>
      <c r="B1365" t="s">
        <v>94</v>
      </c>
      <c r="C1365" t="s">
        <v>1234</v>
      </c>
      <c r="D1365" t="s">
        <v>1233</v>
      </c>
      <c r="E1365" t="s">
        <v>4854</v>
      </c>
      <c r="F1365" s="23">
        <v>44980</v>
      </c>
      <c r="G1365" s="1">
        <v>11194</v>
      </c>
    </row>
    <row r="1366" spans="1:7">
      <c r="A1366" t="s">
        <v>5711</v>
      </c>
      <c r="B1366" t="s">
        <v>298</v>
      </c>
      <c r="C1366" t="s">
        <v>2443</v>
      </c>
      <c r="D1366" t="s">
        <v>3300</v>
      </c>
      <c r="E1366" t="s">
        <v>4855</v>
      </c>
      <c r="F1366" s="23">
        <v>44346</v>
      </c>
      <c r="G1366" s="1">
        <v>19326</v>
      </c>
    </row>
    <row r="1367" spans="1:7">
      <c r="A1367" t="s">
        <v>5711</v>
      </c>
      <c r="B1367" t="s">
        <v>94</v>
      </c>
      <c r="C1367" t="s">
        <v>1937</v>
      </c>
      <c r="D1367" t="s">
        <v>1936</v>
      </c>
      <c r="E1367" t="s">
        <v>4856</v>
      </c>
      <c r="F1367" s="23">
        <v>44981</v>
      </c>
      <c r="G1367" s="1">
        <v>6995</v>
      </c>
    </row>
    <row r="1368" spans="1:7">
      <c r="A1368" t="s">
        <v>5711</v>
      </c>
      <c r="B1368" t="s">
        <v>106</v>
      </c>
      <c r="C1368" t="s">
        <v>3084</v>
      </c>
      <c r="D1368" t="s">
        <v>5634</v>
      </c>
      <c r="E1368" t="s">
        <v>4857</v>
      </c>
      <c r="F1368" s="23">
        <v>44433</v>
      </c>
      <c r="G1368" s="1">
        <v>11594</v>
      </c>
    </row>
    <row r="1369" spans="1:7">
      <c r="A1369" t="s">
        <v>5711</v>
      </c>
      <c r="B1369" t="s">
        <v>311</v>
      </c>
      <c r="C1369" t="s">
        <v>2724</v>
      </c>
      <c r="D1369" t="s">
        <v>2723</v>
      </c>
      <c r="E1369" t="s">
        <v>4858</v>
      </c>
      <c r="F1369" s="23">
        <v>44346</v>
      </c>
      <c r="G1369" s="1">
        <v>10434</v>
      </c>
    </row>
    <row r="1370" spans="1:7">
      <c r="A1370" t="s">
        <v>5711</v>
      </c>
      <c r="B1370" t="s">
        <v>106</v>
      </c>
      <c r="C1370" t="s">
        <v>2901</v>
      </c>
      <c r="D1370" t="s">
        <v>2900</v>
      </c>
      <c r="E1370" t="s">
        <v>4859</v>
      </c>
      <c r="F1370" s="23">
        <v>44423</v>
      </c>
      <c r="G1370" s="1">
        <v>9841</v>
      </c>
    </row>
    <row r="1371" spans="1:7">
      <c r="A1371" t="s">
        <v>5711</v>
      </c>
      <c r="B1371" t="s">
        <v>94</v>
      </c>
      <c r="C1371" t="s">
        <v>3025</v>
      </c>
      <c r="D1371" t="s">
        <v>3024</v>
      </c>
      <c r="E1371" t="s">
        <v>4860</v>
      </c>
      <c r="F1371" s="23">
        <v>44593</v>
      </c>
      <c r="G1371" s="1">
        <v>710</v>
      </c>
    </row>
    <row r="1372" spans="1:7">
      <c r="A1372" t="s">
        <v>5711</v>
      </c>
      <c r="B1372" t="s">
        <v>106</v>
      </c>
      <c r="C1372" t="s">
        <v>2643</v>
      </c>
      <c r="D1372" t="s">
        <v>5635</v>
      </c>
      <c r="E1372" t="s">
        <v>4861</v>
      </c>
      <c r="F1372" s="23">
        <v>44346</v>
      </c>
      <c r="G1372" s="1">
        <v>6674</v>
      </c>
    </row>
    <row r="1373" spans="1:7">
      <c r="A1373" t="s">
        <v>5711</v>
      </c>
      <c r="B1373" t="s">
        <v>473</v>
      </c>
      <c r="C1373" t="s">
        <v>472</v>
      </c>
      <c r="D1373" t="s">
        <v>471</v>
      </c>
      <c r="E1373" t="s">
        <v>4862</v>
      </c>
      <c r="F1373" s="23">
        <v>44346</v>
      </c>
      <c r="G1373" s="1">
        <v>4956</v>
      </c>
    </row>
    <row r="1374" spans="1:7">
      <c r="A1374" t="s">
        <v>5711</v>
      </c>
      <c r="B1374" t="s">
        <v>311</v>
      </c>
      <c r="C1374" t="s">
        <v>2691</v>
      </c>
      <c r="D1374" t="s">
        <v>2902</v>
      </c>
      <c r="E1374" t="s">
        <v>4863</v>
      </c>
      <c r="F1374" s="23">
        <v>44346</v>
      </c>
      <c r="G1374" s="1">
        <v>14938</v>
      </c>
    </row>
    <row r="1375" spans="1:7">
      <c r="A1375" t="s">
        <v>5711</v>
      </c>
      <c r="B1375" t="s">
        <v>311</v>
      </c>
      <c r="C1375" t="s">
        <v>3104</v>
      </c>
      <c r="D1375" t="s">
        <v>3103</v>
      </c>
      <c r="E1375" t="s">
        <v>4864</v>
      </c>
      <c r="F1375" s="23">
        <v>44346</v>
      </c>
      <c r="G1375" s="1">
        <v>17915</v>
      </c>
    </row>
    <row r="1376" spans="1:7">
      <c r="A1376" t="s">
        <v>5711</v>
      </c>
      <c r="B1376" t="s">
        <v>94</v>
      </c>
      <c r="C1376" t="s">
        <v>2978</v>
      </c>
      <c r="D1376" t="s">
        <v>2977</v>
      </c>
      <c r="E1376" t="s">
        <v>4865</v>
      </c>
      <c r="F1376" s="23">
        <v>44346</v>
      </c>
      <c r="G1376" s="1">
        <v>19919</v>
      </c>
    </row>
    <row r="1377" spans="1:7">
      <c r="A1377" t="s">
        <v>5711</v>
      </c>
      <c r="B1377" t="s">
        <v>101</v>
      </c>
      <c r="C1377" t="s">
        <v>608</v>
      </c>
      <c r="D1377" t="s">
        <v>607</v>
      </c>
      <c r="E1377" t="s">
        <v>4866</v>
      </c>
      <c r="F1377" s="23">
        <v>44478</v>
      </c>
      <c r="G1377" s="1">
        <v>3369</v>
      </c>
    </row>
    <row r="1378" spans="1:7">
      <c r="A1378" t="s">
        <v>5711</v>
      </c>
      <c r="B1378" t="s">
        <v>101</v>
      </c>
      <c r="C1378" t="s">
        <v>923</v>
      </c>
      <c r="D1378" t="s">
        <v>922</v>
      </c>
      <c r="E1378" t="s">
        <v>4867</v>
      </c>
      <c r="F1378" s="23">
        <v>44346</v>
      </c>
      <c r="G1378" s="1">
        <v>19964</v>
      </c>
    </row>
    <row r="1379" spans="1:7">
      <c r="A1379" t="s">
        <v>5711</v>
      </c>
      <c r="B1379" t="s">
        <v>94</v>
      </c>
      <c r="C1379" t="s">
        <v>1940</v>
      </c>
      <c r="D1379" t="s">
        <v>1939</v>
      </c>
      <c r="E1379" t="s">
        <v>4868</v>
      </c>
      <c r="F1379" s="23">
        <v>44742</v>
      </c>
      <c r="G1379" s="1">
        <v>5507</v>
      </c>
    </row>
    <row r="1380" spans="1:7">
      <c r="A1380" t="s">
        <v>5711</v>
      </c>
      <c r="B1380" t="s">
        <v>94</v>
      </c>
      <c r="C1380" t="s">
        <v>3265</v>
      </c>
      <c r="D1380" t="s">
        <v>1399</v>
      </c>
      <c r="E1380" t="s">
        <v>4869</v>
      </c>
      <c r="F1380" s="23">
        <v>44346</v>
      </c>
      <c r="G1380" s="1">
        <v>19720</v>
      </c>
    </row>
    <row r="1381" spans="1:7">
      <c r="A1381" t="s">
        <v>5711</v>
      </c>
      <c r="B1381" t="s">
        <v>94</v>
      </c>
      <c r="C1381" t="s">
        <v>3038</v>
      </c>
      <c r="D1381" t="s">
        <v>3037</v>
      </c>
      <c r="E1381" t="s">
        <v>4870</v>
      </c>
      <c r="F1381" s="23">
        <v>44514</v>
      </c>
      <c r="G1381" s="1">
        <v>2625</v>
      </c>
    </row>
    <row r="1382" spans="1:7">
      <c r="A1382" t="s">
        <v>5711</v>
      </c>
      <c r="B1382" t="s">
        <v>298</v>
      </c>
      <c r="C1382" t="s">
        <v>153</v>
      </c>
      <c r="D1382" t="s">
        <v>2262</v>
      </c>
      <c r="E1382" t="s">
        <v>4871</v>
      </c>
      <c r="F1382" s="23">
        <v>44346</v>
      </c>
      <c r="G1382" s="1">
        <v>19876</v>
      </c>
    </row>
    <row r="1383" spans="1:7">
      <c r="A1383" t="s">
        <v>5711</v>
      </c>
      <c r="B1383" t="s">
        <v>106</v>
      </c>
      <c r="C1383" t="s">
        <v>2349</v>
      </c>
      <c r="D1383" t="s">
        <v>2348</v>
      </c>
      <c r="E1383" t="s">
        <v>4872</v>
      </c>
      <c r="F1383" s="23">
        <v>44346</v>
      </c>
      <c r="G1383" s="1">
        <v>17466</v>
      </c>
    </row>
    <row r="1384" spans="1:7">
      <c r="A1384" t="s">
        <v>5711</v>
      </c>
      <c r="B1384" t="s">
        <v>94</v>
      </c>
      <c r="C1384" t="s">
        <v>568</v>
      </c>
      <c r="D1384" t="s">
        <v>567</v>
      </c>
      <c r="E1384" t="s">
        <v>4873</v>
      </c>
      <c r="F1384" s="23">
        <v>44346</v>
      </c>
      <c r="G1384" s="1">
        <v>15338</v>
      </c>
    </row>
    <row r="1385" spans="1:7">
      <c r="A1385" t="s">
        <v>5711</v>
      </c>
      <c r="B1385" t="s">
        <v>233</v>
      </c>
      <c r="C1385" t="s">
        <v>2156</v>
      </c>
      <c r="D1385" t="s">
        <v>2409</v>
      </c>
      <c r="E1385" t="s">
        <v>4874</v>
      </c>
      <c r="F1385" s="23">
        <v>45007</v>
      </c>
      <c r="G1385" s="1">
        <v>5069</v>
      </c>
    </row>
    <row r="1386" spans="1:7">
      <c r="A1386" t="s">
        <v>5711</v>
      </c>
      <c r="B1386" t="s">
        <v>94</v>
      </c>
      <c r="C1386" t="s">
        <v>3490</v>
      </c>
      <c r="D1386" t="s">
        <v>841</v>
      </c>
      <c r="E1386" t="s">
        <v>4875</v>
      </c>
      <c r="F1386" s="23">
        <v>44346</v>
      </c>
      <c r="G1386" s="1">
        <v>19835</v>
      </c>
    </row>
    <row r="1387" spans="1:7">
      <c r="A1387" t="s">
        <v>5711</v>
      </c>
      <c r="B1387" t="s">
        <v>94</v>
      </c>
      <c r="C1387" t="s">
        <v>3486</v>
      </c>
      <c r="D1387" t="s">
        <v>1396</v>
      </c>
      <c r="E1387" t="s">
        <v>4876</v>
      </c>
      <c r="F1387" s="23">
        <v>44346</v>
      </c>
      <c r="G1387" s="1">
        <v>18253</v>
      </c>
    </row>
    <row r="1388" spans="1:7">
      <c r="A1388" t="s">
        <v>5711</v>
      </c>
      <c r="B1388" t="s">
        <v>106</v>
      </c>
      <c r="C1388" t="s">
        <v>2897</v>
      </c>
      <c r="D1388" t="s">
        <v>2896</v>
      </c>
      <c r="E1388" t="s">
        <v>4877</v>
      </c>
      <c r="F1388" s="23">
        <v>44968</v>
      </c>
      <c r="G1388" s="1">
        <v>2020</v>
      </c>
    </row>
    <row r="1389" spans="1:7">
      <c r="A1389" t="s">
        <v>5711</v>
      </c>
      <c r="B1389" t="s">
        <v>94</v>
      </c>
      <c r="C1389" t="s">
        <v>2702</v>
      </c>
      <c r="D1389" t="s">
        <v>2701</v>
      </c>
      <c r="E1389" t="s">
        <v>4878</v>
      </c>
      <c r="F1389" s="23">
        <v>44346</v>
      </c>
      <c r="G1389" s="1">
        <v>15310</v>
      </c>
    </row>
    <row r="1390" spans="1:7">
      <c r="A1390" t="s">
        <v>5711</v>
      </c>
      <c r="B1390" t="s">
        <v>106</v>
      </c>
      <c r="C1390" t="s">
        <v>5712</v>
      </c>
      <c r="D1390" t="s">
        <v>2692</v>
      </c>
      <c r="E1390" t="s">
        <v>4879</v>
      </c>
      <c r="F1390" s="23">
        <v>44346</v>
      </c>
      <c r="G1390" s="1">
        <v>16088</v>
      </c>
    </row>
    <row r="1391" spans="1:7">
      <c r="A1391" t="s">
        <v>5711</v>
      </c>
      <c r="B1391" t="s">
        <v>94</v>
      </c>
      <c r="C1391" t="s">
        <v>2104</v>
      </c>
      <c r="D1391" t="s">
        <v>5636</v>
      </c>
      <c r="E1391" t="s">
        <v>4880</v>
      </c>
      <c r="F1391" s="23">
        <v>44346</v>
      </c>
      <c r="G1391" s="1">
        <v>17165</v>
      </c>
    </row>
    <row r="1392" spans="1:7">
      <c r="A1392" t="s">
        <v>5711</v>
      </c>
      <c r="B1392" t="s">
        <v>94</v>
      </c>
      <c r="C1392" t="s">
        <v>2682</v>
      </c>
      <c r="D1392" t="s">
        <v>2681</v>
      </c>
      <c r="E1392" t="s">
        <v>4881</v>
      </c>
      <c r="F1392" s="23">
        <v>44346</v>
      </c>
      <c r="G1392" s="1">
        <v>19344</v>
      </c>
    </row>
    <row r="1393" spans="1:7">
      <c r="A1393" t="s">
        <v>5711</v>
      </c>
      <c r="B1393" t="s">
        <v>94</v>
      </c>
      <c r="C1393" t="s">
        <v>1887</v>
      </c>
      <c r="D1393" t="s">
        <v>1886</v>
      </c>
      <c r="E1393" t="s">
        <v>4882</v>
      </c>
      <c r="F1393" s="23">
        <v>44657</v>
      </c>
      <c r="G1393" s="1">
        <v>4722</v>
      </c>
    </row>
    <row r="1394" spans="1:7">
      <c r="A1394" t="s">
        <v>5711</v>
      </c>
      <c r="B1394" t="s">
        <v>149</v>
      </c>
      <c r="C1394" t="s">
        <v>1816</v>
      </c>
      <c r="D1394" t="s">
        <v>1815</v>
      </c>
      <c r="E1394" t="s">
        <v>4883</v>
      </c>
      <c r="F1394" s="23">
        <v>44803</v>
      </c>
      <c r="G1394" s="1">
        <v>5235</v>
      </c>
    </row>
    <row r="1395" spans="1:7">
      <c r="A1395" t="s">
        <v>5711</v>
      </c>
      <c r="B1395" t="s">
        <v>208</v>
      </c>
      <c r="C1395" t="s">
        <v>516</v>
      </c>
      <c r="D1395" t="s">
        <v>515</v>
      </c>
      <c r="E1395" t="s">
        <v>4884</v>
      </c>
      <c r="F1395" s="23">
        <v>44815</v>
      </c>
      <c r="G1395" s="1">
        <v>4534</v>
      </c>
    </row>
    <row r="1396" spans="1:7">
      <c r="A1396" t="s">
        <v>5711</v>
      </c>
      <c r="B1396" t="s">
        <v>94</v>
      </c>
      <c r="C1396" t="s">
        <v>3129</v>
      </c>
      <c r="D1396" t="s">
        <v>5637</v>
      </c>
      <c r="E1396" t="s">
        <v>4885</v>
      </c>
      <c r="F1396" s="23">
        <v>44363</v>
      </c>
      <c r="G1396" s="1">
        <v>6724</v>
      </c>
    </row>
    <row r="1397" spans="1:7">
      <c r="A1397" t="s">
        <v>5711</v>
      </c>
      <c r="B1397" t="s">
        <v>94</v>
      </c>
      <c r="C1397" t="s">
        <v>3489</v>
      </c>
      <c r="D1397" t="s">
        <v>427</v>
      </c>
      <c r="E1397" t="s">
        <v>4886</v>
      </c>
      <c r="F1397" s="23">
        <v>44787</v>
      </c>
      <c r="G1397" s="1">
        <v>7779</v>
      </c>
    </row>
    <row r="1398" spans="1:7">
      <c r="A1398" t="s">
        <v>5711</v>
      </c>
      <c r="B1398" t="s">
        <v>298</v>
      </c>
      <c r="C1398" t="s">
        <v>2869</v>
      </c>
      <c r="D1398" t="s">
        <v>3029</v>
      </c>
      <c r="E1398" t="s">
        <v>4887</v>
      </c>
      <c r="F1398" s="23">
        <v>44346</v>
      </c>
      <c r="G1398" s="1">
        <v>7607</v>
      </c>
    </row>
    <row r="1399" spans="1:7">
      <c r="A1399" t="s">
        <v>5711</v>
      </c>
      <c r="B1399" t="s">
        <v>94</v>
      </c>
      <c r="C1399" t="s">
        <v>3168</v>
      </c>
      <c r="D1399" t="s">
        <v>3167</v>
      </c>
      <c r="E1399" t="s">
        <v>4888</v>
      </c>
      <c r="F1399" s="23">
        <v>44384</v>
      </c>
      <c r="G1399" s="1">
        <v>6790</v>
      </c>
    </row>
    <row r="1400" spans="1:7">
      <c r="A1400" t="s">
        <v>5711</v>
      </c>
      <c r="B1400" t="s">
        <v>106</v>
      </c>
      <c r="C1400" t="s">
        <v>1887</v>
      </c>
      <c r="D1400" t="s">
        <v>3382</v>
      </c>
      <c r="E1400" t="s">
        <v>4889</v>
      </c>
      <c r="F1400" s="23">
        <v>44940</v>
      </c>
      <c r="G1400" s="1">
        <v>3200</v>
      </c>
    </row>
    <row r="1401" spans="1:7">
      <c r="A1401" t="s">
        <v>5711</v>
      </c>
      <c r="B1401" t="s">
        <v>43</v>
      </c>
      <c r="C1401" t="s">
        <v>1195</v>
      </c>
      <c r="D1401" t="s">
        <v>1194</v>
      </c>
      <c r="E1401" t="s">
        <v>4890</v>
      </c>
      <c r="F1401" s="23">
        <v>44346</v>
      </c>
      <c r="G1401" s="1">
        <v>2285</v>
      </c>
    </row>
    <row r="1402" spans="1:7">
      <c r="A1402" t="s">
        <v>5711</v>
      </c>
      <c r="B1402" t="s">
        <v>94</v>
      </c>
      <c r="C1402" t="s">
        <v>2466</v>
      </c>
      <c r="D1402" t="s">
        <v>2802</v>
      </c>
      <c r="E1402" t="s">
        <v>4891</v>
      </c>
      <c r="F1402" s="23">
        <v>44346</v>
      </c>
      <c r="G1402" s="1">
        <v>9692</v>
      </c>
    </row>
    <row r="1403" spans="1:7">
      <c r="A1403" t="s">
        <v>5711</v>
      </c>
      <c r="B1403" t="s">
        <v>37</v>
      </c>
      <c r="C1403" t="s">
        <v>392</v>
      </c>
      <c r="D1403" t="s">
        <v>5638</v>
      </c>
      <c r="E1403" t="s">
        <v>4892</v>
      </c>
      <c r="F1403" s="23">
        <v>44807</v>
      </c>
      <c r="G1403" s="1">
        <v>9447</v>
      </c>
    </row>
    <row r="1404" spans="1:7">
      <c r="A1404" t="s">
        <v>5711</v>
      </c>
      <c r="B1404" t="s">
        <v>311</v>
      </c>
      <c r="C1404" t="s">
        <v>3287</v>
      </c>
      <c r="D1404" t="s">
        <v>3286</v>
      </c>
      <c r="E1404" t="s">
        <v>4893</v>
      </c>
      <c r="F1404" s="23">
        <v>44346</v>
      </c>
      <c r="G1404" s="1">
        <v>14121</v>
      </c>
    </row>
    <row r="1405" spans="1:7">
      <c r="A1405" t="s">
        <v>5711</v>
      </c>
      <c r="B1405" t="s">
        <v>37</v>
      </c>
      <c r="C1405" t="s">
        <v>823</v>
      </c>
      <c r="D1405" t="s">
        <v>822</v>
      </c>
      <c r="E1405" t="s">
        <v>4894</v>
      </c>
      <c r="F1405" s="23">
        <v>45043</v>
      </c>
      <c r="G1405" s="1">
        <v>8811</v>
      </c>
    </row>
    <row r="1406" spans="1:7">
      <c r="A1406" t="s">
        <v>5711</v>
      </c>
      <c r="B1406" t="s">
        <v>94</v>
      </c>
      <c r="C1406" t="s">
        <v>3486</v>
      </c>
      <c r="D1406" t="s">
        <v>1051</v>
      </c>
      <c r="E1406" t="s">
        <v>4895</v>
      </c>
      <c r="F1406" s="23">
        <v>44346</v>
      </c>
      <c r="G1406" s="1">
        <v>9051</v>
      </c>
    </row>
    <row r="1407" spans="1:7">
      <c r="A1407" t="s">
        <v>5711</v>
      </c>
      <c r="B1407" t="s">
        <v>46</v>
      </c>
      <c r="C1407" t="s">
        <v>1287</v>
      </c>
      <c r="D1407" t="s">
        <v>1286</v>
      </c>
      <c r="E1407" t="s">
        <v>4896</v>
      </c>
      <c r="F1407" s="23">
        <v>44346</v>
      </c>
      <c r="G1407" s="1">
        <v>8033</v>
      </c>
    </row>
    <row r="1408" spans="1:7">
      <c r="A1408" t="s">
        <v>5711</v>
      </c>
      <c r="B1408" t="s">
        <v>43</v>
      </c>
      <c r="C1408" t="s">
        <v>167</v>
      </c>
      <c r="D1408" t="s">
        <v>166</v>
      </c>
      <c r="E1408" t="s">
        <v>4897</v>
      </c>
      <c r="F1408" s="23">
        <v>44620</v>
      </c>
      <c r="G1408" s="1">
        <v>5353</v>
      </c>
    </row>
    <row r="1409" spans="1:7">
      <c r="A1409" t="s">
        <v>5711</v>
      </c>
      <c r="B1409" t="s">
        <v>106</v>
      </c>
      <c r="C1409" t="s">
        <v>3119</v>
      </c>
      <c r="D1409" t="s">
        <v>3118</v>
      </c>
      <c r="E1409" t="s">
        <v>4898</v>
      </c>
      <c r="F1409" s="23">
        <v>44925</v>
      </c>
      <c r="G1409" s="1">
        <v>2581</v>
      </c>
    </row>
    <row r="1410" spans="1:7">
      <c r="A1410" t="s">
        <v>5711</v>
      </c>
      <c r="B1410" t="s">
        <v>106</v>
      </c>
      <c r="C1410" t="s">
        <v>1952</v>
      </c>
      <c r="D1410" t="s">
        <v>1951</v>
      </c>
      <c r="E1410" t="s">
        <v>4899</v>
      </c>
      <c r="F1410" s="23">
        <v>44346</v>
      </c>
      <c r="G1410" s="1">
        <v>16314</v>
      </c>
    </row>
    <row r="1411" spans="1:7">
      <c r="A1411" t="s">
        <v>5711</v>
      </c>
      <c r="B1411" t="s">
        <v>826</v>
      </c>
      <c r="C1411" t="s">
        <v>1015</v>
      </c>
      <c r="D1411" t="s">
        <v>1014</v>
      </c>
      <c r="E1411" t="s">
        <v>4900</v>
      </c>
      <c r="F1411" s="23">
        <v>44346</v>
      </c>
      <c r="G1411" s="1">
        <v>13046</v>
      </c>
    </row>
    <row r="1412" spans="1:7">
      <c r="A1412" t="s">
        <v>5711</v>
      </c>
      <c r="B1412" t="s">
        <v>37</v>
      </c>
      <c r="C1412" t="s">
        <v>1469</v>
      </c>
      <c r="D1412" t="s">
        <v>1468</v>
      </c>
      <c r="E1412" t="s">
        <v>4901</v>
      </c>
      <c r="F1412" s="23">
        <v>44346</v>
      </c>
      <c r="G1412" s="1">
        <v>19344</v>
      </c>
    </row>
    <row r="1413" spans="1:7">
      <c r="A1413" t="s">
        <v>5711</v>
      </c>
      <c r="B1413" t="s">
        <v>311</v>
      </c>
      <c r="C1413" t="s">
        <v>2228</v>
      </c>
      <c r="D1413" t="s">
        <v>3226</v>
      </c>
      <c r="E1413" t="s">
        <v>4902</v>
      </c>
      <c r="F1413" s="23">
        <v>44346</v>
      </c>
      <c r="G1413" s="1">
        <v>13808</v>
      </c>
    </row>
    <row r="1414" spans="1:7">
      <c r="A1414" t="s">
        <v>5711</v>
      </c>
      <c r="B1414" t="s">
        <v>94</v>
      </c>
      <c r="C1414" t="s">
        <v>1848</v>
      </c>
      <c r="D1414" t="s">
        <v>1847</v>
      </c>
      <c r="E1414" t="s">
        <v>4903</v>
      </c>
      <c r="F1414" s="23">
        <v>44346</v>
      </c>
      <c r="G1414" s="1">
        <v>6806</v>
      </c>
    </row>
    <row r="1415" spans="1:7">
      <c r="A1415" t="s">
        <v>5711</v>
      </c>
      <c r="B1415" t="s">
        <v>298</v>
      </c>
      <c r="C1415" t="s">
        <v>3245</v>
      </c>
      <c r="D1415" t="s">
        <v>3244</v>
      </c>
      <c r="E1415" t="s">
        <v>4904</v>
      </c>
      <c r="F1415" s="23">
        <v>44346</v>
      </c>
      <c r="G1415" s="1">
        <v>673</v>
      </c>
    </row>
    <row r="1416" spans="1:7">
      <c r="A1416" t="s">
        <v>5711</v>
      </c>
      <c r="B1416" t="s">
        <v>174</v>
      </c>
      <c r="C1416" t="s">
        <v>1471</v>
      </c>
      <c r="D1416" t="s">
        <v>1470</v>
      </c>
      <c r="E1416" t="s">
        <v>4905</v>
      </c>
      <c r="F1416" s="23">
        <v>44522</v>
      </c>
      <c r="G1416" s="1">
        <v>7206</v>
      </c>
    </row>
    <row r="1417" spans="1:7">
      <c r="A1417" t="s">
        <v>5711</v>
      </c>
      <c r="B1417" t="s">
        <v>101</v>
      </c>
      <c r="C1417" t="s">
        <v>871</v>
      </c>
      <c r="D1417" t="s">
        <v>870</v>
      </c>
      <c r="E1417" t="s">
        <v>4906</v>
      </c>
      <c r="F1417" s="23">
        <v>44346</v>
      </c>
      <c r="G1417" s="1">
        <v>6116</v>
      </c>
    </row>
    <row r="1418" spans="1:7">
      <c r="A1418" t="s">
        <v>5711</v>
      </c>
      <c r="B1418" t="s">
        <v>135</v>
      </c>
      <c r="C1418" t="s">
        <v>161</v>
      </c>
      <c r="D1418" t="s">
        <v>160</v>
      </c>
      <c r="E1418" t="s">
        <v>4907</v>
      </c>
      <c r="F1418" s="23">
        <v>44516</v>
      </c>
      <c r="G1418" s="1">
        <v>7297</v>
      </c>
    </row>
    <row r="1419" spans="1:7">
      <c r="A1419" t="s">
        <v>5711</v>
      </c>
      <c r="B1419" t="s">
        <v>298</v>
      </c>
      <c r="C1419" t="s">
        <v>2371</v>
      </c>
      <c r="D1419" t="s">
        <v>2385</v>
      </c>
      <c r="E1419" t="s">
        <v>4908</v>
      </c>
      <c r="F1419" s="23">
        <v>44346</v>
      </c>
      <c r="G1419" s="1">
        <v>16017</v>
      </c>
    </row>
    <row r="1420" spans="1:7">
      <c r="A1420" t="s">
        <v>5711</v>
      </c>
      <c r="B1420" t="s">
        <v>298</v>
      </c>
      <c r="C1420" t="s">
        <v>1925</v>
      </c>
      <c r="D1420" t="s">
        <v>1924</v>
      </c>
      <c r="E1420" t="s">
        <v>4909</v>
      </c>
      <c r="F1420" s="23">
        <v>45065</v>
      </c>
      <c r="G1420" s="1">
        <v>4497</v>
      </c>
    </row>
    <row r="1421" spans="1:7">
      <c r="A1421" t="s">
        <v>5711</v>
      </c>
      <c r="B1421" t="s">
        <v>233</v>
      </c>
      <c r="C1421" t="s">
        <v>1225</v>
      </c>
      <c r="D1421" t="s">
        <v>1224</v>
      </c>
      <c r="E1421" t="s">
        <v>4910</v>
      </c>
      <c r="F1421" s="23">
        <v>44346</v>
      </c>
      <c r="G1421" s="1">
        <v>14147</v>
      </c>
    </row>
    <row r="1422" spans="1:7">
      <c r="A1422" t="s">
        <v>5711</v>
      </c>
      <c r="B1422" t="s">
        <v>298</v>
      </c>
      <c r="C1422" t="s">
        <v>1964</v>
      </c>
      <c r="D1422" t="s">
        <v>1963</v>
      </c>
      <c r="E1422" t="s">
        <v>4911</v>
      </c>
      <c r="F1422" s="23">
        <v>44346</v>
      </c>
      <c r="G1422" s="1">
        <v>4533</v>
      </c>
    </row>
    <row r="1423" spans="1:7">
      <c r="A1423" t="s">
        <v>5711</v>
      </c>
      <c r="B1423" t="s">
        <v>689</v>
      </c>
      <c r="C1423" t="s">
        <v>688</v>
      </c>
      <c r="D1423" t="s">
        <v>687</v>
      </c>
      <c r="E1423" t="s">
        <v>4912</v>
      </c>
      <c r="F1423" s="23">
        <v>44346</v>
      </c>
      <c r="G1423" s="1">
        <v>18703</v>
      </c>
    </row>
    <row r="1424" spans="1:7">
      <c r="A1424" t="s">
        <v>5711</v>
      </c>
      <c r="B1424" t="s">
        <v>298</v>
      </c>
      <c r="C1424" t="s">
        <v>1887</v>
      </c>
      <c r="D1424" t="s">
        <v>2034</v>
      </c>
      <c r="E1424" t="s">
        <v>4913</v>
      </c>
      <c r="F1424" s="23">
        <v>44346</v>
      </c>
      <c r="G1424" s="1">
        <v>15245</v>
      </c>
    </row>
    <row r="1425" spans="1:7">
      <c r="A1425" t="s">
        <v>5711</v>
      </c>
      <c r="B1425" t="s">
        <v>94</v>
      </c>
      <c r="C1425" t="s">
        <v>1770</v>
      </c>
      <c r="D1425" t="s">
        <v>2472</v>
      </c>
      <c r="E1425" t="s">
        <v>4914</v>
      </c>
      <c r="F1425" s="23">
        <v>44843</v>
      </c>
      <c r="G1425" s="1">
        <v>8454</v>
      </c>
    </row>
    <row r="1426" spans="1:7">
      <c r="A1426" t="s">
        <v>5711</v>
      </c>
      <c r="B1426" t="s">
        <v>94</v>
      </c>
      <c r="C1426" t="s">
        <v>3485</v>
      </c>
      <c r="D1426" t="s">
        <v>577</v>
      </c>
      <c r="E1426" t="s">
        <v>4915</v>
      </c>
      <c r="F1426" s="23">
        <v>44346</v>
      </c>
      <c r="G1426" s="1">
        <v>14572</v>
      </c>
    </row>
    <row r="1427" spans="1:7">
      <c r="A1427" t="s">
        <v>5711</v>
      </c>
      <c r="B1427" t="s">
        <v>233</v>
      </c>
      <c r="C1427" t="s">
        <v>2785</v>
      </c>
      <c r="D1427" t="s">
        <v>2784</v>
      </c>
      <c r="E1427" t="s">
        <v>4916</v>
      </c>
      <c r="F1427" s="23">
        <v>44346</v>
      </c>
      <c r="G1427" s="1">
        <v>15560</v>
      </c>
    </row>
    <row r="1428" spans="1:7">
      <c r="A1428" t="s">
        <v>5711</v>
      </c>
      <c r="B1428" t="s">
        <v>106</v>
      </c>
      <c r="C1428" t="s">
        <v>3391</v>
      </c>
      <c r="D1428" t="s">
        <v>3390</v>
      </c>
      <c r="E1428" t="s">
        <v>4917</v>
      </c>
      <c r="F1428" s="23">
        <v>44800</v>
      </c>
      <c r="G1428" s="1">
        <v>834</v>
      </c>
    </row>
    <row r="1429" spans="1:7">
      <c r="A1429" t="s">
        <v>5711</v>
      </c>
      <c r="B1429" t="s">
        <v>208</v>
      </c>
      <c r="C1429" t="s">
        <v>1453</v>
      </c>
      <c r="D1429" t="s">
        <v>1452</v>
      </c>
      <c r="E1429" t="s">
        <v>4918</v>
      </c>
      <c r="F1429" s="23">
        <v>44768</v>
      </c>
      <c r="G1429" s="1">
        <v>3866</v>
      </c>
    </row>
    <row r="1430" spans="1:7">
      <c r="A1430" t="s">
        <v>5711</v>
      </c>
      <c r="B1430" t="s">
        <v>94</v>
      </c>
      <c r="C1430" t="s">
        <v>3489</v>
      </c>
      <c r="D1430" t="s">
        <v>1749</v>
      </c>
      <c r="E1430" t="s">
        <v>4919</v>
      </c>
      <c r="F1430" s="23">
        <v>45048</v>
      </c>
      <c r="G1430" s="1">
        <v>5513</v>
      </c>
    </row>
    <row r="1431" spans="1:7">
      <c r="A1431" t="s">
        <v>5711</v>
      </c>
      <c r="B1431" t="s">
        <v>106</v>
      </c>
      <c r="C1431" t="s">
        <v>2138</v>
      </c>
      <c r="D1431" t="s">
        <v>2137</v>
      </c>
      <c r="E1431" t="s">
        <v>4920</v>
      </c>
      <c r="F1431" s="23">
        <v>44481</v>
      </c>
      <c r="G1431" s="1">
        <v>7331</v>
      </c>
    </row>
    <row r="1432" spans="1:7">
      <c r="A1432" t="s">
        <v>5711</v>
      </c>
      <c r="B1432" t="s">
        <v>106</v>
      </c>
      <c r="C1432" t="s">
        <v>2440</v>
      </c>
      <c r="D1432" t="s">
        <v>2439</v>
      </c>
      <c r="E1432" t="s">
        <v>4921</v>
      </c>
      <c r="F1432" s="23">
        <v>44470</v>
      </c>
      <c r="G1432" s="1">
        <v>4514</v>
      </c>
    </row>
    <row r="1433" spans="1:7">
      <c r="A1433" t="s">
        <v>5711</v>
      </c>
      <c r="B1433" t="s">
        <v>101</v>
      </c>
      <c r="C1433" t="s">
        <v>1104</v>
      </c>
      <c r="D1433" t="s">
        <v>1103</v>
      </c>
      <c r="E1433" t="s">
        <v>4922</v>
      </c>
      <c r="F1433" s="23">
        <v>44346</v>
      </c>
      <c r="G1433" s="1">
        <v>16518</v>
      </c>
    </row>
    <row r="1434" spans="1:7">
      <c r="A1434" t="s">
        <v>5711</v>
      </c>
      <c r="B1434" t="s">
        <v>37</v>
      </c>
      <c r="C1434" t="s">
        <v>265</v>
      </c>
      <c r="D1434" t="s">
        <v>264</v>
      </c>
      <c r="E1434" t="s">
        <v>4923</v>
      </c>
      <c r="F1434" s="23">
        <v>44958</v>
      </c>
      <c r="G1434" s="1">
        <v>1588</v>
      </c>
    </row>
    <row r="1435" spans="1:7">
      <c r="A1435" t="s">
        <v>5711</v>
      </c>
      <c r="B1435" t="s">
        <v>298</v>
      </c>
      <c r="C1435" t="s">
        <v>2627</v>
      </c>
      <c r="D1435" t="s">
        <v>3383</v>
      </c>
      <c r="E1435" t="s">
        <v>4924</v>
      </c>
      <c r="F1435" s="23">
        <v>44346</v>
      </c>
      <c r="G1435" s="1">
        <v>3955</v>
      </c>
    </row>
    <row r="1436" spans="1:7">
      <c r="A1436" t="s">
        <v>5711</v>
      </c>
      <c r="B1436" t="s">
        <v>68</v>
      </c>
      <c r="C1436" t="s">
        <v>144</v>
      </c>
      <c r="D1436" t="s">
        <v>143</v>
      </c>
      <c r="E1436" t="s">
        <v>4925</v>
      </c>
      <c r="F1436" s="23">
        <v>44795</v>
      </c>
      <c r="G1436" s="1">
        <v>10205</v>
      </c>
    </row>
    <row r="1437" spans="1:7">
      <c r="A1437" t="s">
        <v>5711</v>
      </c>
      <c r="B1437" t="s">
        <v>37</v>
      </c>
      <c r="C1437" t="s">
        <v>566</v>
      </c>
      <c r="D1437" t="s">
        <v>565</v>
      </c>
      <c r="E1437" t="s">
        <v>4926</v>
      </c>
      <c r="F1437" s="23">
        <v>44346</v>
      </c>
      <c r="G1437" s="1">
        <v>10250</v>
      </c>
    </row>
    <row r="1438" spans="1:7">
      <c r="A1438" t="s">
        <v>5711</v>
      </c>
      <c r="B1438" t="s">
        <v>298</v>
      </c>
      <c r="C1438" t="s">
        <v>2042</v>
      </c>
      <c r="D1438" t="s">
        <v>2041</v>
      </c>
      <c r="E1438" t="s">
        <v>4927</v>
      </c>
      <c r="F1438" s="23">
        <v>44346</v>
      </c>
      <c r="G1438" s="1">
        <v>13626</v>
      </c>
    </row>
    <row r="1439" spans="1:7">
      <c r="A1439" t="s">
        <v>5711</v>
      </c>
      <c r="B1439" t="s">
        <v>106</v>
      </c>
      <c r="C1439" t="s">
        <v>2999</v>
      </c>
      <c r="D1439" t="s">
        <v>2998</v>
      </c>
      <c r="E1439" t="s">
        <v>4928</v>
      </c>
      <c r="F1439" s="23">
        <v>44346</v>
      </c>
      <c r="G1439" s="1">
        <v>15687</v>
      </c>
    </row>
    <row r="1440" spans="1:7">
      <c r="A1440" t="s">
        <v>5711</v>
      </c>
      <c r="B1440" t="s">
        <v>311</v>
      </c>
      <c r="C1440" t="s">
        <v>2662</v>
      </c>
      <c r="D1440" t="s">
        <v>2661</v>
      </c>
      <c r="E1440" t="s">
        <v>4929</v>
      </c>
      <c r="F1440" s="23">
        <v>44346</v>
      </c>
      <c r="G1440" s="1">
        <v>13565</v>
      </c>
    </row>
    <row r="1441" spans="1:7">
      <c r="A1441" t="s">
        <v>5711</v>
      </c>
      <c r="B1441" t="s">
        <v>91</v>
      </c>
      <c r="C1441" t="s">
        <v>507</v>
      </c>
      <c r="D1441" t="s">
        <v>5639</v>
      </c>
      <c r="E1441" t="s">
        <v>4930</v>
      </c>
      <c r="F1441" s="23">
        <v>44346</v>
      </c>
      <c r="G1441" s="1">
        <v>15028</v>
      </c>
    </row>
    <row r="1442" spans="1:7">
      <c r="A1442" t="s">
        <v>5711</v>
      </c>
      <c r="B1442" t="s">
        <v>68</v>
      </c>
      <c r="C1442" t="s">
        <v>1681</v>
      </c>
      <c r="D1442" t="s">
        <v>1680</v>
      </c>
      <c r="E1442" t="s">
        <v>4931</v>
      </c>
      <c r="F1442" s="23">
        <v>44770</v>
      </c>
      <c r="G1442" s="1">
        <v>11660</v>
      </c>
    </row>
    <row r="1443" spans="1:7">
      <c r="A1443" t="s">
        <v>5711</v>
      </c>
      <c r="B1443" t="s">
        <v>891</v>
      </c>
      <c r="C1443" t="s">
        <v>1554</v>
      </c>
      <c r="D1443" t="s">
        <v>1553</v>
      </c>
      <c r="E1443" t="s">
        <v>4932</v>
      </c>
      <c r="F1443" s="23">
        <v>44346</v>
      </c>
      <c r="G1443" s="1">
        <v>10747</v>
      </c>
    </row>
    <row r="1444" spans="1:7">
      <c r="A1444" t="s">
        <v>5711</v>
      </c>
      <c r="B1444" t="s">
        <v>94</v>
      </c>
      <c r="C1444" t="s">
        <v>3487</v>
      </c>
      <c r="D1444" t="s">
        <v>1157</v>
      </c>
      <c r="E1444" t="s">
        <v>4933</v>
      </c>
      <c r="F1444" s="23">
        <v>44380</v>
      </c>
      <c r="G1444" s="1">
        <v>9497</v>
      </c>
    </row>
    <row r="1445" spans="1:7">
      <c r="A1445" t="s">
        <v>5711</v>
      </c>
      <c r="B1445" t="s">
        <v>94</v>
      </c>
      <c r="C1445" t="s">
        <v>3486</v>
      </c>
      <c r="D1445" t="s">
        <v>368</v>
      </c>
      <c r="E1445" t="s">
        <v>4934</v>
      </c>
      <c r="F1445" s="23">
        <v>44819</v>
      </c>
      <c r="G1445" s="1">
        <v>7459</v>
      </c>
    </row>
    <row r="1446" spans="1:7">
      <c r="A1446" t="s">
        <v>5711</v>
      </c>
      <c r="B1446" t="s">
        <v>101</v>
      </c>
      <c r="C1446" t="s">
        <v>1781</v>
      </c>
      <c r="D1446" t="s">
        <v>1780</v>
      </c>
      <c r="E1446" t="s">
        <v>4935</v>
      </c>
      <c r="F1446" s="23">
        <v>44346</v>
      </c>
      <c r="G1446" s="1">
        <v>15474</v>
      </c>
    </row>
    <row r="1447" spans="1:7">
      <c r="A1447" t="s">
        <v>5711</v>
      </c>
      <c r="B1447" t="s">
        <v>94</v>
      </c>
      <c r="C1447" t="s">
        <v>1870</v>
      </c>
      <c r="D1447" t="s">
        <v>3331</v>
      </c>
      <c r="E1447" t="s">
        <v>4936</v>
      </c>
      <c r="F1447" s="23">
        <v>44346</v>
      </c>
      <c r="G1447" s="1">
        <v>12412</v>
      </c>
    </row>
    <row r="1448" spans="1:7">
      <c r="A1448" t="s">
        <v>5711</v>
      </c>
      <c r="B1448" t="s">
        <v>78</v>
      </c>
      <c r="C1448" t="s">
        <v>214</v>
      </c>
      <c r="D1448" t="s">
        <v>213</v>
      </c>
      <c r="E1448" t="s">
        <v>4937</v>
      </c>
      <c r="F1448" s="23">
        <v>44433</v>
      </c>
      <c r="G1448" s="1">
        <v>5958</v>
      </c>
    </row>
    <row r="1449" spans="1:7">
      <c r="A1449" t="s">
        <v>5711</v>
      </c>
      <c r="B1449" t="s">
        <v>188</v>
      </c>
      <c r="C1449" t="s">
        <v>1334</v>
      </c>
      <c r="D1449" t="s">
        <v>1333</v>
      </c>
      <c r="E1449" t="s">
        <v>4938</v>
      </c>
      <c r="F1449" s="23">
        <v>44346</v>
      </c>
      <c r="G1449" s="1">
        <v>18211</v>
      </c>
    </row>
    <row r="1450" spans="1:7">
      <c r="A1450" t="s">
        <v>5711</v>
      </c>
      <c r="B1450" t="s">
        <v>298</v>
      </c>
      <c r="C1450" t="s">
        <v>3013</v>
      </c>
      <c r="D1450" t="s">
        <v>3406</v>
      </c>
      <c r="E1450" t="s">
        <v>4939</v>
      </c>
      <c r="F1450" s="23">
        <v>44346</v>
      </c>
      <c r="G1450" s="1">
        <v>4889</v>
      </c>
    </row>
    <row r="1451" spans="1:7">
      <c r="A1451" t="s">
        <v>5711</v>
      </c>
      <c r="B1451" t="s">
        <v>298</v>
      </c>
      <c r="C1451" t="s">
        <v>2371</v>
      </c>
      <c r="D1451" t="s">
        <v>5640</v>
      </c>
      <c r="E1451" t="s">
        <v>4940</v>
      </c>
      <c r="F1451" s="23">
        <v>44346</v>
      </c>
      <c r="G1451" s="1">
        <v>2414</v>
      </c>
    </row>
    <row r="1452" spans="1:7">
      <c r="A1452" t="s">
        <v>5711</v>
      </c>
      <c r="B1452" t="s">
        <v>233</v>
      </c>
      <c r="C1452" t="s">
        <v>2557</v>
      </c>
      <c r="D1452" t="s">
        <v>5641</v>
      </c>
      <c r="E1452" t="s">
        <v>4941</v>
      </c>
      <c r="F1452" s="23">
        <v>44480</v>
      </c>
      <c r="G1452" s="1">
        <v>3057</v>
      </c>
    </row>
    <row r="1453" spans="1:7">
      <c r="A1453" t="s">
        <v>5711</v>
      </c>
      <c r="B1453" t="s">
        <v>94</v>
      </c>
      <c r="C1453" t="s">
        <v>277</v>
      </c>
      <c r="D1453" t="s">
        <v>1858</v>
      </c>
      <c r="E1453" t="s">
        <v>4942</v>
      </c>
      <c r="F1453" s="23">
        <v>44762</v>
      </c>
      <c r="G1453" s="1">
        <v>11848</v>
      </c>
    </row>
    <row r="1454" spans="1:7">
      <c r="A1454" t="s">
        <v>5711</v>
      </c>
      <c r="B1454" t="s">
        <v>94</v>
      </c>
      <c r="C1454" t="s">
        <v>1063</v>
      </c>
      <c r="D1454" t="s">
        <v>5642</v>
      </c>
      <c r="E1454" t="s">
        <v>4943</v>
      </c>
      <c r="F1454" s="23">
        <v>44856</v>
      </c>
      <c r="G1454" s="1">
        <v>1896</v>
      </c>
    </row>
    <row r="1455" spans="1:7">
      <c r="A1455" t="s">
        <v>5711</v>
      </c>
      <c r="B1455" t="s">
        <v>135</v>
      </c>
      <c r="C1455" t="s">
        <v>458</v>
      </c>
      <c r="D1455" t="s">
        <v>5643</v>
      </c>
      <c r="E1455" t="s">
        <v>4944</v>
      </c>
      <c r="F1455" s="23">
        <v>44657</v>
      </c>
      <c r="G1455" s="1">
        <v>7481</v>
      </c>
    </row>
    <row r="1456" spans="1:7">
      <c r="A1456" t="s">
        <v>5711</v>
      </c>
      <c r="B1456" t="s">
        <v>106</v>
      </c>
      <c r="C1456" t="s">
        <v>2474</v>
      </c>
      <c r="D1456" t="s">
        <v>2473</v>
      </c>
      <c r="E1456" t="s">
        <v>4945</v>
      </c>
      <c r="F1456" s="23">
        <v>44865</v>
      </c>
      <c r="G1456" s="1">
        <v>9337</v>
      </c>
    </row>
    <row r="1457" spans="1:7">
      <c r="A1457" t="s">
        <v>5711</v>
      </c>
      <c r="B1457" t="s">
        <v>311</v>
      </c>
      <c r="C1457" t="s">
        <v>477</v>
      </c>
      <c r="D1457" t="s">
        <v>476</v>
      </c>
      <c r="E1457" t="s">
        <v>4946</v>
      </c>
      <c r="F1457" s="23">
        <v>44346</v>
      </c>
      <c r="G1457" s="1">
        <v>3904</v>
      </c>
    </row>
    <row r="1458" spans="1:7">
      <c r="A1458" t="s">
        <v>5711</v>
      </c>
      <c r="B1458" t="s">
        <v>298</v>
      </c>
      <c r="C1458" t="s">
        <v>1838</v>
      </c>
      <c r="D1458" t="s">
        <v>1837</v>
      </c>
      <c r="E1458" t="s">
        <v>4947</v>
      </c>
      <c r="F1458" s="23">
        <v>44346</v>
      </c>
      <c r="G1458" s="1">
        <v>12066</v>
      </c>
    </row>
    <row r="1459" spans="1:7">
      <c r="A1459" t="s">
        <v>5711</v>
      </c>
      <c r="B1459" t="s">
        <v>94</v>
      </c>
      <c r="C1459" t="s">
        <v>2136</v>
      </c>
      <c r="D1459" t="s">
        <v>2135</v>
      </c>
      <c r="E1459" t="s">
        <v>4948</v>
      </c>
      <c r="F1459" s="23">
        <v>44848</v>
      </c>
      <c r="G1459" s="1">
        <v>8186</v>
      </c>
    </row>
    <row r="1460" spans="1:7">
      <c r="A1460" t="s">
        <v>5711</v>
      </c>
      <c r="B1460" t="s">
        <v>106</v>
      </c>
      <c r="C1460" t="s">
        <v>3197</v>
      </c>
      <c r="D1460" t="s">
        <v>5644</v>
      </c>
      <c r="E1460" t="s">
        <v>4949</v>
      </c>
      <c r="F1460" s="23">
        <v>44675</v>
      </c>
      <c r="G1460" s="1">
        <v>6331</v>
      </c>
    </row>
    <row r="1461" spans="1:7">
      <c r="A1461" t="s">
        <v>5711</v>
      </c>
      <c r="B1461" t="s">
        <v>37</v>
      </c>
      <c r="C1461" t="s">
        <v>910</v>
      </c>
      <c r="D1461" t="s">
        <v>5645</v>
      </c>
      <c r="E1461" t="s">
        <v>4950</v>
      </c>
      <c r="F1461" s="23">
        <v>44346</v>
      </c>
      <c r="G1461" s="1">
        <v>16249</v>
      </c>
    </row>
    <row r="1462" spans="1:7">
      <c r="A1462" t="s">
        <v>5711</v>
      </c>
      <c r="B1462" t="s">
        <v>43</v>
      </c>
      <c r="C1462" t="s">
        <v>434</v>
      </c>
      <c r="D1462" t="s">
        <v>433</v>
      </c>
      <c r="E1462" t="s">
        <v>4951</v>
      </c>
      <c r="F1462" s="23">
        <v>45016</v>
      </c>
      <c r="G1462" s="1">
        <v>7866</v>
      </c>
    </row>
    <row r="1463" spans="1:7">
      <c r="A1463" t="s">
        <v>5711</v>
      </c>
      <c r="B1463" t="s">
        <v>208</v>
      </c>
      <c r="C1463" t="s">
        <v>1661</v>
      </c>
      <c r="D1463" t="s">
        <v>1660</v>
      </c>
      <c r="E1463" t="s">
        <v>4952</v>
      </c>
      <c r="F1463" s="23">
        <v>44531</v>
      </c>
      <c r="G1463" s="1">
        <v>1093</v>
      </c>
    </row>
    <row r="1464" spans="1:7">
      <c r="A1464" t="s">
        <v>5711</v>
      </c>
      <c r="B1464" t="s">
        <v>290</v>
      </c>
      <c r="C1464" t="s">
        <v>289</v>
      </c>
      <c r="D1464" t="s">
        <v>288</v>
      </c>
      <c r="E1464" t="s">
        <v>4953</v>
      </c>
      <c r="F1464" s="23">
        <v>44346</v>
      </c>
      <c r="G1464" s="1">
        <v>19899</v>
      </c>
    </row>
    <row r="1465" spans="1:7">
      <c r="A1465" t="s">
        <v>5711</v>
      </c>
      <c r="B1465" t="s">
        <v>233</v>
      </c>
      <c r="C1465" t="s">
        <v>3397</v>
      </c>
      <c r="D1465" t="s">
        <v>3396</v>
      </c>
      <c r="E1465" t="s">
        <v>4954</v>
      </c>
      <c r="F1465" s="23">
        <v>44346</v>
      </c>
      <c r="G1465" s="1">
        <v>13488</v>
      </c>
    </row>
    <row r="1466" spans="1:7">
      <c r="A1466" t="s">
        <v>5711</v>
      </c>
      <c r="B1466" t="s">
        <v>106</v>
      </c>
      <c r="C1466" t="s">
        <v>1944</v>
      </c>
      <c r="D1466" t="s">
        <v>1943</v>
      </c>
      <c r="E1466" t="s">
        <v>4955</v>
      </c>
      <c r="F1466" s="23">
        <v>44346</v>
      </c>
      <c r="G1466" s="1">
        <v>17087</v>
      </c>
    </row>
    <row r="1467" spans="1:7">
      <c r="A1467" t="s">
        <v>5711</v>
      </c>
      <c r="B1467" t="s">
        <v>367</v>
      </c>
      <c r="C1467" t="s">
        <v>898</v>
      </c>
      <c r="D1467" t="s">
        <v>897</v>
      </c>
      <c r="E1467" t="s">
        <v>4956</v>
      </c>
      <c r="F1467" s="23">
        <v>44725</v>
      </c>
      <c r="G1467" s="1">
        <v>1374</v>
      </c>
    </row>
    <row r="1468" spans="1:7">
      <c r="A1468" t="s">
        <v>5711</v>
      </c>
      <c r="B1468" t="s">
        <v>94</v>
      </c>
      <c r="C1468" t="s">
        <v>2540</v>
      </c>
      <c r="D1468" t="s">
        <v>2539</v>
      </c>
      <c r="E1468" t="s">
        <v>4957</v>
      </c>
      <c r="F1468" s="23">
        <v>44874</v>
      </c>
      <c r="G1468" s="1">
        <v>10985</v>
      </c>
    </row>
    <row r="1469" spans="1:7">
      <c r="A1469" t="s">
        <v>5711</v>
      </c>
      <c r="B1469" t="s">
        <v>106</v>
      </c>
      <c r="C1469" t="s">
        <v>2360</v>
      </c>
      <c r="D1469" t="s">
        <v>2359</v>
      </c>
      <c r="E1469" t="s">
        <v>4958</v>
      </c>
      <c r="F1469" s="23">
        <v>44346</v>
      </c>
      <c r="G1469" s="1">
        <v>15907</v>
      </c>
    </row>
    <row r="1470" spans="1:7">
      <c r="A1470" t="s">
        <v>5711</v>
      </c>
      <c r="B1470" t="s">
        <v>233</v>
      </c>
      <c r="C1470" t="s">
        <v>1887</v>
      </c>
      <c r="D1470" t="s">
        <v>2593</v>
      </c>
      <c r="E1470" t="s">
        <v>4959</v>
      </c>
      <c r="F1470" s="23">
        <v>44619</v>
      </c>
      <c r="G1470" s="1">
        <v>2827</v>
      </c>
    </row>
    <row r="1471" spans="1:7">
      <c r="A1471" t="s">
        <v>5711</v>
      </c>
      <c r="B1471" t="s">
        <v>315</v>
      </c>
      <c r="C1471" t="s">
        <v>314</v>
      </c>
      <c r="D1471" t="s">
        <v>313</v>
      </c>
      <c r="E1471" t="s">
        <v>4960</v>
      </c>
      <c r="F1471" s="23">
        <v>44346</v>
      </c>
      <c r="G1471" s="1">
        <v>17121</v>
      </c>
    </row>
    <row r="1472" spans="1:7">
      <c r="A1472" t="s">
        <v>5711</v>
      </c>
      <c r="B1472" t="s">
        <v>94</v>
      </c>
      <c r="C1472" t="s">
        <v>2288</v>
      </c>
      <c r="D1472" t="s">
        <v>2287</v>
      </c>
      <c r="E1472" t="s">
        <v>4961</v>
      </c>
      <c r="F1472" s="23">
        <v>44489</v>
      </c>
      <c r="G1472" s="1">
        <v>9227</v>
      </c>
    </row>
    <row r="1473" spans="1:7">
      <c r="A1473" t="s">
        <v>5711</v>
      </c>
      <c r="B1473" t="s">
        <v>37</v>
      </c>
      <c r="C1473" t="s">
        <v>177</v>
      </c>
      <c r="D1473" t="s">
        <v>176</v>
      </c>
      <c r="E1473" t="s">
        <v>4962</v>
      </c>
      <c r="F1473" s="23">
        <v>44515</v>
      </c>
      <c r="G1473" s="1">
        <v>1961</v>
      </c>
    </row>
    <row r="1474" spans="1:7">
      <c r="A1474" t="s">
        <v>5711</v>
      </c>
      <c r="B1474" t="s">
        <v>311</v>
      </c>
      <c r="C1474" t="s">
        <v>2347</v>
      </c>
      <c r="D1474" t="s">
        <v>2346</v>
      </c>
      <c r="E1474" t="s">
        <v>4963</v>
      </c>
      <c r="F1474" s="23">
        <v>44346</v>
      </c>
      <c r="G1474" s="1">
        <v>16374</v>
      </c>
    </row>
    <row r="1475" spans="1:7">
      <c r="A1475" t="s">
        <v>5711</v>
      </c>
      <c r="B1475" t="s">
        <v>311</v>
      </c>
      <c r="C1475" t="s">
        <v>2794</v>
      </c>
      <c r="D1475" t="s">
        <v>2793</v>
      </c>
      <c r="E1475" t="s">
        <v>4964</v>
      </c>
      <c r="F1475" s="23">
        <v>44346</v>
      </c>
      <c r="G1475" s="1">
        <v>12168</v>
      </c>
    </row>
    <row r="1476" spans="1:7">
      <c r="A1476" t="s">
        <v>5711</v>
      </c>
      <c r="B1476" t="s">
        <v>258</v>
      </c>
      <c r="C1476" t="s">
        <v>257</v>
      </c>
      <c r="D1476" t="s">
        <v>256</v>
      </c>
      <c r="E1476" t="s">
        <v>4965</v>
      </c>
      <c r="F1476" s="23">
        <v>44346</v>
      </c>
      <c r="G1476" s="1">
        <v>14243</v>
      </c>
    </row>
    <row r="1477" spans="1:7">
      <c r="A1477" t="s">
        <v>5711</v>
      </c>
      <c r="B1477" t="s">
        <v>106</v>
      </c>
      <c r="C1477" t="s">
        <v>3117</v>
      </c>
      <c r="D1477" t="s">
        <v>3116</v>
      </c>
      <c r="E1477" t="s">
        <v>4966</v>
      </c>
      <c r="F1477" s="23">
        <v>44346</v>
      </c>
      <c r="G1477" s="1">
        <v>18236</v>
      </c>
    </row>
    <row r="1478" spans="1:7">
      <c r="A1478" t="s">
        <v>5711</v>
      </c>
      <c r="B1478" t="s">
        <v>68</v>
      </c>
      <c r="C1478" t="s">
        <v>1654</v>
      </c>
      <c r="D1478" t="s">
        <v>1653</v>
      </c>
      <c r="E1478" t="s">
        <v>4967</v>
      </c>
      <c r="F1478" s="23">
        <v>44346</v>
      </c>
      <c r="G1478" s="1">
        <v>16395</v>
      </c>
    </row>
    <row r="1479" spans="1:7">
      <c r="A1479" t="s">
        <v>5711</v>
      </c>
      <c r="B1479" t="s">
        <v>298</v>
      </c>
      <c r="C1479" t="s">
        <v>1887</v>
      </c>
      <c r="D1479" t="s">
        <v>3120</v>
      </c>
      <c r="E1479" t="s">
        <v>4968</v>
      </c>
      <c r="F1479" s="23">
        <v>44741</v>
      </c>
      <c r="G1479" s="1">
        <v>4995</v>
      </c>
    </row>
    <row r="1480" spans="1:7">
      <c r="A1480" t="s">
        <v>5711</v>
      </c>
      <c r="B1480" t="s">
        <v>37</v>
      </c>
      <c r="C1480" t="s">
        <v>1487</v>
      </c>
      <c r="D1480" t="s">
        <v>5646</v>
      </c>
      <c r="E1480" t="s">
        <v>4969</v>
      </c>
      <c r="F1480" s="23">
        <v>44346</v>
      </c>
      <c r="G1480" s="1">
        <v>15630</v>
      </c>
    </row>
    <row r="1481" spans="1:7">
      <c r="A1481" t="s">
        <v>5711</v>
      </c>
      <c r="B1481" t="s">
        <v>106</v>
      </c>
      <c r="C1481" t="s">
        <v>105</v>
      </c>
      <c r="D1481" t="s">
        <v>104</v>
      </c>
      <c r="E1481" t="s">
        <v>4970</v>
      </c>
      <c r="F1481" s="23">
        <v>45016</v>
      </c>
      <c r="G1481" s="1">
        <v>11109</v>
      </c>
    </row>
    <row r="1482" spans="1:7">
      <c r="A1482" t="s">
        <v>5711</v>
      </c>
      <c r="B1482" t="s">
        <v>233</v>
      </c>
      <c r="C1482" t="s">
        <v>1922</v>
      </c>
      <c r="D1482" t="s">
        <v>2628</v>
      </c>
      <c r="E1482" t="s">
        <v>4971</v>
      </c>
      <c r="F1482" s="23">
        <v>44346</v>
      </c>
      <c r="G1482" s="1">
        <v>2318</v>
      </c>
    </row>
    <row r="1483" spans="1:7">
      <c r="A1483" t="s">
        <v>5711</v>
      </c>
      <c r="B1483" t="s">
        <v>298</v>
      </c>
      <c r="C1483" t="s">
        <v>865</v>
      </c>
      <c r="D1483" t="s">
        <v>864</v>
      </c>
      <c r="E1483" t="s">
        <v>4972</v>
      </c>
      <c r="F1483" s="23">
        <v>44346</v>
      </c>
      <c r="G1483" s="1">
        <v>18701</v>
      </c>
    </row>
    <row r="1484" spans="1:7">
      <c r="A1484" t="s">
        <v>5711</v>
      </c>
      <c r="B1484" t="s">
        <v>1256</v>
      </c>
      <c r="C1484" t="s">
        <v>1255</v>
      </c>
      <c r="D1484" t="s">
        <v>1254</v>
      </c>
      <c r="E1484" t="s">
        <v>4973</v>
      </c>
      <c r="F1484" s="23">
        <v>44971</v>
      </c>
      <c r="G1484" s="1">
        <v>8141</v>
      </c>
    </row>
    <row r="1485" spans="1:7">
      <c r="A1485" t="s">
        <v>5711</v>
      </c>
      <c r="B1485" t="s">
        <v>94</v>
      </c>
      <c r="C1485" t="s">
        <v>2268</v>
      </c>
      <c r="D1485" t="s">
        <v>2267</v>
      </c>
      <c r="E1485" t="s">
        <v>4974</v>
      </c>
      <c r="F1485" s="23">
        <v>44346</v>
      </c>
      <c r="G1485" s="1">
        <v>19400</v>
      </c>
    </row>
    <row r="1486" spans="1:7">
      <c r="A1486" t="s">
        <v>5711</v>
      </c>
      <c r="B1486" t="s">
        <v>233</v>
      </c>
      <c r="C1486" t="s">
        <v>241</v>
      </c>
      <c r="D1486" t="s">
        <v>240</v>
      </c>
      <c r="E1486" t="s">
        <v>4975</v>
      </c>
      <c r="F1486" s="23">
        <v>44967</v>
      </c>
      <c r="G1486" s="1">
        <v>11103</v>
      </c>
    </row>
    <row r="1487" spans="1:7">
      <c r="A1487" t="s">
        <v>5711</v>
      </c>
      <c r="B1487" t="s">
        <v>298</v>
      </c>
      <c r="C1487" t="s">
        <v>2846</v>
      </c>
      <c r="D1487" t="s">
        <v>2845</v>
      </c>
      <c r="E1487" t="s">
        <v>4976</v>
      </c>
      <c r="F1487" s="23">
        <v>44346</v>
      </c>
      <c r="G1487" s="1">
        <v>14737</v>
      </c>
    </row>
    <row r="1488" spans="1:7">
      <c r="A1488" t="s">
        <v>5711</v>
      </c>
      <c r="B1488" t="s">
        <v>94</v>
      </c>
      <c r="C1488" t="s">
        <v>2630</v>
      </c>
      <c r="D1488" t="s">
        <v>2629</v>
      </c>
      <c r="E1488" t="s">
        <v>4977</v>
      </c>
      <c r="F1488" s="23">
        <v>44346</v>
      </c>
      <c r="G1488" s="1">
        <v>19602</v>
      </c>
    </row>
    <row r="1489" spans="1:7">
      <c r="A1489" t="s">
        <v>5711</v>
      </c>
      <c r="B1489" t="s">
        <v>298</v>
      </c>
      <c r="C1489" t="s">
        <v>1852</v>
      </c>
      <c r="D1489" t="s">
        <v>1851</v>
      </c>
      <c r="E1489" t="s">
        <v>4978</v>
      </c>
      <c r="F1489" s="23">
        <v>44346</v>
      </c>
      <c r="G1489" s="1">
        <v>3597</v>
      </c>
    </row>
    <row r="1490" spans="1:7">
      <c r="A1490" t="s">
        <v>5711</v>
      </c>
      <c r="B1490" t="s">
        <v>94</v>
      </c>
      <c r="C1490" t="s">
        <v>2005</v>
      </c>
      <c r="D1490" t="s">
        <v>2004</v>
      </c>
      <c r="E1490" t="s">
        <v>4979</v>
      </c>
      <c r="F1490" s="23">
        <v>44346</v>
      </c>
      <c r="G1490" s="1">
        <v>19617</v>
      </c>
    </row>
    <row r="1491" spans="1:7">
      <c r="A1491" t="s">
        <v>5711</v>
      </c>
      <c r="B1491" t="s">
        <v>94</v>
      </c>
      <c r="C1491" t="s">
        <v>1887</v>
      </c>
      <c r="D1491" t="s">
        <v>1983</v>
      </c>
      <c r="E1491" t="s">
        <v>4980</v>
      </c>
      <c r="F1491" s="23">
        <v>44346</v>
      </c>
      <c r="G1491" s="1">
        <v>19010</v>
      </c>
    </row>
    <row r="1492" spans="1:7">
      <c r="A1492" t="s">
        <v>5711</v>
      </c>
      <c r="B1492" t="s">
        <v>298</v>
      </c>
      <c r="C1492" t="s">
        <v>2919</v>
      </c>
      <c r="D1492" t="s">
        <v>2918</v>
      </c>
      <c r="E1492" t="s">
        <v>4981</v>
      </c>
      <c r="F1492" s="23">
        <v>44418</v>
      </c>
      <c r="G1492" s="1">
        <v>8887</v>
      </c>
    </row>
    <row r="1493" spans="1:7">
      <c r="A1493" t="s">
        <v>5711</v>
      </c>
      <c r="B1493" t="s">
        <v>233</v>
      </c>
      <c r="C1493" t="s">
        <v>3194</v>
      </c>
      <c r="D1493" t="s">
        <v>3193</v>
      </c>
      <c r="E1493" t="s">
        <v>4982</v>
      </c>
      <c r="F1493" s="23">
        <v>44346</v>
      </c>
      <c r="G1493" s="1">
        <v>19738</v>
      </c>
    </row>
    <row r="1494" spans="1:7">
      <c r="A1494" t="s">
        <v>5711</v>
      </c>
      <c r="B1494" t="s">
        <v>94</v>
      </c>
      <c r="C1494" t="s">
        <v>1898</v>
      </c>
      <c r="D1494" t="s">
        <v>1897</v>
      </c>
      <c r="E1494" t="s">
        <v>4983</v>
      </c>
      <c r="F1494" s="23">
        <v>44346</v>
      </c>
      <c r="G1494" s="1">
        <v>19894</v>
      </c>
    </row>
    <row r="1495" spans="1:7">
      <c r="A1495" t="s">
        <v>5711</v>
      </c>
      <c r="B1495" t="s">
        <v>208</v>
      </c>
      <c r="C1495" t="s">
        <v>810</v>
      </c>
      <c r="D1495" t="s">
        <v>5647</v>
      </c>
      <c r="E1495" t="s">
        <v>4984</v>
      </c>
      <c r="F1495" s="23">
        <v>44455</v>
      </c>
      <c r="G1495" s="1">
        <v>4104</v>
      </c>
    </row>
    <row r="1496" spans="1:7">
      <c r="A1496" t="s">
        <v>5711</v>
      </c>
      <c r="B1496" t="s">
        <v>236</v>
      </c>
      <c r="C1496" t="s">
        <v>775</v>
      </c>
      <c r="D1496" t="s">
        <v>774</v>
      </c>
      <c r="E1496" t="s">
        <v>4985</v>
      </c>
      <c r="F1496" s="23">
        <v>44846</v>
      </c>
      <c r="G1496" s="1">
        <v>7148</v>
      </c>
    </row>
    <row r="1497" spans="1:7">
      <c r="A1497" t="s">
        <v>5711</v>
      </c>
      <c r="B1497" t="s">
        <v>106</v>
      </c>
      <c r="C1497" t="s">
        <v>2562</v>
      </c>
      <c r="D1497" t="s">
        <v>2561</v>
      </c>
      <c r="E1497" t="s">
        <v>4986</v>
      </c>
      <c r="F1497" s="23">
        <v>44346</v>
      </c>
      <c r="G1497" s="1">
        <v>5611</v>
      </c>
    </row>
    <row r="1498" spans="1:7">
      <c r="A1498" t="s">
        <v>5711</v>
      </c>
      <c r="B1498" t="s">
        <v>298</v>
      </c>
      <c r="C1498" t="s">
        <v>1856</v>
      </c>
      <c r="D1498" t="s">
        <v>1855</v>
      </c>
      <c r="E1498" t="s">
        <v>4987</v>
      </c>
      <c r="F1498" s="23">
        <v>44346</v>
      </c>
      <c r="G1498" s="1">
        <v>12903</v>
      </c>
    </row>
    <row r="1499" spans="1:7">
      <c r="A1499" t="s">
        <v>5711</v>
      </c>
      <c r="B1499" t="s">
        <v>106</v>
      </c>
      <c r="C1499" t="s">
        <v>1300</v>
      </c>
      <c r="D1499" t="s">
        <v>1299</v>
      </c>
      <c r="E1499" t="s">
        <v>4988</v>
      </c>
      <c r="F1499" s="23">
        <v>44346</v>
      </c>
      <c r="G1499" s="1">
        <v>15250</v>
      </c>
    </row>
    <row r="1500" spans="1:7">
      <c r="A1500" t="s">
        <v>5711</v>
      </c>
      <c r="B1500" t="s">
        <v>94</v>
      </c>
      <c r="C1500" t="s">
        <v>581</v>
      </c>
      <c r="D1500" t="s">
        <v>604</v>
      </c>
      <c r="E1500" t="s">
        <v>4989</v>
      </c>
      <c r="F1500" s="23">
        <v>44885</v>
      </c>
      <c r="G1500" s="1">
        <v>2292</v>
      </c>
    </row>
    <row r="1501" spans="1:7">
      <c r="A1501" t="s">
        <v>5711</v>
      </c>
      <c r="B1501" t="s">
        <v>68</v>
      </c>
      <c r="C1501" t="s">
        <v>238</v>
      </c>
      <c r="D1501" t="s">
        <v>237</v>
      </c>
      <c r="E1501" t="s">
        <v>4990</v>
      </c>
      <c r="F1501" s="23">
        <v>44776</v>
      </c>
      <c r="G1501" s="1">
        <v>10565</v>
      </c>
    </row>
    <row r="1502" spans="1:7">
      <c r="A1502" t="s">
        <v>5711</v>
      </c>
      <c r="B1502" t="s">
        <v>37</v>
      </c>
      <c r="C1502" t="s">
        <v>329</v>
      </c>
      <c r="D1502" t="s">
        <v>328</v>
      </c>
      <c r="E1502" t="s">
        <v>4991</v>
      </c>
      <c r="F1502" s="23">
        <v>44434</v>
      </c>
      <c r="G1502" s="1">
        <v>1931</v>
      </c>
    </row>
    <row r="1503" spans="1:7">
      <c r="A1503" t="s">
        <v>5711</v>
      </c>
      <c r="B1503" t="s">
        <v>311</v>
      </c>
      <c r="C1503" t="s">
        <v>2600</v>
      </c>
      <c r="D1503" t="s">
        <v>5648</v>
      </c>
      <c r="E1503" t="s">
        <v>4992</v>
      </c>
      <c r="F1503" s="23">
        <v>44773</v>
      </c>
      <c r="G1503" s="1">
        <v>4747</v>
      </c>
    </row>
    <row r="1504" spans="1:7">
      <c r="A1504" t="s">
        <v>5711</v>
      </c>
      <c r="B1504" t="s">
        <v>97</v>
      </c>
      <c r="C1504" t="s">
        <v>1829</v>
      </c>
      <c r="D1504" t="s">
        <v>5649</v>
      </c>
      <c r="E1504" t="s">
        <v>4993</v>
      </c>
      <c r="F1504" s="23">
        <v>44346</v>
      </c>
      <c r="G1504" s="1">
        <v>16552</v>
      </c>
    </row>
    <row r="1505" spans="1:7">
      <c r="A1505" t="s">
        <v>5711</v>
      </c>
      <c r="B1505" t="s">
        <v>106</v>
      </c>
      <c r="C1505" t="s">
        <v>888</v>
      </c>
      <c r="D1505" t="s">
        <v>886</v>
      </c>
      <c r="E1505" t="s">
        <v>4994</v>
      </c>
      <c r="F1505" s="23">
        <v>44346</v>
      </c>
      <c r="G1505" s="1">
        <v>13384</v>
      </c>
    </row>
    <row r="1506" spans="1:7">
      <c r="A1506" t="s">
        <v>5711</v>
      </c>
      <c r="B1506" t="s">
        <v>298</v>
      </c>
      <c r="C1506" t="s">
        <v>1887</v>
      </c>
      <c r="D1506" t="s">
        <v>2872</v>
      </c>
      <c r="E1506" t="s">
        <v>4995</v>
      </c>
      <c r="F1506" s="23">
        <v>44425</v>
      </c>
      <c r="G1506" s="1">
        <v>6871</v>
      </c>
    </row>
    <row r="1507" spans="1:7">
      <c r="A1507" t="s">
        <v>5711</v>
      </c>
      <c r="B1507" t="s">
        <v>94</v>
      </c>
      <c r="C1507" t="s">
        <v>136</v>
      </c>
      <c r="D1507" t="s">
        <v>2190</v>
      </c>
      <c r="E1507" t="s">
        <v>4996</v>
      </c>
      <c r="F1507" s="23">
        <v>44647</v>
      </c>
      <c r="G1507" s="1">
        <v>2779</v>
      </c>
    </row>
    <row r="1508" spans="1:7">
      <c r="A1508" t="s">
        <v>5711</v>
      </c>
      <c r="B1508" t="s">
        <v>311</v>
      </c>
      <c r="C1508" t="s">
        <v>2068</v>
      </c>
      <c r="D1508" t="s">
        <v>2067</v>
      </c>
      <c r="E1508" t="s">
        <v>4997</v>
      </c>
      <c r="F1508" s="23">
        <v>44346</v>
      </c>
      <c r="G1508" s="1">
        <v>11236</v>
      </c>
    </row>
    <row r="1509" spans="1:7">
      <c r="A1509" t="s">
        <v>5711</v>
      </c>
      <c r="B1509" t="s">
        <v>233</v>
      </c>
      <c r="C1509" t="s">
        <v>2208</v>
      </c>
      <c r="D1509" t="s">
        <v>3476</v>
      </c>
      <c r="E1509" t="s">
        <v>4998</v>
      </c>
      <c r="F1509" s="23">
        <v>44346</v>
      </c>
      <c r="G1509" s="1">
        <v>14786</v>
      </c>
    </row>
    <row r="1510" spans="1:7">
      <c r="A1510" t="s">
        <v>5711</v>
      </c>
      <c r="B1510" t="s">
        <v>298</v>
      </c>
      <c r="C1510" t="s">
        <v>2236</v>
      </c>
      <c r="D1510" t="s">
        <v>2968</v>
      </c>
      <c r="E1510" t="s">
        <v>4999</v>
      </c>
      <c r="F1510" s="23">
        <v>44346</v>
      </c>
      <c r="G1510" s="1">
        <v>1246</v>
      </c>
    </row>
    <row r="1511" spans="1:7">
      <c r="A1511" t="s">
        <v>5711</v>
      </c>
      <c r="B1511" t="s">
        <v>208</v>
      </c>
      <c r="C1511" t="s">
        <v>1182</v>
      </c>
      <c r="D1511" t="s">
        <v>1181</v>
      </c>
      <c r="E1511" t="s">
        <v>5000</v>
      </c>
      <c r="F1511" s="23">
        <v>44346</v>
      </c>
      <c r="G1511" s="1">
        <v>17591</v>
      </c>
    </row>
    <row r="1512" spans="1:7">
      <c r="A1512" t="s">
        <v>5711</v>
      </c>
      <c r="B1512" t="s">
        <v>208</v>
      </c>
      <c r="C1512" t="s">
        <v>275</v>
      </c>
      <c r="D1512" t="s">
        <v>274</v>
      </c>
      <c r="E1512" t="s">
        <v>5001</v>
      </c>
      <c r="F1512" s="23">
        <v>44346</v>
      </c>
      <c r="G1512" s="1">
        <v>15555</v>
      </c>
    </row>
    <row r="1513" spans="1:7">
      <c r="A1513" t="s">
        <v>5711</v>
      </c>
      <c r="B1513" t="s">
        <v>72</v>
      </c>
      <c r="C1513" t="s">
        <v>1615</v>
      </c>
      <c r="D1513" t="s">
        <v>5650</v>
      </c>
      <c r="E1513" t="s">
        <v>5002</v>
      </c>
      <c r="F1513" s="23">
        <v>44842</v>
      </c>
      <c r="G1513" s="1">
        <v>9818</v>
      </c>
    </row>
    <row r="1514" spans="1:7">
      <c r="A1514" t="s">
        <v>5711</v>
      </c>
      <c r="B1514" t="s">
        <v>106</v>
      </c>
      <c r="C1514" t="s">
        <v>2804</v>
      </c>
      <c r="D1514" t="s">
        <v>2803</v>
      </c>
      <c r="E1514" t="s">
        <v>5003</v>
      </c>
      <c r="F1514" s="23">
        <v>44506</v>
      </c>
      <c r="G1514" s="1">
        <v>4854</v>
      </c>
    </row>
    <row r="1515" spans="1:7">
      <c r="A1515" t="s">
        <v>5711</v>
      </c>
      <c r="B1515" t="s">
        <v>37</v>
      </c>
      <c r="C1515" t="s">
        <v>912</v>
      </c>
      <c r="D1515" t="s">
        <v>911</v>
      </c>
      <c r="E1515" t="s">
        <v>5004</v>
      </c>
      <c r="F1515" s="23">
        <v>44346</v>
      </c>
      <c r="G1515" s="1">
        <v>16608</v>
      </c>
    </row>
    <row r="1516" spans="1:7">
      <c r="A1516" t="s">
        <v>5711</v>
      </c>
      <c r="B1516" t="s">
        <v>233</v>
      </c>
      <c r="C1516" t="s">
        <v>1970</v>
      </c>
      <c r="D1516" t="s">
        <v>1969</v>
      </c>
      <c r="E1516" t="s">
        <v>5005</v>
      </c>
      <c r="F1516" s="23">
        <v>44928</v>
      </c>
      <c r="G1516" s="1">
        <v>1512</v>
      </c>
    </row>
    <row r="1517" spans="1:7">
      <c r="A1517" t="s">
        <v>5711</v>
      </c>
      <c r="B1517" t="s">
        <v>94</v>
      </c>
      <c r="C1517" t="s">
        <v>3486</v>
      </c>
      <c r="D1517" t="s">
        <v>142</v>
      </c>
      <c r="E1517" t="s">
        <v>5006</v>
      </c>
      <c r="F1517" s="23">
        <v>44346</v>
      </c>
      <c r="G1517" s="1">
        <v>3023</v>
      </c>
    </row>
    <row r="1518" spans="1:7">
      <c r="A1518" t="s">
        <v>5711</v>
      </c>
      <c r="B1518" t="s">
        <v>85</v>
      </c>
      <c r="C1518" t="s">
        <v>1611</v>
      </c>
      <c r="D1518" t="s">
        <v>1610</v>
      </c>
      <c r="E1518" t="s">
        <v>5007</v>
      </c>
      <c r="F1518" s="23">
        <v>44738</v>
      </c>
      <c r="G1518" s="1">
        <v>8389</v>
      </c>
    </row>
    <row r="1519" spans="1:7">
      <c r="A1519" t="s">
        <v>5711</v>
      </c>
      <c r="B1519" t="s">
        <v>135</v>
      </c>
      <c r="C1519" t="s">
        <v>1589</v>
      </c>
      <c r="D1519" t="s">
        <v>1588</v>
      </c>
      <c r="E1519" t="s">
        <v>5008</v>
      </c>
      <c r="F1519" s="23">
        <v>44894</v>
      </c>
      <c r="G1519" s="1">
        <v>11841</v>
      </c>
    </row>
    <row r="1520" spans="1:7">
      <c r="A1520" t="s">
        <v>5711</v>
      </c>
      <c r="B1520" t="s">
        <v>68</v>
      </c>
      <c r="C1520" t="s">
        <v>647</v>
      </c>
      <c r="D1520" t="s">
        <v>1363</v>
      </c>
      <c r="E1520" t="s">
        <v>5009</v>
      </c>
      <c r="F1520" s="23">
        <v>44346</v>
      </c>
      <c r="G1520" s="1">
        <v>9562</v>
      </c>
    </row>
    <row r="1521" spans="1:7">
      <c r="A1521" t="s">
        <v>5711</v>
      </c>
      <c r="B1521" t="s">
        <v>94</v>
      </c>
      <c r="C1521" t="s">
        <v>1887</v>
      </c>
      <c r="D1521" t="s">
        <v>2154</v>
      </c>
      <c r="E1521" t="s">
        <v>5010</v>
      </c>
      <c r="F1521" s="23">
        <v>45068</v>
      </c>
      <c r="G1521" s="1">
        <v>5443</v>
      </c>
    </row>
    <row r="1522" spans="1:7">
      <c r="A1522" t="s">
        <v>5711</v>
      </c>
      <c r="B1522" t="s">
        <v>94</v>
      </c>
      <c r="C1522" t="s">
        <v>606</v>
      </c>
      <c r="D1522" t="s">
        <v>605</v>
      </c>
      <c r="E1522" t="s">
        <v>5011</v>
      </c>
      <c r="F1522" s="23">
        <v>44346</v>
      </c>
      <c r="G1522" s="1">
        <v>14771</v>
      </c>
    </row>
    <row r="1523" spans="1:7">
      <c r="A1523" t="s">
        <v>5711</v>
      </c>
      <c r="B1523" t="s">
        <v>94</v>
      </c>
      <c r="C1523" t="s">
        <v>1887</v>
      </c>
      <c r="D1523" t="s">
        <v>2471</v>
      </c>
      <c r="E1523" t="s">
        <v>5012</v>
      </c>
      <c r="F1523" s="23">
        <v>44762</v>
      </c>
      <c r="G1523" s="1">
        <v>3362</v>
      </c>
    </row>
    <row r="1524" spans="1:7">
      <c r="A1524" t="s">
        <v>5711</v>
      </c>
      <c r="B1524" t="s">
        <v>298</v>
      </c>
      <c r="C1524" t="s">
        <v>2046</v>
      </c>
      <c r="D1524" t="s">
        <v>2045</v>
      </c>
      <c r="E1524" t="s">
        <v>5013</v>
      </c>
      <c r="F1524" s="23">
        <v>44746</v>
      </c>
      <c r="G1524" s="1">
        <v>5688</v>
      </c>
    </row>
    <row r="1525" spans="1:7">
      <c r="A1525" t="s">
        <v>5711</v>
      </c>
      <c r="B1525" t="s">
        <v>132</v>
      </c>
      <c r="C1525" t="s">
        <v>1162</v>
      </c>
      <c r="D1525" t="s">
        <v>1161</v>
      </c>
      <c r="E1525" t="s">
        <v>5014</v>
      </c>
      <c r="F1525" s="23">
        <v>44346</v>
      </c>
      <c r="G1525" s="1">
        <v>16052</v>
      </c>
    </row>
    <row r="1526" spans="1:7">
      <c r="A1526" t="s">
        <v>5711</v>
      </c>
      <c r="B1526" t="s">
        <v>37</v>
      </c>
      <c r="C1526" t="s">
        <v>119</v>
      </c>
      <c r="D1526" t="s">
        <v>118</v>
      </c>
      <c r="E1526" t="s">
        <v>5015</v>
      </c>
      <c r="F1526" s="23">
        <v>44346</v>
      </c>
      <c r="G1526" s="1">
        <v>18185</v>
      </c>
    </row>
    <row r="1527" spans="1:7">
      <c r="A1527" t="s">
        <v>5711</v>
      </c>
      <c r="B1527" t="s">
        <v>68</v>
      </c>
      <c r="C1527" t="s">
        <v>1784</v>
      </c>
      <c r="D1527" t="s">
        <v>1783</v>
      </c>
      <c r="E1527" t="s">
        <v>5016</v>
      </c>
      <c r="F1527" s="23">
        <v>44346</v>
      </c>
      <c r="G1527" s="1">
        <v>18180</v>
      </c>
    </row>
    <row r="1528" spans="1:7">
      <c r="A1528" t="s">
        <v>5711</v>
      </c>
      <c r="B1528" t="s">
        <v>228</v>
      </c>
      <c r="C1528" t="s">
        <v>1364</v>
      </c>
      <c r="D1528" t="s">
        <v>5651</v>
      </c>
      <c r="E1528" t="s">
        <v>5017</v>
      </c>
      <c r="F1528" s="23">
        <v>44346</v>
      </c>
      <c r="G1528" s="1">
        <v>19153</v>
      </c>
    </row>
    <row r="1529" spans="1:7">
      <c r="A1529" t="s">
        <v>5711</v>
      </c>
      <c r="B1529" t="s">
        <v>233</v>
      </c>
      <c r="C1529" t="s">
        <v>2557</v>
      </c>
      <c r="D1529" t="s">
        <v>2556</v>
      </c>
      <c r="E1529" t="s">
        <v>5018</v>
      </c>
      <c r="F1529" s="23">
        <v>44346</v>
      </c>
      <c r="G1529" s="1">
        <v>12633</v>
      </c>
    </row>
    <row r="1530" spans="1:7">
      <c r="A1530" t="s">
        <v>5711</v>
      </c>
      <c r="B1530" t="s">
        <v>46</v>
      </c>
      <c r="C1530" t="s">
        <v>1065</v>
      </c>
      <c r="D1530" t="s">
        <v>1064</v>
      </c>
      <c r="E1530" t="s">
        <v>5019</v>
      </c>
      <c r="F1530" s="23">
        <v>44346</v>
      </c>
      <c r="G1530" s="1">
        <v>11358</v>
      </c>
    </row>
    <row r="1531" spans="1:7">
      <c r="A1531" t="s">
        <v>5711</v>
      </c>
      <c r="B1531" t="s">
        <v>233</v>
      </c>
      <c r="C1531" t="s">
        <v>2536</v>
      </c>
      <c r="D1531" t="s">
        <v>2535</v>
      </c>
      <c r="E1531" t="s">
        <v>5020</v>
      </c>
      <c r="F1531" s="23">
        <v>44470</v>
      </c>
      <c r="G1531" s="1">
        <v>7409</v>
      </c>
    </row>
    <row r="1532" spans="1:7">
      <c r="A1532" t="s">
        <v>5711</v>
      </c>
      <c r="B1532" t="s">
        <v>94</v>
      </c>
      <c r="C1532" t="s">
        <v>671</v>
      </c>
      <c r="D1532" t="s">
        <v>670</v>
      </c>
      <c r="E1532" t="s">
        <v>5021</v>
      </c>
      <c r="F1532" s="23">
        <v>44848</v>
      </c>
      <c r="G1532" s="1">
        <v>8727</v>
      </c>
    </row>
    <row r="1533" spans="1:7">
      <c r="A1533" t="s">
        <v>5711</v>
      </c>
      <c r="B1533" t="s">
        <v>1223</v>
      </c>
      <c r="C1533" t="s">
        <v>1844</v>
      </c>
      <c r="D1533" t="s">
        <v>1843</v>
      </c>
      <c r="E1533" t="s">
        <v>5022</v>
      </c>
      <c r="F1533" s="23">
        <v>44346</v>
      </c>
      <c r="G1533" s="1">
        <v>12816</v>
      </c>
    </row>
    <row r="1534" spans="1:7">
      <c r="A1534" t="s">
        <v>5711</v>
      </c>
      <c r="B1534" t="s">
        <v>94</v>
      </c>
      <c r="C1534" t="s">
        <v>2132</v>
      </c>
      <c r="D1534" t="s">
        <v>2131</v>
      </c>
      <c r="E1534" t="s">
        <v>5023</v>
      </c>
      <c r="F1534" s="23">
        <v>44613</v>
      </c>
      <c r="G1534" s="1">
        <v>8327</v>
      </c>
    </row>
    <row r="1535" spans="1:7">
      <c r="A1535" t="s">
        <v>5711</v>
      </c>
      <c r="B1535" t="s">
        <v>311</v>
      </c>
      <c r="C1535" t="s">
        <v>1980</v>
      </c>
      <c r="D1535" t="s">
        <v>5652</v>
      </c>
      <c r="E1535" t="s">
        <v>5024</v>
      </c>
      <c r="F1535" s="23">
        <v>44346</v>
      </c>
      <c r="G1535" s="1">
        <v>17248</v>
      </c>
    </row>
    <row r="1536" spans="1:7">
      <c r="A1536" t="s">
        <v>5711</v>
      </c>
      <c r="B1536" t="s">
        <v>135</v>
      </c>
      <c r="C1536" t="s">
        <v>394</v>
      </c>
      <c r="D1536" t="s">
        <v>393</v>
      </c>
      <c r="E1536" t="s">
        <v>5025</v>
      </c>
      <c r="F1536" s="23">
        <v>44346</v>
      </c>
      <c r="G1536" s="1">
        <v>12378</v>
      </c>
    </row>
    <row r="1537" spans="1:7">
      <c r="A1537" t="s">
        <v>5711</v>
      </c>
      <c r="B1537" t="s">
        <v>298</v>
      </c>
      <c r="C1537" t="s">
        <v>3245</v>
      </c>
      <c r="D1537" t="s">
        <v>3461</v>
      </c>
      <c r="E1537" t="s">
        <v>5026</v>
      </c>
      <c r="F1537" s="23">
        <v>44514</v>
      </c>
      <c r="G1537" s="1">
        <v>923</v>
      </c>
    </row>
    <row r="1538" spans="1:7">
      <c r="A1538" t="s">
        <v>5711</v>
      </c>
      <c r="B1538" t="s">
        <v>94</v>
      </c>
      <c r="C1538" t="s">
        <v>2957</v>
      </c>
      <c r="D1538" t="s">
        <v>2956</v>
      </c>
      <c r="E1538" t="s">
        <v>5027</v>
      </c>
      <c r="F1538" s="23">
        <v>44346</v>
      </c>
      <c r="G1538" s="1">
        <v>17663</v>
      </c>
    </row>
    <row r="1539" spans="1:7">
      <c r="A1539" t="s">
        <v>5711</v>
      </c>
      <c r="B1539" t="s">
        <v>68</v>
      </c>
      <c r="C1539" t="s">
        <v>128</v>
      </c>
      <c r="D1539" t="s">
        <v>127</v>
      </c>
      <c r="E1539" t="s">
        <v>5028</v>
      </c>
      <c r="F1539" s="23">
        <v>44346</v>
      </c>
      <c r="G1539" s="1">
        <v>15542</v>
      </c>
    </row>
    <row r="1540" spans="1:7">
      <c r="A1540" t="s">
        <v>5711</v>
      </c>
      <c r="B1540" t="s">
        <v>208</v>
      </c>
      <c r="C1540" t="s">
        <v>327</v>
      </c>
      <c r="D1540" t="s">
        <v>326</v>
      </c>
      <c r="E1540" t="s">
        <v>5029</v>
      </c>
      <c r="F1540" s="23">
        <v>45068</v>
      </c>
      <c r="G1540" s="1">
        <v>6148</v>
      </c>
    </row>
    <row r="1541" spans="1:7">
      <c r="A1541" t="s">
        <v>5711</v>
      </c>
      <c r="B1541" t="s">
        <v>233</v>
      </c>
      <c r="C1541" t="s">
        <v>2966</v>
      </c>
      <c r="D1541" t="s">
        <v>2965</v>
      </c>
      <c r="E1541" t="s">
        <v>5030</v>
      </c>
      <c r="F1541" s="23">
        <v>44662</v>
      </c>
      <c r="G1541" s="1">
        <v>8862</v>
      </c>
    </row>
    <row r="1542" spans="1:7">
      <c r="A1542" t="s">
        <v>5711</v>
      </c>
      <c r="B1542" t="s">
        <v>94</v>
      </c>
      <c r="C1542" t="s">
        <v>3021</v>
      </c>
      <c r="D1542" t="s">
        <v>5653</v>
      </c>
      <c r="E1542" t="s">
        <v>5031</v>
      </c>
      <c r="F1542" s="23">
        <v>45068</v>
      </c>
      <c r="G1542" s="1">
        <v>9466</v>
      </c>
    </row>
    <row r="1543" spans="1:7">
      <c r="A1543" t="s">
        <v>5711</v>
      </c>
      <c r="B1543" t="s">
        <v>106</v>
      </c>
      <c r="C1543" t="s">
        <v>2226</v>
      </c>
      <c r="D1543" t="s">
        <v>3219</v>
      </c>
      <c r="E1543" t="s">
        <v>5032</v>
      </c>
      <c r="F1543" s="23">
        <v>44346</v>
      </c>
      <c r="G1543" s="1">
        <v>17570</v>
      </c>
    </row>
    <row r="1544" spans="1:7">
      <c r="A1544" t="s">
        <v>5711</v>
      </c>
      <c r="B1544" t="s">
        <v>174</v>
      </c>
      <c r="C1544" t="s">
        <v>1695</v>
      </c>
      <c r="D1544" t="s">
        <v>1694</v>
      </c>
      <c r="E1544" t="s">
        <v>5033</v>
      </c>
      <c r="F1544" s="23">
        <v>44530</v>
      </c>
      <c r="G1544" s="1">
        <v>1641</v>
      </c>
    </row>
    <row r="1545" spans="1:7">
      <c r="A1545" t="s">
        <v>5711</v>
      </c>
      <c r="B1545" t="s">
        <v>43</v>
      </c>
      <c r="C1545" t="s">
        <v>1138</v>
      </c>
      <c r="D1545" t="s">
        <v>5654</v>
      </c>
      <c r="E1545" t="s">
        <v>5034</v>
      </c>
      <c r="F1545" s="23">
        <v>44643</v>
      </c>
      <c r="G1545" s="1">
        <v>11689</v>
      </c>
    </row>
    <row r="1546" spans="1:7">
      <c r="A1546" t="s">
        <v>5711</v>
      </c>
      <c r="B1546" t="s">
        <v>106</v>
      </c>
      <c r="C1546" t="s">
        <v>2821</v>
      </c>
      <c r="D1546" t="s">
        <v>2820</v>
      </c>
      <c r="E1546" t="s">
        <v>5035</v>
      </c>
      <c r="F1546" s="23">
        <v>44346</v>
      </c>
      <c r="G1546" s="1">
        <v>14848</v>
      </c>
    </row>
    <row r="1547" spans="1:7">
      <c r="A1547" t="s">
        <v>5711</v>
      </c>
      <c r="B1547" t="s">
        <v>106</v>
      </c>
      <c r="C1547" t="s">
        <v>2334</v>
      </c>
      <c r="D1547" t="s">
        <v>2333</v>
      </c>
      <c r="E1547" t="s">
        <v>5036</v>
      </c>
      <c r="F1547" s="23">
        <v>44346</v>
      </c>
      <c r="G1547" s="1">
        <v>7621</v>
      </c>
    </row>
    <row r="1548" spans="1:7">
      <c r="A1548" t="s">
        <v>5711</v>
      </c>
      <c r="B1548" t="s">
        <v>94</v>
      </c>
      <c r="C1548" t="s">
        <v>3486</v>
      </c>
      <c r="D1548" t="s">
        <v>840</v>
      </c>
      <c r="E1548" t="s">
        <v>5037</v>
      </c>
      <c r="F1548" s="23">
        <v>44856</v>
      </c>
      <c r="G1548" s="1">
        <v>2738</v>
      </c>
    </row>
    <row r="1549" spans="1:7">
      <c r="A1549" t="s">
        <v>5711</v>
      </c>
      <c r="B1549" t="s">
        <v>78</v>
      </c>
      <c r="C1549" t="s">
        <v>1169</v>
      </c>
      <c r="D1549" t="s">
        <v>1168</v>
      </c>
      <c r="E1549" t="s">
        <v>5038</v>
      </c>
      <c r="F1549" s="23">
        <v>44346</v>
      </c>
      <c r="G1549" s="1">
        <v>18515</v>
      </c>
    </row>
    <row r="1550" spans="1:7">
      <c r="A1550" t="s">
        <v>5711</v>
      </c>
      <c r="B1550" t="s">
        <v>106</v>
      </c>
      <c r="C1550" t="s">
        <v>2130</v>
      </c>
      <c r="D1550" t="s">
        <v>2129</v>
      </c>
      <c r="E1550" t="s">
        <v>5039</v>
      </c>
      <c r="F1550" s="23">
        <v>44346</v>
      </c>
      <c r="G1550" s="1">
        <v>18531</v>
      </c>
    </row>
    <row r="1551" spans="1:7">
      <c r="A1551" t="s">
        <v>5711</v>
      </c>
      <c r="B1551" t="s">
        <v>101</v>
      </c>
      <c r="C1551" t="s">
        <v>179</v>
      </c>
      <c r="D1551" t="s">
        <v>178</v>
      </c>
      <c r="E1551" t="s">
        <v>5040</v>
      </c>
      <c r="F1551" s="23">
        <v>44346</v>
      </c>
      <c r="G1551" s="1">
        <v>13212</v>
      </c>
    </row>
    <row r="1552" spans="1:7">
      <c r="A1552" t="s">
        <v>5711</v>
      </c>
      <c r="B1552" t="s">
        <v>94</v>
      </c>
      <c r="C1552" t="s">
        <v>3188</v>
      </c>
      <c r="D1552" t="s">
        <v>3187</v>
      </c>
      <c r="E1552" t="s">
        <v>5041</v>
      </c>
      <c r="F1552" s="23">
        <v>44427</v>
      </c>
      <c r="G1552" s="1">
        <v>8571</v>
      </c>
    </row>
    <row r="1553" spans="1:7">
      <c r="A1553" t="s">
        <v>5711</v>
      </c>
      <c r="B1553" t="s">
        <v>298</v>
      </c>
      <c r="C1553" t="s">
        <v>2470</v>
      </c>
      <c r="D1553" t="s">
        <v>2469</v>
      </c>
      <c r="E1553" t="s">
        <v>5042</v>
      </c>
      <c r="F1553" s="23">
        <v>44346</v>
      </c>
      <c r="G1553" s="1">
        <v>19606</v>
      </c>
    </row>
    <row r="1554" spans="1:7">
      <c r="A1554" t="s">
        <v>5711</v>
      </c>
      <c r="B1554" t="s">
        <v>106</v>
      </c>
      <c r="C1554" t="s">
        <v>3131</v>
      </c>
      <c r="D1554" t="s">
        <v>3130</v>
      </c>
      <c r="E1554" t="s">
        <v>5043</v>
      </c>
      <c r="F1554" s="23">
        <v>44346</v>
      </c>
      <c r="G1554" s="1">
        <v>14423</v>
      </c>
    </row>
    <row r="1555" spans="1:7">
      <c r="A1555" t="s">
        <v>5711</v>
      </c>
      <c r="B1555" t="s">
        <v>311</v>
      </c>
      <c r="C1555" t="s">
        <v>201</v>
      </c>
      <c r="D1555" t="s">
        <v>2321</v>
      </c>
      <c r="E1555" t="s">
        <v>5044</v>
      </c>
      <c r="F1555" s="23">
        <v>44346</v>
      </c>
      <c r="G1555" s="1">
        <v>1573</v>
      </c>
    </row>
    <row r="1556" spans="1:7">
      <c r="A1556" t="s">
        <v>5711</v>
      </c>
      <c r="B1556" t="s">
        <v>106</v>
      </c>
      <c r="C1556" t="s">
        <v>2853</v>
      </c>
      <c r="D1556" t="s">
        <v>2852</v>
      </c>
      <c r="E1556" t="s">
        <v>5045</v>
      </c>
      <c r="F1556" s="23">
        <v>44346</v>
      </c>
      <c r="G1556" s="1">
        <v>14589</v>
      </c>
    </row>
    <row r="1557" spans="1:7">
      <c r="A1557" t="s">
        <v>5711</v>
      </c>
      <c r="B1557" t="s">
        <v>303</v>
      </c>
      <c r="C1557" t="s">
        <v>302</v>
      </c>
      <c r="D1557" t="s">
        <v>301</v>
      </c>
      <c r="E1557" t="s">
        <v>5046</v>
      </c>
      <c r="F1557" s="23">
        <v>44346</v>
      </c>
      <c r="G1557" s="1">
        <v>18010</v>
      </c>
    </row>
    <row r="1558" spans="1:7">
      <c r="A1558" t="s">
        <v>5711</v>
      </c>
      <c r="B1558" t="s">
        <v>94</v>
      </c>
      <c r="C1558" t="s">
        <v>2810</v>
      </c>
      <c r="D1558" t="s">
        <v>2809</v>
      </c>
      <c r="E1558" t="s">
        <v>5047</v>
      </c>
      <c r="F1558" s="23">
        <v>45009</v>
      </c>
      <c r="G1558" s="1">
        <v>2694</v>
      </c>
    </row>
    <row r="1559" spans="1:7">
      <c r="A1559" t="s">
        <v>5711</v>
      </c>
      <c r="B1559" t="s">
        <v>298</v>
      </c>
      <c r="C1559" t="s">
        <v>2210</v>
      </c>
      <c r="D1559" t="s">
        <v>3225</v>
      </c>
      <c r="E1559" t="s">
        <v>5048</v>
      </c>
      <c r="F1559" s="23">
        <v>44675</v>
      </c>
      <c r="G1559" s="1">
        <v>7433</v>
      </c>
    </row>
    <row r="1560" spans="1:7">
      <c r="A1560" t="s">
        <v>5711</v>
      </c>
      <c r="B1560" t="s">
        <v>101</v>
      </c>
      <c r="C1560" t="s">
        <v>440</v>
      </c>
      <c r="D1560" t="s">
        <v>439</v>
      </c>
      <c r="E1560" t="s">
        <v>5049</v>
      </c>
      <c r="F1560" s="23">
        <v>44346</v>
      </c>
      <c r="G1560" s="1">
        <v>6932</v>
      </c>
    </row>
    <row r="1561" spans="1:7">
      <c r="A1561" t="s">
        <v>5711</v>
      </c>
      <c r="B1561" t="s">
        <v>122</v>
      </c>
      <c r="C1561" t="s">
        <v>1413</v>
      </c>
      <c r="D1561" t="s">
        <v>5655</v>
      </c>
      <c r="E1561" t="s">
        <v>5050</v>
      </c>
      <c r="F1561" s="23">
        <v>44346</v>
      </c>
      <c r="G1561" s="1">
        <v>12553</v>
      </c>
    </row>
    <row r="1562" spans="1:7">
      <c r="A1562" t="s">
        <v>5711</v>
      </c>
      <c r="B1562" t="s">
        <v>94</v>
      </c>
      <c r="C1562" t="s">
        <v>2375</v>
      </c>
      <c r="D1562" t="s">
        <v>2374</v>
      </c>
      <c r="E1562" t="s">
        <v>5051</v>
      </c>
      <c r="F1562" s="23">
        <v>44928</v>
      </c>
      <c r="G1562" s="1">
        <v>1645</v>
      </c>
    </row>
    <row r="1563" spans="1:7">
      <c r="A1563" t="s">
        <v>5711</v>
      </c>
      <c r="B1563" t="s">
        <v>37</v>
      </c>
      <c r="C1563" t="s">
        <v>1042</v>
      </c>
      <c r="D1563" t="s">
        <v>1041</v>
      </c>
      <c r="E1563" t="s">
        <v>5052</v>
      </c>
      <c r="F1563" s="23">
        <v>44619</v>
      </c>
      <c r="G1563" s="1">
        <v>8505</v>
      </c>
    </row>
    <row r="1564" spans="1:7">
      <c r="A1564" t="s">
        <v>5711</v>
      </c>
      <c r="B1564" t="s">
        <v>37</v>
      </c>
      <c r="C1564" t="s">
        <v>1067</v>
      </c>
      <c r="D1564" t="s">
        <v>1066</v>
      </c>
      <c r="E1564" t="s">
        <v>5053</v>
      </c>
      <c r="F1564" s="23">
        <v>44402</v>
      </c>
      <c r="G1564" s="1">
        <v>2253</v>
      </c>
    </row>
    <row r="1565" spans="1:7">
      <c r="A1565" t="s">
        <v>5711</v>
      </c>
      <c r="B1565" t="s">
        <v>94</v>
      </c>
      <c r="C1565" t="s">
        <v>1887</v>
      </c>
      <c r="D1565" t="s">
        <v>5656</v>
      </c>
      <c r="E1565" t="s">
        <v>5054</v>
      </c>
      <c r="F1565" s="23">
        <v>44346</v>
      </c>
      <c r="G1565" s="1">
        <v>3256</v>
      </c>
    </row>
    <row r="1566" spans="1:7">
      <c r="A1566" t="s">
        <v>5711</v>
      </c>
      <c r="B1566" t="s">
        <v>298</v>
      </c>
      <c r="C1566" t="s">
        <v>2281</v>
      </c>
      <c r="D1566" t="s">
        <v>3314</v>
      </c>
      <c r="E1566" t="s">
        <v>5055</v>
      </c>
      <c r="F1566" s="23">
        <v>44587</v>
      </c>
      <c r="G1566" s="1">
        <v>4492</v>
      </c>
    </row>
    <row r="1567" spans="1:7">
      <c r="A1567" t="s">
        <v>5711</v>
      </c>
      <c r="B1567" t="s">
        <v>233</v>
      </c>
      <c r="C1567" t="s">
        <v>863</v>
      </c>
      <c r="D1567" t="s">
        <v>862</v>
      </c>
      <c r="E1567" t="s">
        <v>5056</v>
      </c>
      <c r="F1567" s="23">
        <v>44710</v>
      </c>
      <c r="G1567" s="1">
        <v>6291</v>
      </c>
    </row>
    <row r="1568" spans="1:7">
      <c r="A1568" t="s">
        <v>5711</v>
      </c>
      <c r="B1568" t="s">
        <v>298</v>
      </c>
      <c r="C1568" t="s">
        <v>3210</v>
      </c>
      <c r="D1568" t="s">
        <v>3209</v>
      </c>
      <c r="E1568" t="s">
        <v>5057</v>
      </c>
      <c r="F1568" s="23">
        <v>44346</v>
      </c>
      <c r="G1568" s="1">
        <v>14813</v>
      </c>
    </row>
    <row r="1569" spans="1:7">
      <c r="A1569" t="s">
        <v>5711</v>
      </c>
      <c r="B1569" t="s">
        <v>94</v>
      </c>
      <c r="C1569" t="s">
        <v>2826</v>
      </c>
      <c r="D1569" t="s">
        <v>2825</v>
      </c>
      <c r="E1569" t="s">
        <v>5058</v>
      </c>
      <c r="F1569" s="23">
        <v>44528</v>
      </c>
      <c r="G1569" s="1">
        <v>4926</v>
      </c>
    </row>
    <row r="1570" spans="1:7">
      <c r="A1570" t="s">
        <v>5711</v>
      </c>
      <c r="B1570" t="s">
        <v>43</v>
      </c>
      <c r="C1570" t="s">
        <v>82</v>
      </c>
      <c r="D1570" t="s">
        <v>81</v>
      </c>
      <c r="E1570" t="s">
        <v>5059</v>
      </c>
      <c r="F1570" s="23">
        <v>44346</v>
      </c>
      <c r="G1570" s="1">
        <v>17447</v>
      </c>
    </row>
    <row r="1571" spans="1:7">
      <c r="A1571" t="s">
        <v>5711</v>
      </c>
      <c r="B1571" t="s">
        <v>101</v>
      </c>
      <c r="C1571" t="s">
        <v>221</v>
      </c>
      <c r="D1571" t="s">
        <v>220</v>
      </c>
      <c r="E1571" t="s">
        <v>5060</v>
      </c>
      <c r="F1571" s="23">
        <v>44346</v>
      </c>
      <c r="G1571" s="1">
        <v>9616</v>
      </c>
    </row>
    <row r="1572" spans="1:7">
      <c r="A1572" t="s">
        <v>5711</v>
      </c>
      <c r="B1572" t="s">
        <v>94</v>
      </c>
      <c r="C1572" t="s">
        <v>2745</v>
      </c>
      <c r="D1572" t="s">
        <v>2744</v>
      </c>
      <c r="E1572" t="s">
        <v>5061</v>
      </c>
      <c r="F1572" s="23">
        <v>44346</v>
      </c>
      <c r="G1572" s="1">
        <v>13271</v>
      </c>
    </row>
    <row r="1573" spans="1:7">
      <c r="A1573" t="s">
        <v>5711</v>
      </c>
      <c r="B1573" t="s">
        <v>37</v>
      </c>
      <c r="C1573" t="s">
        <v>585</v>
      </c>
      <c r="D1573" t="s">
        <v>584</v>
      </c>
      <c r="E1573" t="s">
        <v>5062</v>
      </c>
      <c r="F1573" s="23">
        <v>44346</v>
      </c>
      <c r="G1573" s="1">
        <v>19165</v>
      </c>
    </row>
    <row r="1574" spans="1:7">
      <c r="A1574" t="s">
        <v>5711</v>
      </c>
      <c r="B1574" t="s">
        <v>37</v>
      </c>
      <c r="C1574" t="s">
        <v>486</v>
      </c>
      <c r="D1574" t="s">
        <v>485</v>
      </c>
      <c r="E1574" t="s">
        <v>5063</v>
      </c>
      <c r="F1574" s="23">
        <v>44886</v>
      </c>
      <c r="G1574" s="1">
        <v>10037</v>
      </c>
    </row>
    <row r="1575" spans="1:7">
      <c r="A1575" t="s">
        <v>5711</v>
      </c>
      <c r="B1575" t="s">
        <v>311</v>
      </c>
      <c r="C1575" t="s">
        <v>1236</v>
      </c>
      <c r="D1575" t="s">
        <v>1235</v>
      </c>
      <c r="E1575" t="s">
        <v>5064</v>
      </c>
      <c r="F1575" s="23">
        <v>44346</v>
      </c>
      <c r="G1575" s="1">
        <v>16469</v>
      </c>
    </row>
    <row r="1576" spans="1:7">
      <c r="A1576" t="s">
        <v>5711</v>
      </c>
      <c r="B1576" t="s">
        <v>1223</v>
      </c>
      <c r="C1576" t="s">
        <v>2351</v>
      </c>
      <c r="D1576" t="s">
        <v>2350</v>
      </c>
      <c r="E1576" t="s">
        <v>5065</v>
      </c>
      <c r="F1576" s="23">
        <v>44346</v>
      </c>
      <c r="G1576" s="1">
        <v>11791</v>
      </c>
    </row>
    <row r="1577" spans="1:7">
      <c r="A1577" t="s">
        <v>5711</v>
      </c>
      <c r="B1577" t="s">
        <v>94</v>
      </c>
      <c r="C1577" t="s">
        <v>3177</v>
      </c>
      <c r="D1577" t="s">
        <v>3176</v>
      </c>
      <c r="E1577" t="s">
        <v>5066</v>
      </c>
      <c r="F1577" s="23">
        <v>44848</v>
      </c>
      <c r="G1577" s="1">
        <v>9696</v>
      </c>
    </row>
    <row r="1578" spans="1:7">
      <c r="A1578" t="s">
        <v>5711</v>
      </c>
      <c r="B1578" t="s">
        <v>94</v>
      </c>
      <c r="C1578" t="s">
        <v>2097</v>
      </c>
      <c r="D1578" t="s">
        <v>2096</v>
      </c>
      <c r="E1578" t="s">
        <v>5067</v>
      </c>
      <c r="F1578" s="23">
        <v>44346</v>
      </c>
      <c r="G1578" s="1">
        <v>2068</v>
      </c>
    </row>
    <row r="1579" spans="1:7">
      <c r="A1579" t="s">
        <v>5711</v>
      </c>
      <c r="B1579" t="s">
        <v>61</v>
      </c>
      <c r="C1579" t="s">
        <v>60</v>
      </c>
      <c r="D1579" t="s">
        <v>59</v>
      </c>
      <c r="E1579" t="s">
        <v>5068</v>
      </c>
      <c r="F1579" s="23">
        <v>45044</v>
      </c>
      <c r="G1579" s="1">
        <v>8442</v>
      </c>
    </row>
    <row r="1580" spans="1:7">
      <c r="A1580" t="s">
        <v>5711</v>
      </c>
      <c r="B1580" t="s">
        <v>233</v>
      </c>
      <c r="C1580" t="s">
        <v>3135</v>
      </c>
      <c r="D1580" t="s">
        <v>3134</v>
      </c>
      <c r="E1580" t="s">
        <v>5069</v>
      </c>
      <c r="F1580" s="23">
        <v>44346</v>
      </c>
      <c r="G1580" s="1">
        <v>16644</v>
      </c>
    </row>
    <row r="1581" spans="1:7">
      <c r="A1581" t="s">
        <v>5711</v>
      </c>
      <c r="B1581" t="s">
        <v>208</v>
      </c>
      <c r="C1581" t="s">
        <v>1459</v>
      </c>
      <c r="D1581" t="s">
        <v>1458</v>
      </c>
      <c r="E1581" t="s">
        <v>5070</v>
      </c>
      <c r="F1581" s="23">
        <v>44346</v>
      </c>
      <c r="G1581" s="1">
        <v>17723</v>
      </c>
    </row>
    <row r="1582" spans="1:7">
      <c r="A1582" t="s">
        <v>5711</v>
      </c>
      <c r="B1582" t="s">
        <v>135</v>
      </c>
      <c r="C1582" t="s">
        <v>1824</v>
      </c>
      <c r="D1582" t="s">
        <v>1823</v>
      </c>
      <c r="E1582" t="s">
        <v>5071</v>
      </c>
      <c r="F1582" s="23">
        <v>44346</v>
      </c>
      <c r="G1582" s="1">
        <v>13311</v>
      </c>
    </row>
    <row r="1583" spans="1:7">
      <c r="A1583" t="s">
        <v>5711</v>
      </c>
      <c r="B1583" t="s">
        <v>298</v>
      </c>
      <c r="C1583" t="s">
        <v>3375</v>
      </c>
      <c r="D1583" t="s">
        <v>3374</v>
      </c>
      <c r="E1583" t="s">
        <v>5072</v>
      </c>
      <c r="F1583" s="23">
        <v>44633</v>
      </c>
      <c r="G1583" s="1">
        <v>9005</v>
      </c>
    </row>
    <row r="1584" spans="1:7">
      <c r="A1584" t="s">
        <v>5711</v>
      </c>
      <c r="B1584" t="s">
        <v>298</v>
      </c>
      <c r="C1584" t="s">
        <v>297</v>
      </c>
      <c r="D1584" t="s">
        <v>2985</v>
      </c>
      <c r="E1584" t="s">
        <v>5073</v>
      </c>
      <c r="F1584" s="23">
        <v>44346</v>
      </c>
      <c r="G1584" s="1">
        <v>17932</v>
      </c>
    </row>
    <row r="1585" spans="1:7">
      <c r="A1585" t="s">
        <v>5711</v>
      </c>
      <c r="B1585" t="s">
        <v>106</v>
      </c>
      <c r="C1585" t="s">
        <v>2527</v>
      </c>
      <c r="D1585" t="s">
        <v>2526</v>
      </c>
      <c r="E1585" t="s">
        <v>5074</v>
      </c>
      <c r="F1585" s="23">
        <v>44690</v>
      </c>
      <c r="G1585" s="1">
        <v>1846</v>
      </c>
    </row>
    <row r="1586" spans="1:7">
      <c r="A1586" t="s">
        <v>5711</v>
      </c>
      <c r="B1586" t="s">
        <v>1699</v>
      </c>
      <c r="C1586" t="s">
        <v>442</v>
      </c>
      <c r="D1586" t="s">
        <v>1698</v>
      </c>
      <c r="E1586" t="s">
        <v>5075</v>
      </c>
      <c r="F1586" s="23">
        <v>44346</v>
      </c>
      <c r="G1586" s="1">
        <v>2829</v>
      </c>
    </row>
    <row r="1587" spans="1:7">
      <c r="A1587" t="s">
        <v>5711</v>
      </c>
      <c r="B1587" t="s">
        <v>298</v>
      </c>
      <c r="C1587" t="s">
        <v>3040</v>
      </c>
      <c r="D1587" t="s">
        <v>3039</v>
      </c>
      <c r="E1587" t="s">
        <v>5076</v>
      </c>
      <c r="F1587" s="23">
        <v>44346</v>
      </c>
      <c r="G1587" s="1">
        <v>17263</v>
      </c>
    </row>
    <row r="1588" spans="1:7">
      <c r="A1588" t="s">
        <v>5711</v>
      </c>
      <c r="B1588" t="s">
        <v>298</v>
      </c>
      <c r="C1588" t="s">
        <v>1513</v>
      </c>
      <c r="D1588" t="s">
        <v>1512</v>
      </c>
      <c r="E1588" t="s">
        <v>5077</v>
      </c>
      <c r="F1588" s="23">
        <v>44652</v>
      </c>
      <c r="G1588" s="1">
        <v>6505</v>
      </c>
    </row>
    <row r="1589" spans="1:7">
      <c r="A1589" t="s">
        <v>5711</v>
      </c>
      <c r="B1589" t="s">
        <v>94</v>
      </c>
      <c r="C1589" t="s">
        <v>2599</v>
      </c>
      <c r="D1589" t="s">
        <v>2598</v>
      </c>
      <c r="E1589" t="s">
        <v>5078</v>
      </c>
      <c r="F1589" s="23">
        <v>44430</v>
      </c>
      <c r="G1589" s="1">
        <v>7755</v>
      </c>
    </row>
    <row r="1590" spans="1:7">
      <c r="A1590" t="s">
        <v>5711</v>
      </c>
      <c r="B1590" t="s">
        <v>94</v>
      </c>
      <c r="C1590" t="s">
        <v>2134</v>
      </c>
      <c r="D1590" t="s">
        <v>2133</v>
      </c>
      <c r="E1590" t="s">
        <v>5079</v>
      </c>
      <c r="F1590" s="23">
        <v>44346</v>
      </c>
      <c r="G1590" s="1">
        <v>15476</v>
      </c>
    </row>
    <row r="1591" spans="1:7">
      <c r="A1591" t="s">
        <v>5711</v>
      </c>
      <c r="B1591" t="s">
        <v>43</v>
      </c>
      <c r="C1591" t="s">
        <v>741</v>
      </c>
      <c r="D1591" t="s">
        <v>740</v>
      </c>
      <c r="E1591" t="s">
        <v>5080</v>
      </c>
      <c r="F1591" s="23">
        <v>44513</v>
      </c>
      <c r="G1591" s="1">
        <v>7785</v>
      </c>
    </row>
    <row r="1592" spans="1:7">
      <c r="A1592" t="s">
        <v>5711</v>
      </c>
      <c r="B1592" t="s">
        <v>94</v>
      </c>
      <c r="C1592" t="s">
        <v>3486</v>
      </c>
      <c r="D1592" t="s">
        <v>1083</v>
      </c>
      <c r="E1592" t="s">
        <v>5081</v>
      </c>
      <c r="F1592" s="23">
        <v>44644</v>
      </c>
      <c r="G1592" s="1">
        <v>5132</v>
      </c>
    </row>
    <row r="1593" spans="1:7">
      <c r="A1593" t="s">
        <v>5711</v>
      </c>
      <c r="B1593" t="s">
        <v>106</v>
      </c>
      <c r="C1593" t="s">
        <v>1887</v>
      </c>
      <c r="D1593" t="s">
        <v>2950</v>
      </c>
      <c r="E1593" t="s">
        <v>5082</v>
      </c>
      <c r="F1593" s="23">
        <v>44725</v>
      </c>
      <c r="G1593" s="1">
        <v>5225</v>
      </c>
    </row>
    <row r="1594" spans="1:7">
      <c r="A1594" t="s">
        <v>5711</v>
      </c>
      <c r="B1594" t="s">
        <v>654</v>
      </c>
      <c r="C1594" t="s">
        <v>653</v>
      </c>
      <c r="D1594" t="s">
        <v>5657</v>
      </c>
      <c r="E1594" t="s">
        <v>5083</v>
      </c>
      <c r="F1594" s="23">
        <v>44346</v>
      </c>
      <c r="G1594" s="1">
        <v>13108</v>
      </c>
    </row>
    <row r="1595" spans="1:7">
      <c r="A1595" t="s">
        <v>5711</v>
      </c>
      <c r="B1595" t="s">
        <v>298</v>
      </c>
      <c r="C1595" t="s">
        <v>2842</v>
      </c>
      <c r="D1595" t="s">
        <v>2841</v>
      </c>
      <c r="E1595" t="s">
        <v>5084</v>
      </c>
      <c r="F1595" s="23">
        <v>44759</v>
      </c>
      <c r="G1595" s="1">
        <v>5421</v>
      </c>
    </row>
    <row r="1596" spans="1:7">
      <c r="A1596" t="s">
        <v>5711</v>
      </c>
      <c r="B1596" t="s">
        <v>106</v>
      </c>
      <c r="C1596" t="s">
        <v>2863</v>
      </c>
      <c r="D1596" t="s">
        <v>2862</v>
      </c>
      <c r="E1596" t="s">
        <v>5085</v>
      </c>
      <c r="F1596" s="23">
        <v>44513</v>
      </c>
      <c r="G1596" s="1">
        <v>11919</v>
      </c>
    </row>
    <row r="1597" spans="1:7">
      <c r="A1597" t="s">
        <v>5711</v>
      </c>
      <c r="B1597" t="s">
        <v>106</v>
      </c>
      <c r="C1597" t="s">
        <v>1887</v>
      </c>
      <c r="D1597" t="s">
        <v>2554</v>
      </c>
      <c r="E1597" t="s">
        <v>5086</v>
      </c>
      <c r="F1597" s="23">
        <v>44346</v>
      </c>
      <c r="G1597" s="1">
        <v>17582</v>
      </c>
    </row>
    <row r="1598" spans="1:7">
      <c r="A1598" t="s">
        <v>5711</v>
      </c>
      <c r="B1598" t="s">
        <v>37</v>
      </c>
      <c r="C1598" t="s">
        <v>1090</v>
      </c>
      <c r="D1598" t="s">
        <v>1089</v>
      </c>
      <c r="E1598" t="s">
        <v>5087</v>
      </c>
      <c r="F1598" s="23">
        <v>44776</v>
      </c>
      <c r="G1598" s="1">
        <v>3481</v>
      </c>
    </row>
    <row r="1599" spans="1:7">
      <c r="A1599" t="s">
        <v>5711</v>
      </c>
      <c r="B1599" t="s">
        <v>94</v>
      </c>
      <c r="C1599" t="s">
        <v>2345</v>
      </c>
      <c r="D1599" t="s">
        <v>2344</v>
      </c>
      <c r="E1599" t="s">
        <v>5088</v>
      </c>
      <c r="F1599" s="23">
        <v>44346</v>
      </c>
      <c r="G1599" s="1">
        <v>6066</v>
      </c>
    </row>
    <row r="1600" spans="1:7">
      <c r="A1600" t="s">
        <v>5711</v>
      </c>
      <c r="B1600" t="s">
        <v>94</v>
      </c>
      <c r="C1600" t="s">
        <v>2425</v>
      </c>
      <c r="D1600" t="s">
        <v>2424</v>
      </c>
      <c r="E1600" t="s">
        <v>5089</v>
      </c>
      <c r="F1600" s="23">
        <v>44761</v>
      </c>
      <c r="G1600" s="1">
        <v>4425</v>
      </c>
    </row>
    <row r="1601" spans="1:7">
      <c r="A1601" t="s">
        <v>5711</v>
      </c>
      <c r="B1601" t="s">
        <v>94</v>
      </c>
      <c r="C1601" t="s">
        <v>2212</v>
      </c>
      <c r="D1601" t="s">
        <v>2211</v>
      </c>
      <c r="E1601" t="s">
        <v>5090</v>
      </c>
      <c r="F1601" s="23">
        <v>44346</v>
      </c>
      <c r="G1601" s="1">
        <v>17044</v>
      </c>
    </row>
    <row r="1602" spans="1:7">
      <c r="A1602" t="s">
        <v>5711</v>
      </c>
      <c r="B1602" t="s">
        <v>94</v>
      </c>
      <c r="C1602" t="s">
        <v>3486</v>
      </c>
      <c r="D1602" t="s">
        <v>583</v>
      </c>
      <c r="E1602" t="s">
        <v>5091</v>
      </c>
      <c r="F1602" s="23">
        <v>44783</v>
      </c>
      <c r="G1602" s="1">
        <v>5189</v>
      </c>
    </row>
    <row r="1603" spans="1:7">
      <c r="A1603" t="s">
        <v>5711</v>
      </c>
      <c r="B1603" t="s">
        <v>311</v>
      </c>
      <c r="C1603" t="s">
        <v>3204</v>
      </c>
      <c r="D1603" t="s">
        <v>3203</v>
      </c>
      <c r="E1603" t="s">
        <v>5092</v>
      </c>
      <c r="F1603" s="23">
        <v>44736</v>
      </c>
      <c r="G1603" s="1">
        <v>6519</v>
      </c>
    </row>
    <row r="1604" spans="1:7">
      <c r="A1604" t="s">
        <v>5711</v>
      </c>
      <c r="B1604" t="s">
        <v>43</v>
      </c>
      <c r="C1604" t="s">
        <v>1515</v>
      </c>
      <c r="D1604" t="s">
        <v>1514</v>
      </c>
      <c r="E1604" t="s">
        <v>5093</v>
      </c>
      <c r="F1604" s="23">
        <v>44508</v>
      </c>
      <c r="G1604" s="1">
        <v>7680</v>
      </c>
    </row>
    <row r="1605" spans="1:7">
      <c r="A1605" t="s">
        <v>5711</v>
      </c>
      <c r="B1605" t="s">
        <v>106</v>
      </c>
      <c r="C1605" t="s">
        <v>2377</v>
      </c>
      <c r="D1605" t="s">
        <v>2376</v>
      </c>
      <c r="E1605" t="s">
        <v>5094</v>
      </c>
      <c r="F1605" s="23">
        <v>44346</v>
      </c>
      <c r="G1605" s="1">
        <v>19996</v>
      </c>
    </row>
    <row r="1606" spans="1:7">
      <c r="A1606" t="s">
        <v>5711</v>
      </c>
      <c r="B1606" t="s">
        <v>94</v>
      </c>
      <c r="C1606" t="s">
        <v>1887</v>
      </c>
      <c r="D1606" t="s">
        <v>3316</v>
      </c>
      <c r="E1606" t="s">
        <v>5095</v>
      </c>
      <c r="F1606" s="23">
        <v>44346</v>
      </c>
      <c r="G1606" s="1">
        <v>7062</v>
      </c>
    </row>
    <row r="1607" spans="1:7">
      <c r="A1607" t="s">
        <v>5711</v>
      </c>
      <c r="B1607" t="s">
        <v>75</v>
      </c>
      <c r="C1607" t="s">
        <v>74</v>
      </c>
      <c r="D1607" t="s">
        <v>73</v>
      </c>
      <c r="E1607" t="s">
        <v>5096</v>
      </c>
      <c r="F1607" s="23">
        <v>44346</v>
      </c>
      <c r="G1607" s="1">
        <v>9465</v>
      </c>
    </row>
    <row r="1608" spans="1:7">
      <c r="A1608" t="s">
        <v>5711</v>
      </c>
      <c r="B1608" t="s">
        <v>94</v>
      </c>
      <c r="C1608" t="s">
        <v>3489</v>
      </c>
      <c r="D1608" t="s">
        <v>925</v>
      </c>
      <c r="E1608" t="s">
        <v>5097</v>
      </c>
      <c r="F1608" s="23">
        <v>44921</v>
      </c>
      <c r="G1608" s="1">
        <v>7455</v>
      </c>
    </row>
    <row r="1609" spans="1:7">
      <c r="A1609" t="s">
        <v>5711</v>
      </c>
      <c r="B1609" t="s">
        <v>94</v>
      </c>
      <c r="C1609" t="s">
        <v>3265</v>
      </c>
      <c r="D1609" t="s">
        <v>115</v>
      </c>
      <c r="E1609" t="s">
        <v>5098</v>
      </c>
      <c r="F1609" s="23">
        <v>44346</v>
      </c>
      <c r="G1609" s="1">
        <v>19779</v>
      </c>
    </row>
    <row r="1610" spans="1:7">
      <c r="A1610" t="s">
        <v>5711</v>
      </c>
      <c r="B1610" t="s">
        <v>94</v>
      </c>
      <c r="C1610" t="s">
        <v>3485</v>
      </c>
      <c r="D1610" t="s">
        <v>1768</v>
      </c>
      <c r="E1610" t="s">
        <v>5099</v>
      </c>
      <c r="F1610" s="23">
        <v>44615</v>
      </c>
      <c r="G1610" s="1">
        <v>9703</v>
      </c>
    </row>
    <row r="1611" spans="1:7">
      <c r="A1611" t="s">
        <v>5711</v>
      </c>
      <c r="B1611" t="s">
        <v>94</v>
      </c>
      <c r="C1611" t="s">
        <v>2427</v>
      </c>
      <c r="D1611" t="s">
        <v>2426</v>
      </c>
      <c r="E1611" t="s">
        <v>5100</v>
      </c>
      <c r="F1611" s="23">
        <v>44346</v>
      </c>
      <c r="G1611" s="1">
        <v>12603</v>
      </c>
    </row>
    <row r="1612" spans="1:7">
      <c r="A1612" t="s">
        <v>5711</v>
      </c>
      <c r="B1612" t="s">
        <v>281</v>
      </c>
      <c r="C1612" t="s">
        <v>1600</v>
      </c>
      <c r="D1612" t="s">
        <v>5658</v>
      </c>
      <c r="E1612" t="s">
        <v>5101</v>
      </c>
      <c r="F1612" s="23">
        <v>44433</v>
      </c>
      <c r="G1612" s="1">
        <v>5985</v>
      </c>
    </row>
    <row r="1613" spans="1:7">
      <c r="A1613" t="s">
        <v>5711</v>
      </c>
      <c r="B1613" t="s">
        <v>233</v>
      </c>
      <c r="C1613" t="s">
        <v>2018</v>
      </c>
      <c r="D1613" t="s">
        <v>2017</v>
      </c>
      <c r="E1613" t="s">
        <v>5102</v>
      </c>
      <c r="F1613" s="23">
        <v>44346</v>
      </c>
      <c r="G1613" s="1">
        <v>16306</v>
      </c>
    </row>
    <row r="1614" spans="1:7">
      <c r="A1614" t="s">
        <v>5711</v>
      </c>
      <c r="B1614" t="s">
        <v>94</v>
      </c>
      <c r="C1614" t="s">
        <v>3486</v>
      </c>
      <c r="D1614" t="s">
        <v>1537</v>
      </c>
      <c r="E1614" t="s">
        <v>5103</v>
      </c>
      <c r="F1614" s="23">
        <v>44694</v>
      </c>
      <c r="G1614" s="1">
        <v>1454</v>
      </c>
    </row>
    <row r="1615" spans="1:7">
      <c r="A1615" t="s">
        <v>5711</v>
      </c>
      <c r="B1615" t="s">
        <v>233</v>
      </c>
      <c r="C1615" t="s">
        <v>2175</v>
      </c>
      <c r="D1615" t="s">
        <v>2174</v>
      </c>
      <c r="E1615" t="s">
        <v>5104</v>
      </c>
      <c r="F1615" s="23">
        <v>44346</v>
      </c>
      <c r="G1615" s="1">
        <v>5702</v>
      </c>
    </row>
    <row r="1616" spans="1:7">
      <c r="A1616" t="s">
        <v>5711</v>
      </c>
      <c r="B1616" t="s">
        <v>101</v>
      </c>
      <c r="C1616" t="s">
        <v>758</v>
      </c>
      <c r="D1616" t="s">
        <v>757</v>
      </c>
      <c r="E1616" t="s">
        <v>5105</v>
      </c>
      <c r="F1616" s="23">
        <v>44833</v>
      </c>
      <c r="G1616" s="1">
        <v>1056</v>
      </c>
    </row>
    <row r="1617" spans="1:7">
      <c r="A1617" t="s">
        <v>5711</v>
      </c>
      <c r="B1617" t="s">
        <v>43</v>
      </c>
      <c r="C1617" t="s">
        <v>591</v>
      </c>
      <c r="D1617" t="s">
        <v>590</v>
      </c>
      <c r="E1617" t="s">
        <v>5106</v>
      </c>
      <c r="F1617" s="23">
        <v>44578</v>
      </c>
      <c r="G1617" s="1">
        <v>5078</v>
      </c>
    </row>
    <row r="1618" spans="1:7">
      <c r="A1618" t="s">
        <v>5711</v>
      </c>
      <c r="B1618" t="s">
        <v>94</v>
      </c>
      <c r="C1618" t="s">
        <v>1887</v>
      </c>
      <c r="D1618" t="s">
        <v>2173</v>
      </c>
      <c r="E1618" t="s">
        <v>5107</v>
      </c>
      <c r="F1618" s="23">
        <v>44346</v>
      </c>
      <c r="G1618" s="1">
        <v>731</v>
      </c>
    </row>
    <row r="1619" spans="1:7">
      <c r="A1619" t="s">
        <v>5711</v>
      </c>
      <c r="B1619" t="s">
        <v>94</v>
      </c>
      <c r="C1619" t="s">
        <v>2480</v>
      </c>
      <c r="D1619" t="s">
        <v>2479</v>
      </c>
      <c r="E1619" t="s">
        <v>5108</v>
      </c>
      <c r="F1619" s="23">
        <v>44346</v>
      </c>
      <c r="G1619" s="1">
        <v>16946</v>
      </c>
    </row>
    <row r="1620" spans="1:7">
      <c r="A1620" t="s">
        <v>5711</v>
      </c>
      <c r="B1620" t="s">
        <v>233</v>
      </c>
      <c r="C1620" t="s">
        <v>2914</v>
      </c>
      <c r="D1620" t="s">
        <v>2913</v>
      </c>
      <c r="E1620" t="s">
        <v>5109</v>
      </c>
      <c r="F1620" s="23">
        <v>44346</v>
      </c>
      <c r="G1620" s="1">
        <v>13030</v>
      </c>
    </row>
    <row r="1621" spans="1:7">
      <c r="A1621" t="s">
        <v>5711</v>
      </c>
      <c r="B1621" t="s">
        <v>298</v>
      </c>
      <c r="C1621" t="s">
        <v>2454</v>
      </c>
      <c r="D1621" t="s">
        <v>2453</v>
      </c>
      <c r="E1621" t="s">
        <v>5110</v>
      </c>
      <c r="F1621" s="23">
        <v>44346</v>
      </c>
      <c r="G1621" s="1">
        <v>14700</v>
      </c>
    </row>
    <row r="1622" spans="1:7">
      <c r="A1622" t="s">
        <v>5711</v>
      </c>
      <c r="B1622" t="s">
        <v>367</v>
      </c>
      <c r="C1622" t="s">
        <v>421</v>
      </c>
      <c r="D1622" t="s">
        <v>5659</v>
      </c>
      <c r="E1622" t="s">
        <v>5111</v>
      </c>
      <c r="F1622" s="23">
        <v>44346</v>
      </c>
      <c r="G1622" s="1">
        <v>19975</v>
      </c>
    </row>
    <row r="1623" spans="1:7">
      <c r="A1623" t="s">
        <v>5711</v>
      </c>
      <c r="B1623" t="s">
        <v>298</v>
      </c>
      <c r="C1623" t="s">
        <v>865</v>
      </c>
      <c r="D1623" t="s">
        <v>2782</v>
      </c>
      <c r="E1623" t="s">
        <v>5112</v>
      </c>
      <c r="F1623" s="23">
        <v>44346</v>
      </c>
      <c r="G1623" s="1">
        <v>11106</v>
      </c>
    </row>
    <row r="1624" spans="1:7">
      <c r="A1624" t="s">
        <v>5711</v>
      </c>
      <c r="B1624" t="s">
        <v>37</v>
      </c>
      <c r="C1624" t="s">
        <v>610</v>
      </c>
      <c r="D1624" t="s">
        <v>609</v>
      </c>
      <c r="E1624" t="s">
        <v>5113</v>
      </c>
      <c r="F1624" s="23">
        <v>44346</v>
      </c>
      <c r="G1624" s="1">
        <v>871</v>
      </c>
    </row>
    <row r="1625" spans="1:7">
      <c r="A1625" t="s">
        <v>5711</v>
      </c>
      <c r="B1625" t="s">
        <v>106</v>
      </c>
      <c r="C1625" t="s">
        <v>2686</v>
      </c>
      <c r="D1625" t="s">
        <v>2685</v>
      </c>
      <c r="E1625" t="s">
        <v>5114</v>
      </c>
      <c r="F1625" s="23">
        <v>44921</v>
      </c>
      <c r="G1625" s="1">
        <v>11769</v>
      </c>
    </row>
    <row r="1626" spans="1:7">
      <c r="A1626" t="s">
        <v>5711</v>
      </c>
      <c r="B1626" t="s">
        <v>298</v>
      </c>
      <c r="C1626" t="s">
        <v>1854</v>
      </c>
      <c r="D1626" t="s">
        <v>2438</v>
      </c>
      <c r="E1626" t="s">
        <v>5115</v>
      </c>
      <c r="F1626" s="23">
        <v>44644</v>
      </c>
      <c r="G1626" s="1">
        <v>1670</v>
      </c>
    </row>
    <row r="1627" spans="1:7">
      <c r="A1627" t="s">
        <v>5711</v>
      </c>
      <c r="B1627" t="s">
        <v>106</v>
      </c>
      <c r="C1627" t="s">
        <v>1743</v>
      </c>
      <c r="D1627" t="s">
        <v>5660</v>
      </c>
      <c r="E1627" t="s">
        <v>5116</v>
      </c>
      <c r="F1627" s="23">
        <v>44346</v>
      </c>
      <c r="G1627" s="1">
        <v>12455</v>
      </c>
    </row>
    <row r="1628" spans="1:7">
      <c r="A1628" t="s">
        <v>5711</v>
      </c>
      <c r="B1628" t="s">
        <v>298</v>
      </c>
      <c r="C1628" t="s">
        <v>837</v>
      </c>
      <c r="D1628" t="s">
        <v>3452</v>
      </c>
      <c r="E1628" t="s">
        <v>5117</v>
      </c>
      <c r="F1628" s="23">
        <v>44346</v>
      </c>
      <c r="G1628" s="1">
        <v>14583</v>
      </c>
    </row>
    <row r="1629" spans="1:7">
      <c r="A1629" t="s">
        <v>5711</v>
      </c>
      <c r="B1629" t="s">
        <v>94</v>
      </c>
      <c r="C1629" t="s">
        <v>3265</v>
      </c>
      <c r="D1629" t="s">
        <v>1486</v>
      </c>
      <c r="E1629" t="s">
        <v>5118</v>
      </c>
      <c r="F1629" s="23">
        <v>44346</v>
      </c>
      <c r="G1629" s="1">
        <v>18261</v>
      </c>
    </row>
    <row r="1630" spans="1:7">
      <c r="A1630" t="s">
        <v>5711</v>
      </c>
      <c r="B1630" t="s">
        <v>233</v>
      </c>
      <c r="C1630" t="s">
        <v>2777</v>
      </c>
      <c r="D1630" t="s">
        <v>2843</v>
      </c>
      <c r="E1630" t="s">
        <v>5119</v>
      </c>
      <c r="F1630" s="23">
        <v>44346</v>
      </c>
      <c r="G1630" s="1">
        <v>14990</v>
      </c>
    </row>
    <row r="1631" spans="1:7">
      <c r="A1631" t="s">
        <v>5711</v>
      </c>
      <c r="B1631" t="s">
        <v>106</v>
      </c>
      <c r="C1631" t="s">
        <v>1097</v>
      </c>
      <c r="D1631" t="s">
        <v>1096</v>
      </c>
      <c r="E1631" t="s">
        <v>5120</v>
      </c>
      <c r="F1631" s="23">
        <v>44672</v>
      </c>
      <c r="G1631" s="1">
        <v>8837</v>
      </c>
    </row>
    <row r="1632" spans="1:7">
      <c r="A1632" t="s">
        <v>5711</v>
      </c>
      <c r="B1632" t="s">
        <v>94</v>
      </c>
      <c r="C1632" t="s">
        <v>1372</v>
      </c>
      <c r="D1632" t="s">
        <v>1371</v>
      </c>
      <c r="E1632" t="s">
        <v>5121</v>
      </c>
      <c r="F1632" s="23">
        <v>44999</v>
      </c>
      <c r="G1632" s="1">
        <v>8705</v>
      </c>
    </row>
    <row r="1633" spans="1:7">
      <c r="A1633" t="s">
        <v>5711</v>
      </c>
      <c r="B1633" t="s">
        <v>298</v>
      </c>
      <c r="C1633" t="s">
        <v>1220</v>
      </c>
      <c r="D1633" t="s">
        <v>1219</v>
      </c>
      <c r="E1633" t="s">
        <v>5122</v>
      </c>
      <c r="F1633" s="23">
        <v>44799</v>
      </c>
      <c r="G1633" s="1">
        <v>4020</v>
      </c>
    </row>
    <row r="1634" spans="1:7">
      <c r="A1634" t="s">
        <v>5711</v>
      </c>
      <c r="B1634" t="s">
        <v>106</v>
      </c>
      <c r="C1634" t="s">
        <v>1264</v>
      </c>
      <c r="D1634" t="s">
        <v>1263</v>
      </c>
      <c r="E1634" t="s">
        <v>5123</v>
      </c>
      <c r="F1634" s="23">
        <v>44346</v>
      </c>
      <c r="G1634" s="1">
        <v>13343</v>
      </c>
    </row>
    <row r="1635" spans="1:7">
      <c r="A1635" t="s">
        <v>5711</v>
      </c>
      <c r="B1635" t="s">
        <v>68</v>
      </c>
      <c r="C1635" t="s">
        <v>1128</v>
      </c>
      <c r="D1635" t="s">
        <v>5661</v>
      </c>
      <c r="E1635" t="s">
        <v>5124</v>
      </c>
      <c r="F1635" s="23">
        <v>44346</v>
      </c>
      <c r="G1635" s="1">
        <v>18236</v>
      </c>
    </row>
    <row r="1636" spans="1:7">
      <c r="A1636" t="s">
        <v>5711</v>
      </c>
      <c r="B1636" t="s">
        <v>94</v>
      </c>
      <c r="C1636" t="s">
        <v>3319</v>
      </c>
      <c r="D1636" t="s">
        <v>3318</v>
      </c>
      <c r="E1636" t="s">
        <v>5125</v>
      </c>
      <c r="F1636" s="23">
        <v>44346</v>
      </c>
      <c r="G1636" s="1">
        <v>17392</v>
      </c>
    </row>
    <row r="1637" spans="1:7">
      <c r="A1637" t="s">
        <v>5711</v>
      </c>
      <c r="B1637" t="s">
        <v>106</v>
      </c>
      <c r="C1637" t="s">
        <v>2726</v>
      </c>
      <c r="D1637" t="s">
        <v>2725</v>
      </c>
      <c r="E1637" t="s">
        <v>5126</v>
      </c>
      <c r="F1637" s="23">
        <v>44356</v>
      </c>
      <c r="G1637" s="1">
        <v>1503</v>
      </c>
    </row>
    <row r="1638" spans="1:7">
      <c r="A1638" t="s">
        <v>5711</v>
      </c>
      <c r="B1638" t="s">
        <v>94</v>
      </c>
      <c r="C1638" t="s">
        <v>2680</v>
      </c>
      <c r="D1638" t="s">
        <v>2679</v>
      </c>
      <c r="E1638" t="s">
        <v>5127</v>
      </c>
      <c r="F1638" s="23">
        <v>44346</v>
      </c>
      <c r="G1638" s="1">
        <v>12245</v>
      </c>
    </row>
    <row r="1639" spans="1:7">
      <c r="A1639" t="s">
        <v>5711</v>
      </c>
      <c r="B1639" t="s">
        <v>94</v>
      </c>
      <c r="C1639" t="s">
        <v>1714</v>
      </c>
      <c r="D1639" t="s">
        <v>1713</v>
      </c>
      <c r="E1639" t="s">
        <v>5128</v>
      </c>
      <c r="F1639" s="23">
        <v>44346</v>
      </c>
      <c r="G1639" s="1">
        <v>19462</v>
      </c>
    </row>
    <row r="1640" spans="1:7">
      <c r="A1640" t="s">
        <v>5711</v>
      </c>
      <c r="B1640" t="s">
        <v>94</v>
      </c>
      <c r="C1640" t="s">
        <v>3486</v>
      </c>
      <c r="D1640" t="s">
        <v>814</v>
      </c>
      <c r="E1640" t="s">
        <v>5129</v>
      </c>
      <c r="F1640" s="23">
        <v>44346</v>
      </c>
      <c r="G1640" s="1">
        <v>19475</v>
      </c>
    </row>
    <row r="1641" spans="1:7">
      <c r="A1641" t="s">
        <v>5711</v>
      </c>
      <c r="B1641" t="s">
        <v>1223</v>
      </c>
      <c r="C1641" t="s">
        <v>2050</v>
      </c>
      <c r="D1641" t="s">
        <v>2953</v>
      </c>
      <c r="E1641" t="s">
        <v>5130</v>
      </c>
      <c r="F1641" s="23">
        <v>44612</v>
      </c>
      <c r="G1641" s="1">
        <v>8602</v>
      </c>
    </row>
    <row r="1642" spans="1:7">
      <c r="A1642" t="s">
        <v>5711</v>
      </c>
      <c r="B1642" t="s">
        <v>37</v>
      </c>
      <c r="C1642" t="s">
        <v>723</v>
      </c>
      <c r="D1642" t="s">
        <v>5662</v>
      </c>
      <c r="E1642" t="s">
        <v>5131</v>
      </c>
      <c r="F1642" s="23">
        <v>44346</v>
      </c>
      <c r="G1642" s="1">
        <v>13622</v>
      </c>
    </row>
    <row r="1643" spans="1:7">
      <c r="A1643" t="s">
        <v>5711</v>
      </c>
      <c r="B1643" t="s">
        <v>94</v>
      </c>
      <c r="C1643" t="s">
        <v>3486</v>
      </c>
      <c r="D1643" t="s">
        <v>502</v>
      </c>
      <c r="E1643" t="s">
        <v>5132</v>
      </c>
      <c r="F1643" s="23">
        <v>44346</v>
      </c>
      <c r="G1643" s="1">
        <v>14870</v>
      </c>
    </row>
    <row r="1644" spans="1:7">
      <c r="A1644" t="s">
        <v>5711</v>
      </c>
      <c r="B1644" t="s">
        <v>94</v>
      </c>
      <c r="C1644" t="s">
        <v>3486</v>
      </c>
      <c r="D1644" t="s">
        <v>1623</v>
      </c>
      <c r="E1644" t="s">
        <v>5133</v>
      </c>
      <c r="F1644" s="23">
        <v>44346</v>
      </c>
      <c r="G1644" s="1">
        <v>9638</v>
      </c>
    </row>
    <row r="1645" spans="1:7">
      <c r="A1645" t="s">
        <v>5711</v>
      </c>
      <c r="B1645" t="s">
        <v>188</v>
      </c>
      <c r="C1645" t="s">
        <v>413</v>
      </c>
      <c r="D1645" t="s">
        <v>412</v>
      </c>
      <c r="E1645" t="s">
        <v>5134</v>
      </c>
      <c r="F1645" s="23">
        <v>44876</v>
      </c>
      <c r="G1645" s="1">
        <v>11941</v>
      </c>
    </row>
    <row r="1646" spans="1:7">
      <c r="A1646" t="s">
        <v>5711</v>
      </c>
      <c r="B1646" t="s">
        <v>94</v>
      </c>
      <c r="C1646" t="s">
        <v>3486</v>
      </c>
      <c r="D1646" t="s">
        <v>663</v>
      </c>
      <c r="E1646" t="s">
        <v>5135</v>
      </c>
      <c r="F1646" s="23">
        <v>44346</v>
      </c>
      <c r="G1646" s="1">
        <v>4779</v>
      </c>
    </row>
    <row r="1647" spans="1:7">
      <c r="A1647" t="s">
        <v>5711</v>
      </c>
      <c r="B1647" t="s">
        <v>298</v>
      </c>
      <c r="C1647" t="s">
        <v>2092</v>
      </c>
      <c r="D1647" t="s">
        <v>2091</v>
      </c>
      <c r="E1647" t="s">
        <v>5136</v>
      </c>
      <c r="F1647" s="23">
        <v>44561</v>
      </c>
      <c r="G1647" s="1">
        <v>8864</v>
      </c>
    </row>
    <row r="1648" spans="1:7">
      <c r="A1648" t="s">
        <v>5711</v>
      </c>
      <c r="B1648" t="s">
        <v>311</v>
      </c>
      <c r="C1648" t="s">
        <v>2743</v>
      </c>
      <c r="D1648" t="s">
        <v>2969</v>
      </c>
      <c r="E1648" t="s">
        <v>5137</v>
      </c>
      <c r="F1648" s="23">
        <v>44377</v>
      </c>
      <c r="G1648" s="1">
        <v>8091</v>
      </c>
    </row>
    <row r="1649" spans="1:7">
      <c r="A1649" t="s">
        <v>5711</v>
      </c>
      <c r="B1649" t="s">
        <v>298</v>
      </c>
      <c r="C1649" t="s">
        <v>3257</v>
      </c>
      <c r="D1649" t="s">
        <v>3256</v>
      </c>
      <c r="E1649" t="s">
        <v>5138</v>
      </c>
      <c r="F1649" s="23">
        <v>44346</v>
      </c>
      <c r="G1649" s="1">
        <v>5249</v>
      </c>
    </row>
    <row r="1650" spans="1:7">
      <c r="A1650" t="s">
        <v>5711</v>
      </c>
      <c r="B1650" t="s">
        <v>311</v>
      </c>
      <c r="C1650" t="s">
        <v>2294</v>
      </c>
      <c r="D1650" t="s">
        <v>2293</v>
      </c>
      <c r="E1650" t="s">
        <v>5139</v>
      </c>
      <c r="F1650" s="23">
        <v>44346</v>
      </c>
      <c r="G1650" s="1">
        <v>19013</v>
      </c>
    </row>
    <row r="1651" spans="1:7">
      <c r="A1651" t="s">
        <v>5711</v>
      </c>
      <c r="B1651" t="s">
        <v>94</v>
      </c>
      <c r="C1651" t="s">
        <v>3486</v>
      </c>
      <c r="D1651" t="s">
        <v>418</v>
      </c>
      <c r="E1651" t="s">
        <v>5140</v>
      </c>
      <c r="F1651" s="23">
        <v>44346</v>
      </c>
      <c r="G1651" s="1">
        <v>19379</v>
      </c>
    </row>
    <row r="1652" spans="1:7">
      <c r="A1652" t="s">
        <v>5711</v>
      </c>
      <c r="B1652" t="s">
        <v>106</v>
      </c>
      <c r="C1652" t="s">
        <v>2404</v>
      </c>
      <c r="D1652" t="s">
        <v>2403</v>
      </c>
      <c r="E1652" t="s">
        <v>5141</v>
      </c>
      <c r="F1652" s="23">
        <v>44346</v>
      </c>
      <c r="G1652" s="1">
        <v>15325</v>
      </c>
    </row>
    <row r="1653" spans="1:7">
      <c r="A1653" t="s">
        <v>5711</v>
      </c>
      <c r="B1653" t="s">
        <v>284</v>
      </c>
      <c r="C1653" t="s">
        <v>1510</v>
      </c>
      <c r="D1653" t="s">
        <v>1509</v>
      </c>
      <c r="E1653" t="s">
        <v>5142</v>
      </c>
      <c r="F1653" s="23">
        <v>44556</v>
      </c>
      <c r="G1653" s="1">
        <v>1643</v>
      </c>
    </row>
    <row r="1654" spans="1:7">
      <c r="A1654" t="s">
        <v>5711</v>
      </c>
      <c r="B1654" t="s">
        <v>164</v>
      </c>
      <c r="C1654" t="s">
        <v>163</v>
      </c>
      <c r="D1654" t="s">
        <v>162</v>
      </c>
      <c r="E1654" t="s">
        <v>5143</v>
      </c>
      <c r="F1654" s="23">
        <v>44868</v>
      </c>
      <c r="G1654" s="1">
        <v>10323</v>
      </c>
    </row>
    <row r="1655" spans="1:7">
      <c r="A1655" t="s">
        <v>5711</v>
      </c>
      <c r="B1655" t="s">
        <v>94</v>
      </c>
      <c r="C1655" t="s">
        <v>2658</v>
      </c>
      <c r="D1655" t="s">
        <v>2657</v>
      </c>
      <c r="E1655" t="s">
        <v>5144</v>
      </c>
      <c r="F1655" s="23">
        <v>44670</v>
      </c>
      <c r="G1655" s="1">
        <v>5242</v>
      </c>
    </row>
    <row r="1656" spans="1:7">
      <c r="A1656" t="s">
        <v>5711</v>
      </c>
      <c r="B1656" t="s">
        <v>94</v>
      </c>
      <c r="C1656" t="s">
        <v>3489</v>
      </c>
      <c r="D1656" t="s">
        <v>962</v>
      </c>
      <c r="E1656" t="s">
        <v>5145</v>
      </c>
      <c r="F1656" s="23">
        <v>44770</v>
      </c>
      <c r="G1656" s="1">
        <v>2354</v>
      </c>
    </row>
    <row r="1657" spans="1:7">
      <c r="A1657" t="s">
        <v>5711</v>
      </c>
      <c r="B1657" t="s">
        <v>1149</v>
      </c>
      <c r="C1657" t="s">
        <v>1620</v>
      </c>
      <c r="D1657" t="s">
        <v>1619</v>
      </c>
      <c r="E1657" t="s">
        <v>5146</v>
      </c>
      <c r="F1657" s="23">
        <v>44900</v>
      </c>
      <c r="G1657" s="1">
        <v>8662</v>
      </c>
    </row>
    <row r="1658" spans="1:7">
      <c r="A1658" t="s">
        <v>5711</v>
      </c>
      <c r="B1658" t="s">
        <v>72</v>
      </c>
      <c r="C1658" t="s">
        <v>1687</v>
      </c>
      <c r="D1658" t="s">
        <v>1686</v>
      </c>
      <c r="E1658" t="s">
        <v>5147</v>
      </c>
      <c r="F1658" s="23">
        <v>44346</v>
      </c>
      <c r="G1658" s="1">
        <v>6806</v>
      </c>
    </row>
    <row r="1659" spans="1:7">
      <c r="A1659" t="s">
        <v>5711</v>
      </c>
      <c r="B1659" t="s">
        <v>43</v>
      </c>
      <c r="C1659" t="s">
        <v>1767</v>
      </c>
      <c r="D1659" t="s">
        <v>1766</v>
      </c>
      <c r="E1659" t="s">
        <v>5148</v>
      </c>
      <c r="F1659" s="23">
        <v>44346</v>
      </c>
      <c r="G1659" s="1">
        <v>16869</v>
      </c>
    </row>
    <row r="1660" spans="1:7">
      <c r="A1660" t="s">
        <v>5711</v>
      </c>
      <c r="B1660" t="s">
        <v>94</v>
      </c>
      <c r="C1660" t="s">
        <v>2242</v>
      </c>
      <c r="D1660" t="s">
        <v>2241</v>
      </c>
      <c r="E1660" t="s">
        <v>5149</v>
      </c>
      <c r="F1660" s="23">
        <v>44346</v>
      </c>
      <c r="G1660" s="1">
        <v>1029</v>
      </c>
    </row>
    <row r="1661" spans="1:7">
      <c r="A1661" t="s">
        <v>5711</v>
      </c>
      <c r="B1661" t="s">
        <v>106</v>
      </c>
      <c r="C1661" t="s">
        <v>3474</v>
      </c>
      <c r="D1661" t="s">
        <v>3473</v>
      </c>
      <c r="E1661" t="s">
        <v>5150</v>
      </c>
      <c r="F1661" s="23">
        <v>44346</v>
      </c>
      <c r="G1661" s="1">
        <v>13299</v>
      </c>
    </row>
    <row r="1662" spans="1:7">
      <c r="A1662" t="s">
        <v>5711</v>
      </c>
      <c r="B1662" t="s">
        <v>106</v>
      </c>
      <c r="C1662" t="s">
        <v>887</v>
      </c>
      <c r="D1662" t="s">
        <v>3173</v>
      </c>
      <c r="E1662" t="s">
        <v>5151</v>
      </c>
      <c r="F1662" s="23">
        <v>44471</v>
      </c>
      <c r="G1662" s="1">
        <v>3756</v>
      </c>
    </row>
    <row r="1663" spans="1:7">
      <c r="A1663" t="s">
        <v>5711</v>
      </c>
      <c r="B1663" t="s">
        <v>94</v>
      </c>
      <c r="C1663" t="s">
        <v>2610</v>
      </c>
      <c r="D1663" t="s">
        <v>2609</v>
      </c>
      <c r="E1663" t="s">
        <v>5152</v>
      </c>
      <c r="F1663" s="23">
        <v>44346</v>
      </c>
      <c r="G1663" s="1">
        <v>16449</v>
      </c>
    </row>
    <row r="1664" spans="1:7">
      <c r="A1664" t="s">
        <v>5711</v>
      </c>
      <c r="B1664" t="s">
        <v>43</v>
      </c>
      <c r="C1664" t="s">
        <v>1050</v>
      </c>
      <c r="D1664" t="s">
        <v>1049</v>
      </c>
      <c r="E1664" t="s">
        <v>5153</v>
      </c>
      <c r="F1664" s="23">
        <v>44836</v>
      </c>
      <c r="G1664" s="1">
        <v>1555</v>
      </c>
    </row>
    <row r="1665" spans="1:7">
      <c r="A1665" t="s">
        <v>5711</v>
      </c>
      <c r="B1665" t="s">
        <v>114</v>
      </c>
      <c r="C1665" t="s">
        <v>1246</v>
      </c>
      <c r="D1665" t="s">
        <v>1245</v>
      </c>
      <c r="E1665" t="s">
        <v>5154</v>
      </c>
      <c r="F1665" s="23">
        <v>44346</v>
      </c>
      <c r="G1665" s="1">
        <v>16967</v>
      </c>
    </row>
    <row r="1666" spans="1:7">
      <c r="A1666" t="s">
        <v>5711</v>
      </c>
      <c r="B1666" t="s">
        <v>311</v>
      </c>
      <c r="C1666" t="s">
        <v>2991</v>
      </c>
      <c r="D1666" t="s">
        <v>2990</v>
      </c>
      <c r="E1666" t="s">
        <v>5155</v>
      </c>
      <c r="F1666" s="23">
        <v>44346</v>
      </c>
      <c r="G1666" s="1">
        <v>12020</v>
      </c>
    </row>
    <row r="1667" spans="1:7">
      <c r="A1667" t="s">
        <v>5711</v>
      </c>
      <c r="B1667" t="s">
        <v>233</v>
      </c>
      <c r="C1667" t="s">
        <v>2052</v>
      </c>
      <c r="D1667" t="s">
        <v>2051</v>
      </c>
      <c r="E1667" t="s">
        <v>5156</v>
      </c>
      <c r="F1667" s="23">
        <v>44346</v>
      </c>
      <c r="G1667" s="1">
        <v>8125</v>
      </c>
    </row>
    <row r="1668" spans="1:7">
      <c r="A1668" t="s">
        <v>5711</v>
      </c>
      <c r="B1668" t="s">
        <v>43</v>
      </c>
      <c r="C1668" t="s">
        <v>839</v>
      </c>
      <c r="D1668" t="s">
        <v>838</v>
      </c>
      <c r="E1668" t="s">
        <v>5157</v>
      </c>
      <c r="F1668" s="23">
        <v>44866</v>
      </c>
      <c r="G1668" s="1">
        <v>3570</v>
      </c>
    </row>
    <row r="1669" spans="1:7">
      <c r="A1669" t="s">
        <v>5711</v>
      </c>
      <c r="B1669" t="s">
        <v>94</v>
      </c>
      <c r="C1669" t="s">
        <v>3154</v>
      </c>
      <c r="D1669" t="s">
        <v>3153</v>
      </c>
      <c r="E1669" t="s">
        <v>5158</v>
      </c>
      <c r="F1669" s="23">
        <v>44346</v>
      </c>
      <c r="G1669" s="1">
        <v>17020</v>
      </c>
    </row>
    <row r="1670" spans="1:7">
      <c r="A1670" t="s">
        <v>5711</v>
      </c>
      <c r="B1670" t="s">
        <v>106</v>
      </c>
      <c r="C1670" t="s">
        <v>812</v>
      </c>
      <c r="D1670" t="s">
        <v>811</v>
      </c>
      <c r="E1670" t="s">
        <v>5159</v>
      </c>
      <c r="F1670" s="23">
        <v>44582</v>
      </c>
      <c r="G1670" s="1">
        <v>8512</v>
      </c>
    </row>
    <row r="1671" spans="1:7">
      <c r="A1671" t="s">
        <v>5711</v>
      </c>
      <c r="B1671" t="s">
        <v>97</v>
      </c>
      <c r="C1671" t="s">
        <v>446</v>
      </c>
      <c r="D1671" t="s">
        <v>1706</v>
      </c>
      <c r="E1671" t="s">
        <v>5160</v>
      </c>
      <c r="F1671" s="23">
        <v>44893</v>
      </c>
      <c r="G1671" s="1">
        <v>10659</v>
      </c>
    </row>
    <row r="1672" spans="1:7">
      <c r="A1672" t="s">
        <v>5711</v>
      </c>
      <c r="B1672" t="s">
        <v>94</v>
      </c>
      <c r="C1672" t="s">
        <v>3241</v>
      </c>
      <c r="D1672" t="s">
        <v>3240</v>
      </c>
      <c r="E1672" t="s">
        <v>5161</v>
      </c>
      <c r="F1672" s="23">
        <v>44346</v>
      </c>
      <c r="G1672" s="1">
        <v>12183</v>
      </c>
    </row>
    <row r="1673" spans="1:7">
      <c r="A1673" t="s">
        <v>5711</v>
      </c>
      <c r="B1673" t="s">
        <v>94</v>
      </c>
      <c r="C1673" t="s">
        <v>3487</v>
      </c>
      <c r="D1673" t="s">
        <v>312</v>
      </c>
      <c r="E1673" t="s">
        <v>5162</v>
      </c>
      <c r="F1673" s="23">
        <v>44953</v>
      </c>
      <c r="G1673" s="1">
        <v>3671</v>
      </c>
    </row>
    <row r="1674" spans="1:7">
      <c r="A1674" t="s">
        <v>5711</v>
      </c>
      <c r="B1674" t="s">
        <v>298</v>
      </c>
      <c r="C1674" t="s">
        <v>2889</v>
      </c>
      <c r="D1674" t="s">
        <v>2888</v>
      </c>
      <c r="E1674" t="s">
        <v>5163</v>
      </c>
      <c r="F1674" s="23">
        <v>44346</v>
      </c>
      <c r="G1674" s="1">
        <v>13738</v>
      </c>
    </row>
    <row r="1675" spans="1:7">
      <c r="A1675" t="s">
        <v>5711</v>
      </c>
      <c r="B1675" t="s">
        <v>233</v>
      </c>
      <c r="C1675" t="s">
        <v>2952</v>
      </c>
      <c r="D1675" t="s">
        <v>2951</v>
      </c>
      <c r="E1675" t="s">
        <v>5164</v>
      </c>
      <c r="F1675" s="23">
        <v>44346</v>
      </c>
      <c r="G1675" s="1">
        <v>13774</v>
      </c>
    </row>
    <row r="1676" spans="1:7">
      <c r="A1676" t="s">
        <v>5711</v>
      </c>
      <c r="B1676" t="s">
        <v>91</v>
      </c>
      <c r="C1676" t="s">
        <v>453</v>
      </c>
      <c r="D1676" t="s">
        <v>452</v>
      </c>
      <c r="E1676" t="s">
        <v>5165</v>
      </c>
      <c r="F1676" s="23">
        <v>44546</v>
      </c>
      <c r="G1676" s="1">
        <v>3808</v>
      </c>
    </row>
    <row r="1677" spans="1:7">
      <c r="A1677" t="s">
        <v>5711</v>
      </c>
      <c r="B1677" t="s">
        <v>298</v>
      </c>
      <c r="C1677" t="s">
        <v>2419</v>
      </c>
      <c r="D1677" t="s">
        <v>2418</v>
      </c>
      <c r="E1677" t="s">
        <v>5166</v>
      </c>
      <c r="F1677" s="23">
        <v>44346</v>
      </c>
      <c r="G1677" s="1">
        <v>15664</v>
      </c>
    </row>
    <row r="1678" spans="1:7">
      <c r="A1678" t="s">
        <v>5711</v>
      </c>
      <c r="B1678" t="s">
        <v>94</v>
      </c>
      <c r="C1678" t="s">
        <v>2755</v>
      </c>
      <c r="D1678" t="s">
        <v>2754</v>
      </c>
      <c r="E1678" t="s">
        <v>5167</v>
      </c>
      <c r="F1678" s="23">
        <v>44723</v>
      </c>
      <c r="G1678" s="1">
        <v>4081</v>
      </c>
    </row>
    <row r="1679" spans="1:7">
      <c r="A1679" t="s">
        <v>5711</v>
      </c>
      <c r="B1679" t="s">
        <v>94</v>
      </c>
      <c r="C1679" t="s">
        <v>1962</v>
      </c>
      <c r="D1679" t="s">
        <v>2355</v>
      </c>
      <c r="E1679" t="s">
        <v>5168</v>
      </c>
      <c r="F1679" s="23">
        <v>44797</v>
      </c>
      <c r="G1679" s="1">
        <v>11742</v>
      </c>
    </row>
    <row r="1680" spans="1:7">
      <c r="A1680" t="s">
        <v>5711</v>
      </c>
      <c r="B1680" t="s">
        <v>106</v>
      </c>
      <c r="C1680" t="s">
        <v>3272</v>
      </c>
      <c r="D1680" t="s">
        <v>3271</v>
      </c>
      <c r="E1680" t="s">
        <v>5169</v>
      </c>
      <c r="F1680" s="23">
        <v>44346</v>
      </c>
      <c r="G1680" s="1">
        <v>2238</v>
      </c>
    </row>
    <row r="1681" spans="1:7">
      <c r="A1681" t="s">
        <v>5711</v>
      </c>
      <c r="B1681" t="s">
        <v>106</v>
      </c>
      <c r="C1681" t="s">
        <v>1840</v>
      </c>
      <c r="D1681" t="s">
        <v>1839</v>
      </c>
      <c r="E1681" t="s">
        <v>5170</v>
      </c>
      <c r="F1681" s="23">
        <v>44505</v>
      </c>
      <c r="G1681" s="1">
        <v>6618</v>
      </c>
    </row>
    <row r="1682" spans="1:7">
      <c r="A1682" t="s">
        <v>5711</v>
      </c>
      <c r="B1682" t="s">
        <v>188</v>
      </c>
      <c r="C1682" t="s">
        <v>1644</v>
      </c>
      <c r="D1682" t="s">
        <v>1643</v>
      </c>
      <c r="E1682" t="s">
        <v>5171</v>
      </c>
      <c r="F1682" s="23">
        <v>44917</v>
      </c>
      <c r="G1682" s="1">
        <v>6429</v>
      </c>
    </row>
    <row r="1683" spans="1:7">
      <c r="A1683" t="s">
        <v>5711</v>
      </c>
      <c r="B1683" t="s">
        <v>135</v>
      </c>
      <c r="C1683" t="s">
        <v>134</v>
      </c>
      <c r="D1683" t="s">
        <v>1402</v>
      </c>
      <c r="E1683" t="s">
        <v>5172</v>
      </c>
      <c r="F1683" s="23">
        <v>44346</v>
      </c>
      <c r="G1683" s="1">
        <v>18718</v>
      </c>
    </row>
    <row r="1684" spans="1:7">
      <c r="A1684" t="s">
        <v>5711</v>
      </c>
      <c r="B1684" t="s">
        <v>263</v>
      </c>
      <c r="C1684" t="s">
        <v>1118</v>
      </c>
      <c r="D1684" t="s">
        <v>1117</v>
      </c>
      <c r="E1684" t="s">
        <v>5173</v>
      </c>
      <c r="F1684" s="23">
        <v>44346</v>
      </c>
      <c r="G1684" s="1">
        <v>7693</v>
      </c>
    </row>
    <row r="1685" spans="1:7">
      <c r="A1685" t="s">
        <v>5711</v>
      </c>
      <c r="B1685" t="s">
        <v>106</v>
      </c>
      <c r="C1685" t="s">
        <v>1887</v>
      </c>
      <c r="D1685" t="s">
        <v>2812</v>
      </c>
      <c r="E1685" t="s">
        <v>5174</v>
      </c>
      <c r="F1685" s="23">
        <v>44346</v>
      </c>
      <c r="G1685" s="1">
        <v>19176</v>
      </c>
    </row>
    <row r="1686" spans="1:7">
      <c r="A1686" t="s">
        <v>5711</v>
      </c>
      <c r="B1686" t="s">
        <v>94</v>
      </c>
      <c r="C1686" t="s">
        <v>2331</v>
      </c>
      <c r="D1686" t="s">
        <v>2330</v>
      </c>
      <c r="E1686" t="s">
        <v>5175</v>
      </c>
      <c r="F1686" s="23">
        <v>44346</v>
      </c>
      <c r="G1686" s="1">
        <v>13757</v>
      </c>
    </row>
    <row r="1687" spans="1:7">
      <c r="A1687" t="s">
        <v>5711</v>
      </c>
      <c r="B1687" t="s">
        <v>43</v>
      </c>
      <c r="C1687" t="s">
        <v>1312</v>
      </c>
      <c r="D1687" t="s">
        <v>1311</v>
      </c>
      <c r="E1687" t="s">
        <v>5176</v>
      </c>
      <c r="F1687" s="23">
        <v>44346</v>
      </c>
      <c r="G1687" s="1">
        <v>6900</v>
      </c>
    </row>
    <row r="1688" spans="1:7">
      <c r="A1688" t="s">
        <v>5711</v>
      </c>
      <c r="B1688" t="s">
        <v>61</v>
      </c>
      <c r="C1688" t="s">
        <v>1092</v>
      </c>
      <c r="D1688" t="s">
        <v>1091</v>
      </c>
      <c r="E1688" t="s">
        <v>5177</v>
      </c>
      <c r="F1688" s="23">
        <v>44346</v>
      </c>
      <c r="G1688" s="1">
        <v>18900</v>
      </c>
    </row>
    <row r="1689" spans="1:7">
      <c r="A1689" t="s">
        <v>5711</v>
      </c>
      <c r="B1689" t="s">
        <v>208</v>
      </c>
      <c r="C1689" t="s">
        <v>852</v>
      </c>
      <c r="D1689" t="s">
        <v>851</v>
      </c>
      <c r="E1689" t="s">
        <v>5178</v>
      </c>
      <c r="F1689" s="23">
        <v>44346</v>
      </c>
      <c r="G1689" s="1">
        <v>15422</v>
      </c>
    </row>
    <row r="1690" spans="1:7">
      <c r="A1690" t="s">
        <v>5711</v>
      </c>
      <c r="B1690" t="s">
        <v>311</v>
      </c>
      <c r="C1690" t="s">
        <v>2771</v>
      </c>
      <c r="D1690" t="s">
        <v>2770</v>
      </c>
      <c r="E1690" t="s">
        <v>5179</v>
      </c>
      <c r="F1690" s="23">
        <v>44346</v>
      </c>
      <c r="G1690" s="1">
        <v>14097</v>
      </c>
    </row>
    <row r="1691" spans="1:7">
      <c r="A1691" t="s">
        <v>5711</v>
      </c>
      <c r="B1691" t="s">
        <v>106</v>
      </c>
      <c r="C1691" t="s">
        <v>3247</v>
      </c>
      <c r="D1691" t="s">
        <v>3246</v>
      </c>
      <c r="E1691" t="s">
        <v>5180</v>
      </c>
      <c r="F1691" s="23">
        <v>44346</v>
      </c>
      <c r="G1691" s="1">
        <v>4147</v>
      </c>
    </row>
    <row r="1692" spans="1:7">
      <c r="A1692" t="s">
        <v>5711</v>
      </c>
      <c r="B1692" t="s">
        <v>233</v>
      </c>
      <c r="C1692" t="s">
        <v>3380</v>
      </c>
      <c r="D1692" t="s">
        <v>3379</v>
      </c>
      <c r="E1692" t="s">
        <v>5181</v>
      </c>
      <c r="F1692" s="23">
        <v>44346</v>
      </c>
      <c r="G1692" s="1">
        <v>18887</v>
      </c>
    </row>
    <row r="1693" spans="1:7">
      <c r="A1693" t="s">
        <v>5711</v>
      </c>
      <c r="B1693" t="s">
        <v>37</v>
      </c>
      <c r="C1693" t="s">
        <v>1280</v>
      </c>
      <c r="D1693" t="s">
        <v>5663</v>
      </c>
      <c r="E1693" t="s">
        <v>5182</v>
      </c>
      <c r="F1693" s="23">
        <v>44346</v>
      </c>
      <c r="G1693" s="1">
        <v>10078</v>
      </c>
    </row>
    <row r="1694" spans="1:7">
      <c r="A1694" t="s">
        <v>5711</v>
      </c>
      <c r="B1694" t="s">
        <v>94</v>
      </c>
      <c r="C1694" t="s">
        <v>3486</v>
      </c>
      <c r="D1694" t="s">
        <v>1481</v>
      </c>
      <c r="E1694" t="s">
        <v>5183</v>
      </c>
      <c r="F1694" s="23">
        <v>44940</v>
      </c>
      <c r="G1694" s="1">
        <v>1000</v>
      </c>
    </row>
    <row r="1695" spans="1:7">
      <c r="A1695" t="s">
        <v>5711</v>
      </c>
      <c r="B1695" t="s">
        <v>106</v>
      </c>
      <c r="C1695" t="s">
        <v>622</v>
      </c>
      <c r="D1695" t="s">
        <v>621</v>
      </c>
      <c r="E1695" t="s">
        <v>5184</v>
      </c>
      <c r="F1695" s="23">
        <v>44346</v>
      </c>
      <c r="G1695" s="1">
        <v>13695</v>
      </c>
    </row>
    <row r="1696" spans="1:7">
      <c r="A1696" t="s">
        <v>5711</v>
      </c>
      <c r="B1696" t="s">
        <v>106</v>
      </c>
      <c r="C1696" t="s">
        <v>3289</v>
      </c>
      <c r="D1696" t="s">
        <v>3288</v>
      </c>
      <c r="E1696" t="s">
        <v>5185</v>
      </c>
      <c r="F1696" s="23">
        <v>44607</v>
      </c>
      <c r="G1696" s="1">
        <v>11201</v>
      </c>
    </row>
    <row r="1697" spans="1:7">
      <c r="A1697" t="s">
        <v>5711</v>
      </c>
      <c r="B1697" t="s">
        <v>1029</v>
      </c>
      <c r="C1697" t="s">
        <v>1028</v>
      </c>
      <c r="D1697" t="s">
        <v>1027</v>
      </c>
      <c r="E1697" t="s">
        <v>5186</v>
      </c>
      <c r="F1697" s="23">
        <v>44346</v>
      </c>
      <c r="G1697" s="1">
        <v>7720</v>
      </c>
    </row>
    <row r="1698" spans="1:7">
      <c r="A1698" t="s">
        <v>5711</v>
      </c>
      <c r="B1698" t="s">
        <v>43</v>
      </c>
      <c r="C1698" t="s">
        <v>839</v>
      </c>
      <c r="D1698" t="s">
        <v>1518</v>
      </c>
      <c r="E1698" t="s">
        <v>5187</v>
      </c>
      <c r="F1698" s="23">
        <v>44346</v>
      </c>
      <c r="G1698" s="1">
        <v>13708</v>
      </c>
    </row>
    <row r="1699" spans="1:7">
      <c r="A1699" t="s">
        <v>5711</v>
      </c>
      <c r="B1699" t="s">
        <v>101</v>
      </c>
      <c r="C1699" t="s">
        <v>1652</v>
      </c>
      <c r="D1699" t="s">
        <v>1651</v>
      </c>
      <c r="E1699" t="s">
        <v>5188</v>
      </c>
      <c r="F1699" s="23">
        <v>44519</v>
      </c>
      <c r="G1699" s="1">
        <v>2027</v>
      </c>
    </row>
    <row r="1700" spans="1:7">
      <c r="A1700" t="s">
        <v>5711</v>
      </c>
      <c r="B1700" t="s">
        <v>94</v>
      </c>
      <c r="C1700" t="s">
        <v>3490</v>
      </c>
      <c r="D1700" t="s">
        <v>813</v>
      </c>
      <c r="E1700" t="s">
        <v>5189</v>
      </c>
      <c r="F1700" s="23">
        <v>44431</v>
      </c>
      <c r="G1700" s="1">
        <v>6964</v>
      </c>
    </row>
    <row r="1701" spans="1:7">
      <c r="A1701" t="s">
        <v>5711</v>
      </c>
      <c r="B1701" t="s">
        <v>909</v>
      </c>
      <c r="C1701" t="s">
        <v>908</v>
      </c>
      <c r="D1701" t="s">
        <v>907</v>
      </c>
      <c r="E1701" t="s">
        <v>5190</v>
      </c>
      <c r="F1701" s="23">
        <v>44346</v>
      </c>
      <c r="G1701" s="1">
        <v>16527</v>
      </c>
    </row>
    <row r="1702" spans="1:7">
      <c r="A1702" t="s">
        <v>5711</v>
      </c>
      <c r="B1702" t="s">
        <v>106</v>
      </c>
      <c r="C1702" t="s">
        <v>2084</v>
      </c>
      <c r="D1702" t="s">
        <v>2083</v>
      </c>
      <c r="E1702" t="s">
        <v>5191</v>
      </c>
      <c r="F1702" s="23">
        <v>44346</v>
      </c>
      <c r="G1702" s="1">
        <v>12439</v>
      </c>
    </row>
    <row r="1703" spans="1:7">
      <c r="A1703" t="s">
        <v>5711</v>
      </c>
      <c r="B1703" t="s">
        <v>43</v>
      </c>
      <c r="C1703" t="s">
        <v>760</v>
      </c>
      <c r="D1703" t="s">
        <v>759</v>
      </c>
      <c r="E1703" t="s">
        <v>5192</v>
      </c>
      <c r="F1703" s="23">
        <v>44346</v>
      </c>
      <c r="G1703" s="1">
        <v>18491</v>
      </c>
    </row>
    <row r="1704" spans="1:7">
      <c r="A1704" t="s">
        <v>5711</v>
      </c>
      <c r="B1704" t="s">
        <v>298</v>
      </c>
      <c r="C1704" t="s">
        <v>2161</v>
      </c>
      <c r="D1704" t="s">
        <v>2356</v>
      </c>
      <c r="E1704" t="s">
        <v>5193</v>
      </c>
      <c r="F1704" s="23">
        <v>44346</v>
      </c>
      <c r="G1704" s="1">
        <v>12605</v>
      </c>
    </row>
    <row r="1705" spans="1:7">
      <c r="A1705" t="s">
        <v>5711</v>
      </c>
      <c r="B1705" t="s">
        <v>233</v>
      </c>
      <c r="C1705" t="s">
        <v>2208</v>
      </c>
      <c r="D1705" t="s">
        <v>5664</v>
      </c>
      <c r="E1705" t="s">
        <v>5194</v>
      </c>
      <c r="F1705" s="23">
        <v>44346</v>
      </c>
      <c r="G1705" s="1">
        <v>15938</v>
      </c>
    </row>
    <row r="1706" spans="1:7">
      <c r="A1706" t="s">
        <v>5711</v>
      </c>
      <c r="B1706" t="s">
        <v>94</v>
      </c>
      <c r="C1706" t="s">
        <v>3307</v>
      </c>
      <c r="D1706" t="s">
        <v>5665</v>
      </c>
      <c r="E1706" t="s">
        <v>5195</v>
      </c>
      <c r="F1706" s="23">
        <v>44346</v>
      </c>
      <c r="G1706" s="1">
        <v>19336</v>
      </c>
    </row>
    <row r="1707" spans="1:7">
      <c r="A1707" t="s">
        <v>5711</v>
      </c>
      <c r="B1707" t="s">
        <v>94</v>
      </c>
      <c r="C1707" t="s">
        <v>3486</v>
      </c>
      <c r="D1707" t="s">
        <v>699</v>
      </c>
      <c r="E1707" t="s">
        <v>5196</v>
      </c>
      <c r="F1707" s="23">
        <v>44346</v>
      </c>
      <c r="G1707" s="1">
        <v>2213</v>
      </c>
    </row>
    <row r="1708" spans="1:7">
      <c r="A1708" t="s">
        <v>5711</v>
      </c>
      <c r="B1708" t="s">
        <v>94</v>
      </c>
      <c r="C1708" t="s">
        <v>3437</v>
      </c>
      <c r="D1708" t="s">
        <v>3436</v>
      </c>
      <c r="E1708" t="s">
        <v>5197</v>
      </c>
      <c r="F1708" s="23">
        <v>44346</v>
      </c>
      <c r="G1708" s="1">
        <v>7703</v>
      </c>
    </row>
    <row r="1709" spans="1:7">
      <c r="A1709" t="s">
        <v>5711</v>
      </c>
      <c r="B1709" t="s">
        <v>833</v>
      </c>
      <c r="C1709" t="s">
        <v>832</v>
      </c>
      <c r="D1709" t="s">
        <v>5666</v>
      </c>
      <c r="E1709" t="s">
        <v>5198</v>
      </c>
      <c r="F1709" s="23">
        <v>45042</v>
      </c>
      <c r="G1709" s="1">
        <v>526</v>
      </c>
    </row>
    <row r="1710" spans="1:7">
      <c r="A1710" t="s">
        <v>5711</v>
      </c>
      <c r="B1710" t="s">
        <v>97</v>
      </c>
      <c r="C1710" t="s">
        <v>1325</v>
      </c>
      <c r="D1710" t="s">
        <v>1324</v>
      </c>
      <c r="E1710" t="s">
        <v>5199</v>
      </c>
      <c r="F1710" s="23">
        <v>44346</v>
      </c>
      <c r="G1710" s="1">
        <v>14941</v>
      </c>
    </row>
    <row r="1711" spans="1:7">
      <c r="A1711" t="s">
        <v>5711</v>
      </c>
      <c r="B1711" t="s">
        <v>94</v>
      </c>
      <c r="C1711" t="s">
        <v>2523</v>
      </c>
      <c r="D1711" t="s">
        <v>2522</v>
      </c>
      <c r="E1711" t="s">
        <v>5200</v>
      </c>
      <c r="F1711" s="23">
        <v>44932</v>
      </c>
      <c r="G1711" s="1">
        <v>11195</v>
      </c>
    </row>
    <row r="1712" spans="1:7">
      <c r="A1712" t="s">
        <v>5711</v>
      </c>
      <c r="B1712" t="s">
        <v>311</v>
      </c>
      <c r="C1712" t="s">
        <v>140</v>
      </c>
      <c r="D1712" t="s">
        <v>3115</v>
      </c>
      <c r="E1712" t="s">
        <v>5201</v>
      </c>
      <c r="F1712" s="23">
        <v>44346</v>
      </c>
      <c r="G1712" s="1">
        <v>12089</v>
      </c>
    </row>
    <row r="1713" spans="1:7">
      <c r="A1713" t="s">
        <v>5711</v>
      </c>
      <c r="B1713" t="s">
        <v>233</v>
      </c>
      <c r="C1713" t="s">
        <v>3009</v>
      </c>
      <c r="D1713" t="s">
        <v>3008</v>
      </c>
      <c r="E1713" t="s">
        <v>5202</v>
      </c>
      <c r="F1713" s="23">
        <v>44346</v>
      </c>
      <c r="G1713" s="1">
        <v>3362</v>
      </c>
    </row>
    <row r="1714" spans="1:7">
      <c r="A1714" t="s">
        <v>5711</v>
      </c>
      <c r="B1714" t="s">
        <v>43</v>
      </c>
      <c r="C1714" t="s">
        <v>417</v>
      </c>
      <c r="D1714" t="s">
        <v>416</v>
      </c>
      <c r="E1714" t="s">
        <v>5203</v>
      </c>
      <c r="F1714" s="23">
        <v>44463</v>
      </c>
      <c r="G1714" s="1">
        <v>1376</v>
      </c>
    </row>
    <row r="1715" spans="1:7">
      <c r="A1715" t="s">
        <v>5711</v>
      </c>
      <c r="B1715" t="s">
        <v>298</v>
      </c>
      <c r="C1715" t="s">
        <v>297</v>
      </c>
      <c r="D1715" t="s">
        <v>3274</v>
      </c>
      <c r="E1715" t="s">
        <v>5204</v>
      </c>
      <c r="F1715" s="23">
        <v>44724</v>
      </c>
      <c r="G1715" s="1">
        <v>4828</v>
      </c>
    </row>
    <row r="1716" spans="1:7">
      <c r="A1716" t="s">
        <v>5711</v>
      </c>
      <c r="B1716" t="s">
        <v>106</v>
      </c>
      <c r="C1716" t="s">
        <v>1733</v>
      </c>
      <c r="D1716" t="s">
        <v>1732</v>
      </c>
      <c r="E1716" t="s">
        <v>5205</v>
      </c>
      <c r="F1716" s="23">
        <v>44346</v>
      </c>
      <c r="G1716" s="1">
        <v>19701</v>
      </c>
    </row>
    <row r="1717" spans="1:7">
      <c r="A1717" t="s">
        <v>5711</v>
      </c>
      <c r="B1717" t="s">
        <v>298</v>
      </c>
      <c r="C1717" t="s">
        <v>2929</v>
      </c>
      <c r="D1717" t="s">
        <v>2928</v>
      </c>
      <c r="E1717" t="s">
        <v>5206</v>
      </c>
      <c r="F1717" s="23">
        <v>44370</v>
      </c>
      <c r="G1717" s="1">
        <v>4534</v>
      </c>
    </row>
    <row r="1718" spans="1:7">
      <c r="A1718" t="s">
        <v>5711</v>
      </c>
      <c r="B1718" t="s">
        <v>37</v>
      </c>
      <c r="C1718" t="s">
        <v>601</v>
      </c>
      <c r="D1718" t="s">
        <v>600</v>
      </c>
      <c r="E1718" t="s">
        <v>5207</v>
      </c>
      <c r="F1718" s="23">
        <v>44346</v>
      </c>
      <c r="G1718" s="1">
        <v>14347</v>
      </c>
    </row>
    <row r="1719" spans="1:7">
      <c r="A1719" t="s">
        <v>5711</v>
      </c>
      <c r="B1719" t="s">
        <v>311</v>
      </c>
      <c r="C1719" t="s">
        <v>3235</v>
      </c>
      <c r="D1719" t="s">
        <v>3470</v>
      </c>
      <c r="E1719" t="s">
        <v>5208</v>
      </c>
      <c r="F1719" s="23">
        <v>45012</v>
      </c>
      <c r="G1719" s="1">
        <v>8726</v>
      </c>
    </row>
    <row r="1720" spans="1:7">
      <c r="A1720" t="s">
        <v>5711</v>
      </c>
      <c r="B1720" t="s">
        <v>106</v>
      </c>
      <c r="C1720" t="s">
        <v>2198</v>
      </c>
      <c r="D1720" t="s">
        <v>2197</v>
      </c>
      <c r="E1720" t="s">
        <v>5209</v>
      </c>
      <c r="F1720" s="23">
        <v>44346</v>
      </c>
      <c r="G1720" s="1">
        <v>4661</v>
      </c>
    </row>
    <row r="1721" spans="1:7">
      <c r="A1721" t="s">
        <v>5711</v>
      </c>
      <c r="B1721" t="s">
        <v>311</v>
      </c>
      <c r="C1721" t="s">
        <v>2801</v>
      </c>
      <c r="D1721" t="s">
        <v>5667</v>
      </c>
      <c r="E1721" t="s">
        <v>5210</v>
      </c>
      <c r="F1721" s="23">
        <v>44346</v>
      </c>
      <c r="G1721" s="1">
        <v>11899</v>
      </c>
    </row>
    <row r="1722" spans="1:7">
      <c r="A1722" t="s">
        <v>5711</v>
      </c>
      <c r="B1722" t="s">
        <v>94</v>
      </c>
      <c r="C1722" t="s">
        <v>3366</v>
      </c>
      <c r="D1722" t="s">
        <v>3365</v>
      </c>
      <c r="E1722" t="s">
        <v>5211</v>
      </c>
      <c r="F1722" s="23">
        <v>44346</v>
      </c>
      <c r="G1722" s="1">
        <v>2270</v>
      </c>
    </row>
    <row r="1723" spans="1:7">
      <c r="A1723" t="s">
        <v>5711</v>
      </c>
      <c r="B1723" t="s">
        <v>233</v>
      </c>
      <c r="C1723" t="s">
        <v>3112</v>
      </c>
      <c r="D1723" t="s">
        <v>3111</v>
      </c>
      <c r="E1723" t="s">
        <v>5212</v>
      </c>
      <c r="F1723" s="23">
        <v>44545</v>
      </c>
      <c r="G1723" s="1">
        <v>4405</v>
      </c>
    </row>
    <row r="1724" spans="1:7">
      <c r="A1724" t="s">
        <v>5711</v>
      </c>
      <c r="B1724" t="s">
        <v>94</v>
      </c>
      <c r="C1724" t="s">
        <v>3265</v>
      </c>
      <c r="D1724" t="s">
        <v>248</v>
      </c>
      <c r="E1724" t="s">
        <v>5213</v>
      </c>
      <c r="F1724" s="23">
        <v>44869</v>
      </c>
      <c r="G1724" s="1">
        <v>8196</v>
      </c>
    </row>
    <row r="1725" spans="1:7">
      <c r="A1725" t="s">
        <v>5711</v>
      </c>
      <c r="B1725" t="s">
        <v>94</v>
      </c>
      <c r="C1725" t="s">
        <v>3486</v>
      </c>
      <c r="D1725" t="s">
        <v>1294</v>
      </c>
      <c r="E1725" t="s">
        <v>5214</v>
      </c>
      <c r="F1725" s="23">
        <v>44768</v>
      </c>
      <c r="G1725" s="1">
        <v>2766</v>
      </c>
    </row>
    <row r="1726" spans="1:7">
      <c r="A1726" t="s">
        <v>5711</v>
      </c>
      <c r="B1726" t="s">
        <v>94</v>
      </c>
      <c r="C1726" t="s">
        <v>1933</v>
      </c>
      <c r="D1726" t="s">
        <v>1932</v>
      </c>
      <c r="E1726" t="s">
        <v>5215</v>
      </c>
      <c r="F1726" s="23">
        <v>44346</v>
      </c>
      <c r="G1726" s="1">
        <v>5527</v>
      </c>
    </row>
    <row r="1727" spans="1:7">
      <c r="A1727" t="s">
        <v>5711</v>
      </c>
      <c r="B1727" t="s">
        <v>837</v>
      </c>
      <c r="C1727" t="s">
        <v>836</v>
      </c>
      <c r="D1727" t="s">
        <v>835</v>
      </c>
      <c r="E1727" t="s">
        <v>5216</v>
      </c>
      <c r="F1727" s="23">
        <v>44804</v>
      </c>
      <c r="G1727" s="1">
        <v>11672</v>
      </c>
    </row>
    <row r="1728" spans="1:7">
      <c r="A1728" t="s">
        <v>5711</v>
      </c>
      <c r="B1728" t="s">
        <v>94</v>
      </c>
      <c r="C1728" t="s">
        <v>1903</v>
      </c>
      <c r="D1728" t="s">
        <v>2332</v>
      </c>
      <c r="E1728" t="s">
        <v>5217</v>
      </c>
      <c r="F1728" s="23">
        <v>44815</v>
      </c>
      <c r="G1728" s="1">
        <v>753</v>
      </c>
    </row>
    <row r="1729" spans="1:7">
      <c r="A1729" t="s">
        <v>5711</v>
      </c>
      <c r="B1729" t="s">
        <v>233</v>
      </c>
      <c r="C1729" t="s">
        <v>3028</v>
      </c>
      <c r="D1729" t="s">
        <v>3027</v>
      </c>
      <c r="E1729" t="s">
        <v>5218</v>
      </c>
      <c r="F1729" s="23">
        <v>44346</v>
      </c>
      <c r="G1729" s="1">
        <v>17302</v>
      </c>
    </row>
    <row r="1730" spans="1:7">
      <c r="A1730" t="s">
        <v>5711</v>
      </c>
      <c r="B1730" t="s">
        <v>94</v>
      </c>
      <c r="C1730" t="s">
        <v>2411</v>
      </c>
      <c r="D1730" t="s">
        <v>2410</v>
      </c>
      <c r="E1730" t="s">
        <v>5219</v>
      </c>
      <c r="F1730" s="23">
        <v>44346</v>
      </c>
      <c r="G1730" s="1">
        <v>15333</v>
      </c>
    </row>
    <row r="1731" spans="1:7">
      <c r="A1731" t="s">
        <v>5711</v>
      </c>
      <c r="B1731" t="s">
        <v>91</v>
      </c>
      <c r="C1731" t="s">
        <v>1412</v>
      </c>
      <c r="D1731" t="s">
        <v>1411</v>
      </c>
      <c r="E1731" t="s">
        <v>5220</v>
      </c>
      <c r="F1731" s="23">
        <v>44792</v>
      </c>
      <c r="G1731" s="1">
        <v>9802</v>
      </c>
    </row>
    <row r="1732" spans="1:7">
      <c r="A1732" t="s">
        <v>5711</v>
      </c>
      <c r="B1732" t="s">
        <v>255</v>
      </c>
      <c r="C1732" t="s">
        <v>321</v>
      </c>
      <c r="D1732" t="s">
        <v>320</v>
      </c>
      <c r="E1732" t="s">
        <v>5221</v>
      </c>
      <c r="F1732" s="23">
        <v>44808</v>
      </c>
      <c r="G1732" s="1">
        <v>7345</v>
      </c>
    </row>
    <row r="1733" spans="1:7">
      <c r="A1733" t="s">
        <v>5711</v>
      </c>
      <c r="B1733" t="s">
        <v>298</v>
      </c>
      <c r="C1733" t="s">
        <v>1900</v>
      </c>
      <c r="D1733" t="s">
        <v>2441</v>
      </c>
      <c r="E1733" t="s">
        <v>5222</v>
      </c>
      <c r="F1733" s="23">
        <v>44452</v>
      </c>
      <c r="G1733" s="1">
        <v>8808</v>
      </c>
    </row>
    <row r="1734" spans="1:7">
      <c r="A1734" t="s">
        <v>5711</v>
      </c>
      <c r="B1734" t="s">
        <v>94</v>
      </c>
      <c r="C1734" t="s">
        <v>2001</v>
      </c>
      <c r="D1734" t="s">
        <v>5668</v>
      </c>
      <c r="E1734" t="s">
        <v>5223</v>
      </c>
      <c r="F1734" s="23">
        <v>44346</v>
      </c>
      <c r="G1734" s="1">
        <v>17564</v>
      </c>
    </row>
    <row r="1735" spans="1:7">
      <c r="A1735" t="s">
        <v>5711</v>
      </c>
      <c r="B1735" t="s">
        <v>94</v>
      </c>
      <c r="C1735" t="s">
        <v>2728</v>
      </c>
      <c r="D1735" t="s">
        <v>2970</v>
      </c>
      <c r="E1735" t="s">
        <v>5224</v>
      </c>
      <c r="F1735" s="23">
        <v>44346</v>
      </c>
      <c r="G1735" s="1">
        <v>19100</v>
      </c>
    </row>
    <row r="1736" spans="1:7">
      <c r="A1736" t="s">
        <v>5711</v>
      </c>
      <c r="B1736" t="s">
        <v>101</v>
      </c>
      <c r="C1736" t="s">
        <v>712</v>
      </c>
      <c r="D1736" t="s">
        <v>711</v>
      </c>
      <c r="E1736" t="s">
        <v>5225</v>
      </c>
      <c r="F1736" s="23">
        <v>44346</v>
      </c>
      <c r="G1736" s="1">
        <v>8617</v>
      </c>
    </row>
    <row r="1737" spans="1:7">
      <c r="A1737" t="s">
        <v>5711</v>
      </c>
      <c r="B1737" t="s">
        <v>37</v>
      </c>
      <c r="C1737" t="s">
        <v>431</v>
      </c>
      <c r="D1737" t="s">
        <v>430</v>
      </c>
      <c r="E1737" t="s">
        <v>5226</v>
      </c>
      <c r="F1737" s="23">
        <v>44915</v>
      </c>
      <c r="G1737" s="1">
        <v>4143</v>
      </c>
    </row>
    <row r="1738" spans="1:7">
      <c r="A1738" t="s">
        <v>5711</v>
      </c>
      <c r="B1738" t="s">
        <v>233</v>
      </c>
      <c r="C1738" t="s">
        <v>745</v>
      </c>
      <c r="D1738" t="s">
        <v>3060</v>
      </c>
      <c r="E1738" t="s">
        <v>5227</v>
      </c>
      <c r="F1738" s="23">
        <v>45073</v>
      </c>
      <c r="G1738" s="1">
        <v>5522</v>
      </c>
    </row>
    <row r="1739" spans="1:7">
      <c r="A1739" t="s">
        <v>5711</v>
      </c>
      <c r="B1739" t="s">
        <v>94</v>
      </c>
      <c r="C1739" t="s">
        <v>3486</v>
      </c>
      <c r="D1739" t="s">
        <v>5669</v>
      </c>
      <c r="E1739" t="s">
        <v>5228</v>
      </c>
      <c r="F1739" s="23">
        <v>44384</v>
      </c>
      <c r="G1739" s="1">
        <v>7688</v>
      </c>
    </row>
    <row r="1740" spans="1:7">
      <c r="A1740" t="s">
        <v>5711</v>
      </c>
      <c r="B1740" t="s">
        <v>298</v>
      </c>
      <c r="C1740" t="s">
        <v>2415</v>
      </c>
      <c r="D1740" t="s">
        <v>5670</v>
      </c>
      <c r="E1740" t="s">
        <v>5229</v>
      </c>
      <c r="F1740" s="23">
        <v>44863</v>
      </c>
      <c r="G1740" s="1">
        <v>6233</v>
      </c>
    </row>
    <row r="1741" spans="1:7">
      <c r="A1741" t="s">
        <v>5711</v>
      </c>
      <c r="B1741" t="s">
        <v>405</v>
      </c>
      <c r="C1741" t="s">
        <v>404</v>
      </c>
      <c r="D1741" t="s">
        <v>403</v>
      </c>
      <c r="E1741" t="s">
        <v>5230</v>
      </c>
      <c r="F1741" s="23">
        <v>44346</v>
      </c>
      <c r="G1741" s="1">
        <v>4811</v>
      </c>
    </row>
    <row r="1742" spans="1:7">
      <c r="A1742" t="s">
        <v>5711</v>
      </c>
      <c r="B1742" t="s">
        <v>94</v>
      </c>
      <c r="C1742" t="s">
        <v>3486</v>
      </c>
      <c r="D1742" t="s">
        <v>116</v>
      </c>
      <c r="E1742" t="s">
        <v>5231</v>
      </c>
      <c r="F1742" s="23">
        <v>44346</v>
      </c>
      <c r="G1742" s="1">
        <v>12157</v>
      </c>
    </row>
    <row r="1743" spans="1:7">
      <c r="A1743" t="s">
        <v>5711</v>
      </c>
      <c r="B1743" t="s">
        <v>43</v>
      </c>
      <c r="C1743" t="s">
        <v>879</v>
      </c>
      <c r="D1743" t="s">
        <v>878</v>
      </c>
      <c r="E1743" t="s">
        <v>5232</v>
      </c>
      <c r="F1743" s="23">
        <v>44346</v>
      </c>
      <c r="G1743" s="1">
        <v>8942</v>
      </c>
    </row>
    <row r="1744" spans="1:7">
      <c r="A1744" t="s">
        <v>5711</v>
      </c>
      <c r="B1744" t="s">
        <v>94</v>
      </c>
      <c r="C1744" t="s">
        <v>1996</v>
      </c>
      <c r="D1744" t="s">
        <v>1995</v>
      </c>
      <c r="E1744" t="s">
        <v>5233</v>
      </c>
      <c r="F1744" s="23">
        <v>44346</v>
      </c>
      <c r="G1744" s="1">
        <v>16302</v>
      </c>
    </row>
    <row r="1745" spans="1:7">
      <c r="A1745" t="s">
        <v>5711</v>
      </c>
      <c r="B1745" t="s">
        <v>311</v>
      </c>
      <c r="C1745" t="s">
        <v>2963</v>
      </c>
      <c r="D1745" t="s">
        <v>2962</v>
      </c>
      <c r="E1745" t="s">
        <v>5234</v>
      </c>
      <c r="F1745" s="23">
        <v>44346</v>
      </c>
      <c r="G1745" s="1">
        <v>5031</v>
      </c>
    </row>
    <row r="1746" spans="1:7">
      <c r="A1746" t="s">
        <v>5711</v>
      </c>
      <c r="B1746" t="s">
        <v>211</v>
      </c>
      <c r="C1746" t="s">
        <v>210</v>
      </c>
      <c r="D1746" t="s">
        <v>209</v>
      </c>
      <c r="E1746" t="s">
        <v>5235</v>
      </c>
      <c r="F1746" s="23">
        <v>44529</v>
      </c>
      <c r="G1746" s="1">
        <v>6086</v>
      </c>
    </row>
    <row r="1747" spans="1:7">
      <c r="A1747" t="s">
        <v>5711</v>
      </c>
      <c r="B1747" t="s">
        <v>298</v>
      </c>
      <c r="C1747" t="s">
        <v>2389</v>
      </c>
      <c r="D1747" t="s">
        <v>2388</v>
      </c>
      <c r="E1747" t="s">
        <v>5236</v>
      </c>
      <c r="F1747" s="23">
        <v>44346</v>
      </c>
      <c r="G1747" s="1">
        <v>10488</v>
      </c>
    </row>
    <row r="1748" spans="1:7">
      <c r="A1748" t="s">
        <v>5711</v>
      </c>
      <c r="B1748" t="s">
        <v>298</v>
      </c>
      <c r="C1748" t="s">
        <v>3263</v>
      </c>
      <c r="D1748" t="s">
        <v>3262</v>
      </c>
      <c r="E1748" t="s">
        <v>5237</v>
      </c>
      <c r="F1748" s="23">
        <v>44494</v>
      </c>
      <c r="G1748" s="1">
        <v>11863</v>
      </c>
    </row>
    <row r="1749" spans="1:7">
      <c r="A1749" t="s">
        <v>5711</v>
      </c>
      <c r="B1749" t="s">
        <v>94</v>
      </c>
      <c r="C1749" t="s">
        <v>3489</v>
      </c>
      <c r="D1749" t="s">
        <v>376</v>
      </c>
      <c r="E1749" t="s">
        <v>5238</v>
      </c>
      <c r="F1749" s="23">
        <v>44878</v>
      </c>
      <c r="G1749" s="1">
        <v>2393</v>
      </c>
    </row>
    <row r="1750" spans="1:7">
      <c r="A1750" t="s">
        <v>5711</v>
      </c>
      <c r="B1750" t="s">
        <v>792</v>
      </c>
      <c r="C1750" t="s">
        <v>1740</v>
      </c>
      <c r="D1750" t="s">
        <v>1739</v>
      </c>
      <c r="E1750" t="s">
        <v>5239</v>
      </c>
      <c r="F1750" s="23">
        <v>44346</v>
      </c>
      <c r="G1750" s="1">
        <v>15638</v>
      </c>
    </row>
    <row r="1751" spans="1:7">
      <c r="A1751" t="s">
        <v>5711</v>
      </c>
      <c r="B1751" t="s">
        <v>531</v>
      </c>
      <c r="C1751" t="s">
        <v>530</v>
      </c>
      <c r="D1751" t="s">
        <v>529</v>
      </c>
      <c r="E1751" t="s">
        <v>5240</v>
      </c>
      <c r="F1751" s="23">
        <v>44346</v>
      </c>
      <c r="G1751" s="1">
        <v>14379</v>
      </c>
    </row>
    <row r="1752" spans="1:7">
      <c r="A1752" t="s">
        <v>5711</v>
      </c>
      <c r="B1752" t="s">
        <v>164</v>
      </c>
      <c r="C1752" t="s">
        <v>1692</v>
      </c>
      <c r="D1752" t="s">
        <v>1691</v>
      </c>
      <c r="E1752" t="s">
        <v>5241</v>
      </c>
      <c r="F1752" s="23">
        <v>44346</v>
      </c>
      <c r="G1752" s="1">
        <v>16295</v>
      </c>
    </row>
    <row r="1753" spans="1:7">
      <c r="A1753" t="s">
        <v>5711</v>
      </c>
      <c r="B1753" t="s">
        <v>97</v>
      </c>
      <c r="C1753" t="s">
        <v>596</v>
      </c>
      <c r="D1753" t="s">
        <v>595</v>
      </c>
      <c r="E1753" t="s">
        <v>5242</v>
      </c>
      <c r="F1753" s="23">
        <v>44346</v>
      </c>
      <c r="G1753" s="1">
        <v>4975</v>
      </c>
    </row>
    <row r="1754" spans="1:7">
      <c r="A1754" t="s">
        <v>5711</v>
      </c>
      <c r="B1754" t="s">
        <v>94</v>
      </c>
      <c r="C1754" t="s">
        <v>2430</v>
      </c>
      <c r="D1754" t="s">
        <v>2429</v>
      </c>
      <c r="E1754" t="s">
        <v>5243</v>
      </c>
      <c r="F1754" s="23">
        <v>44959</v>
      </c>
      <c r="G1754" s="1">
        <v>11581</v>
      </c>
    </row>
    <row r="1755" spans="1:7">
      <c r="A1755" t="s">
        <v>5711</v>
      </c>
      <c r="B1755" t="s">
        <v>106</v>
      </c>
      <c r="C1755" t="s">
        <v>2602</v>
      </c>
      <c r="D1755" t="s">
        <v>2601</v>
      </c>
      <c r="E1755" t="s">
        <v>5244</v>
      </c>
      <c r="F1755" s="23">
        <v>44901</v>
      </c>
      <c r="G1755" s="1">
        <v>11769</v>
      </c>
    </row>
    <row r="1756" spans="1:7">
      <c r="A1756" t="s">
        <v>5711</v>
      </c>
      <c r="B1756" t="s">
        <v>298</v>
      </c>
      <c r="C1756" t="s">
        <v>2625</v>
      </c>
      <c r="D1756" t="s">
        <v>2624</v>
      </c>
      <c r="E1756" t="s">
        <v>5245</v>
      </c>
      <c r="F1756" s="23">
        <v>44346</v>
      </c>
      <c r="G1756" s="1">
        <v>19085</v>
      </c>
    </row>
    <row r="1757" spans="1:7">
      <c r="A1757" t="s">
        <v>5711</v>
      </c>
      <c r="B1757" t="s">
        <v>94</v>
      </c>
      <c r="C1757" t="s">
        <v>2413</v>
      </c>
      <c r="D1757" t="s">
        <v>2412</v>
      </c>
      <c r="E1757" t="s">
        <v>5246</v>
      </c>
      <c r="F1757" s="23">
        <v>44346</v>
      </c>
      <c r="G1757" s="1">
        <v>18583</v>
      </c>
    </row>
    <row r="1758" spans="1:7">
      <c r="A1758" t="s">
        <v>5711</v>
      </c>
      <c r="B1758" t="s">
        <v>174</v>
      </c>
      <c r="C1758" t="s">
        <v>1775</v>
      </c>
      <c r="D1758" t="s">
        <v>1774</v>
      </c>
      <c r="E1758" t="s">
        <v>5247</v>
      </c>
      <c r="F1758" s="23">
        <v>44624</v>
      </c>
      <c r="G1758" s="1">
        <v>3062</v>
      </c>
    </row>
    <row r="1759" spans="1:7">
      <c r="A1759" t="s">
        <v>5711</v>
      </c>
      <c r="B1759" t="s">
        <v>94</v>
      </c>
      <c r="C1759" t="s">
        <v>3485</v>
      </c>
      <c r="D1759" t="s">
        <v>1787</v>
      </c>
      <c r="E1759" t="s">
        <v>5248</v>
      </c>
      <c r="F1759" s="23">
        <v>44878</v>
      </c>
      <c r="G1759" s="1">
        <v>8664</v>
      </c>
    </row>
    <row r="1760" spans="1:7">
      <c r="A1760" t="s">
        <v>5711</v>
      </c>
      <c r="B1760" t="s">
        <v>91</v>
      </c>
      <c r="C1760" t="s">
        <v>159</v>
      </c>
      <c r="D1760" t="s">
        <v>158</v>
      </c>
      <c r="E1760" t="s">
        <v>5249</v>
      </c>
      <c r="F1760" s="23">
        <v>44381</v>
      </c>
      <c r="G1760" s="1">
        <v>7673</v>
      </c>
    </row>
    <row r="1761" spans="1:7">
      <c r="A1761" t="s">
        <v>5711</v>
      </c>
      <c r="B1761" t="s">
        <v>106</v>
      </c>
      <c r="C1761" t="s">
        <v>3106</v>
      </c>
      <c r="D1761" t="s">
        <v>3105</v>
      </c>
      <c r="E1761" t="s">
        <v>5250</v>
      </c>
      <c r="F1761" s="23">
        <v>44346</v>
      </c>
      <c r="G1761" s="1">
        <v>16205</v>
      </c>
    </row>
    <row r="1762" spans="1:7">
      <c r="A1762" t="s">
        <v>5711</v>
      </c>
      <c r="B1762" t="s">
        <v>94</v>
      </c>
      <c r="C1762" t="s">
        <v>3486</v>
      </c>
      <c r="D1762" t="s">
        <v>1150</v>
      </c>
      <c r="E1762" t="s">
        <v>5251</v>
      </c>
      <c r="F1762" s="23">
        <v>44346</v>
      </c>
      <c r="G1762" s="1">
        <v>13481</v>
      </c>
    </row>
    <row r="1763" spans="1:7">
      <c r="A1763" t="s">
        <v>5711</v>
      </c>
      <c r="B1763" t="s">
        <v>298</v>
      </c>
      <c r="C1763" t="s">
        <v>361</v>
      </c>
      <c r="D1763" t="s">
        <v>2248</v>
      </c>
      <c r="E1763" t="s">
        <v>5252</v>
      </c>
      <c r="F1763" s="23">
        <v>44346</v>
      </c>
      <c r="G1763" s="1">
        <v>3085</v>
      </c>
    </row>
    <row r="1764" spans="1:7">
      <c r="A1764" t="s">
        <v>5711</v>
      </c>
      <c r="B1764" t="s">
        <v>311</v>
      </c>
      <c r="C1764" t="s">
        <v>2739</v>
      </c>
      <c r="D1764" t="s">
        <v>2738</v>
      </c>
      <c r="E1764" t="s">
        <v>5253</v>
      </c>
      <c r="F1764" s="23">
        <v>44601</v>
      </c>
      <c r="G1764" s="1">
        <v>3567</v>
      </c>
    </row>
    <row r="1765" spans="1:7">
      <c r="A1765" t="s">
        <v>5711</v>
      </c>
      <c r="B1765" t="s">
        <v>94</v>
      </c>
      <c r="C1765" t="s">
        <v>3265</v>
      </c>
      <c r="D1765" t="s">
        <v>1022</v>
      </c>
      <c r="E1765" t="s">
        <v>5254</v>
      </c>
      <c r="F1765" s="23">
        <v>45044</v>
      </c>
      <c r="G1765" s="1">
        <v>4140</v>
      </c>
    </row>
    <row r="1766" spans="1:7">
      <c r="A1766" t="s">
        <v>5711</v>
      </c>
      <c r="B1766" t="s">
        <v>1544</v>
      </c>
      <c r="C1766" t="s">
        <v>1543</v>
      </c>
      <c r="D1766" t="s">
        <v>1542</v>
      </c>
      <c r="E1766" t="s">
        <v>5255</v>
      </c>
      <c r="F1766" s="23">
        <v>44346</v>
      </c>
      <c r="G1766" s="1">
        <v>3584</v>
      </c>
    </row>
    <row r="1767" spans="1:7">
      <c r="A1767" t="s">
        <v>5711</v>
      </c>
      <c r="B1767" t="s">
        <v>298</v>
      </c>
      <c r="C1767" t="s">
        <v>3165</v>
      </c>
      <c r="D1767" t="s">
        <v>3164</v>
      </c>
      <c r="E1767" t="s">
        <v>5256</v>
      </c>
      <c r="F1767" s="23">
        <v>44680</v>
      </c>
      <c r="G1767" s="1">
        <v>5879</v>
      </c>
    </row>
    <row r="1768" spans="1:7">
      <c r="A1768" t="s">
        <v>5711</v>
      </c>
      <c r="B1768" t="s">
        <v>94</v>
      </c>
      <c r="C1768" t="s">
        <v>273</v>
      </c>
      <c r="D1768" t="s">
        <v>272</v>
      </c>
      <c r="E1768" t="s">
        <v>5257</v>
      </c>
      <c r="F1768" s="23">
        <v>44346</v>
      </c>
      <c r="G1768" s="1">
        <v>5723</v>
      </c>
    </row>
    <row r="1769" spans="1:7">
      <c r="A1769" t="s">
        <v>5711</v>
      </c>
      <c r="B1769" t="s">
        <v>94</v>
      </c>
      <c r="C1769" t="s">
        <v>3487</v>
      </c>
      <c r="D1769" t="s">
        <v>69</v>
      </c>
      <c r="E1769" t="s">
        <v>5258</v>
      </c>
      <c r="F1769" s="23">
        <v>44923</v>
      </c>
      <c r="G1769" s="1">
        <v>2228</v>
      </c>
    </row>
    <row r="1770" spans="1:7">
      <c r="A1770" t="s">
        <v>5711</v>
      </c>
      <c r="B1770" t="s">
        <v>106</v>
      </c>
      <c r="C1770" t="s">
        <v>2576</v>
      </c>
      <c r="D1770" t="s">
        <v>2575</v>
      </c>
      <c r="E1770" t="s">
        <v>5259</v>
      </c>
      <c r="F1770" s="23">
        <v>44346</v>
      </c>
      <c r="G1770" s="1">
        <v>6112</v>
      </c>
    </row>
    <row r="1771" spans="1:7">
      <c r="A1771" t="s">
        <v>5711</v>
      </c>
      <c r="B1771" t="s">
        <v>311</v>
      </c>
      <c r="C1771" t="s">
        <v>1960</v>
      </c>
      <c r="D1771" t="s">
        <v>1959</v>
      </c>
      <c r="E1771" t="s">
        <v>5260</v>
      </c>
      <c r="F1771" s="23">
        <v>44346</v>
      </c>
      <c r="G1771" s="1">
        <v>7010</v>
      </c>
    </row>
    <row r="1772" spans="1:7">
      <c r="A1772" t="s">
        <v>5711</v>
      </c>
      <c r="B1772" t="s">
        <v>106</v>
      </c>
      <c r="C1772" t="s">
        <v>2925</v>
      </c>
      <c r="D1772" t="s">
        <v>2924</v>
      </c>
      <c r="E1772" t="s">
        <v>5261</v>
      </c>
      <c r="F1772" s="23">
        <v>44686</v>
      </c>
      <c r="G1772" s="1">
        <v>6791</v>
      </c>
    </row>
    <row r="1773" spans="1:7">
      <c r="A1773" t="s">
        <v>5711</v>
      </c>
      <c r="B1773" t="s">
        <v>174</v>
      </c>
      <c r="C1773" t="s">
        <v>173</v>
      </c>
      <c r="D1773" t="s">
        <v>172</v>
      </c>
      <c r="E1773" t="s">
        <v>5262</v>
      </c>
      <c r="F1773" s="23">
        <v>44507</v>
      </c>
      <c r="G1773" s="1">
        <v>9067</v>
      </c>
    </row>
    <row r="1774" spans="1:7">
      <c r="A1774" t="s">
        <v>5711</v>
      </c>
      <c r="B1774" t="s">
        <v>94</v>
      </c>
      <c r="C1774" t="s">
        <v>3485</v>
      </c>
      <c r="D1774" t="s">
        <v>1807</v>
      </c>
      <c r="E1774" t="s">
        <v>5263</v>
      </c>
      <c r="F1774" s="23">
        <v>44373</v>
      </c>
      <c r="G1774" s="1">
        <v>4160</v>
      </c>
    </row>
    <row r="1775" spans="1:7">
      <c r="A1775" t="s">
        <v>5711</v>
      </c>
      <c r="B1775" t="s">
        <v>444</v>
      </c>
      <c r="C1775" t="s">
        <v>443</v>
      </c>
      <c r="D1775" t="s">
        <v>441</v>
      </c>
      <c r="E1775" t="s">
        <v>5264</v>
      </c>
      <c r="F1775" s="23">
        <v>44346</v>
      </c>
      <c r="G1775" s="1">
        <v>13231</v>
      </c>
    </row>
    <row r="1776" spans="1:7">
      <c r="A1776" t="s">
        <v>5711</v>
      </c>
      <c r="B1776" t="s">
        <v>1149</v>
      </c>
      <c r="C1776" t="s">
        <v>1148</v>
      </c>
      <c r="D1776" t="s">
        <v>1147</v>
      </c>
      <c r="E1776" t="s">
        <v>5265</v>
      </c>
      <c r="F1776" s="23">
        <v>44346</v>
      </c>
      <c r="G1776" s="1">
        <v>15817</v>
      </c>
    </row>
    <row r="1777" spans="1:7">
      <c r="A1777" t="s">
        <v>5711</v>
      </c>
      <c r="B1777" t="s">
        <v>94</v>
      </c>
      <c r="C1777" t="s">
        <v>850</v>
      </c>
      <c r="D1777" t="s">
        <v>849</v>
      </c>
      <c r="E1777" t="s">
        <v>5266</v>
      </c>
      <c r="F1777" s="23">
        <v>44346</v>
      </c>
      <c r="G1777" s="1">
        <v>15553</v>
      </c>
    </row>
    <row r="1778" spans="1:7">
      <c r="A1778" t="s">
        <v>5711</v>
      </c>
      <c r="B1778" t="s">
        <v>230</v>
      </c>
      <c r="C1778" t="s">
        <v>1156</v>
      </c>
      <c r="D1778" t="s">
        <v>1155</v>
      </c>
      <c r="E1778" t="s">
        <v>5267</v>
      </c>
      <c r="F1778" s="23">
        <v>44346</v>
      </c>
      <c r="G1778" s="1">
        <v>6880</v>
      </c>
    </row>
    <row r="1779" spans="1:7">
      <c r="A1779" t="s">
        <v>5711</v>
      </c>
      <c r="B1779" t="s">
        <v>94</v>
      </c>
      <c r="C1779" t="s">
        <v>3487</v>
      </c>
      <c r="D1779" t="s">
        <v>1248</v>
      </c>
      <c r="E1779" t="s">
        <v>5268</v>
      </c>
      <c r="F1779" s="23">
        <v>44346</v>
      </c>
      <c r="G1779" s="1">
        <v>19107</v>
      </c>
    </row>
    <row r="1780" spans="1:7">
      <c r="A1780" t="s">
        <v>5711</v>
      </c>
      <c r="B1780" t="s">
        <v>208</v>
      </c>
      <c r="C1780" t="s">
        <v>619</v>
      </c>
      <c r="D1780" t="s">
        <v>618</v>
      </c>
      <c r="E1780" t="s">
        <v>5269</v>
      </c>
      <c r="F1780" s="23">
        <v>44346</v>
      </c>
      <c r="G1780" s="1">
        <v>16775</v>
      </c>
    </row>
    <row r="1781" spans="1:7">
      <c r="A1781" t="s">
        <v>5711</v>
      </c>
      <c r="B1781" t="s">
        <v>298</v>
      </c>
      <c r="C1781" t="s">
        <v>2184</v>
      </c>
      <c r="D1781" t="s">
        <v>3093</v>
      </c>
      <c r="E1781" t="s">
        <v>5270</v>
      </c>
      <c r="F1781" s="23">
        <v>44346</v>
      </c>
      <c r="G1781" s="1">
        <v>14698</v>
      </c>
    </row>
    <row r="1782" spans="1:7">
      <c r="A1782" t="s">
        <v>5711</v>
      </c>
      <c r="B1782" t="s">
        <v>1223</v>
      </c>
      <c r="C1782" t="s">
        <v>1222</v>
      </c>
      <c r="D1782" t="s">
        <v>3454</v>
      </c>
      <c r="E1782" t="s">
        <v>5271</v>
      </c>
      <c r="F1782" s="23">
        <v>44377</v>
      </c>
      <c r="G1782" s="1">
        <v>8786</v>
      </c>
    </row>
    <row r="1783" spans="1:7">
      <c r="A1783" t="s">
        <v>5711</v>
      </c>
      <c r="B1783" t="s">
        <v>94</v>
      </c>
      <c r="C1783" t="s">
        <v>3327</v>
      </c>
      <c r="D1783" t="s">
        <v>5671</v>
      </c>
      <c r="E1783" t="s">
        <v>5272</v>
      </c>
      <c r="F1783" s="23">
        <v>44538</v>
      </c>
      <c r="G1783" s="1">
        <v>2029</v>
      </c>
    </row>
    <row r="1784" spans="1:7">
      <c r="A1784" t="s">
        <v>5711</v>
      </c>
      <c r="B1784" t="s">
        <v>298</v>
      </c>
      <c r="C1784" t="s">
        <v>1887</v>
      </c>
      <c r="D1784" t="s">
        <v>2954</v>
      </c>
      <c r="E1784" t="s">
        <v>5273</v>
      </c>
      <c r="F1784" s="23">
        <v>44346</v>
      </c>
      <c r="G1784" s="1">
        <v>18769</v>
      </c>
    </row>
    <row r="1785" spans="1:7">
      <c r="A1785" t="s">
        <v>5711</v>
      </c>
      <c r="B1785" t="s">
        <v>94</v>
      </c>
      <c r="C1785" t="s">
        <v>2909</v>
      </c>
      <c r="D1785" t="s">
        <v>5672</v>
      </c>
      <c r="E1785" t="s">
        <v>5274</v>
      </c>
      <c r="F1785" s="23">
        <v>44346</v>
      </c>
      <c r="G1785" s="1">
        <v>15101</v>
      </c>
    </row>
    <row r="1786" spans="1:7">
      <c r="A1786" t="s">
        <v>5711</v>
      </c>
      <c r="B1786" t="s">
        <v>164</v>
      </c>
      <c r="C1786" t="s">
        <v>1211</v>
      </c>
      <c r="D1786" t="s">
        <v>1210</v>
      </c>
      <c r="E1786" t="s">
        <v>5275</v>
      </c>
      <c r="F1786" s="23">
        <v>44826</v>
      </c>
      <c r="G1786" s="1">
        <v>4784</v>
      </c>
    </row>
    <row r="1787" spans="1:7">
      <c r="A1787" t="s">
        <v>5711</v>
      </c>
      <c r="B1787" t="s">
        <v>94</v>
      </c>
      <c r="C1787" t="s">
        <v>1933</v>
      </c>
      <c r="D1787" t="s">
        <v>5673</v>
      </c>
      <c r="E1787" t="s">
        <v>5276</v>
      </c>
      <c r="F1787" s="23">
        <v>44458</v>
      </c>
      <c r="G1787" s="1">
        <v>5759</v>
      </c>
    </row>
    <row r="1788" spans="1:7">
      <c r="A1788" t="s">
        <v>5711</v>
      </c>
      <c r="B1788" t="s">
        <v>94</v>
      </c>
      <c r="C1788" t="s">
        <v>3485</v>
      </c>
      <c r="D1788" t="s">
        <v>1212</v>
      </c>
      <c r="E1788" t="s">
        <v>5277</v>
      </c>
      <c r="F1788" s="23">
        <v>44805</v>
      </c>
      <c r="G1788" s="1">
        <v>11708</v>
      </c>
    </row>
    <row r="1789" spans="1:7">
      <c r="A1789" t="s">
        <v>5711</v>
      </c>
      <c r="B1789" t="s">
        <v>94</v>
      </c>
      <c r="C1789" t="s">
        <v>3488</v>
      </c>
      <c r="D1789" t="s">
        <v>1806</v>
      </c>
      <c r="E1789" t="s">
        <v>5278</v>
      </c>
      <c r="F1789" s="23">
        <v>44369</v>
      </c>
      <c r="G1789" s="1">
        <v>7922</v>
      </c>
    </row>
    <row r="1790" spans="1:7">
      <c r="A1790" t="s">
        <v>5711</v>
      </c>
      <c r="B1790" t="s">
        <v>311</v>
      </c>
      <c r="C1790" t="s">
        <v>3276</v>
      </c>
      <c r="D1790" t="s">
        <v>3275</v>
      </c>
      <c r="E1790" t="s">
        <v>5279</v>
      </c>
      <c r="F1790" s="23">
        <v>44346</v>
      </c>
      <c r="G1790" s="1">
        <v>13150</v>
      </c>
    </row>
    <row r="1791" spans="1:7">
      <c r="A1791" t="s">
        <v>5711</v>
      </c>
      <c r="B1791" t="s">
        <v>114</v>
      </c>
      <c r="C1791" t="s">
        <v>574</v>
      </c>
      <c r="D1791" t="s">
        <v>573</v>
      </c>
      <c r="E1791" t="s">
        <v>5280</v>
      </c>
      <c r="F1791" s="23">
        <v>44346</v>
      </c>
      <c r="G1791" s="1">
        <v>6655</v>
      </c>
    </row>
    <row r="1792" spans="1:7">
      <c r="A1792" t="s">
        <v>5711</v>
      </c>
      <c r="B1792" t="s">
        <v>94</v>
      </c>
      <c r="C1792" t="s">
        <v>3303</v>
      </c>
      <c r="D1792" t="s">
        <v>5674</v>
      </c>
      <c r="E1792" t="s">
        <v>5281</v>
      </c>
      <c r="F1792" s="23">
        <v>44346</v>
      </c>
      <c r="G1792" s="1">
        <v>12681</v>
      </c>
    </row>
    <row r="1793" spans="1:7">
      <c r="A1793" t="s">
        <v>5711</v>
      </c>
      <c r="B1793" t="s">
        <v>298</v>
      </c>
      <c r="C1793" t="s">
        <v>2117</v>
      </c>
      <c r="D1793" t="s">
        <v>2116</v>
      </c>
      <c r="E1793" t="s">
        <v>5282</v>
      </c>
      <c r="F1793" s="23">
        <v>44346</v>
      </c>
      <c r="G1793" s="1">
        <v>2962</v>
      </c>
    </row>
    <row r="1794" spans="1:7">
      <c r="A1794" t="s">
        <v>5711</v>
      </c>
      <c r="B1794" t="s">
        <v>106</v>
      </c>
      <c r="C1794" t="s">
        <v>2645</v>
      </c>
      <c r="D1794" t="s">
        <v>2644</v>
      </c>
      <c r="E1794" t="s">
        <v>5283</v>
      </c>
      <c r="F1794" s="23">
        <v>44346</v>
      </c>
      <c r="G1794" s="1">
        <v>19139</v>
      </c>
    </row>
    <row r="1795" spans="1:7">
      <c r="A1795" t="s">
        <v>5711</v>
      </c>
      <c r="B1795" t="s">
        <v>106</v>
      </c>
      <c r="C1795" t="s">
        <v>1846</v>
      </c>
      <c r="D1795" t="s">
        <v>1845</v>
      </c>
      <c r="E1795" t="s">
        <v>5284</v>
      </c>
      <c r="F1795" s="23">
        <v>44346</v>
      </c>
      <c r="G1795" s="1">
        <v>3261</v>
      </c>
    </row>
    <row r="1796" spans="1:7">
      <c r="A1796" t="s">
        <v>5711</v>
      </c>
      <c r="B1796" t="s">
        <v>654</v>
      </c>
      <c r="C1796" t="s">
        <v>858</v>
      </c>
      <c r="D1796" t="s">
        <v>857</v>
      </c>
      <c r="E1796" t="s">
        <v>5285</v>
      </c>
      <c r="F1796" s="23">
        <v>44346</v>
      </c>
      <c r="G1796" s="1">
        <v>2005</v>
      </c>
    </row>
    <row r="1797" spans="1:7">
      <c r="A1797" t="s">
        <v>5711</v>
      </c>
      <c r="B1797" t="s">
        <v>298</v>
      </c>
      <c r="C1797" t="s">
        <v>820</v>
      </c>
      <c r="D1797" t="s">
        <v>2569</v>
      </c>
      <c r="E1797" t="s">
        <v>5286</v>
      </c>
      <c r="F1797" s="23">
        <v>44346</v>
      </c>
      <c r="G1797" s="1">
        <v>18257</v>
      </c>
    </row>
    <row r="1798" spans="1:7">
      <c r="A1798" t="s">
        <v>5711</v>
      </c>
      <c r="B1798" t="s">
        <v>233</v>
      </c>
      <c r="C1798" t="s">
        <v>900</v>
      </c>
      <c r="D1798" t="s">
        <v>899</v>
      </c>
      <c r="E1798" t="s">
        <v>5287</v>
      </c>
      <c r="F1798" s="23">
        <v>44346</v>
      </c>
      <c r="G1798" s="1">
        <v>11625</v>
      </c>
    </row>
    <row r="1799" spans="1:7">
      <c r="A1799" t="s">
        <v>5711</v>
      </c>
      <c r="B1799" t="s">
        <v>311</v>
      </c>
      <c r="C1799" t="s">
        <v>2549</v>
      </c>
      <c r="D1799" t="s">
        <v>2548</v>
      </c>
      <c r="E1799" t="s">
        <v>5288</v>
      </c>
      <c r="F1799" s="23">
        <v>44683</v>
      </c>
      <c r="G1799" s="1">
        <v>5648</v>
      </c>
    </row>
    <row r="1800" spans="1:7">
      <c r="A1800" t="s">
        <v>5711</v>
      </c>
      <c r="B1800" t="s">
        <v>94</v>
      </c>
      <c r="C1800" t="s">
        <v>1884</v>
      </c>
      <c r="D1800" t="s">
        <v>3186</v>
      </c>
      <c r="E1800" t="s">
        <v>5289</v>
      </c>
      <c r="F1800" s="23">
        <v>44346</v>
      </c>
      <c r="G1800" s="1">
        <v>10124</v>
      </c>
    </row>
    <row r="1801" spans="1:7">
      <c r="A1801" t="s">
        <v>5711</v>
      </c>
      <c r="B1801" t="s">
        <v>298</v>
      </c>
      <c r="C1801" t="s">
        <v>2737</v>
      </c>
      <c r="D1801" t="s">
        <v>3110</v>
      </c>
      <c r="E1801" t="s">
        <v>5290</v>
      </c>
      <c r="F1801" s="23">
        <v>44982</v>
      </c>
      <c r="G1801" s="1">
        <v>1012</v>
      </c>
    </row>
    <row r="1802" spans="1:7">
      <c r="A1802" t="s">
        <v>5711</v>
      </c>
      <c r="B1802" t="s">
        <v>132</v>
      </c>
      <c r="C1802" t="s">
        <v>131</v>
      </c>
      <c r="D1802" t="s">
        <v>130</v>
      </c>
      <c r="E1802" t="s">
        <v>5291</v>
      </c>
      <c r="F1802" s="23">
        <v>44346</v>
      </c>
      <c r="G1802" s="1">
        <v>16930</v>
      </c>
    </row>
    <row r="1803" spans="1:7">
      <c r="A1803" t="s">
        <v>5711</v>
      </c>
      <c r="B1803" t="s">
        <v>78</v>
      </c>
      <c r="C1803" t="s">
        <v>448</v>
      </c>
      <c r="D1803" t="s">
        <v>447</v>
      </c>
      <c r="E1803" t="s">
        <v>5292</v>
      </c>
      <c r="F1803" s="23">
        <v>44346</v>
      </c>
      <c r="G1803" s="1">
        <v>18608</v>
      </c>
    </row>
    <row r="1804" spans="1:7">
      <c r="A1804" t="s">
        <v>5711</v>
      </c>
      <c r="B1804" t="s">
        <v>94</v>
      </c>
      <c r="C1804" t="s">
        <v>940</v>
      </c>
      <c r="D1804" t="s">
        <v>2077</v>
      </c>
      <c r="E1804" t="s">
        <v>5293</v>
      </c>
      <c r="F1804" s="23">
        <v>44975</v>
      </c>
      <c r="G1804" s="1">
        <v>7037</v>
      </c>
    </row>
    <row r="1805" spans="1:7">
      <c r="A1805" t="s">
        <v>5711</v>
      </c>
      <c r="B1805" t="s">
        <v>233</v>
      </c>
      <c r="C1805" t="s">
        <v>1370</v>
      </c>
      <c r="D1805" t="s">
        <v>1369</v>
      </c>
      <c r="E1805" t="s">
        <v>5294</v>
      </c>
      <c r="F1805" s="23">
        <v>44346</v>
      </c>
      <c r="G1805" s="1">
        <v>16879</v>
      </c>
    </row>
    <row r="1806" spans="1:7">
      <c r="A1806" t="s">
        <v>5711</v>
      </c>
      <c r="B1806" t="s">
        <v>94</v>
      </c>
      <c r="C1806" t="s">
        <v>3458</v>
      </c>
      <c r="D1806" t="s">
        <v>3457</v>
      </c>
      <c r="E1806" t="s">
        <v>5295</v>
      </c>
      <c r="F1806" s="23">
        <v>44346</v>
      </c>
      <c r="G1806" s="1">
        <v>17981</v>
      </c>
    </row>
    <row r="1807" spans="1:7">
      <c r="A1807" t="s">
        <v>5711</v>
      </c>
      <c r="B1807" t="s">
        <v>236</v>
      </c>
      <c r="C1807" t="s">
        <v>250</v>
      </c>
      <c r="D1807" t="s">
        <v>249</v>
      </c>
      <c r="E1807" t="s">
        <v>5296</v>
      </c>
      <c r="F1807" s="23">
        <v>44346</v>
      </c>
      <c r="G1807" s="1">
        <v>14623</v>
      </c>
    </row>
    <row r="1808" spans="1:7">
      <c r="A1808" t="s">
        <v>5711</v>
      </c>
      <c r="B1808" t="s">
        <v>94</v>
      </c>
      <c r="C1808" t="s">
        <v>3485</v>
      </c>
      <c r="D1808" t="s">
        <v>1834</v>
      </c>
      <c r="E1808" t="s">
        <v>5297</v>
      </c>
      <c r="F1808" s="23">
        <v>44346</v>
      </c>
      <c r="G1808" s="1">
        <v>18318</v>
      </c>
    </row>
    <row r="1809" spans="1:7">
      <c r="A1809" t="s">
        <v>5711</v>
      </c>
      <c r="B1809" t="s">
        <v>106</v>
      </c>
      <c r="C1809" t="s">
        <v>2166</v>
      </c>
      <c r="D1809" t="s">
        <v>5675</v>
      </c>
      <c r="E1809" t="s">
        <v>5298</v>
      </c>
      <c r="F1809" s="23">
        <v>44719</v>
      </c>
      <c r="G1809" s="1">
        <v>9883</v>
      </c>
    </row>
    <row r="1810" spans="1:7">
      <c r="A1810" t="s">
        <v>5711</v>
      </c>
      <c r="B1810" t="s">
        <v>298</v>
      </c>
      <c r="C1810" t="s">
        <v>2684</v>
      </c>
      <c r="D1810" t="s">
        <v>2683</v>
      </c>
      <c r="E1810" t="s">
        <v>5299</v>
      </c>
      <c r="F1810" s="23">
        <v>44346</v>
      </c>
      <c r="G1810" s="1">
        <v>19935</v>
      </c>
    </row>
    <row r="1811" spans="1:7">
      <c r="A1811" t="s">
        <v>5711</v>
      </c>
      <c r="B1811" t="s">
        <v>37</v>
      </c>
      <c r="C1811" t="s">
        <v>1662</v>
      </c>
      <c r="D1811" t="s">
        <v>5676</v>
      </c>
      <c r="E1811" t="s">
        <v>5300</v>
      </c>
      <c r="F1811" s="23">
        <v>44346</v>
      </c>
      <c r="G1811" s="1">
        <v>13488</v>
      </c>
    </row>
    <row r="1812" spans="1:7">
      <c r="A1812" t="s">
        <v>5711</v>
      </c>
      <c r="B1812" t="s">
        <v>2062</v>
      </c>
      <c r="C1812" t="s">
        <v>3183</v>
      </c>
      <c r="D1812" t="s">
        <v>3182</v>
      </c>
      <c r="E1812" t="s">
        <v>5301</v>
      </c>
      <c r="F1812" s="23">
        <v>45023</v>
      </c>
      <c r="G1812" s="1">
        <v>6646</v>
      </c>
    </row>
    <row r="1813" spans="1:7">
      <c r="A1813" t="s">
        <v>5711</v>
      </c>
      <c r="B1813" t="s">
        <v>1323</v>
      </c>
      <c r="C1813" t="s">
        <v>1322</v>
      </c>
      <c r="D1813" t="s">
        <v>1321</v>
      </c>
      <c r="E1813" t="s">
        <v>5302</v>
      </c>
      <c r="F1813" s="23">
        <v>44944</v>
      </c>
      <c r="G1813" s="1">
        <v>2077</v>
      </c>
    </row>
    <row r="1814" spans="1:7">
      <c r="A1814" t="s">
        <v>5711</v>
      </c>
      <c r="B1814" t="s">
        <v>149</v>
      </c>
      <c r="C1814" t="s">
        <v>1385</v>
      </c>
      <c r="D1814" t="s">
        <v>1384</v>
      </c>
      <c r="E1814" t="s">
        <v>5303</v>
      </c>
      <c r="F1814" s="23">
        <v>44720</v>
      </c>
      <c r="G1814" s="1">
        <v>6094</v>
      </c>
    </row>
    <row r="1815" spans="1:7">
      <c r="A1815" t="s">
        <v>5711</v>
      </c>
      <c r="B1815" t="s">
        <v>101</v>
      </c>
      <c r="C1815" t="s">
        <v>932</v>
      </c>
      <c r="D1815" t="s">
        <v>5677</v>
      </c>
      <c r="E1815" t="s">
        <v>5304</v>
      </c>
      <c r="F1815" s="23">
        <v>44346</v>
      </c>
      <c r="G1815" s="1">
        <v>7922</v>
      </c>
    </row>
    <row r="1816" spans="1:7">
      <c r="A1816" t="s">
        <v>5711</v>
      </c>
      <c r="B1816" t="s">
        <v>106</v>
      </c>
      <c r="C1816" t="s">
        <v>2616</v>
      </c>
      <c r="D1816" t="s">
        <v>2615</v>
      </c>
      <c r="E1816" t="s">
        <v>5305</v>
      </c>
      <c r="F1816" s="23">
        <v>44476</v>
      </c>
      <c r="G1816" s="1">
        <v>6740</v>
      </c>
    </row>
    <row r="1817" spans="1:7">
      <c r="A1817" t="s">
        <v>5711</v>
      </c>
      <c r="B1817" t="s">
        <v>208</v>
      </c>
      <c r="C1817" t="s">
        <v>629</v>
      </c>
      <c r="D1817" t="s">
        <v>628</v>
      </c>
      <c r="E1817" t="s">
        <v>5306</v>
      </c>
      <c r="F1817" s="23">
        <v>44865</v>
      </c>
      <c r="G1817" s="1">
        <v>7568</v>
      </c>
    </row>
    <row r="1818" spans="1:7">
      <c r="A1818" t="s">
        <v>5711</v>
      </c>
      <c r="B1818" t="s">
        <v>106</v>
      </c>
      <c r="C1818" t="s">
        <v>2551</v>
      </c>
      <c r="D1818" t="s">
        <v>2550</v>
      </c>
      <c r="E1818" t="s">
        <v>5307</v>
      </c>
      <c r="F1818" s="23">
        <v>44896</v>
      </c>
      <c r="G1818" s="1">
        <v>7448</v>
      </c>
    </row>
    <row r="1819" spans="1:7">
      <c r="A1819" t="s">
        <v>5711</v>
      </c>
      <c r="B1819" t="s">
        <v>94</v>
      </c>
      <c r="C1819" t="s">
        <v>3490</v>
      </c>
      <c r="D1819" t="s">
        <v>854</v>
      </c>
      <c r="E1819" t="s">
        <v>5308</v>
      </c>
      <c r="F1819" s="23">
        <v>44827</v>
      </c>
      <c r="G1819" s="1">
        <v>8492</v>
      </c>
    </row>
    <row r="1820" spans="1:7">
      <c r="A1820" t="s">
        <v>5711</v>
      </c>
      <c r="B1820" t="s">
        <v>106</v>
      </c>
      <c r="C1820" t="s">
        <v>2712</v>
      </c>
      <c r="D1820" t="s">
        <v>2711</v>
      </c>
      <c r="E1820" t="s">
        <v>5309</v>
      </c>
      <c r="F1820" s="23">
        <v>44390</v>
      </c>
      <c r="G1820" s="1">
        <v>5525</v>
      </c>
    </row>
    <row r="1821" spans="1:7">
      <c r="A1821" t="s">
        <v>5711</v>
      </c>
      <c r="B1821" t="s">
        <v>333</v>
      </c>
      <c r="C1821" t="s">
        <v>332</v>
      </c>
      <c r="D1821" t="s">
        <v>331</v>
      </c>
      <c r="E1821" t="s">
        <v>5310</v>
      </c>
      <c r="F1821" s="23">
        <v>44496</v>
      </c>
      <c r="G1821" s="1">
        <v>7733</v>
      </c>
    </row>
    <row r="1822" spans="1:7">
      <c r="A1822" t="s">
        <v>5711</v>
      </c>
      <c r="B1822" t="s">
        <v>1149</v>
      </c>
      <c r="C1822" t="s">
        <v>1218</v>
      </c>
      <c r="D1822" t="s">
        <v>1217</v>
      </c>
      <c r="E1822" t="s">
        <v>5311</v>
      </c>
      <c r="F1822" s="23">
        <v>44346</v>
      </c>
      <c r="G1822" s="1">
        <v>16442</v>
      </c>
    </row>
    <row r="1823" spans="1:7">
      <c r="A1823" t="s">
        <v>5711</v>
      </c>
      <c r="B1823" t="s">
        <v>94</v>
      </c>
      <c r="C1823" t="s">
        <v>3487</v>
      </c>
      <c r="D1823" t="s">
        <v>708</v>
      </c>
      <c r="E1823" t="s">
        <v>5312</v>
      </c>
      <c r="F1823" s="23">
        <v>44346</v>
      </c>
      <c r="G1823" s="1">
        <v>15988</v>
      </c>
    </row>
    <row r="1824" spans="1:7">
      <c r="A1824" t="s">
        <v>5711</v>
      </c>
      <c r="B1824" t="s">
        <v>37</v>
      </c>
      <c r="C1824" t="s">
        <v>1270</v>
      </c>
      <c r="D1824" t="s">
        <v>1269</v>
      </c>
      <c r="E1824" t="s">
        <v>5313</v>
      </c>
      <c r="F1824" s="23">
        <v>44346</v>
      </c>
      <c r="G1824" s="1">
        <v>17392</v>
      </c>
    </row>
    <row r="1825" spans="1:7">
      <c r="A1825" t="s">
        <v>5711</v>
      </c>
      <c r="B1825" t="s">
        <v>106</v>
      </c>
      <c r="C1825" t="s">
        <v>1887</v>
      </c>
      <c r="D1825" t="s">
        <v>2343</v>
      </c>
      <c r="E1825" t="s">
        <v>5314</v>
      </c>
      <c r="F1825" s="23">
        <v>44464</v>
      </c>
      <c r="G1825" s="1">
        <v>8210</v>
      </c>
    </row>
    <row r="1826" spans="1:7">
      <c r="A1826" t="s">
        <v>5711</v>
      </c>
      <c r="B1826" t="s">
        <v>298</v>
      </c>
      <c r="C1826" t="s">
        <v>365</v>
      </c>
      <c r="D1826" t="s">
        <v>2890</v>
      </c>
      <c r="E1826" t="s">
        <v>5315</v>
      </c>
      <c r="F1826" s="23">
        <v>44346</v>
      </c>
      <c r="G1826" s="1">
        <v>5005</v>
      </c>
    </row>
    <row r="1827" spans="1:7">
      <c r="A1827" t="s">
        <v>5711</v>
      </c>
      <c r="B1827" t="s">
        <v>72</v>
      </c>
      <c r="C1827" t="s">
        <v>103</v>
      </c>
      <c r="D1827" t="s">
        <v>102</v>
      </c>
      <c r="E1827" t="s">
        <v>5316</v>
      </c>
      <c r="F1827" s="23">
        <v>44346</v>
      </c>
      <c r="G1827" s="1">
        <v>12821</v>
      </c>
    </row>
    <row r="1828" spans="1:7">
      <c r="A1828" t="s">
        <v>5711</v>
      </c>
      <c r="B1828" t="s">
        <v>298</v>
      </c>
      <c r="C1828" t="s">
        <v>1916</v>
      </c>
      <c r="D1828" t="s">
        <v>1915</v>
      </c>
      <c r="E1828" t="s">
        <v>5317</v>
      </c>
      <c r="F1828" s="23">
        <v>44346</v>
      </c>
      <c r="G1828" s="1">
        <v>10969</v>
      </c>
    </row>
    <row r="1829" spans="1:7">
      <c r="A1829" t="s">
        <v>5711</v>
      </c>
      <c r="B1829" t="s">
        <v>43</v>
      </c>
      <c r="C1829" t="s">
        <v>1310</v>
      </c>
      <c r="D1829" t="s">
        <v>1309</v>
      </c>
      <c r="E1829" t="s">
        <v>5318</v>
      </c>
      <c r="F1829" s="23">
        <v>44551</v>
      </c>
      <c r="G1829" s="1">
        <v>5317</v>
      </c>
    </row>
    <row r="1830" spans="1:7">
      <c r="A1830" t="s">
        <v>5711</v>
      </c>
      <c r="B1830" t="s">
        <v>114</v>
      </c>
      <c r="C1830" t="s">
        <v>460</v>
      </c>
      <c r="D1830" t="s">
        <v>459</v>
      </c>
      <c r="E1830" t="s">
        <v>5319</v>
      </c>
      <c r="F1830" s="23">
        <v>44346</v>
      </c>
      <c r="G1830" s="1">
        <v>6068</v>
      </c>
    </row>
    <row r="1831" spans="1:7">
      <c r="A1831" t="s">
        <v>5711</v>
      </c>
      <c r="B1831" t="s">
        <v>106</v>
      </c>
      <c r="C1831" t="s">
        <v>3399</v>
      </c>
      <c r="D1831" t="s">
        <v>3398</v>
      </c>
      <c r="E1831" t="s">
        <v>5320</v>
      </c>
      <c r="F1831" s="23">
        <v>44593</v>
      </c>
      <c r="G1831" s="1">
        <v>8257</v>
      </c>
    </row>
    <row r="1832" spans="1:7">
      <c r="A1832" t="s">
        <v>5711</v>
      </c>
      <c r="B1832" t="s">
        <v>298</v>
      </c>
      <c r="C1832" t="s">
        <v>1894</v>
      </c>
      <c r="D1832" t="s">
        <v>1893</v>
      </c>
      <c r="E1832" t="s">
        <v>5321</v>
      </c>
      <c r="F1832" s="23">
        <v>44346</v>
      </c>
      <c r="G1832" s="1">
        <v>3136</v>
      </c>
    </row>
    <row r="1833" spans="1:7">
      <c r="A1833" t="s">
        <v>5711</v>
      </c>
      <c r="B1833" t="s">
        <v>233</v>
      </c>
      <c r="C1833" t="s">
        <v>2495</v>
      </c>
      <c r="D1833" t="s">
        <v>2494</v>
      </c>
      <c r="E1833" t="s">
        <v>5322</v>
      </c>
      <c r="F1833" s="23">
        <v>44346</v>
      </c>
      <c r="G1833" s="1">
        <v>13035</v>
      </c>
    </row>
    <row r="1834" spans="1:7">
      <c r="A1834" t="s">
        <v>5711</v>
      </c>
      <c r="B1834" t="s">
        <v>94</v>
      </c>
      <c r="C1834" t="s">
        <v>2408</v>
      </c>
      <c r="D1834" t="s">
        <v>2639</v>
      </c>
      <c r="E1834" t="s">
        <v>5323</v>
      </c>
      <c r="F1834" s="23">
        <v>44349</v>
      </c>
      <c r="G1834" s="1">
        <v>8316</v>
      </c>
    </row>
    <row r="1835" spans="1:7">
      <c r="A1835" t="s">
        <v>5711</v>
      </c>
      <c r="B1835" t="s">
        <v>298</v>
      </c>
      <c r="C1835" t="s">
        <v>820</v>
      </c>
      <c r="D1835" t="s">
        <v>2269</v>
      </c>
      <c r="E1835" t="s">
        <v>5324</v>
      </c>
      <c r="F1835" s="23">
        <v>44346</v>
      </c>
      <c r="G1835" s="1">
        <v>12988</v>
      </c>
    </row>
    <row r="1836" spans="1:7">
      <c r="A1836" t="s">
        <v>5711</v>
      </c>
      <c r="B1836" t="s">
        <v>94</v>
      </c>
      <c r="C1836" t="s">
        <v>3423</v>
      </c>
      <c r="D1836" t="s">
        <v>3422</v>
      </c>
      <c r="E1836" t="s">
        <v>5325</v>
      </c>
      <c r="F1836" s="23">
        <v>44922</v>
      </c>
      <c r="G1836" s="1">
        <v>9776</v>
      </c>
    </row>
    <row r="1837" spans="1:7">
      <c r="A1837" t="s">
        <v>5711</v>
      </c>
      <c r="B1837" t="s">
        <v>114</v>
      </c>
      <c r="C1837" t="s">
        <v>800</v>
      </c>
      <c r="D1837" t="s">
        <v>799</v>
      </c>
      <c r="E1837" t="s">
        <v>5326</v>
      </c>
      <c r="F1837" s="23">
        <v>44711</v>
      </c>
      <c r="G1837" s="1">
        <v>4280</v>
      </c>
    </row>
    <row r="1838" spans="1:7">
      <c r="A1838" t="s">
        <v>5711</v>
      </c>
      <c r="B1838" t="s">
        <v>37</v>
      </c>
      <c r="C1838" t="s">
        <v>455</v>
      </c>
      <c r="D1838" t="s">
        <v>454</v>
      </c>
      <c r="E1838" t="s">
        <v>5327</v>
      </c>
      <c r="F1838" s="23">
        <v>44351</v>
      </c>
      <c r="G1838" s="1">
        <v>2769</v>
      </c>
    </row>
    <row r="1839" spans="1:7">
      <c r="A1839" t="s">
        <v>5711</v>
      </c>
      <c r="B1839" t="s">
        <v>43</v>
      </c>
      <c r="C1839" t="s">
        <v>42</v>
      </c>
      <c r="D1839" t="s">
        <v>41</v>
      </c>
      <c r="E1839" t="s">
        <v>5328</v>
      </c>
      <c r="F1839" s="23">
        <v>44346</v>
      </c>
      <c r="G1839" s="1">
        <v>12754</v>
      </c>
    </row>
    <row r="1840" spans="1:7">
      <c r="A1840" t="s">
        <v>5711</v>
      </c>
      <c r="B1840" t="s">
        <v>97</v>
      </c>
      <c r="C1840" t="s">
        <v>391</v>
      </c>
      <c r="D1840" t="s">
        <v>390</v>
      </c>
      <c r="E1840" t="s">
        <v>5329</v>
      </c>
      <c r="F1840" s="23">
        <v>44346</v>
      </c>
      <c r="G1840" s="1">
        <v>2300</v>
      </c>
    </row>
    <row r="1841" spans="1:7">
      <c r="A1841" t="s">
        <v>5711</v>
      </c>
      <c r="B1841" t="s">
        <v>106</v>
      </c>
      <c r="C1841" t="s">
        <v>3440</v>
      </c>
      <c r="D1841" t="s">
        <v>3439</v>
      </c>
      <c r="E1841" t="s">
        <v>5330</v>
      </c>
      <c r="F1841" s="23">
        <v>44346</v>
      </c>
      <c r="G1841" s="1">
        <v>12879</v>
      </c>
    </row>
    <row r="1842" spans="1:7">
      <c r="A1842" t="s">
        <v>5711</v>
      </c>
      <c r="B1842" t="s">
        <v>94</v>
      </c>
      <c r="C1842" t="s">
        <v>2620</v>
      </c>
      <c r="D1842" t="s">
        <v>2619</v>
      </c>
      <c r="E1842" t="s">
        <v>5331</v>
      </c>
      <c r="F1842" s="23">
        <v>44346</v>
      </c>
      <c r="G1842" s="1">
        <v>16023</v>
      </c>
    </row>
    <row r="1843" spans="1:7">
      <c r="A1843" t="s">
        <v>5711</v>
      </c>
      <c r="B1843" t="s">
        <v>43</v>
      </c>
      <c r="C1843" t="s">
        <v>919</v>
      </c>
      <c r="D1843" t="s">
        <v>918</v>
      </c>
      <c r="E1843" t="s">
        <v>5332</v>
      </c>
      <c r="F1843" s="23">
        <v>44346</v>
      </c>
      <c r="G1843" s="1">
        <v>7558</v>
      </c>
    </row>
    <row r="1844" spans="1:7">
      <c r="A1844" t="s">
        <v>5711</v>
      </c>
      <c r="B1844" t="s">
        <v>94</v>
      </c>
      <c r="C1844" t="s">
        <v>3487</v>
      </c>
      <c r="D1844" t="s">
        <v>1777</v>
      </c>
      <c r="E1844" t="s">
        <v>5333</v>
      </c>
      <c r="F1844" s="23">
        <v>44614</v>
      </c>
      <c r="G1844" s="1">
        <v>10985</v>
      </c>
    </row>
    <row r="1845" spans="1:7">
      <c r="A1845" t="s">
        <v>5711</v>
      </c>
      <c r="B1845" t="s">
        <v>219</v>
      </c>
      <c r="C1845" t="s">
        <v>218</v>
      </c>
      <c r="D1845" t="s">
        <v>217</v>
      </c>
      <c r="E1845" t="s">
        <v>5334</v>
      </c>
      <c r="F1845" s="23">
        <v>44346</v>
      </c>
      <c r="G1845" s="1">
        <v>3072</v>
      </c>
    </row>
    <row r="1846" spans="1:7">
      <c r="A1846" t="s">
        <v>5711</v>
      </c>
      <c r="B1846" t="s">
        <v>733</v>
      </c>
      <c r="C1846" t="s">
        <v>927</v>
      </c>
      <c r="D1846" t="s">
        <v>926</v>
      </c>
      <c r="E1846" t="s">
        <v>5335</v>
      </c>
      <c r="F1846" s="23">
        <v>44428</v>
      </c>
      <c r="G1846" s="1">
        <v>8475</v>
      </c>
    </row>
    <row r="1847" spans="1:7">
      <c r="A1847" t="s">
        <v>5711</v>
      </c>
      <c r="B1847" t="s">
        <v>94</v>
      </c>
      <c r="C1847" t="s">
        <v>126</v>
      </c>
      <c r="D1847" t="s">
        <v>125</v>
      </c>
      <c r="E1847" t="s">
        <v>5336</v>
      </c>
      <c r="F1847" s="23">
        <v>44431</v>
      </c>
      <c r="G1847" s="1">
        <v>11431</v>
      </c>
    </row>
    <row r="1848" spans="1:7">
      <c r="A1848" t="s">
        <v>5711</v>
      </c>
      <c r="B1848" t="s">
        <v>106</v>
      </c>
      <c r="C1848" t="s">
        <v>1349</v>
      </c>
      <c r="D1848" t="s">
        <v>1348</v>
      </c>
      <c r="E1848" t="s">
        <v>5337</v>
      </c>
      <c r="F1848" s="23">
        <v>44752</v>
      </c>
      <c r="G1848" s="1">
        <v>5088</v>
      </c>
    </row>
    <row r="1849" spans="1:7">
      <c r="A1849" t="s">
        <v>5711</v>
      </c>
      <c r="B1849" t="s">
        <v>94</v>
      </c>
      <c r="C1849" t="s">
        <v>1887</v>
      </c>
      <c r="D1849" t="s">
        <v>3434</v>
      </c>
      <c r="E1849" t="s">
        <v>5338</v>
      </c>
      <c r="F1849" s="23">
        <v>44805</v>
      </c>
      <c r="G1849" s="1">
        <v>1443</v>
      </c>
    </row>
    <row r="1850" spans="1:7">
      <c r="A1850" t="s">
        <v>5711</v>
      </c>
      <c r="B1850" t="s">
        <v>233</v>
      </c>
      <c r="C1850" t="s">
        <v>2753</v>
      </c>
      <c r="D1850" t="s">
        <v>2752</v>
      </c>
      <c r="E1850" t="s">
        <v>5339</v>
      </c>
      <c r="F1850" s="23">
        <v>44993</v>
      </c>
      <c r="G1850" s="1">
        <v>4920</v>
      </c>
    </row>
    <row r="1851" spans="1:7">
      <c r="A1851" t="s">
        <v>5711</v>
      </c>
      <c r="B1851" t="s">
        <v>106</v>
      </c>
      <c r="C1851" t="s">
        <v>984</v>
      </c>
      <c r="D1851" t="s">
        <v>2955</v>
      </c>
      <c r="E1851" t="s">
        <v>5340</v>
      </c>
      <c r="F1851" s="23">
        <v>44346</v>
      </c>
      <c r="G1851" s="1">
        <v>14222</v>
      </c>
    </row>
    <row r="1852" spans="1:7">
      <c r="A1852" t="s">
        <v>5711</v>
      </c>
      <c r="B1852" t="s">
        <v>94</v>
      </c>
      <c r="C1852" t="s">
        <v>3486</v>
      </c>
      <c r="D1852" t="s">
        <v>1776</v>
      </c>
      <c r="E1852" t="s">
        <v>5341</v>
      </c>
      <c r="F1852" s="23">
        <v>44775</v>
      </c>
      <c r="G1852" s="1">
        <v>2703</v>
      </c>
    </row>
    <row r="1853" spans="1:7">
      <c r="A1853" t="s">
        <v>5711</v>
      </c>
      <c r="B1853" t="s">
        <v>106</v>
      </c>
      <c r="C1853" t="s">
        <v>1887</v>
      </c>
      <c r="D1853" t="s">
        <v>3066</v>
      </c>
      <c r="E1853" t="s">
        <v>5342</v>
      </c>
      <c r="F1853" s="23">
        <v>44346</v>
      </c>
      <c r="G1853" s="1">
        <v>13049</v>
      </c>
    </row>
    <row r="1854" spans="1:7">
      <c r="A1854" t="s">
        <v>5711</v>
      </c>
      <c r="B1854" t="s">
        <v>233</v>
      </c>
      <c r="C1854" t="s">
        <v>2305</v>
      </c>
      <c r="D1854" t="s">
        <v>2304</v>
      </c>
      <c r="E1854" t="s">
        <v>5343</v>
      </c>
      <c r="F1854" s="23">
        <v>44902</v>
      </c>
      <c r="G1854" s="1">
        <v>11493</v>
      </c>
    </row>
    <row r="1855" spans="1:7">
      <c r="A1855" t="s">
        <v>5711</v>
      </c>
      <c r="B1855" t="s">
        <v>101</v>
      </c>
      <c r="C1855" t="s">
        <v>1080</v>
      </c>
      <c r="D1855" t="s">
        <v>1079</v>
      </c>
      <c r="E1855" t="s">
        <v>5344</v>
      </c>
      <c r="F1855" s="23">
        <v>44346</v>
      </c>
      <c r="G1855" s="1">
        <v>10403</v>
      </c>
    </row>
    <row r="1856" spans="1:7">
      <c r="A1856" t="s">
        <v>5711</v>
      </c>
      <c r="B1856" t="s">
        <v>106</v>
      </c>
      <c r="C1856" t="s">
        <v>3408</v>
      </c>
      <c r="D1856" t="s">
        <v>3407</v>
      </c>
      <c r="E1856" t="s">
        <v>5345</v>
      </c>
      <c r="F1856" s="23">
        <v>44642</v>
      </c>
      <c r="G1856" s="1">
        <v>7703</v>
      </c>
    </row>
    <row r="1857" spans="1:7">
      <c r="A1857" t="s">
        <v>5711</v>
      </c>
      <c r="B1857" t="s">
        <v>106</v>
      </c>
      <c r="C1857" t="s">
        <v>2851</v>
      </c>
      <c r="D1857" t="s">
        <v>2850</v>
      </c>
      <c r="E1857" t="s">
        <v>5346</v>
      </c>
      <c r="F1857" s="23">
        <v>44362</v>
      </c>
      <c r="G1857" s="1">
        <v>3087</v>
      </c>
    </row>
    <row r="1858" spans="1:7">
      <c r="A1858" t="s">
        <v>5711</v>
      </c>
      <c r="B1858" t="s">
        <v>367</v>
      </c>
      <c r="C1858" t="s">
        <v>1053</v>
      </c>
      <c r="D1858" t="s">
        <v>1612</v>
      </c>
      <c r="E1858" t="s">
        <v>5347</v>
      </c>
      <c r="F1858" s="23">
        <v>44346</v>
      </c>
      <c r="G1858" s="1">
        <v>4334</v>
      </c>
    </row>
    <row r="1859" spans="1:7">
      <c r="A1859" t="s">
        <v>5711</v>
      </c>
      <c r="B1859" t="s">
        <v>298</v>
      </c>
      <c r="C1859" t="s">
        <v>3263</v>
      </c>
      <c r="D1859" t="s">
        <v>3378</v>
      </c>
      <c r="E1859" t="s">
        <v>5348</v>
      </c>
      <c r="F1859" s="23">
        <v>44346</v>
      </c>
      <c r="G1859" s="1">
        <v>14314</v>
      </c>
    </row>
    <row r="1860" spans="1:7">
      <c r="A1860" t="s">
        <v>5711</v>
      </c>
      <c r="B1860" t="s">
        <v>58</v>
      </c>
      <c r="C1860" t="s">
        <v>1208</v>
      </c>
      <c r="D1860" t="s">
        <v>1207</v>
      </c>
      <c r="E1860" t="s">
        <v>5349</v>
      </c>
      <c r="F1860" s="23">
        <v>44346</v>
      </c>
      <c r="G1860" s="1">
        <v>12248</v>
      </c>
    </row>
    <row r="1861" spans="1:7">
      <c r="A1861" t="s">
        <v>5711</v>
      </c>
      <c r="B1861" t="s">
        <v>106</v>
      </c>
      <c r="C1861" t="s">
        <v>2185</v>
      </c>
      <c r="D1861" t="s">
        <v>5678</v>
      </c>
      <c r="E1861" t="s">
        <v>5350</v>
      </c>
      <c r="F1861" s="23">
        <v>44346</v>
      </c>
      <c r="G1861" s="1">
        <v>15655</v>
      </c>
    </row>
    <row r="1862" spans="1:7">
      <c r="A1862" t="s">
        <v>5711</v>
      </c>
      <c r="B1862" t="s">
        <v>94</v>
      </c>
      <c r="C1862" t="s">
        <v>1973</v>
      </c>
      <c r="D1862" t="s">
        <v>1972</v>
      </c>
      <c r="E1862" t="s">
        <v>5351</v>
      </c>
      <c r="F1862" s="23">
        <v>44492</v>
      </c>
      <c r="G1862" s="1">
        <v>8347</v>
      </c>
    </row>
    <row r="1863" spans="1:7">
      <c r="A1863" t="s">
        <v>5711</v>
      </c>
      <c r="B1863" t="s">
        <v>37</v>
      </c>
      <c r="C1863" t="s">
        <v>752</v>
      </c>
      <c r="D1863" t="s">
        <v>751</v>
      </c>
      <c r="E1863" t="s">
        <v>5352</v>
      </c>
      <c r="F1863" s="23">
        <v>44346</v>
      </c>
      <c r="G1863" s="1">
        <v>2200</v>
      </c>
    </row>
    <row r="1864" spans="1:7">
      <c r="A1864" t="s">
        <v>5711</v>
      </c>
      <c r="B1864" t="s">
        <v>298</v>
      </c>
      <c r="C1864" t="s">
        <v>1887</v>
      </c>
      <c r="D1864" t="s">
        <v>5679</v>
      </c>
      <c r="E1864" t="s">
        <v>5353</v>
      </c>
      <c r="F1864" s="23">
        <v>44368</v>
      </c>
      <c r="G1864" s="1">
        <v>7201</v>
      </c>
    </row>
    <row r="1865" spans="1:7">
      <c r="A1865" t="s">
        <v>5711</v>
      </c>
      <c r="B1865" t="s">
        <v>58</v>
      </c>
      <c r="C1865" t="s">
        <v>1318</v>
      </c>
      <c r="D1865" t="s">
        <v>1317</v>
      </c>
      <c r="E1865" t="s">
        <v>5354</v>
      </c>
      <c r="F1865" s="23">
        <v>44346</v>
      </c>
      <c r="G1865" s="1">
        <v>13216</v>
      </c>
    </row>
    <row r="1866" spans="1:7">
      <c r="A1866" t="s">
        <v>5711</v>
      </c>
      <c r="B1866" t="s">
        <v>94</v>
      </c>
      <c r="C1866" t="s">
        <v>3486</v>
      </c>
      <c r="D1866" t="s">
        <v>597</v>
      </c>
      <c r="E1866" t="s">
        <v>5355</v>
      </c>
      <c r="F1866" s="23">
        <v>44346</v>
      </c>
      <c r="G1866" s="1">
        <v>15738</v>
      </c>
    </row>
    <row r="1867" spans="1:7">
      <c r="A1867" t="s">
        <v>5711</v>
      </c>
      <c r="B1867" t="s">
        <v>68</v>
      </c>
      <c r="C1867" t="s">
        <v>238</v>
      </c>
      <c r="D1867" t="s">
        <v>553</v>
      </c>
      <c r="E1867" t="s">
        <v>5356</v>
      </c>
      <c r="F1867" s="23">
        <v>44346</v>
      </c>
      <c r="G1867" s="1">
        <v>5352</v>
      </c>
    </row>
    <row r="1868" spans="1:7">
      <c r="A1868" t="s">
        <v>5711</v>
      </c>
      <c r="B1868" t="s">
        <v>149</v>
      </c>
      <c r="C1868" t="s">
        <v>148</v>
      </c>
      <c r="D1868" t="s">
        <v>147</v>
      </c>
      <c r="E1868" t="s">
        <v>5357</v>
      </c>
      <c r="F1868" s="23">
        <v>44346</v>
      </c>
      <c r="G1868" s="1">
        <v>13057</v>
      </c>
    </row>
    <row r="1869" spans="1:7">
      <c r="A1869" t="s">
        <v>5711</v>
      </c>
      <c r="B1869" t="s">
        <v>94</v>
      </c>
      <c r="C1869" t="s">
        <v>2435</v>
      </c>
      <c r="D1869" t="s">
        <v>2434</v>
      </c>
      <c r="E1869" t="s">
        <v>5358</v>
      </c>
      <c r="F1869" s="23">
        <v>44346</v>
      </c>
      <c r="G1869" s="1">
        <v>17031</v>
      </c>
    </row>
    <row r="1870" spans="1:7">
      <c r="A1870" t="s">
        <v>5711</v>
      </c>
      <c r="B1870" t="s">
        <v>188</v>
      </c>
      <c r="C1870" t="s">
        <v>1184</v>
      </c>
      <c r="D1870" t="s">
        <v>1183</v>
      </c>
      <c r="E1870" t="s">
        <v>5359</v>
      </c>
      <c r="F1870" s="23">
        <v>44433</v>
      </c>
      <c r="G1870" s="1">
        <v>2838</v>
      </c>
    </row>
    <row r="1871" spans="1:7">
      <c r="A1871" t="s">
        <v>5711</v>
      </c>
      <c r="B1871" t="s">
        <v>94</v>
      </c>
      <c r="C1871" t="s">
        <v>3486</v>
      </c>
      <c r="D1871" t="s">
        <v>586</v>
      </c>
      <c r="E1871" t="s">
        <v>5360</v>
      </c>
      <c r="F1871" s="23">
        <v>44346</v>
      </c>
      <c r="G1871" s="1">
        <v>19435</v>
      </c>
    </row>
    <row r="1872" spans="1:7">
      <c r="A1872" t="s">
        <v>5711</v>
      </c>
      <c r="B1872" t="s">
        <v>106</v>
      </c>
      <c r="C1872" t="s">
        <v>2757</v>
      </c>
      <c r="D1872" t="s">
        <v>3061</v>
      </c>
      <c r="E1872" t="s">
        <v>5361</v>
      </c>
      <c r="F1872" s="23">
        <v>44346</v>
      </c>
      <c r="G1872" s="1">
        <v>14734</v>
      </c>
    </row>
    <row r="1873" spans="1:7">
      <c r="A1873" t="s">
        <v>5711</v>
      </c>
      <c r="B1873" t="s">
        <v>375</v>
      </c>
      <c r="C1873" t="s">
        <v>1717</v>
      </c>
      <c r="D1873" t="s">
        <v>1716</v>
      </c>
      <c r="E1873" t="s">
        <v>5362</v>
      </c>
      <c r="F1873" s="23">
        <v>44346</v>
      </c>
      <c r="G1873" s="1">
        <v>13024</v>
      </c>
    </row>
    <row r="1874" spans="1:7">
      <c r="A1874" t="s">
        <v>5711</v>
      </c>
      <c r="B1874" t="s">
        <v>37</v>
      </c>
      <c r="C1874" t="s">
        <v>411</v>
      </c>
      <c r="D1874" t="s">
        <v>410</v>
      </c>
      <c r="E1874" t="s">
        <v>5363</v>
      </c>
      <c r="F1874" s="23">
        <v>44346</v>
      </c>
      <c r="G1874" s="1">
        <v>826</v>
      </c>
    </row>
    <row r="1875" spans="1:7">
      <c r="A1875" t="s">
        <v>5711</v>
      </c>
      <c r="B1875" t="s">
        <v>311</v>
      </c>
      <c r="C1875" t="s">
        <v>201</v>
      </c>
      <c r="D1875" t="s">
        <v>2908</v>
      </c>
      <c r="E1875" t="s">
        <v>5364</v>
      </c>
      <c r="F1875" s="23">
        <v>44346</v>
      </c>
      <c r="G1875" s="1">
        <v>8064</v>
      </c>
    </row>
    <row r="1876" spans="1:7">
      <c r="A1876" t="s">
        <v>5711</v>
      </c>
      <c r="B1876" t="s">
        <v>94</v>
      </c>
      <c r="C1876" t="s">
        <v>3347</v>
      </c>
      <c r="D1876" t="s">
        <v>3346</v>
      </c>
      <c r="E1876" t="s">
        <v>5365</v>
      </c>
      <c r="F1876" s="23">
        <v>44346</v>
      </c>
      <c r="G1876" s="1">
        <v>8811</v>
      </c>
    </row>
    <row r="1877" spans="1:7">
      <c r="A1877" t="s">
        <v>5711</v>
      </c>
      <c r="B1877" t="s">
        <v>311</v>
      </c>
      <c r="C1877" t="s">
        <v>2307</v>
      </c>
      <c r="D1877" t="s">
        <v>2306</v>
      </c>
      <c r="E1877" t="s">
        <v>5366</v>
      </c>
      <c r="F1877" s="23">
        <v>44346</v>
      </c>
      <c r="G1877" s="1">
        <v>8916</v>
      </c>
    </row>
    <row r="1878" spans="1:7">
      <c r="A1878" t="s">
        <v>5711</v>
      </c>
      <c r="B1878" t="s">
        <v>106</v>
      </c>
      <c r="C1878" t="s">
        <v>2851</v>
      </c>
      <c r="D1878" t="s">
        <v>3128</v>
      </c>
      <c r="E1878" t="s">
        <v>5367</v>
      </c>
      <c r="F1878" s="23">
        <v>44346</v>
      </c>
      <c r="G1878" s="1">
        <v>15994</v>
      </c>
    </row>
    <row r="1879" spans="1:7">
      <c r="A1879" t="s">
        <v>5711</v>
      </c>
      <c r="B1879" t="s">
        <v>311</v>
      </c>
      <c r="C1879" t="s">
        <v>2743</v>
      </c>
      <c r="D1879" t="s">
        <v>2742</v>
      </c>
      <c r="E1879" t="s">
        <v>5368</v>
      </c>
      <c r="F1879" s="23">
        <v>44812</v>
      </c>
      <c r="G1879" s="1">
        <v>5931</v>
      </c>
    </row>
    <row r="1880" spans="1:7">
      <c r="A1880" t="s">
        <v>5711</v>
      </c>
      <c r="B1880" t="s">
        <v>1377</v>
      </c>
      <c r="C1880" t="s">
        <v>1379</v>
      </c>
      <c r="D1880" t="s">
        <v>1378</v>
      </c>
      <c r="E1880" t="s">
        <v>5369</v>
      </c>
      <c r="F1880" s="23">
        <v>44346</v>
      </c>
      <c r="G1880" s="1">
        <v>13974</v>
      </c>
    </row>
    <row r="1881" spans="1:7">
      <c r="A1881" t="s">
        <v>5711</v>
      </c>
      <c r="B1881" t="s">
        <v>298</v>
      </c>
      <c r="C1881" t="s">
        <v>361</v>
      </c>
      <c r="D1881" t="s">
        <v>360</v>
      </c>
      <c r="E1881" t="s">
        <v>5370</v>
      </c>
      <c r="F1881" s="23">
        <v>45004</v>
      </c>
      <c r="G1881" s="1">
        <v>3694</v>
      </c>
    </row>
    <row r="1882" spans="1:7">
      <c r="A1882" t="s">
        <v>5711</v>
      </c>
      <c r="B1882" t="s">
        <v>37</v>
      </c>
      <c r="C1882" t="s">
        <v>490</v>
      </c>
      <c r="D1882" t="s">
        <v>489</v>
      </c>
      <c r="E1882" t="s">
        <v>5371</v>
      </c>
      <c r="F1882" s="23">
        <v>44346</v>
      </c>
      <c r="G1882" s="1">
        <v>4492</v>
      </c>
    </row>
    <row r="1883" spans="1:7">
      <c r="A1883" t="s">
        <v>5711</v>
      </c>
      <c r="B1883" t="s">
        <v>684</v>
      </c>
      <c r="C1883" t="s">
        <v>683</v>
      </c>
      <c r="D1883" t="s">
        <v>5680</v>
      </c>
      <c r="E1883" t="s">
        <v>5372</v>
      </c>
      <c r="F1883" s="23">
        <v>44512</v>
      </c>
      <c r="G1883" s="1">
        <v>11193</v>
      </c>
    </row>
    <row r="1884" spans="1:7">
      <c r="A1884" t="s">
        <v>5711</v>
      </c>
      <c r="B1884" t="s">
        <v>94</v>
      </c>
      <c r="C1884" t="s">
        <v>3486</v>
      </c>
      <c r="D1884" t="s">
        <v>5681</v>
      </c>
      <c r="E1884" t="s">
        <v>5373</v>
      </c>
      <c r="F1884" s="23">
        <v>44346</v>
      </c>
      <c r="G1884" s="1">
        <v>15556</v>
      </c>
    </row>
    <row r="1885" spans="1:7">
      <c r="A1885" t="s">
        <v>5711</v>
      </c>
      <c r="B1885" t="s">
        <v>106</v>
      </c>
      <c r="C1885" t="s">
        <v>2342</v>
      </c>
      <c r="D1885" t="s">
        <v>2341</v>
      </c>
      <c r="E1885" t="s">
        <v>5374</v>
      </c>
      <c r="F1885" s="23">
        <v>44346</v>
      </c>
      <c r="G1885" s="1">
        <v>16568</v>
      </c>
    </row>
    <row r="1886" spans="1:7">
      <c r="A1886" t="s">
        <v>5711</v>
      </c>
      <c r="B1886" t="s">
        <v>1345</v>
      </c>
      <c r="C1886" t="s">
        <v>1677</v>
      </c>
      <c r="D1886" t="s">
        <v>1676</v>
      </c>
      <c r="E1886" t="s">
        <v>5375</v>
      </c>
      <c r="F1886" s="23">
        <v>44346</v>
      </c>
      <c r="G1886" s="1">
        <v>12706</v>
      </c>
    </row>
    <row r="1887" spans="1:7">
      <c r="A1887" t="s">
        <v>5711</v>
      </c>
      <c r="B1887" t="s">
        <v>298</v>
      </c>
      <c r="C1887" t="s">
        <v>3001</v>
      </c>
      <c r="D1887" t="s">
        <v>3479</v>
      </c>
      <c r="E1887" t="s">
        <v>5376</v>
      </c>
      <c r="F1887" s="23">
        <v>44639</v>
      </c>
      <c r="G1887" s="1">
        <v>5733</v>
      </c>
    </row>
    <row r="1888" spans="1:7">
      <c r="A1888" t="s">
        <v>5711</v>
      </c>
      <c r="B1888" t="s">
        <v>654</v>
      </c>
      <c r="C1888" t="s">
        <v>764</v>
      </c>
      <c r="D1888" t="s">
        <v>763</v>
      </c>
      <c r="E1888" t="s">
        <v>5377</v>
      </c>
      <c r="F1888" s="23">
        <v>45047</v>
      </c>
      <c r="G1888" s="1">
        <v>3753</v>
      </c>
    </row>
    <row r="1889" spans="1:7">
      <c r="A1889" t="s">
        <v>5711</v>
      </c>
      <c r="B1889" t="s">
        <v>233</v>
      </c>
      <c r="C1889" t="s">
        <v>2589</v>
      </c>
      <c r="D1889" t="s">
        <v>2588</v>
      </c>
      <c r="E1889" t="s">
        <v>5378</v>
      </c>
      <c r="F1889" s="23">
        <v>44346</v>
      </c>
      <c r="G1889" s="1">
        <v>15903</v>
      </c>
    </row>
    <row r="1890" spans="1:7">
      <c r="A1890" t="s">
        <v>5711</v>
      </c>
      <c r="B1890" t="s">
        <v>94</v>
      </c>
      <c r="C1890" t="s">
        <v>3265</v>
      </c>
      <c r="D1890" t="s">
        <v>655</v>
      </c>
      <c r="E1890" t="s">
        <v>5379</v>
      </c>
      <c r="F1890" s="23">
        <v>44717</v>
      </c>
      <c r="G1890" s="1">
        <v>3029</v>
      </c>
    </row>
    <row r="1891" spans="1:7">
      <c r="A1891" t="s">
        <v>5711</v>
      </c>
      <c r="B1891" t="s">
        <v>233</v>
      </c>
      <c r="C1891" t="s">
        <v>1946</v>
      </c>
      <c r="D1891" t="s">
        <v>2800</v>
      </c>
      <c r="E1891" t="s">
        <v>5380</v>
      </c>
      <c r="F1891" s="23">
        <v>45043</v>
      </c>
      <c r="G1891" s="1">
        <v>6370</v>
      </c>
    </row>
    <row r="1892" spans="1:7">
      <c r="A1892" t="s">
        <v>5711</v>
      </c>
      <c r="B1892" t="s">
        <v>467</v>
      </c>
      <c r="C1892" t="s">
        <v>466</v>
      </c>
      <c r="D1892" t="s">
        <v>465</v>
      </c>
      <c r="E1892" t="s">
        <v>5381</v>
      </c>
      <c r="F1892" s="23">
        <v>44346</v>
      </c>
      <c r="G1892" s="1">
        <v>14528</v>
      </c>
    </row>
    <row r="1893" spans="1:7">
      <c r="A1893" t="s">
        <v>5711</v>
      </c>
      <c r="B1893" t="s">
        <v>375</v>
      </c>
      <c r="C1893" t="s">
        <v>374</v>
      </c>
      <c r="D1893" t="s">
        <v>373</v>
      </c>
      <c r="E1893" t="s">
        <v>5382</v>
      </c>
      <c r="F1893" s="23">
        <v>44346</v>
      </c>
      <c r="G1893" s="1">
        <v>12370</v>
      </c>
    </row>
    <row r="1894" spans="1:7">
      <c r="A1894" t="s">
        <v>5711</v>
      </c>
      <c r="B1894" t="s">
        <v>298</v>
      </c>
      <c r="C1894" t="s">
        <v>1885</v>
      </c>
      <c r="D1894" t="s">
        <v>5682</v>
      </c>
      <c r="E1894" t="s">
        <v>5383</v>
      </c>
      <c r="F1894" s="23">
        <v>44346</v>
      </c>
      <c r="G1894" s="1">
        <v>9942</v>
      </c>
    </row>
    <row r="1895" spans="1:7">
      <c r="A1895" t="s">
        <v>5711</v>
      </c>
      <c r="B1895" t="s">
        <v>208</v>
      </c>
      <c r="C1895" t="s">
        <v>345</v>
      </c>
      <c r="D1895" t="s">
        <v>344</v>
      </c>
      <c r="E1895" t="s">
        <v>5384</v>
      </c>
      <c r="F1895" s="23">
        <v>44346</v>
      </c>
      <c r="G1895" s="1">
        <v>19101</v>
      </c>
    </row>
    <row r="1896" spans="1:7">
      <c r="A1896" t="s">
        <v>5711</v>
      </c>
      <c r="B1896" t="s">
        <v>94</v>
      </c>
      <c r="C1896" t="s">
        <v>2633</v>
      </c>
      <c r="D1896" t="s">
        <v>5683</v>
      </c>
      <c r="E1896" t="s">
        <v>5385</v>
      </c>
      <c r="F1896" s="23">
        <v>44346</v>
      </c>
      <c r="G1896" s="1">
        <v>989</v>
      </c>
    </row>
    <row r="1897" spans="1:7">
      <c r="A1897" t="s">
        <v>5711</v>
      </c>
      <c r="B1897" t="s">
        <v>94</v>
      </c>
      <c r="C1897" t="s">
        <v>2140</v>
      </c>
      <c r="D1897" t="s">
        <v>2139</v>
      </c>
      <c r="E1897" t="s">
        <v>5386</v>
      </c>
      <c r="F1897" s="23">
        <v>44991</v>
      </c>
      <c r="G1897" s="1">
        <v>3893</v>
      </c>
    </row>
    <row r="1898" spans="1:7">
      <c r="A1898" t="s">
        <v>5711</v>
      </c>
      <c r="B1898" t="s">
        <v>311</v>
      </c>
      <c r="C1898" t="s">
        <v>2103</v>
      </c>
      <c r="D1898" t="s">
        <v>2102</v>
      </c>
      <c r="E1898" t="s">
        <v>5387</v>
      </c>
      <c r="F1898" s="23">
        <v>44346</v>
      </c>
      <c r="G1898" s="1">
        <v>7855</v>
      </c>
    </row>
    <row r="1899" spans="1:7">
      <c r="A1899" t="s">
        <v>5711</v>
      </c>
      <c r="B1899" t="s">
        <v>46</v>
      </c>
      <c r="C1899" t="s">
        <v>1035</v>
      </c>
      <c r="D1899" t="s">
        <v>1034</v>
      </c>
      <c r="E1899" t="s">
        <v>5388</v>
      </c>
      <c r="F1899" s="23">
        <v>44421</v>
      </c>
      <c r="G1899" s="1">
        <v>668</v>
      </c>
    </row>
    <row r="1900" spans="1:7">
      <c r="A1900" t="s">
        <v>5711</v>
      </c>
      <c r="B1900" t="s">
        <v>94</v>
      </c>
      <c r="C1900" t="s">
        <v>2560</v>
      </c>
      <c r="D1900" t="s">
        <v>2559</v>
      </c>
      <c r="E1900" t="s">
        <v>5389</v>
      </c>
      <c r="F1900" s="23">
        <v>44442</v>
      </c>
      <c r="G1900" s="1">
        <v>10330</v>
      </c>
    </row>
    <row r="1901" spans="1:7">
      <c r="A1901" t="s">
        <v>5711</v>
      </c>
      <c r="B1901" t="s">
        <v>1006</v>
      </c>
      <c r="C1901" t="s">
        <v>1742</v>
      </c>
      <c r="D1901" t="s">
        <v>1741</v>
      </c>
      <c r="E1901" t="s">
        <v>5390</v>
      </c>
      <c r="F1901" s="23">
        <v>44346</v>
      </c>
      <c r="G1901" s="1">
        <v>15855</v>
      </c>
    </row>
    <row r="1902" spans="1:7">
      <c r="A1902" t="s">
        <v>5711</v>
      </c>
      <c r="B1902" t="s">
        <v>94</v>
      </c>
      <c r="C1902" t="s">
        <v>3486</v>
      </c>
      <c r="D1902" t="s">
        <v>1440</v>
      </c>
      <c r="E1902" t="s">
        <v>5391</v>
      </c>
      <c r="F1902" s="23">
        <v>44974</v>
      </c>
      <c r="G1902" s="1">
        <v>4194</v>
      </c>
    </row>
    <row r="1903" spans="1:7">
      <c r="A1903" t="s">
        <v>5711</v>
      </c>
      <c r="B1903" t="s">
        <v>94</v>
      </c>
      <c r="C1903" t="s">
        <v>3489</v>
      </c>
      <c r="D1903" t="s">
        <v>1068</v>
      </c>
      <c r="E1903" t="s">
        <v>5392</v>
      </c>
      <c r="F1903" s="23">
        <v>44346</v>
      </c>
      <c r="G1903" s="1">
        <v>12507</v>
      </c>
    </row>
    <row r="1904" spans="1:7">
      <c r="A1904" t="s">
        <v>5711</v>
      </c>
      <c r="B1904" t="s">
        <v>311</v>
      </c>
      <c r="C1904" t="s">
        <v>3298</v>
      </c>
      <c r="D1904" t="s">
        <v>3297</v>
      </c>
      <c r="E1904" t="s">
        <v>5393</v>
      </c>
      <c r="F1904" s="23">
        <v>44346</v>
      </c>
      <c r="G1904" s="1">
        <v>13135</v>
      </c>
    </row>
    <row r="1905" spans="1:7">
      <c r="A1905" t="s">
        <v>5711</v>
      </c>
      <c r="B1905" t="s">
        <v>233</v>
      </c>
      <c r="C1905" t="s">
        <v>921</v>
      </c>
      <c r="D1905" t="s">
        <v>2705</v>
      </c>
      <c r="E1905" t="s">
        <v>5394</v>
      </c>
      <c r="F1905" s="23">
        <v>44346</v>
      </c>
      <c r="G1905" s="1">
        <v>19709</v>
      </c>
    </row>
    <row r="1906" spans="1:7">
      <c r="A1906" t="s">
        <v>5711</v>
      </c>
      <c r="B1906" t="s">
        <v>94</v>
      </c>
      <c r="C1906" t="s">
        <v>2682</v>
      </c>
      <c r="D1906" t="s">
        <v>3304</v>
      </c>
      <c r="E1906" t="s">
        <v>5395</v>
      </c>
      <c r="F1906" s="23">
        <v>44694</v>
      </c>
      <c r="G1906" s="1">
        <v>9147</v>
      </c>
    </row>
    <row r="1907" spans="1:7">
      <c r="A1907" t="s">
        <v>5711</v>
      </c>
      <c r="B1907" t="s">
        <v>233</v>
      </c>
      <c r="C1907" t="s">
        <v>1922</v>
      </c>
      <c r="D1907" t="s">
        <v>3036</v>
      </c>
      <c r="E1907" t="s">
        <v>5396</v>
      </c>
      <c r="F1907" s="23">
        <v>44346</v>
      </c>
      <c r="G1907" s="1">
        <v>4871</v>
      </c>
    </row>
    <row r="1908" spans="1:7">
      <c r="A1908" t="s">
        <v>5711</v>
      </c>
      <c r="B1908" t="s">
        <v>208</v>
      </c>
      <c r="C1908" t="s">
        <v>275</v>
      </c>
      <c r="D1908" t="s">
        <v>1362</v>
      </c>
      <c r="E1908" t="s">
        <v>5397</v>
      </c>
      <c r="F1908" s="23">
        <v>44346</v>
      </c>
      <c r="G1908" s="1">
        <v>12047</v>
      </c>
    </row>
    <row r="1909" spans="1:7">
      <c r="A1909" t="s">
        <v>5711</v>
      </c>
      <c r="B1909" t="s">
        <v>1361</v>
      </c>
      <c r="C1909" t="s">
        <v>1360</v>
      </c>
      <c r="D1909" t="s">
        <v>1359</v>
      </c>
      <c r="E1909" t="s">
        <v>5398</v>
      </c>
      <c r="F1909" s="23">
        <v>44701</v>
      </c>
      <c r="G1909" s="1">
        <v>3895</v>
      </c>
    </row>
    <row r="1910" spans="1:7">
      <c r="A1910" t="s">
        <v>5711</v>
      </c>
      <c r="B1910" t="s">
        <v>94</v>
      </c>
      <c r="C1910" t="s">
        <v>2005</v>
      </c>
      <c r="D1910" t="s">
        <v>3270</v>
      </c>
      <c r="E1910" t="s">
        <v>5399</v>
      </c>
      <c r="F1910" s="23">
        <v>45032</v>
      </c>
      <c r="G1910" s="1">
        <v>5212</v>
      </c>
    </row>
    <row r="1911" spans="1:7">
      <c r="A1911" t="s">
        <v>5711</v>
      </c>
      <c r="B1911" t="s">
        <v>106</v>
      </c>
      <c r="C1911" t="s">
        <v>2224</v>
      </c>
      <c r="D1911" t="s">
        <v>5684</v>
      </c>
      <c r="E1911" t="s">
        <v>5400</v>
      </c>
      <c r="F1911" s="23">
        <v>44346</v>
      </c>
      <c r="G1911" s="1">
        <v>10237</v>
      </c>
    </row>
    <row r="1912" spans="1:7">
      <c r="A1912" t="s">
        <v>5711</v>
      </c>
      <c r="B1912" t="s">
        <v>298</v>
      </c>
      <c r="C1912" t="s">
        <v>1697</v>
      </c>
      <c r="D1912" t="s">
        <v>1696</v>
      </c>
      <c r="E1912" t="s">
        <v>5401</v>
      </c>
      <c r="F1912" s="23">
        <v>44346</v>
      </c>
      <c r="G1912" s="1">
        <v>14771</v>
      </c>
    </row>
    <row r="1913" spans="1:7">
      <c r="A1913" t="s">
        <v>5711</v>
      </c>
      <c r="B1913" t="s">
        <v>208</v>
      </c>
      <c r="C1913" t="s">
        <v>1401</v>
      </c>
      <c r="D1913" t="s">
        <v>1400</v>
      </c>
      <c r="E1913" t="s">
        <v>5402</v>
      </c>
      <c r="F1913" s="23">
        <v>44811</v>
      </c>
      <c r="G1913" s="1">
        <v>697</v>
      </c>
    </row>
    <row r="1914" spans="1:7">
      <c r="A1914" t="s">
        <v>5711</v>
      </c>
      <c r="B1914" t="s">
        <v>94</v>
      </c>
      <c r="C1914" t="s">
        <v>3485</v>
      </c>
      <c r="D1914" t="s">
        <v>528</v>
      </c>
      <c r="E1914" t="s">
        <v>5403</v>
      </c>
      <c r="F1914" s="23">
        <v>44346</v>
      </c>
      <c r="G1914" s="1">
        <v>12059</v>
      </c>
    </row>
    <row r="1915" spans="1:7">
      <c r="A1915" t="s">
        <v>5711</v>
      </c>
      <c r="B1915" t="s">
        <v>2062</v>
      </c>
      <c r="C1915" t="s">
        <v>2061</v>
      </c>
      <c r="D1915" t="s">
        <v>2060</v>
      </c>
      <c r="E1915" t="s">
        <v>5404</v>
      </c>
      <c r="F1915" s="23">
        <v>44346</v>
      </c>
      <c r="G1915" s="1">
        <v>13517</v>
      </c>
    </row>
    <row r="1916" spans="1:7">
      <c r="A1916" t="s">
        <v>5711</v>
      </c>
      <c r="B1916" t="s">
        <v>94</v>
      </c>
      <c r="C1916" t="s">
        <v>1870</v>
      </c>
      <c r="D1916" t="s">
        <v>1869</v>
      </c>
      <c r="E1916" t="s">
        <v>5405</v>
      </c>
      <c r="F1916" s="23">
        <v>44950</v>
      </c>
      <c r="G1916" s="1">
        <v>5089</v>
      </c>
    </row>
    <row r="1917" spans="1:7">
      <c r="A1917" t="s">
        <v>5711</v>
      </c>
      <c r="B1917" t="s">
        <v>244</v>
      </c>
      <c r="C1917" t="s">
        <v>645</v>
      </c>
      <c r="D1917" t="s">
        <v>644</v>
      </c>
      <c r="E1917" t="s">
        <v>5406</v>
      </c>
      <c r="F1917" s="23">
        <v>44364</v>
      </c>
      <c r="G1917" s="1">
        <v>1973</v>
      </c>
    </row>
    <row r="1918" spans="1:7">
      <c r="A1918" t="s">
        <v>5711</v>
      </c>
      <c r="B1918" t="s">
        <v>37</v>
      </c>
      <c r="C1918" t="s">
        <v>1678</v>
      </c>
      <c r="D1918" t="s">
        <v>5685</v>
      </c>
      <c r="E1918" t="s">
        <v>5407</v>
      </c>
      <c r="F1918" s="23">
        <v>44346</v>
      </c>
      <c r="G1918" s="1">
        <v>5825</v>
      </c>
    </row>
    <row r="1919" spans="1:7">
      <c r="A1919" t="s">
        <v>5711</v>
      </c>
      <c r="B1919" t="s">
        <v>426</v>
      </c>
      <c r="C1919" t="s">
        <v>843</v>
      </c>
      <c r="D1919" t="s">
        <v>842</v>
      </c>
      <c r="E1919" t="s">
        <v>5408</v>
      </c>
      <c r="F1919" s="23">
        <v>44636</v>
      </c>
      <c r="G1919" s="1">
        <v>2876</v>
      </c>
    </row>
    <row r="1920" spans="1:7">
      <c r="A1920" t="s">
        <v>5711</v>
      </c>
      <c r="B1920" t="s">
        <v>1149</v>
      </c>
      <c r="C1920" t="s">
        <v>1218</v>
      </c>
      <c r="D1920" t="s">
        <v>5686</v>
      </c>
      <c r="E1920" t="s">
        <v>5409</v>
      </c>
      <c r="F1920" s="23">
        <v>45014</v>
      </c>
      <c r="G1920" s="1">
        <v>3343</v>
      </c>
    </row>
    <row r="1921" spans="1:7">
      <c r="A1921" t="s">
        <v>5711</v>
      </c>
      <c r="B1921" t="s">
        <v>188</v>
      </c>
      <c r="C1921" t="s">
        <v>997</v>
      </c>
      <c r="D1921" t="s">
        <v>996</v>
      </c>
      <c r="E1921" t="s">
        <v>5410</v>
      </c>
      <c r="F1921" s="23">
        <v>44460</v>
      </c>
      <c r="G1921" s="1">
        <v>6331</v>
      </c>
    </row>
    <row r="1922" spans="1:7">
      <c r="A1922" t="s">
        <v>5711</v>
      </c>
      <c r="B1922" t="s">
        <v>94</v>
      </c>
      <c r="C1922" t="s">
        <v>2755</v>
      </c>
      <c r="D1922" t="s">
        <v>2805</v>
      </c>
      <c r="E1922" t="s">
        <v>5411</v>
      </c>
      <c r="F1922" s="23">
        <v>44346</v>
      </c>
      <c r="G1922" s="1">
        <v>10400</v>
      </c>
    </row>
    <row r="1923" spans="1:7">
      <c r="A1923" t="s">
        <v>5711</v>
      </c>
      <c r="B1923" t="s">
        <v>311</v>
      </c>
      <c r="C1923" t="s">
        <v>2515</v>
      </c>
      <c r="D1923" t="s">
        <v>2514</v>
      </c>
      <c r="E1923" t="s">
        <v>5412</v>
      </c>
      <c r="F1923" s="23">
        <v>44935</v>
      </c>
      <c r="G1923" s="1">
        <v>4620</v>
      </c>
    </row>
    <row r="1924" spans="1:7">
      <c r="A1924" t="s">
        <v>5711</v>
      </c>
      <c r="B1924" t="s">
        <v>94</v>
      </c>
      <c r="C1924" t="s">
        <v>3486</v>
      </c>
      <c r="D1924" t="s">
        <v>976</v>
      </c>
      <c r="E1924" t="s">
        <v>5413</v>
      </c>
      <c r="F1924" s="23">
        <v>44457</v>
      </c>
      <c r="G1924" s="1">
        <v>10179</v>
      </c>
    </row>
    <row r="1925" spans="1:7">
      <c r="A1925" t="s">
        <v>5711</v>
      </c>
      <c r="B1925" t="s">
        <v>94</v>
      </c>
      <c r="C1925" t="s">
        <v>2836</v>
      </c>
      <c r="D1925" t="s">
        <v>2835</v>
      </c>
      <c r="E1925" t="s">
        <v>5414</v>
      </c>
      <c r="F1925" s="23">
        <v>44346</v>
      </c>
      <c r="G1925" s="1">
        <v>15421</v>
      </c>
    </row>
    <row r="1926" spans="1:7">
      <c r="A1926" t="s">
        <v>5711</v>
      </c>
      <c r="B1926" t="s">
        <v>737</v>
      </c>
      <c r="C1926" t="s">
        <v>1133</v>
      </c>
      <c r="D1926" t="s">
        <v>1132</v>
      </c>
      <c r="E1926" t="s">
        <v>5415</v>
      </c>
      <c r="F1926" s="23">
        <v>44346</v>
      </c>
      <c r="G1926" s="1">
        <v>3482</v>
      </c>
    </row>
    <row r="1927" spans="1:7">
      <c r="A1927" t="s">
        <v>5711</v>
      </c>
      <c r="B1927" t="s">
        <v>298</v>
      </c>
      <c r="C1927" t="s">
        <v>837</v>
      </c>
      <c r="D1927" t="s">
        <v>2317</v>
      </c>
      <c r="E1927" t="s">
        <v>5416</v>
      </c>
      <c r="F1927" s="23">
        <v>44472</v>
      </c>
      <c r="G1927" s="1">
        <v>5015</v>
      </c>
    </row>
    <row r="1928" spans="1:7">
      <c r="A1928" t="s">
        <v>5711</v>
      </c>
      <c r="B1928" t="s">
        <v>106</v>
      </c>
      <c r="C1928" t="s">
        <v>2353</v>
      </c>
      <c r="D1928" t="s">
        <v>2352</v>
      </c>
      <c r="E1928" t="s">
        <v>5417</v>
      </c>
      <c r="F1928" s="23">
        <v>44875</v>
      </c>
      <c r="G1928" s="1">
        <v>10868</v>
      </c>
    </row>
    <row r="1929" spans="1:7">
      <c r="A1929" t="s">
        <v>5711</v>
      </c>
      <c r="B1929" t="s">
        <v>94</v>
      </c>
      <c r="C1929" t="s">
        <v>3490</v>
      </c>
      <c r="D1929" t="s">
        <v>98</v>
      </c>
      <c r="E1929" t="s">
        <v>5418</v>
      </c>
      <c r="F1929" s="23">
        <v>44639</v>
      </c>
      <c r="G1929" s="1">
        <v>7201</v>
      </c>
    </row>
    <row r="1930" spans="1:7">
      <c r="A1930" t="s">
        <v>5711</v>
      </c>
      <c r="B1930" t="s">
        <v>43</v>
      </c>
      <c r="C1930" t="s">
        <v>1712</v>
      </c>
      <c r="D1930" t="s">
        <v>1711</v>
      </c>
      <c r="E1930" t="s">
        <v>5419</v>
      </c>
      <c r="F1930" s="23">
        <v>44635</v>
      </c>
      <c r="G1930" s="1">
        <v>7731</v>
      </c>
    </row>
    <row r="1931" spans="1:7">
      <c r="A1931" t="s">
        <v>5711</v>
      </c>
      <c r="B1931" t="s">
        <v>255</v>
      </c>
      <c r="C1931" t="s">
        <v>1425</v>
      </c>
      <c r="D1931" t="s">
        <v>1424</v>
      </c>
      <c r="E1931" t="s">
        <v>5420</v>
      </c>
      <c r="F1931" s="23">
        <v>44346</v>
      </c>
      <c r="G1931" s="1">
        <v>16025</v>
      </c>
    </row>
    <row r="1932" spans="1:7">
      <c r="A1932" t="s">
        <v>5711</v>
      </c>
      <c r="B1932" t="s">
        <v>233</v>
      </c>
      <c r="C1932" t="s">
        <v>2689</v>
      </c>
      <c r="D1932" t="s">
        <v>2688</v>
      </c>
      <c r="E1932" t="s">
        <v>5421</v>
      </c>
      <c r="F1932" s="23">
        <v>44896</v>
      </c>
      <c r="G1932" s="1">
        <v>758</v>
      </c>
    </row>
    <row r="1933" spans="1:7">
      <c r="A1933" t="s">
        <v>5711</v>
      </c>
      <c r="B1933" t="s">
        <v>106</v>
      </c>
      <c r="C1933" t="s">
        <v>2538</v>
      </c>
      <c r="D1933" t="s">
        <v>2537</v>
      </c>
      <c r="E1933" t="s">
        <v>5422</v>
      </c>
      <c r="F1933" s="23">
        <v>44346</v>
      </c>
      <c r="G1933" s="1">
        <v>17927</v>
      </c>
    </row>
    <row r="1934" spans="1:7">
      <c r="A1934" t="s">
        <v>5711</v>
      </c>
      <c r="B1934" t="s">
        <v>106</v>
      </c>
      <c r="C1934" t="s">
        <v>2170</v>
      </c>
      <c r="D1934" t="s">
        <v>3283</v>
      </c>
      <c r="E1934" t="s">
        <v>5423</v>
      </c>
      <c r="F1934" s="23">
        <v>44346</v>
      </c>
      <c r="G1934" s="1">
        <v>15552</v>
      </c>
    </row>
    <row r="1935" spans="1:7">
      <c r="A1935" t="s">
        <v>5711</v>
      </c>
      <c r="B1935" t="s">
        <v>78</v>
      </c>
      <c r="C1935" t="s">
        <v>1685</v>
      </c>
      <c r="D1935" t="s">
        <v>1684</v>
      </c>
      <c r="E1935" t="s">
        <v>5424</v>
      </c>
      <c r="F1935" s="23">
        <v>44346</v>
      </c>
      <c r="G1935" s="1">
        <v>3286</v>
      </c>
    </row>
    <row r="1936" spans="1:7">
      <c r="A1936" t="s">
        <v>5711</v>
      </c>
      <c r="B1936" t="s">
        <v>37</v>
      </c>
      <c r="C1936" t="s">
        <v>1792</v>
      </c>
      <c r="D1936" t="s">
        <v>1791</v>
      </c>
      <c r="E1936" t="s">
        <v>5425</v>
      </c>
      <c r="F1936" s="23">
        <v>44622</v>
      </c>
      <c r="G1936" s="1">
        <v>11531</v>
      </c>
    </row>
    <row r="1937" spans="1:7">
      <c r="A1937" t="s">
        <v>5711</v>
      </c>
      <c r="B1937" t="s">
        <v>94</v>
      </c>
      <c r="C1937" t="s">
        <v>3282</v>
      </c>
      <c r="D1937" t="s">
        <v>3281</v>
      </c>
      <c r="E1937" t="s">
        <v>5426</v>
      </c>
      <c r="F1937" s="23">
        <v>44346</v>
      </c>
      <c r="G1937" s="1">
        <v>16723</v>
      </c>
    </row>
    <row r="1938" spans="1:7">
      <c r="A1938" t="s">
        <v>5711</v>
      </c>
      <c r="B1938" t="s">
        <v>233</v>
      </c>
      <c r="C1938" t="s">
        <v>3170</v>
      </c>
      <c r="D1938" t="s">
        <v>3169</v>
      </c>
      <c r="E1938" t="s">
        <v>5427</v>
      </c>
      <c r="F1938" s="23">
        <v>44586</v>
      </c>
      <c r="G1938" s="1">
        <v>515</v>
      </c>
    </row>
    <row r="1939" spans="1:7">
      <c r="A1939" t="s">
        <v>5711</v>
      </c>
      <c r="B1939" t="s">
        <v>43</v>
      </c>
      <c r="C1939" t="s">
        <v>762</v>
      </c>
      <c r="D1939" t="s">
        <v>761</v>
      </c>
      <c r="E1939" t="s">
        <v>5428</v>
      </c>
      <c r="F1939" s="23">
        <v>44346</v>
      </c>
      <c r="G1939" s="1">
        <v>6930</v>
      </c>
    </row>
    <row r="1940" spans="1:7">
      <c r="A1940" t="s">
        <v>5711</v>
      </c>
      <c r="B1940" t="s">
        <v>233</v>
      </c>
      <c r="C1940" t="s">
        <v>536</v>
      </c>
      <c r="D1940" t="s">
        <v>535</v>
      </c>
      <c r="E1940" t="s">
        <v>5429</v>
      </c>
      <c r="F1940" s="23">
        <v>44346</v>
      </c>
      <c r="G1940" s="1">
        <v>15421</v>
      </c>
    </row>
    <row r="1941" spans="1:7">
      <c r="A1941" t="s">
        <v>5711</v>
      </c>
      <c r="B1941" t="s">
        <v>106</v>
      </c>
      <c r="C1941" t="s">
        <v>2961</v>
      </c>
      <c r="D1941" t="s">
        <v>2960</v>
      </c>
      <c r="E1941" t="s">
        <v>5430</v>
      </c>
      <c r="F1941" s="23">
        <v>45043</v>
      </c>
      <c r="G1941" s="1">
        <v>8437</v>
      </c>
    </row>
    <row r="1942" spans="1:7">
      <c r="A1942" t="s">
        <v>5711</v>
      </c>
      <c r="B1942" t="s">
        <v>1109</v>
      </c>
      <c r="C1942" t="s">
        <v>1108</v>
      </c>
      <c r="D1942" t="s">
        <v>1107</v>
      </c>
      <c r="E1942" t="s">
        <v>5431</v>
      </c>
      <c r="F1942" s="23">
        <v>44503</v>
      </c>
      <c r="G1942" s="1">
        <v>5988</v>
      </c>
    </row>
    <row r="1943" spans="1:7">
      <c r="A1943" t="s">
        <v>5711</v>
      </c>
      <c r="B1943" t="s">
        <v>311</v>
      </c>
      <c r="C1943" t="s">
        <v>2618</v>
      </c>
      <c r="D1943" t="s">
        <v>2617</v>
      </c>
      <c r="E1943" t="s">
        <v>5432</v>
      </c>
      <c r="F1943" s="23">
        <v>44346</v>
      </c>
      <c r="G1943" s="1">
        <v>14546</v>
      </c>
    </row>
    <row r="1944" spans="1:7">
      <c r="A1944" t="s">
        <v>5711</v>
      </c>
      <c r="B1944" t="s">
        <v>755</v>
      </c>
      <c r="C1944" t="s">
        <v>754</v>
      </c>
      <c r="D1944" t="s">
        <v>753</v>
      </c>
      <c r="E1944" t="s">
        <v>5433</v>
      </c>
      <c r="F1944" s="23">
        <v>44346</v>
      </c>
      <c r="G1944" s="1">
        <v>18938</v>
      </c>
    </row>
    <row r="1945" spans="1:7">
      <c r="A1945" t="s">
        <v>5711</v>
      </c>
      <c r="B1945" t="s">
        <v>298</v>
      </c>
      <c r="C1945" t="s">
        <v>1900</v>
      </c>
      <c r="D1945" t="s">
        <v>1899</v>
      </c>
      <c r="E1945" t="s">
        <v>5434</v>
      </c>
      <c r="F1945" s="23">
        <v>44346</v>
      </c>
      <c r="G1945" s="1">
        <v>18930</v>
      </c>
    </row>
    <row r="1946" spans="1:7">
      <c r="A1946" t="s">
        <v>5711</v>
      </c>
      <c r="B1946" t="s">
        <v>135</v>
      </c>
      <c r="C1946" t="s">
        <v>1708</v>
      </c>
      <c r="D1946" t="s">
        <v>1707</v>
      </c>
      <c r="E1946" t="s">
        <v>5435</v>
      </c>
      <c r="F1946" s="23">
        <v>44721</v>
      </c>
      <c r="G1946" s="1">
        <v>11666</v>
      </c>
    </row>
    <row r="1947" spans="1:7">
      <c r="A1947" t="s">
        <v>5711</v>
      </c>
      <c r="B1947" t="s">
        <v>298</v>
      </c>
      <c r="C1947" t="s">
        <v>1461</v>
      </c>
      <c r="D1947" t="s">
        <v>1460</v>
      </c>
      <c r="E1947" t="s">
        <v>5436</v>
      </c>
      <c r="F1947" s="23">
        <v>44346</v>
      </c>
      <c r="G1947" s="1">
        <v>13168</v>
      </c>
    </row>
    <row r="1948" spans="1:7">
      <c r="A1948" t="s">
        <v>5711</v>
      </c>
      <c r="B1948" t="s">
        <v>182</v>
      </c>
      <c r="C1948" t="s">
        <v>181</v>
      </c>
      <c r="D1948" t="s">
        <v>180</v>
      </c>
      <c r="E1948" t="s">
        <v>5437</v>
      </c>
      <c r="F1948" s="23">
        <v>44678</v>
      </c>
      <c r="G1948" s="1">
        <v>9518</v>
      </c>
    </row>
    <row r="1949" spans="1:7">
      <c r="A1949" t="s">
        <v>5711</v>
      </c>
      <c r="B1949" t="s">
        <v>122</v>
      </c>
      <c r="C1949" t="s">
        <v>402</v>
      </c>
      <c r="D1949" t="s">
        <v>401</v>
      </c>
      <c r="E1949" t="s">
        <v>5438</v>
      </c>
      <c r="F1949" s="23">
        <v>44346</v>
      </c>
      <c r="G1949" s="1">
        <v>17639</v>
      </c>
    </row>
    <row r="1950" spans="1:7">
      <c r="A1950" t="s">
        <v>5711</v>
      </c>
      <c r="B1950" t="s">
        <v>106</v>
      </c>
      <c r="C1950" t="s">
        <v>2402</v>
      </c>
      <c r="D1950" t="s">
        <v>2401</v>
      </c>
      <c r="E1950" t="s">
        <v>5439</v>
      </c>
      <c r="F1950" s="23">
        <v>44487</v>
      </c>
      <c r="G1950" s="1">
        <v>6662</v>
      </c>
    </row>
    <row r="1951" spans="1:7">
      <c r="A1951" t="s">
        <v>5711</v>
      </c>
      <c r="B1951" t="s">
        <v>106</v>
      </c>
      <c r="C1951" t="s">
        <v>2340</v>
      </c>
      <c r="D1951" t="s">
        <v>2339</v>
      </c>
      <c r="E1951" t="s">
        <v>5440</v>
      </c>
      <c r="F1951" s="23">
        <v>44346</v>
      </c>
      <c r="G1951" s="1">
        <v>7385</v>
      </c>
    </row>
    <row r="1952" spans="1:7">
      <c r="A1952" t="s">
        <v>5711</v>
      </c>
      <c r="B1952" t="s">
        <v>94</v>
      </c>
      <c r="C1952" t="s">
        <v>3488</v>
      </c>
      <c r="D1952" t="s">
        <v>866</v>
      </c>
      <c r="E1952" t="s">
        <v>5441</v>
      </c>
      <c r="F1952" s="23">
        <v>44892</v>
      </c>
      <c r="G1952" s="1">
        <v>6041</v>
      </c>
    </row>
    <row r="1953" spans="1:7">
      <c r="A1953" t="s">
        <v>5711</v>
      </c>
      <c r="B1953" t="s">
        <v>106</v>
      </c>
      <c r="C1953" t="s">
        <v>1887</v>
      </c>
      <c r="D1953" t="s">
        <v>5687</v>
      </c>
      <c r="E1953" t="s">
        <v>5442</v>
      </c>
      <c r="F1953" s="23">
        <v>44457</v>
      </c>
      <c r="G1953" s="1">
        <v>2827</v>
      </c>
    </row>
    <row r="1954" spans="1:7">
      <c r="A1954" t="s">
        <v>5711</v>
      </c>
      <c r="B1954" t="s">
        <v>233</v>
      </c>
      <c r="C1954" t="s">
        <v>2935</v>
      </c>
      <c r="D1954" t="s">
        <v>2934</v>
      </c>
      <c r="E1954" t="s">
        <v>5443</v>
      </c>
      <c r="F1954" s="23">
        <v>44346</v>
      </c>
      <c r="G1954" s="1">
        <v>14987</v>
      </c>
    </row>
    <row r="1955" spans="1:7">
      <c r="A1955" t="s">
        <v>5711</v>
      </c>
      <c r="B1955" t="s">
        <v>174</v>
      </c>
      <c r="C1955" t="s">
        <v>1176</v>
      </c>
      <c r="D1955" t="s">
        <v>1175</v>
      </c>
      <c r="E1955" t="s">
        <v>5444</v>
      </c>
      <c r="F1955" s="23">
        <v>44977</v>
      </c>
      <c r="G1955" s="1">
        <v>5766</v>
      </c>
    </row>
    <row r="1956" spans="1:7">
      <c r="A1956" t="s">
        <v>5711</v>
      </c>
      <c r="B1956" t="s">
        <v>94</v>
      </c>
      <c r="C1956" t="s">
        <v>2614</v>
      </c>
      <c r="D1956" t="s">
        <v>2613</v>
      </c>
      <c r="E1956" t="s">
        <v>5445</v>
      </c>
      <c r="F1956" s="23">
        <v>44491</v>
      </c>
      <c r="G1956" s="1">
        <v>8934</v>
      </c>
    </row>
    <row r="1957" spans="1:7">
      <c r="A1957" t="s">
        <v>5711</v>
      </c>
      <c r="B1957" t="s">
        <v>94</v>
      </c>
      <c r="C1957" t="s">
        <v>3486</v>
      </c>
      <c r="D1957" t="s">
        <v>1069</v>
      </c>
      <c r="E1957" t="s">
        <v>5446</v>
      </c>
      <c r="F1957" s="23">
        <v>44346</v>
      </c>
      <c r="G1957" s="1">
        <v>17209</v>
      </c>
    </row>
    <row r="1958" spans="1:7">
      <c r="A1958" t="s">
        <v>5711</v>
      </c>
      <c r="B1958" t="s">
        <v>298</v>
      </c>
      <c r="C1958" t="s">
        <v>365</v>
      </c>
      <c r="D1958" t="s">
        <v>2659</v>
      </c>
      <c r="E1958" t="s">
        <v>5447</v>
      </c>
      <c r="F1958" s="23">
        <v>44346</v>
      </c>
      <c r="G1958" s="1">
        <v>19495</v>
      </c>
    </row>
    <row r="1959" spans="1:7">
      <c r="A1959" t="s">
        <v>5711</v>
      </c>
      <c r="B1959" t="s">
        <v>311</v>
      </c>
      <c r="C1959" t="s">
        <v>310</v>
      </c>
      <c r="D1959" t="s">
        <v>309</v>
      </c>
      <c r="E1959" t="s">
        <v>5448</v>
      </c>
      <c r="F1959" s="23">
        <v>44346</v>
      </c>
      <c r="G1959" s="1">
        <v>17200</v>
      </c>
    </row>
    <row r="1960" spans="1:7">
      <c r="A1960" t="s">
        <v>5711</v>
      </c>
      <c r="B1960" t="s">
        <v>298</v>
      </c>
      <c r="C1960" t="s">
        <v>748</v>
      </c>
      <c r="D1960" t="s">
        <v>5688</v>
      </c>
      <c r="E1960" t="s">
        <v>5449</v>
      </c>
      <c r="F1960" s="23">
        <v>44672</v>
      </c>
      <c r="G1960" s="1">
        <v>3907</v>
      </c>
    </row>
    <row r="1961" spans="1:7">
      <c r="A1961" t="s">
        <v>5711</v>
      </c>
      <c r="B1961" t="s">
        <v>68</v>
      </c>
      <c r="C1961" t="s">
        <v>1001</v>
      </c>
      <c r="D1961" t="s">
        <v>1000</v>
      </c>
      <c r="E1961" t="s">
        <v>5450</v>
      </c>
      <c r="F1961" s="23">
        <v>44528</v>
      </c>
      <c r="G1961" s="1">
        <v>3133</v>
      </c>
    </row>
    <row r="1962" spans="1:7">
      <c r="A1962" t="s">
        <v>5711</v>
      </c>
      <c r="B1962" t="s">
        <v>94</v>
      </c>
      <c r="C1962" t="s">
        <v>3054</v>
      </c>
      <c r="D1962" t="s">
        <v>3053</v>
      </c>
      <c r="E1962" t="s">
        <v>5451</v>
      </c>
      <c r="F1962" s="23">
        <v>44991</v>
      </c>
      <c r="G1962" s="1">
        <v>7793</v>
      </c>
    </row>
    <row r="1963" spans="1:7">
      <c r="A1963" t="s">
        <v>5711</v>
      </c>
      <c r="B1963" t="s">
        <v>106</v>
      </c>
      <c r="C1963" t="s">
        <v>1383</v>
      </c>
      <c r="D1963" t="s">
        <v>1382</v>
      </c>
      <c r="E1963" t="s">
        <v>5452</v>
      </c>
      <c r="F1963" s="23">
        <v>44346</v>
      </c>
      <c r="G1963" s="1">
        <v>19943</v>
      </c>
    </row>
    <row r="1964" spans="1:7">
      <c r="A1964" t="s">
        <v>5711</v>
      </c>
      <c r="B1964" t="s">
        <v>97</v>
      </c>
      <c r="C1964" t="s">
        <v>624</v>
      </c>
      <c r="D1964" t="s">
        <v>623</v>
      </c>
      <c r="E1964" t="s">
        <v>5453</v>
      </c>
      <c r="F1964" s="23">
        <v>44346</v>
      </c>
      <c r="G1964" s="1">
        <v>1407</v>
      </c>
    </row>
    <row r="1965" spans="1:7">
      <c r="A1965" t="s">
        <v>5711</v>
      </c>
      <c r="B1965" t="s">
        <v>106</v>
      </c>
      <c r="C1965" t="s">
        <v>3185</v>
      </c>
      <c r="D1965" t="s">
        <v>3184</v>
      </c>
      <c r="E1965" t="s">
        <v>5454</v>
      </c>
      <c r="F1965" s="23">
        <v>44784</v>
      </c>
      <c r="G1965" s="1">
        <v>3847</v>
      </c>
    </row>
    <row r="1966" spans="1:7">
      <c r="A1966" t="s">
        <v>5711</v>
      </c>
      <c r="B1966" t="s">
        <v>188</v>
      </c>
      <c r="C1966" t="s">
        <v>1587</v>
      </c>
      <c r="D1966" t="s">
        <v>1586</v>
      </c>
      <c r="E1966" t="s">
        <v>5455</v>
      </c>
      <c r="F1966" s="23">
        <v>44346</v>
      </c>
      <c r="G1966" s="1">
        <v>18197</v>
      </c>
    </row>
    <row r="1967" spans="1:7">
      <c r="A1967" t="s">
        <v>5711</v>
      </c>
      <c r="B1967" t="s">
        <v>106</v>
      </c>
      <c r="C1967" t="s">
        <v>2508</v>
      </c>
      <c r="D1967" t="s">
        <v>2507</v>
      </c>
      <c r="E1967" t="s">
        <v>5456</v>
      </c>
      <c r="F1967" s="23">
        <v>44346</v>
      </c>
      <c r="G1967" s="1">
        <v>19331</v>
      </c>
    </row>
    <row r="1968" spans="1:7">
      <c r="A1968" t="s">
        <v>5711</v>
      </c>
      <c r="B1968" t="s">
        <v>135</v>
      </c>
      <c r="C1968" t="s">
        <v>942</v>
      </c>
      <c r="D1968" t="s">
        <v>941</v>
      </c>
      <c r="E1968" t="s">
        <v>5457</v>
      </c>
      <c r="F1968" s="23">
        <v>44346</v>
      </c>
      <c r="G1968" s="1">
        <v>12509</v>
      </c>
    </row>
    <row r="1969" spans="1:7">
      <c r="A1969" t="s">
        <v>5711</v>
      </c>
      <c r="B1969" t="s">
        <v>298</v>
      </c>
      <c r="C1969" t="s">
        <v>1220</v>
      </c>
      <c r="D1969" t="s">
        <v>2811</v>
      </c>
      <c r="E1969" t="s">
        <v>5458</v>
      </c>
      <c r="F1969" s="23">
        <v>44610</v>
      </c>
      <c r="G1969" s="1">
        <v>9474</v>
      </c>
    </row>
    <row r="1970" spans="1:7">
      <c r="A1970" t="s">
        <v>5711</v>
      </c>
      <c r="B1970" t="s">
        <v>311</v>
      </c>
      <c r="C1970" t="s">
        <v>2307</v>
      </c>
      <c r="D1970" t="s">
        <v>2964</v>
      </c>
      <c r="E1970" t="s">
        <v>5459</v>
      </c>
      <c r="F1970" s="23">
        <v>45070</v>
      </c>
      <c r="G1970" s="1">
        <v>7935</v>
      </c>
    </row>
    <row r="1971" spans="1:7">
      <c r="A1971" t="s">
        <v>5711</v>
      </c>
      <c r="B1971" t="s">
        <v>94</v>
      </c>
      <c r="C1971" t="s">
        <v>3265</v>
      </c>
      <c r="D1971" t="s">
        <v>117</v>
      </c>
      <c r="E1971" t="s">
        <v>5460</v>
      </c>
      <c r="F1971" s="23">
        <v>44386</v>
      </c>
      <c r="G1971" s="1">
        <v>10049</v>
      </c>
    </row>
    <row r="1972" spans="1:7">
      <c r="A1972" t="s">
        <v>5711</v>
      </c>
      <c r="B1972" t="s">
        <v>68</v>
      </c>
      <c r="C1972" t="s">
        <v>1670</v>
      </c>
      <c r="D1972" t="s">
        <v>1669</v>
      </c>
      <c r="E1972" t="s">
        <v>5461</v>
      </c>
      <c r="F1972" s="23">
        <v>44346</v>
      </c>
      <c r="G1972" s="1">
        <v>9070</v>
      </c>
    </row>
    <row r="1973" spans="1:7">
      <c r="A1973" t="s">
        <v>5711</v>
      </c>
      <c r="B1973" t="s">
        <v>106</v>
      </c>
      <c r="C1973" t="s">
        <v>2714</v>
      </c>
      <c r="D1973" t="s">
        <v>2713</v>
      </c>
      <c r="E1973" t="s">
        <v>5462</v>
      </c>
      <c r="F1973" s="23">
        <v>44346</v>
      </c>
      <c r="G1973" s="1">
        <v>12141</v>
      </c>
    </row>
    <row r="1974" spans="1:7">
      <c r="A1974" t="s">
        <v>5711</v>
      </c>
      <c r="B1974" t="s">
        <v>94</v>
      </c>
      <c r="C1974" t="s">
        <v>3172</v>
      </c>
      <c r="D1974" t="s">
        <v>3171</v>
      </c>
      <c r="E1974" t="s">
        <v>5463</v>
      </c>
      <c r="F1974" s="23">
        <v>44346</v>
      </c>
      <c r="G1974" s="1">
        <v>14921</v>
      </c>
    </row>
    <row r="1975" spans="1:7">
      <c r="A1975" t="s">
        <v>5711</v>
      </c>
      <c r="B1975" t="s">
        <v>94</v>
      </c>
      <c r="C1975" t="s">
        <v>2941</v>
      </c>
      <c r="D1975" t="s">
        <v>2940</v>
      </c>
      <c r="E1975" t="s">
        <v>5464</v>
      </c>
      <c r="F1975" s="23">
        <v>44346</v>
      </c>
      <c r="G1975" s="1">
        <v>15878</v>
      </c>
    </row>
    <row r="1976" spans="1:7">
      <c r="A1976" t="s">
        <v>5711</v>
      </c>
      <c r="B1976" t="s">
        <v>101</v>
      </c>
      <c r="C1976" t="s">
        <v>1786</v>
      </c>
      <c r="D1976" t="s">
        <v>1785</v>
      </c>
      <c r="E1976" t="s">
        <v>5465</v>
      </c>
      <c r="F1976" s="23">
        <v>44346</v>
      </c>
      <c r="G1976" s="1">
        <v>16334</v>
      </c>
    </row>
    <row r="1977" spans="1:7">
      <c r="A1977" t="s">
        <v>5711</v>
      </c>
      <c r="B1977" t="s">
        <v>208</v>
      </c>
      <c r="C1977" t="s">
        <v>701</v>
      </c>
      <c r="D1977" t="s">
        <v>5689</v>
      </c>
      <c r="E1977" t="s">
        <v>5466</v>
      </c>
      <c r="F1977" s="23">
        <v>44346</v>
      </c>
      <c r="G1977" s="1">
        <v>15818</v>
      </c>
    </row>
    <row r="1978" spans="1:7">
      <c r="A1978" t="s">
        <v>5711</v>
      </c>
      <c r="B1978" t="s">
        <v>94</v>
      </c>
      <c r="C1978" t="s">
        <v>3468</v>
      </c>
      <c r="D1978" t="s">
        <v>3467</v>
      </c>
      <c r="E1978" t="s">
        <v>5467</v>
      </c>
      <c r="F1978" s="23">
        <v>44346</v>
      </c>
      <c r="G1978" s="1">
        <v>19460</v>
      </c>
    </row>
    <row r="1979" spans="1:7">
      <c r="A1979" t="s">
        <v>5711</v>
      </c>
      <c r="B1979" t="s">
        <v>97</v>
      </c>
      <c r="C1979" t="s">
        <v>1549</v>
      </c>
      <c r="D1979" t="s">
        <v>1548</v>
      </c>
      <c r="E1979" t="s">
        <v>5468</v>
      </c>
      <c r="F1979" s="23">
        <v>44948</v>
      </c>
      <c r="G1979" s="1">
        <v>2435</v>
      </c>
    </row>
    <row r="1980" spans="1:7">
      <c r="A1980" t="s">
        <v>5711</v>
      </c>
      <c r="B1980" t="s">
        <v>106</v>
      </c>
      <c r="C1980" t="s">
        <v>1300</v>
      </c>
      <c r="D1980" t="s">
        <v>5690</v>
      </c>
      <c r="E1980" t="s">
        <v>5469</v>
      </c>
      <c r="F1980" s="23">
        <v>44346</v>
      </c>
      <c r="G1980" s="1">
        <v>18347</v>
      </c>
    </row>
    <row r="1981" spans="1:7">
      <c r="A1981" t="s">
        <v>5711</v>
      </c>
      <c r="B1981" t="s">
        <v>94</v>
      </c>
      <c r="C1981" t="s">
        <v>3486</v>
      </c>
      <c r="D1981" t="s">
        <v>239</v>
      </c>
      <c r="E1981" t="s">
        <v>5470</v>
      </c>
      <c r="F1981" s="23">
        <v>44346</v>
      </c>
      <c r="G1981" s="1">
        <v>7033</v>
      </c>
    </row>
    <row r="1982" spans="1:7">
      <c r="A1982" t="s">
        <v>5711</v>
      </c>
      <c r="B1982" t="s">
        <v>298</v>
      </c>
      <c r="C1982" t="s">
        <v>3221</v>
      </c>
      <c r="D1982" t="s">
        <v>3220</v>
      </c>
      <c r="E1982" t="s">
        <v>5471</v>
      </c>
      <c r="F1982" s="23">
        <v>44346</v>
      </c>
      <c r="G1982" s="1">
        <v>16859</v>
      </c>
    </row>
    <row r="1983" spans="1:7">
      <c r="A1983" t="s">
        <v>5711</v>
      </c>
      <c r="B1983" t="s">
        <v>720</v>
      </c>
      <c r="C1983" t="s">
        <v>719</v>
      </c>
      <c r="D1983" t="s">
        <v>718</v>
      </c>
      <c r="E1983" t="s">
        <v>5472</v>
      </c>
      <c r="F1983" s="23">
        <v>44729</v>
      </c>
      <c r="G1983" s="1">
        <v>3821</v>
      </c>
    </row>
    <row r="1984" spans="1:7">
      <c r="A1984" t="s">
        <v>5711</v>
      </c>
      <c r="B1984" t="s">
        <v>298</v>
      </c>
      <c r="C1984" t="s">
        <v>3124</v>
      </c>
      <c r="D1984" t="s">
        <v>3123</v>
      </c>
      <c r="E1984" t="s">
        <v>5473</v>
      </c>
      <c r="F1984" s="23">
        <v>44773</v>
      </c>
      <c r="G1984" s="1">
        <v>6743</v>
      </c>
    </row>
    <row r="1985" spans="1:7">
      <c r="A1985" t="s">
        <v>5711</v>
      </c>
      <c r="B1985" t="s">
        <v>94</v>
      </c>
      <c r="C1985" t="s">
        <v>1954</v>
      </c>
      <c r="D1985" t="s">
        <v>1953</v>
      </c>
      <c r="E1985" t="s">
        <v>5474</v>
      </c>
      <c r="F1985" s="23">
        <v>44346</v>
      </c>
      <c r="G1985" s="1">
        <v>12952</v>
      </c>
    </row>
    <row r="1986" spans="1:7">
      <c r="A1986" t="s">
        <v>5711</v>
      </c>
      <c r="B1986" t="s">
        <v>94</v>
      </c>
      <c r="C1986" t="s">
        <v>2656</v>
      </c>
      <c r="D1986" t="s">
        <v>2655</v>
      </c>
      <c r="E1986" t="s">
        <v>5475</v>
      </c>
      <c r="F1986" s="23">
        <v>44346</v>
      </c>
      <c r="G1986" s="1">
        <v>16188</v>
      </c>
    </row>
    <row r="1987" spans="1:7">
      <c r="A1987" t="s">
        <v>5711</v>
      </c>
      <c r="B1987" t="s">
        <v>78</v>
      </c>
      <c r="C1987" t="s">
        <v>638</v>
      </c>
      <c r="D1987" t="s">
        <v>637</v>
      </c>
      <c r="E1987" t="s">
        <v>5476</v>
      </c>
      <c r="F1987" s="23">
        <v>44346</v>
      </c>
      <c r="G1987" s="1">
        <v>19558</v>
      </c>
    </row>
    <row r="1988" spans="1:7">
      <c r="A1988" t="s">
        <v>5711</v>
      </c>
      <c r="B1988" t="s">
        <v>311</v>
      </c>
      <c r="C1988" t="s">
        <v>2761</v>
      </c>
      <c r="D1988" t="s">
        <v>2760</v>
      </c>
      <c r="E1988" t="s">
        <v>5477</v>
      </c>
      <c r="F1988" s="23">
        <v>44346</v>
      </c>
      <c r="G1988" s="1">
        <v>8426</v>
      </c>
    </row>
    <row r="1989" spans="1:7">
      <c r="A1989" t="s">
        <v>5711</v>
      </c>
      <c r="B1989" t="s">
        <v>106</v>
      </c>
      <c r="C1989" t="s">
        <v>5712</v>
      </c>
      <c r="D1989" t="s">
        <v>212</v>
      </c>
      <c r="E1989" t="s">
        <v>5478</v>
      </c>
      <c r="F1989" s="23">
        <v>44940</v>
      </c>
      <c r="G1989" s="1">
        <v>2422</v>
      </c>
    </row>
    <row r="1990" spans="1:7">
      <c r="A1990" t="s">
        <v>5711</v>
      </c>
      <c r="B1990" t="s">
        <v>101</v>
      </c>
      <c r="C1990" t="s">
        <v>1797</v>
      </c>
      <c r="D1990" t="s">
        <v>1796</v>
      </c>
      <c r="E1990" t="s">
        <v>5479</v>
      </c>
      <c r="F1990" s="23">
        <v>44346</v>
      </c>
      <c r="G1990" s="1">
        <v>2923</v>
      </c>
    </row>
    <row r="1991" spans="1:7">
      <c r="A1991" t="s">
        <v>5711</v>
      </c>
      <c r="B1991" t="s">
        <v>106</v>
      </c>
      <c r="C1991" t="s">
        <v>2218</v>
      </c>
      <c r="D1991" t="s">
        <v>3079</v>
      </c>
      <c r="E1991" t="s">
        <v>5480</v>
      </c>
      <c r="F1991" s="23">
        <v>44346</v>
      </c>
      <c r="G1991" s="1">
        <v>11642</v>
      </c>
    </row>
    <row r="1992" spans="1:7">
      <c r="A1992" t="s">
        <v>5711</v>
      </c>
      <c r="B1992" t="s">
        <v>37</v>
      </c>
      <c r="C1992" t="s">
        <v>171</v>
      </c>
      <c r="D1992" t="s">
        <v>170</v>
      </c>
      <c r="E1992" t="s">
        <v>5481</v>
      </c>
      <c r="F1992" s="23">
        <v>44346</v>
      </c>
      <c r="G1992" s="1">
        <v>13290</v>
      </c>
    </row>
    <row r="1993" spans="1:7">
      <c r="A1993" t="s">
        <v>5711</v>
      </c>
      <c r="B1993" t="s">
        <v>298</v>
      </c>
      <c r="C1993" t="s">
        <v>2443</v>
      </c>
      <c r="D1993" t="s">
        <v>3438</v>
      </c>
      <c r="E1993" t="s">
        <v>5482</v>
      </c>
      <c r="F1993" s="23">
        <v>44346</v>
      </c>
      <c r="G1993" s="1">
        <v>13564</v>
      </c>
    </row>
    <row r="1994" spans="1:7">
      <c r="A1994" t="s">
        <v>5711</v>
      </c>
      <c r="B1994" t="s">
        <v>43</v>
      </c>
      <c r="C1994" t="s">
        <v>1140</v>
      </c>
      <c r="D1994" t="s">
        <v>1139</v>
      </c>
      <c r="E1994" t="s">
        <v>5483</v>
      </c>
      <c r="F1994" s="23">
        <v>44644</v>
      </c>
      <c r="G1994" s="1">
        <v>9312</v>
      </c>
    </row>
    <row r="1995" spans="1:7">
      <c r="A1995" t="s">
        <v>5711</v>
      </c>
      <c r="B1995" t="s">
        <v>94</v>
      </c>
      <c r="C1995" t="s">
        <v>1770</v>
      </c>
      <c r="D1995" t="s">
        <v>1769</v>
      </c>
      <c r="E1995" t="s">
        <v>5484</v>
      </c>
      <c r="F1995" s="23">
        <v>44847</v>
      </c>
      <c r="G1995" s="1">
        <v>6042</v>
      </c>
    </row>
    <row r="1996" spans="1:7">
      <c r="A1996" t="s">
        <v>5711</v>
      </c>
      <c r="B1996" t="s">
        <v>94</v>
      </c>
      <c r="C1996" t="s">
        <v>3486</v>
      </c>
      <c r="D1996" t="s">
        <v>372</v>
      </c>
      <c r="E1996" t="s">
        <v>5485</v>
      </c>
      <c r="F1996" s="23">
        <v>44772</v>
      </c>
      <c r="G1996" s="1">
        <v>2125</v>
      </c>
    </row>
    <row r="1997" spans="1:7">
      <c r="A1997" t="s">
        <v>5711</v>
      </c>
      <c r="B1997" t="s">
        <v>94</v>
      </c>
      <c r="C1997" t="s">
        <v>3487</v>
      </c>
      <c r="D1997" t="s">
        <v>1209</v>
      </c>
      <c r="E1997" t="s">
        <v>5486</v>
      </c>
      <c r="F1997" s="23">
        <v>44346</v>
      </c>
      <c r="G1997" s="1">
        <v>5156</v>
      </c>
    </row>
    <row r="1998" spans="1:7">
      <c r="A1998" t="s">
        <v>5711</v>
      </c>
      <c r="B1998" t="s">
        <v>94</v>
      </c>
      <c r="C1998" t="s">
        <v>3486</v>
      </c>
      <c r="D1998" t="s">
        <v>5691</v>
      </c>
      <c r="E1998" t="s">
        <v>5487</v>
      </c>
      <c r="F1998" s="23">
        <v>44372</v>
      </c>
      <c r="G1998" s="1">
        <v>7070</v>
      </c>
    </row>
    <row r="1999" spans="1:7">
      <c r="A1999" t="s">
        <v>5711</v>
      </c>
      <c r="B1999" t="s">
        <v>311</v>
      </c>
      <c r="C1999" t="s">
        <v>2323</v>
      </c>
      <c r="D1999" t="s">
        <v>2915</v>
      </c>
      <c r="E1999" t="s">
        <v>5488</v>
      </c>
      <c r="F1999" s="23">
        <v>44346</v>
      </c>
      <c r="G1999" s="1">
        <v>13110</v>
      </c>
    </row>
    <row r="2000" spans="1:7">
      <c r="A2000" t="s">
        <v>5711</v>
      </c>
      <c r="B2000" t="s">
        <v>106</v>
      </c>
      <c r="C2000" t="s">
        <v>1368</v>
      </c>
      <c r="D2000" t="s">
        <v>5692</v>
      </c>
      <c r="E2000" t="s">
        <v>5489</v>
      </c>
      <c r="F2000" s="23">
        <v>44346</v>
      </c>
      <c r="G2000" s="1">
        <v>13407</v>
      </c>
    </row>
    <row r="2001" spans="1:7">
      <c r="A2001" t="s">
        <v>5711</v>
      </c>
      <c r="B2001" t="s">
        <v>94</v>
      </c>
      <c r="C2001" t="s">
        <v>3486</v>
      </c>
      <c r="D2001" t="s">
        <v>1817</v>
      </c>
      <c r="E2001" t="s">
        <v>5490</v>
      </c>
      <c r="F2001" s="23">
        <v>44346</v>
      </c>
      <c r="G2001" s="1">
        <v>16690</v>
      </c>
    </row>
    <row r="2002" spans="1:7">
      <c r="A2002" t="s">
        <v>5711</v>
      </c>
      <c r="B2002" t="s">
        <v>37</v>
      </c>
      <c r="C2002" t="s">
        <v>796</v>
      </c>
      <c r="D2002" t="s">
        <v>795</v>
      </c>
      <c r="E2002" t="s">
        <v>5491</v>
      </c>
      <c r="F2002" s="23">
        <v>44346</v>
      </c>
      <c r="G2002" s="1">
        <v>16044</v>
      </c>
    </row>
    <row r="2003" spans="1:7">
      <c r="A2003" t="s">
        <v>5711</v>
      </c>
      <c r="B2003" t="s">
        <v>106</v>
      </c>
      <c r="C2003" t="s">
        <v>2751</v>
      </c>
      <c r="D2003" t="s">
        <v>2750</v>
      </c>
      <c r="E2003" t="s">
        <v>5492</v>
      </c>
      <c r="F2003" s="23">
        <v>44346</v>
      </c>
      <c r="G2003" s="1">
        <v>16348</v>
      </c>
    </row>
  </sheetData>
  <sortState xmlns:xlrd2="http://schemas.microsoft.com/office/spreadsheetml/2017/richdata2" ref="I13:I30">
    <sortCondition ref="I13:I30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3323-C4B4-4AC4-B6B4-44CFCA21FA55}">
  <dimension ref="A1:M29"/>
  <sheetViews>
    <sheetView zoomScaleNormal="100" workbookViewId="0"/>
  </sheetViews>
  <sheetFormatPr defaultRowHeight="14.25"/>
  <cols>
    <col min="1" max="2" width="14.5" bestFit="1" customWidth="1"/>
    <col min="3" max="3" width="9.5" customWidth="1"/>
    <col min="4" max="8" width="18.75" customWidth="1"/>
    <col min="10" max="11" width="16.125" customWidth="1"/>
    <col min="12" max="13" width="13.25" customWidth="1"/>
  </cols>
  <sheetData>
    <row r="1" spans="1:13" ht="20.25" thickBot="1">
      <c r="A1" s="4" t="s">
        <v>5813</v>
      </c>
      <c r="B1" s="4"/>
      <c r="C1" s="4"/>
      <c r="D1" s="4"/>
      <c r="E1" s="4"/>
    </row>
    <row r="2" spans="1:13" ht="15" thickTop="1"/>
    <row r="3" spans="1:13" ht="15">
      <c r="D3" s="22" t="s">
        <v>7</v>
      </c>
    </row>
    <row r="4" spans="1:13">
      <c r="D4" s="15">
        <v>1.4999999999999999E-2</v>
      </c>
      <c r="E4" s="16">
        <v>6.4999999999999997E-3</v>
      </c>
      <c r="F4" s="17">
        <v>0.03</v>
      </c>
      <c r="G4" s="18">
        <v>0.01</v>
      </c>
      <c r="H4" s="19">
        <v>0.05</v>
      </c>
    </row>
    <row r="5" spans="1:13" ht="15.75" thickBot="1">
      <c r="B5" s="48" t="s">
        <v>6</v>
      </c>
      <c r="J5" t="s">
        <v>5820</v>
      </c>
      <c r="K5" t="s">
        <v>5821</v>
      </c>
      <c r="L5" t="s">
        <v>5811</v>
      </c>
      <c r="M5" t="s">
        <v>5812</v>
      </c>
    </row>
    <row r="6" spans="1:13">
      <c r="A6" s="13"/>
      <c r="B6" s="20">
        <v>114865.74</v>
      </c>
      <c r="C6" s="45">
        <f>VLOOKUP(B6,$B$25:$C$29,2,1)</f>
        <v>3.7500000000000006E-2</v>
      </c>
      <c r="D6" s="14" cm="1">
        <f t="array" ref="D6:H21">B6:B21*D4:H4</f>
        <v>1722.9861000000001</v>
      </c>
      <c r="E6" s="14">
        <v>746.62730999999997</v>
      </c>
      <c r="F6" s="14">
        <v>3445.9722000000002</v>
      </c>
      <c r="G6" s="14">
        <v>1148.6574000000001</v>
      </c>
      <c r="H6" s="14">
        <v>5743.2870000000003</v>
      </c>
    </row>
    <row r="7" spans="1:13">
      <c r="A7" s="13"/>
      <c r="B7" s="20">
        <v>113447.16</v>
      </c>
      <c r="C7" s="45">
        <f t="shared" ref="C7:C21" si="0">VLOOKUP(B7,$B$25:$C$29,2,1)</f>
        <v>3.7500000000000006E-2</v>
      </c>
      <c r="D7" s="14">
        <v>1701.7074</v>
      </c>
      <c r="E7" s="14">
        <v>737.40653999999995</v>
      </c>
      <c r="F7" s="14">
        <v>3403.4148</v>
      </c>
      <c r="G7" s="14">
        <v>1134.4716000000001</v>
      </c>
      <c r="H7" s="14">
        <v>5672.3580000000002</v>
      </c>
    </row>
    <row r="8" spans="1:13">
      <c r="A8" s="13"/>
      <c r="B8" s="20">
        <v>54977.82</v>
      </c>
      <c r="C8" s="45">
        <f t="shared" si="0"/>
        <v>2.5000000000000001E-2</v>
      </c>
      <c r="D8" s="14">
        <v>824.66729999999995</v>
      </c>
      <c r="E8" s="14">
        <v>357.35582999999997</v>
      </c>
      <c r="F8" s="14">
        <v>1649.3345999999999</v>
      </c>
      <c r="G8" s="14">
        <v>549.77819999999997</v>
      </c>
      <c r="H8" s="14">
        <v>2748.8910000000001</v>
      </c>
    </row>
    <row r="9" spans="1:13">
      <c r="A9" s="13"/>
      <c r="B9" s="20">
        <v>37932.68</v>
      </c>
      <c r="C9" s="45">
        <f t="shared" si="0"/>
        <v>2.2499999999999999E-2</v>
      </c>
      <c r="D9" s="14">
        <v>568.99019999999996</v>
      </c>
      <c r="E9" s="14">
        <v>246.56242</v>
      </c>
      <c r="F9" s="14">
        <v>1137.9803999999999</v>
      </c>
      <c r="G9" s="14">
        <v>379.32679999999999</v>
      </c>
      <c r="H9" s="14">
        <v>1896.634</v>
      </c>
    </row>
    <row r="10" spans="1:13">
      <c r="A10" s="13"/>
      <c r="B10" s="20">
        <v>109622.33</v>
      </c>
      <c r="C10" s="45">
        <f t="shared" si="0"/>
        <v>3.7500000000000006E-2</v>
      </c>
      <c r="D10" s="14">
        <v>1644.3349499999999</v>
      </c>
      <c r="E10" s="14">
        <v>712.54514499999993</v>
      </c>
      <c r="F10" s="14">
        <v>3288.6698999999999</v>
      </c>
      <c r="G10" s="14">
        <v>1096.2233000000001</v>
      </c>
      <c r="H10" s="14">
        <v>5481.1165000000001</v>
      </c>
    </row>
    <row r="11" spans="1:13">
      <c r="A11" s="13"/>
      <c r="B11" s="20">
        <v>89540.75</v>
      </c>
      <c r="C11" s="45">
        <f t="shared" si="0"/>
        <v>2.5000000000000001E-2</v>
      </c>
      <c r="D11" s="14">
        <v>1343.1112499999999</v>
      </c>
      <c r="E11" s="14">
        <v>582.01487499999996</v>
      </c>
      <c r="F11" s="14">
        <v>2686.2224999999999</v>
      </c>
      <c r="G11" s="14">
        <v>895.40750000000003</v>
      </c>
      <c r="H11" s="14">
        <v>4477.0375000000004</v>
      </c>
    </row>
    <row r="12" spans="1:13">
      <c r="A12" s="13"/>
      <c r="B12" s="20">
        <v>72404.25</v>
      </c>
      <c r="C12" s="45">
        <f t="shared" si="0"/>
        <v>2.5000000000000001E-2</v>
      </c>
      <c r="D12" s="14">
        <v>1086.06375</v>
      </c>
      <c r="E12" s="14">
        <v>470.62762499999997</v>
      </c>
      <c r="F12" s="14">
        <v>2172.1275000000001</v>
      </c>
      <c r="G12" s="14">
        <v>724.04250000000002</v>
      </c>
      <c r="H12" s="14">
        <v>3620.2125000000001</v>
      </c>
    </row>
    <row r="13" spans="1:13">
      <c r="A13" s="13"/>
      <c r="B13" s="20">
        <v>137770.01999999999</v>
      </c>
      <c r="C13" s="45">
        <f t="shared" si="0"/>
        <v>3.7500000000000006E-2</v>
      </c>
      <c r="D13" s="14">
        <v>2066.5502999999999</v>
      </c>
      <c r="E13" s="14">
        <v>895.50512999999989</v>
      </c>
      <c r="F13" s="14">
        <v>4133.1005999999998</v>
      </c>
      <c r="G13" s="14">
        <v>1377.7002</v>
      </c>
      <c r="H13" s="14">
        <v>6888.5010000000002</v>
      </c>
    </row>
    <row r="14" spans="1:13">
      <c r="A14" s="13"/>
      <c r="B14" s="20">
        <v>59985.82</v>
      </c>
      <c r="C14" s="45">
        <f t="shared" si="0"/>
        <v>2.5000000000000001E-2</v>
      </c>
      <c r="D14" s="14">
        <v>899.78729999999996</v>
      </c>
      <c r="E14" s="14">
        <v>389.90782999999999</v>
      </c>
      <c r="F14" s="14">
        <v>1799.5745999999999</v>
      </c>
      <c r="G14" s="14">
        <v>599.85820000000001</v>
      </c>
      <c r="H14" s="14">
        <v>2999.2910000000002</v>
      </c>
    </row>
    <row r="15" spans="1:13">
      <c r="A15" s="13"/>
      <c r="B15" s="20">
        <v>89747.02</v>
      </c>
      <c r="C15" s="45">
        <f t="shared" si="0"/>
        <v>2.5000000000000001E-2</v>
      </c>
      <c r="D15" s="14">
        <v>1346.2053000000001</v>
      </c>
      <c r="E15" s="14">
        <v>583.35563000000002</v>
      </c>
      <c r="F15" s="14">
        <v>2692.4106000000002</v>
      </c>
      <c r="G15" s="14">
        <v>897.47020000000009</v>
      </c>
      <c r="H15" s="14">
        <v>4487.3510000000006</v>
      </c>
    </row>
    <row r="16" spans="1:13">
      <c r="A16" s="13"/>
      <c r="B16" s="20">
        <v>20188.97</v>
      </c>
      <c r="C16" s="45">
        <f t="shared" si="0"/>
        <v>0</v>
      </c>
      <c r="D16" s="14">
        <v>302.83454999999998</v>
      </c>
      <c r="E16" s="14">
        <v>131.22830500000001</v>
      </c>
      <c r="F16" s="14">
        <v>605.66909999999996</v>
      </c>
      <c r="G16" s="14">
        <v>201.8897</v>
      </c>
      <c r="H16" s="14">
        <v>1009.4485000000001</v>
      </c>
    </row>
    <row r="17" spans="1:8">
      <c r="A17" s="13"/>
      <c r="B17" s="20">
        <v>32968.949999999997</v>
      </c>
      <c r="C17" s="45">
        <f t="shared" si="0"/>
        <v>2.2499999999999999E-2</v>
      </c>
      <c r="D17" s="14">
        <v>494.53424999999993</v>
      </c>
      <c r="E17" s="14">
        <v>214.29817499999996</v>
      </c>
      <c r="F17" s="14">
        <v>989.06849999999986</v>
      </c>
      <c r="G17" s="14">
        <v>329.68949999999995</v>
      </c>
      <c r="H17" s="14">
        <v>1648.4475</v>
      </c>
    </row>
    <row r="18" spans="1:8">
      <c r="A18" s="13"/>
      <c r="B18" s="20">
        <v>14288.52</v>
      </c>
      <c r="C18" s="45">
        <f t="shared" si="0"/>
        <v>0</v>
      </c>
      <c r="D18" s="14">
        <v>214.3278</v>
      </c>
      <c r="E18" s="14">
        <v>92.875379999999993</v>
      </c>
      <c r="F18" s="14">
        <v>428.65559999999999</v>
      </c>
      <c r="G18" s="14">
        <v>142.8852</v>
      </c>
      <c r="H18" s="14">
        <v>714.42600000000004</v>
      </c>
    </row>
    <row r="19" spans="1:8">
      <c r="A19" s="13"/>
      <c r="B19" s="20">
        <v>7472.1</v>
      </c>
      <c r="C19" s="45">
        <f t="shared" si="0"/>
        <v>0</v>
      </c>
      <c r="D19" s="14">
        <v>112.08150000000001</v>
      </c>
      <c r="E19" s="14">
        <v>48.568649999999998</v>
      </c>
      <c r="F19" s="14">
        <v>224.16300000000001</v>
      </c>
      <c r="G19" s="14">
        <v>74.721000000000004</v>
      </c>
      <c r="H19" s="14">
        <v>373.60500000000002</v>
      </c>
    </row>
    <row r="20" spans="1:8">
      <c r="A20" s="13"/>
      <c r="B20" s="20">
        <v>97805.31</v>
      </c>
      <c r="C20" s="45">
        <f t="shared" si="0"/>
        <v>2.5000000000000001E-2</v>
      </c>
      <c r="D20" s="14">
        <v>1467.0796499999999</v>
      </c>
      <c r="E20" s="14">
        <v>635.73451499999999</v>
      </c>
      <c r="F20" s="14">
        <v>2934.1592999999998</v>
      </c>
      <c r="G20" s="14">
        <v>978.05309999999997</v>
      </c>
      <c r="H20" s="14">
        <v>4890.2655000000004</v>
      </c>
    </row>
    <row r="21" spans="1:8">
      <c r="A21" s="13"/>
      <c r="B21" s="20">
        <v>132149.29</v>
      </c>
      <c r="C21" s="45">
        <f t="shared" si="0"/>
        <v>3.7500000000000006E-2</v>
      </c>
      <c r="D21" s="14">
        <v>1982.2393500000001</v>
      </c>
      <c r="E21" s="14">
        <v>858.97038499999996</v>
      </c>
      <c r="F21" s="14">
        <v>3964.4787000000001</v>
      </c>
      <c r="G21" s="14">
        <v>1321.4929000000002</v>
      </c>
      <c r="H21" s="14">
        <v>6607.464500000001</v>
      </c>
    </row>
    <row r="24" spans="1:8" ht="17.25" thickBot="1">
      <c r="B24" s="26" t="s">
        <v>5822</v>
      </c>
      <c r="C24" s="26"/>
    </row>
    <row r="25" spans="1:8" ht="15" thickTop="1">
      <c r="B25">
        <v>0</v>
      </c>
      <c r="C25" s="45">
        <v>0</v>
      </c>
    </row>
    <row r="26" spans="1:8">
      <c r="B26">
        <v>25000</v>
      </c>
      <c r="C26" s="45">
        <v>2.2499999999999999E-2</v>
      </c>
    </row>
    <row r="27" spans="1:8">
      <c r="B27">
        <v>50000</v>
      </c>
      <c r="C27" s="45">
        <v>2.5000000000000001E-2</v>
      </c>
    </row>
    <row r="28" spans="1:8">
      <c r="B28">
        <v>100000</v>
      </c>
      <c r="C28" s="45">
        <v>3.7500000000000006E-2</v>
      </c>
    </row>
    <row r="29" spans="1:8">
      <c r="B29">
        <v>150000</v>
      </c>
      <c r="C29" s="45">
        <v>0.04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1C81-95F6-4479-A986-D6660BBCD7B0}">
  <dimension ref="A1:D31"/>
  <sheetViews>
    <sheetView zoomScale="115" zoomScaleNormal="115" workbookViewId="0"/>
  </sheetViews>
  <sheetFormatPr defaultRowHeight="14.25"/>
  <sheetData>
    <row r="1" spans="1:4" ht="20.25" thickBot="1">
      <c r="A1" s="4" t="s">
        <v>5897</v>
      </c>
      <c r="B1" s="4"/>
      <c r="C1" s="4"/>
      <c r="D1" s="4"/>
    </row>
    <row r="2" spans="1:4" ht="15" thickTop="1">
      <c r="A2" t="s">
        <v>5814</v>
      </c>
    </row>
    <row r="4" spans="1:4">
      <c r="A4" t="s">
        <v>5815</v>
      </c>
    </row>
    <row r="5" spans="1:4">
      <c r="A5" t="s">
        <v>5816</v>
      </c>
    </row>
    <row r="6" spans="1:4">
      <c r="A6" t="s">
        <v>5819</v>
      </c>
    </row>
    <row r="7" spans="1:4">
      <c r="A7" t="s">
        <v>5817</v>
      </c>
    </row>
    <row r="8" spans="1:4">
      <c r="A8" t="s">
        <v>5818</v>
      </c>
    </row>
    <row r="10" spans="1:4">
      <c r="A10" t="s">
        <v>5693</v>
      </c>
    </row>
    <row r="11" spans="1:4">
      <c r="A11" t="str" cm="1">
        <f t="array" ref="A11:A31">_xlfn._xlws.SORT(_xlfn.UNIQUE('Procura e Referência'!A4:A2003))</f>
        <v>Altamira</v>
      </c>
    </row>
    <row r="12" spans="1:4">
      <c r="A12" t="str">
        <v>Antônio</v>
      </c>
    </row>
    <row r="13" spans="1:4">
      <c r="A13" t="str">
        <v>App</v>
      </c>
    </row>
    <row r="14" spans="1:4">
      <c r="A14" t="str">
        <v>Cardoso</v>
      </c>
    </row>
    <row r="15" spans="1:4">
      <c r="A15" t="str">
        <v>Carla</v>
      </c>
    </row>
    <row r="16" spans="1:4">
      <c r="A16" t="str">
        <v>Cristiano</v>
      </c>
    </row>
    <row r="17" spans="1:1">
      <c r="A17" t="str">
        <v>Denise</v>
      </c>
    </row>
    <row r="18" spans="1:1">
      <c r="A18" t="str">
        <v>Geise</v>
      </c>
    </row>
    <row r="19" spans="1:1">
      <c r="A19" t="str">
        <v>Jaqueline</v>
      </c>
    </row>
    <row r="20" spans="1:1">
      <c r="A20" t="str">
        <v>José</v>
      </c>
    </row>
    <row r="21" spans="1:1">
      <c r="A21" t="str">
        <v>Manoel</v>
      </c>
    </row>
    <row r="22" spans="1:1">
      <c r="A22" t="str">
        <v>Marcos</v>
      </c>
    </row>
    <row r="23" spans="1:1">
      <c r="A23" t="str">
        <v>Maria</v>
      </c>
    </row>
    <row r="24" spans="1:1">
      <c r="A24" t="str">
        <v>Mateus</v>
      </c>
    </row>
    <row r="25" spans="1:1">
      <c r="A25" t="str">
        <v>Moraes</v>
      </c>
    </row>
    <row r="26" spans="1:1">
      <c r="A26" t="str">
        <v>Patrick</v>
      </c>
    </row>
    <row r="27" spans="1:1">
      <c r="A27" t="str">
        <v>Pedro</v>
      </c>
    </row>
    <row r="28" spans="1:1">
      <c r="A28" t="str">
        <v>Rebeca</v>
      </c>
    </row>
    <row r="29" spans="1:1">
      <c r="A29" t="str">
        <v>Roberta</v>
      </c>
    </row>
    <row r="30" spans="1:1">
      <c r="A30" t="str">
        <v>Rosalina</v>
      </c>
    </row>
    <row r="31" spans="1:1">
      <c r="A31" t="str">
        <v>Zuleica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A3D2-39AF-4A57-9156-469CFA2A0A7B}">
  <dimension ref="A1:C24"/>
  <sheetViews>
    <sheetView zoomScale="130" zoomScaleNormal="130" workbookViewId="0"/>
  </sheetViews>
  <sheetFormatPr defaultRowHeight="14.25"/>
  <cols>
    <col min="1" max="1" width="10.125" customWidth="1"/>
  </cols>
  <sheetData>
    <row r="1" spans="1:3" ht="20.25" thickBot="1">
      <c r="A1" s="4" t="s">
        <v>5823</v>
      </c>
      <c r="B1" s="4"/>
      <c r="C1" s="4"/>
    </row>
    <row r="2" spans="1:3" ht="15" thickTop="1">
      <c r="A2" t="s">
        <v>5853</v>
      </c>
    </row>
    <row r="4" spans="1:3" ht="15.75" thickBot="1">
      <c r="A4" s="21" t="s">
        <v>5693</v>
      </c>
      <c r="B4" s="21" t="s">
        <v>5824</v>
      </c>
    </row>
    <row r="5" spans="1:3">
      <c r="A5" t="s">
        <v>5694</v>
      </c>
      <c r="B5" t="s">
        <v>5825</v>
      </c>
    </row>
    <row r="6" spans="1:3">
      <c r="A6" t="s">
        <v>5695</v>
      </c>
      <c r="B6" t="s">
        <v>5825</v>
      </c>
    </row>
    <row r="7" spans="1:3">
      <c r="A7" t="s">
        <v>5696</v>
      </c>
      <c r="B7" t="s">
        <v>5825</v>
      </c>
    </row>
    <row r="8" spans="1:3">
      <c r="A8" t="s">
        <v>1656</v>
      </c>
      <c r="B8" t="s">
        <v>5825</v>
      </c>
    </row>
    <row r="9" spans="1:3">
      <c r="A9" t="s">
        <v>5697</v>
      </c>
      <c r="B9" t="s">
        <v>5825</v>
      </c>
    </row>
    <row r="10" spans="1:3">
      <c r="A10" t="s">
        <v>5698</v>
      </c>
      <c r="B10" t="s">
        <v>5827</v>
      </c>
    </row>
    <row r="11" spans="1:3">
      <c r="A11" t="s">
        <v>5699</v>
      </c>
      <c r="B11" t="s">
        <v>5827</v>
      </c>
    </row>
    <row r="12" spans="1:3">
      <c r="A12" t="s">
        <v>5700</v>
      </c>
      <c r="B12" t="s">
        <v>5827</v>
      </c>
    </row>
    <row r="13" spans="1:3">
      <c r="A13" t="s">
        <v>5701</v>
      </c>
      <c r="B13" t="s">
        <v>5827</v>
      </c>
    </row>
    <row r="14" spans="1:3">
      <c r="A14" t="s">
        <v>5702</v>
      </c>
      <c r="B14" t="s">
        <v>5826</v>
      </c>
    </row>
    <row r="15" spans="1:3">
      <c r="A15" t="s">
        <v>2235</v>
      </c>
      <c r="B15" t="s">
        <v>5826</v>
      </c>
    </row>
    <row r="16" spans="1:3">
      <c r="A16" t="s">
        <v>5703</v>
      </c>
      <c r="B16" t="s">
        <v>5826</v>
      </c>
    </row>
    <row r="17" spans="1:2">
      <c r="A17" t="s">
        <v>5704</v>
      </c>
      <c r="B17" t="s">
        <v>5826</v>
      </c>
    </row>
    <row r="18" spans="1:2">
      <c r="A18" t="s">
        <v>5705</v>
      </c>
      <c r="B18" t="s">
        <v>5826</v>
      </c>
    </row>
    <row r="19" spans="1:2">
      <c r="A19" t="s">
        <v>5706</v>
      </c>
      <c r="B19" t="s">
        <v>5828</v>
      </c>
    </row>
    <row r="20" spans="1:2">
      <c r="A20" t="s">
        <v>5707</v>
      </c>
      <c r="B20" t="s">
        <v>5828</v>
      </c>
    </row>
    <row r="21" spans="1:2">
      <c r="A21" t="s">
        <v>5708</v>
      </c>
      <c r="B21" t="s">
        <v>5828</v>
      </c>
    </row>
    <row r="22" spans="1:2">
      <c r="A22" t="s">
        <v>5709</v>
      </c>
      <c r="B22" t="s">
        <v>5828</v>
      </c>
    </row>
    <row r="23" spans="1:2">
      <c r="A23" t="s">
        <v>5710</v>
      </c>
      <c r="B23" t="s">
        <v>5828</v>
      </c>
    </row>
    <row r="24" spans="1:2">
      <c r="A24" t="s">
        <v>5711</v>
      </c>
      <c r="B24" t="s">
        <v>5711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6411-9C83-4E85-B3EB-35DFD7687CBE}">
  <sheetPr>
    <tabColor theme="9" tint="0.79998168889431442"/>
  </sheetPr>
  <dimension ref="A3:D31"/>
  <sheetViews>
    <sheetView zoomScale="115" zoomScaleNormal="115" workbookViewId="0"/>
  </sheetViews>
  <sheetFormatPr defaultRowHeight="14.25"/>
  <cols>
    <col min="1" max="1" width="18" bestFit="1" customWidth="1"/>
    <col min="2" max="2" width="16.25" bestFit="1" customWidth="1"/>
  </cols>
  <sheetData>
    <row r="3" spans="1:4">
      <c r="A3" s="72" t="s">
        <v>5899</v>
      </c>
      <c r="B3" t="s">
        <v>5901</v>
      </c>
    </row>
    <row r="4" spans="1:4">
      <c r="A4" s="73" t="s">
        <v>5826</v>
      </c>
      <c r="B4" s="77"/>
    </row>
    <row r="5" spans="1:4">
      <c r="A5" s="74" t="s">
        <v>5702</v>
      </c>
      <c r="B5" s="77">
        <v>110385</v>
      </c>
    </row>
    <row r="6" spans="1:4">
      <c r="A6" s="74" t="s">
        <v>5705</v>
      </c>
      <c r="B6" s="77">
        <v>355635</v>
      </c>
    </row>
    <row r="7" spans="1:4">
      <c r="A7" s="74" t="s">
        <v>2235</v>
      </c>
      <c r="B7" s="77">
        <v>200950</v>
      </c>
    </row>
    <row r="8" spans="1:4">
      <c r="A8" s="74" t="s">
        <v>5704</v>
      </c>
      <c r="B8" s="77">
        <v>174226</v>
      </c>
    </row>
    <row r="9" spans="1:4">
      <c r="A9" s="74" t="s">
        <v>5703</v>
      </c>
      <c r="B9" s="77">
        <v>141338</v>
      </c>
    </row>
    <row r="10" spans="1:4" ht="15">
      <c r="A10" s="73" t="s">
        <v>5711</v>
      </c>
      <c r="B10" s="77"/>
      <c r="D10" s="85" t="s">
        <v>5940</v>
      </c>
    </row>
    <row r="11" spans="1:4">
      <c r="A11" s="74" t="s">
        <v>5711</v>
      </c>
      <c r="B11" s="77">
        <v>16058563</v>
      </c>
      <c r="D11" t="s">
        <v>5941</v>
      </c>
    </row>
    <row r="12" spans="1:4">
      <c r="A12" s="73" t="s">
        <v>5825</v>
      </c>
      <c r="B12" s="77"/>
      <c r="D12" t="s">
        <v>5942</v>
      </c>
    </row>
    <row r="13" spans="1:4">
      <c r="A13" s="74" t="s">
        <v>5697</v>
      </c>
      <c r="B13" s="77">
        <v>130069</v>
      </c>
      <c r="D13" t="s">
        <v>5943</v>
      </c>
    </row>
    <row r="14" spans="1:4">
      <c r="A14" s="74" t="s">
        <v>1656</v>
      </c>
      <c r="B14" s="77">
        <v>82660</v>
      </c>
      <c r="D14" t="s">
        <v>5944</v>
      </c>
    </row>
    <row r="15" spans="1:4">
      <c r="A15" s="74" t="s">
        <v>5695</v>
      </c>
      <c r="B15" s="77">
        <v>93538</v>
      </c>
    </row>
    <row r="16" spans="1:4">
      <c r="A16" s="74" t="s">
        <v>5694</v>
      </c>
      <c r="B16" s="77">
        <v>78581</v>
      </c>
      <c r="D16" t="s">
        <v>5945</v>
      </c>
    </row>
    <row r="17" spans="1:4">
      <c r="A17" s="74" t="s">
        <v>5696</v>
      </c>
      <c r="B17" s="77">
        <v>70523</v>
      </c>
      <c r="D17" t="s">
        <v>5946</v>
      </c>
    </row>
    <row r="18" spans="1:4">
      <c r="A18" s="73" t="s">
        <v>5827</v>
      </c>
      <c r="B18" s="77"/>
      <c r="D18" t="s">
        <v>5947</v>
      </c>
    </row>
    <row r="19" spans="1:4">
      <c r="A19" s="74" t="s">
        <v>5698</v>
      </c>
      <c r="B19" s="77">
        <v>116083</v>
      </c>
      <c r="D19" t="s">
        <v>5948</v>
      </c>
    </row>
    <row r="20" spans="1:4">
      <c r="A20" s="74" t="s">
        <v>5701</v>
      </c>
      <c r="B20" s="77">
        <v>212082</v>
      </c>
    </row>
    <row r="21" spans="1:4">
      <c r="A21" s="74" t="s">
        <v>5700</v>
      </c>
      <c r="B21" s="77">
        <v>143434</v>
      </c>
    </row>
    <row r="22" spans="1:4">
      <c r="A22" s="74" t="s">
        <v>5699</v>
      </c>
      <c r="B22" s="77">
        <v>127974</v>
      </c>
    </row>
    <row r="23" spans="1:4">
      <c r="A23" s="73" t="s">
        <v>5828</v>
      </c>
      <c r="B23" s="77"/>
    </row>
    <row r="24" spans="1:4">
      <c r="A24" s="74" t="s">
        <v>5708</v>
      </c>
      <c r="B24" s="77">
        <v>381269</v>
      </c>
    </row>
    <row r="25" spans="1:4">
      <c r="A25" s="74" t="s">
        <v>5709</v>
      </c>
      <c r="B25" s="77">
        <v>255065</v>
      </c>
    </row>
    <row r="26" spans="1:4">
      <c r="A26" s="74" t="s">
        <v>5706</v>
      </c>
      <c r="B26" s="77">
        <v>359572</v>
      </c>
    </row>
    <row r="27" spans="1:4">
      <c r="A27" s="74" t="s">
        <v>5707</v>
      </c>
      <c r="B27" s="77">
        <v>665410</v>
      </c>
    </row>
    <row r="28" spans="1:4">
      <c r="A28" s="74" t="s">
        <v>5710</v>
      </c>
      <c r="B28" s="77">
        <v>485278</v>
      </c>
    </row>
    <row r="29" spans="1:4">
      <c r="A29" s="73" t="s">
        <v>5902</v>
      </c>
      <c r="B29" s="77"/>
    </row>
    <row r="30" spans="1:4">
      <c r="A30" s="74" t="s">
        <v>5898</v>
      </c>
      <c r="B30" s="77">
        <v>19553</v>
      </c>
    </row>
    <row r="31" spans="1:4">
      <c r="A31" s="73" t="s">
        <v>5900</v>
      </c>
      <c r="B31" s="77">
        <v>20262188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C678-C3F7-4962-94DF-B0C75297AB70}">
  <dimension ref="A1:M52"/>
  <sheetViews>
    <sheetView zoomScale="85" zoomScaleNormal="85" workbookViewId="0"/>
  </sheetViews>
  <sheetFormatPr defaultRowHeight="14.25"/>
  <cols>
    <col min="1" max="1" width="10.5" customWidth="1"/>
    <col min="2" max="2" width="14.125" customWidth="1"/>
    <col min="3" max="3" width="13.875" customWidth="1"/>
    <col min="4" max="4" width="20.5" customWidth="1"/>
    <col min="5" max="13" width="13.875" customWidth="1"/>
  </cols>
  <sheetData>
    <row r="1" spans="1:4" ht="20.25" thickBot="1">
      <c r="A1" s="4" t="s">
        <v>5829</v>
      </c>
      <c r="B1" s="4"/>
      <c r="C1" s="4"/>
      <c r="D1" s="4"/>
    </row>
    <row r="2" spans="1:4" ht="15" thickTop="1"/>
    <row r="3" spans="1:4" ht="17.25" thickBot="1">
      <c r="A3" s="26" t="s">
        <v>5830</v>
      </c>
      <c r="B3" s="26"/>
    </row>
    <row r="4" spans="1:4" ht="15.75" thickTop="1">
      <c r="A4" s="22" t="s">
        <v>5824</v>
      </c>
      <c r="B4" s="22" t="s">
        <v>3491</v>
      </c>
    </row>
    <row r="5" spans="1:4">
      <c r="A5" t="s">
        <v>5825</v>
      </c>
      <c r="B5" s="47">
        <v>474924</v>
      </c>
    </row>
    <row r="6" spans="1:4">
      <c r="A6" t="s">
        <v>5827</v>
      </c>
      <c r="B6" s="47">
        <v>599573</v>
      </c>
    </row>
    <row r="7" spans="1:4">
      <c r="A7" t="s">
        <v>5826</v>
      </c>
      <c r="B7" s="47">
        <v>982534</v>
      </c>
    </row>
    <row r="8" spans="1:4">
      <c r="A8" t="s">
        <v>5828</v>
      </c>
      <c r="B8" s="47">
        <v>2146594</v>
      </c>
    </row>
    <row r="9" spans="1:4">
      <c r="A9" t="s">
        <v>5711</v>
      </c>
      <c r="B9" s="47">
        <v>16058563</v>
      </c>
    </row>
    <row r="11" spans="1:4" ht="17.25" thickBot="1">
      <c r="A11" s="26" t="s">
        <v>5831</v>
      </c>
      <c r="B11" s="26"/>
    </row>
    <row r="12" spans="1:4" ht="15.75" thickTop="1">
      <c r="A12" s="22" t="s">
        <v>5832</v>
      </c>
      <c r="B12" s="22" t="s">
        <v>5833</v>
      </c>
    </row>
    <row r="13" spans="1:4">
      <c r="A13" t="s">
        <v>5834</v>
      </c>
      <c r="B13" s="49">
        <v>950000</v>
      </c>
    </row>
    <row r="14" spans="1:4">
      <c r="A14" t="s">
        <v>5835</v>
      </c>
      <c r="B14" s="49">
        <v>400000</v>
      </c>
    </row>
    <row r="15" spans="1:4">
      <c r="A15" t="s">
        <v>5838</v>
      </c>
      <c r="B15" s="49">
        <v>250000</v>
      </c>
    </row>
    <row r="16" spans="1:4">
      <c r="A16" t="s">
        <v>5836</v>
      </c>
      <c r="B16" s="49">
        <v>150000</v>
      </c>
    </row>
    <row r="17" spans="1:6">
      <c r="A17" t="s">
        <v>5839</v>
      </c>
      <c r="B17" s="49">
        <v>90000</v>
      </c>
    </row>
    <row r="18" spans="1:6">
      <c r="A18" t="s">
        <v>5837</v>
      </c>
      <c r="B18" s="49">
        <v>30000</v>
      </c>
    </row>
    <row r="20" spans="1:6" ht="17.25" thickBot="1">
      <c r="A20" s="26" t="s">
        <v>5840</v>
      </c>
      <c r="B20" s="26"/>
    </row>
    <row r="21" spans="1:6" ht="18" thickTop="1" thickBot="1">
      <c r="A21" s="26" t="e" vm="1">
        <v>#VALUE!</v>
      </c>
      <c r="B21" s="26"/>
      <c r="C21" s="26"/>
      <c r="D21" s="26"/>
      <c r="E21" s="26"/>
      <c r="F21" s="26"/>
    </row>
    <row r="22" spans="1:6" ht="16.5" thickTop="1" thickBot="1">
      <c r="A22" s="48" t="str" cm="1">
        <f t="array" aca="1" ref="A22:F43" ca="1">_xlfn.STOCKHISTORY(A21,DATE(2023,5,1),DATE(2023,5,30),0,1,0,2,3,4,1,5)</f>
        <v>Data</v>
      </c>
      <c r="B22" s="48" t="str">
        <f ca="1"/>
        <v>Abertura</v>
      </c>
      <c r="C22" s="48" t="str">
        <f ca="1"/>
        <v>Alto</v>
      </c>
      <c r="D22" s="48" t="str">
        <f ca="1"/>
        <v>Baixo</v>
      </c>
      <c r="E22" s="48" t="str">
        <f ca="1"/>
        <v>Fechamento</v>
      </c>
      <c r="F22" s="48" t="str">
        <f ca="1"/>
        <v>Volume</v>
      </c>
    </row>
    <row r="23" spans="1:6">
      <c r="A23" vm="2">
        <f ca="1"/>
        <v>45048</v>
      </c>
      <c r="B23" vm="3">
        <f ca="1"/>
        <v>23.7</v>
      </c>
      <c r="C23" vm="4">
        <f ca="1"/>
        <v>23.74</v>
      </c>
      <c r="D23" vm="5">
        <f ca="1"/>
        <v>22.64</v>
      </c>
      <c r="E23" vm="6">
        <f ca="1"/>
        <v>22.74</v>
      </c>
      <c r="F23" vm="7">
        <f ca="1"/>
        <v>67556900</v>
      </c>
    </row>
    <row r="24" spans="1:6">
      <c r="A24" vm="8">
        <f ca="1"/>
        <v>45049</v>
      </c>
      <c r="B24" vm="9">
        <f ca="1"/>
        <v>22.6</v>
      </c>
      <c r="C24" vm="10">
        <f ca="1"/>
        <v>22.99</v>
      </c>
      <c r="D24" vm="11">
        <f ca="1"/>
        <v>22.42</v>
      </c>
      <c r="E24" vm="12">
        <f ca="1"/>
        <v>22.66</v>
      </c>
      <c r="F24" vm="13">
        <f ca="1"/>
        <v>50965500</v>
      </c>
    </row>
    <row r="25" spans="1:6">
      <c r="A25" vm="14">
        <f ca="1"/>
        <v>45050</v>
      </c>
      <c r="B25" vm="15">
        <f ca="1"/>
        <v>22.89</v>
      </c>
      <c r="C25" vm="16">
        <f ca="1"/>
        <v>23.38</v>
      </c>
      <c r="D25" vm="17">
        <f ca="1"/>
        <v>22.61</v>
      </c>
      <c r="E25" vm="18">
        <f ca="1"/>
        <v>23.02</v>
      </c>
      <c r="F25" vm="19">
        <f ca="1"/>
        <v>57772200</v>
      </c>
    </row>
    <row r="26" spans="1:6">
      <c r="A26" vm="20">
        <f ca="1"/>
        <v>45051</v>
      </c>
      <c r="B26" vm="21">
        <f ca="1"/>
        <v>23.3</v>
      </c>
      <c r="C26" vm="22">
        <f ca="1"/>
        <v>24.17</v>
      </c>
      <c r="D26" vm="23">
        <f ca="1"/>
        <v>23.18</v>
      </c>
      <c r="E26" vm="24">
        <f ca="1"/>
        <v>24</v>
      </c>
      <c r="F26" vm="25">
        <f ca="1"/>
        <v>83124700</v>
      </c>
    </row>
    <row r="27" spans="1:6">
      <c r="A27" vm="26">
        <f ca="1"/>
        <v>45054</v>
      </c>
      <c r="B27" vm="27">
        <f ca="1"/>
        <v>24.45</v>
      </c>
      <c r="C27" vm="28">
        <f ca="1"/>
        <v>24.63</v>
      </c>
      <c r="D27" vm="29">
        <f ca="1"/>
        <v>24.21</v>
      </c>
      <c r="E27" vm="30">
        <f ca="1"/>
        <v>24.51</v>
      </c>
      <c r="F27" vm="31">
        <f ca="1"/>
        <v>59179200</v>
      </c>
    </row>
    <row r="28" spans="1:6">
      <c r="A28" vm="32">
        <f ca="1"/>
        <v>45055</v>
      </c>
      <c r="B28" vm="33">
        <f ca="1"/>
        <v>24.41</v>
      </c>
      <c r="C28" vm="34">
        <f ca="1"/>
        <v>24.8</v>
      </c>
      <c r="D28" vm="35">
        <f ca="1"/>
        <v>24.24</v>
      </c>
      <c r="E28" vm="36">
        <f ca="1"/>
        <v>24.59</v>
      </c>
      <c r="F28" vm="37">
        <f ca="1"/>
        <v>33712700</v>
      </c>
    </row>
    <row r="29" spans="1:6">
      <c r="A29" vm="38">
        <f ca="1"/>
        <v>45056</v>
      </c>
      <c r="B29" vm="36">
        <f ca="1"/>
        <v>24.59</v>
      </c>
      <c r="C29" vm="39">
        <f ca="1"/>
        <v>24.82</v>
      </c>
      <c r="D29" vm="40">
        <f ca="1"/>
        <v>24.33</v>
      </c>
      <c r="E29" vm="41">
        <f ca="1"/>
        <v>24.53</v>
      </c>
      <c r="F29" vm="42">
        <f ca="1"/>
        <v>41346300</v>
      </c>
    </row>
    <row r="30" spans="1:6">
      <c r="A30" vm="43">
        <f ca="1"/>
        <v>45057</v>
      </c>
      <c r="B30" vm="44">
        <f ca="1"/>
        <v>24.13</v>
      </c>
      <c r="C30" vm="45">
        <f ca="1"/>
        <v>25.48</v>
      </c>
      <c r="D30" vm="46">
        <f ca="1"/>
        <v>23.93</v>
      </c>
      <c r="E30" vm="47">
        <f ca="1"/>
        <v>25.43</v>
      </c>
      <c r="F30" vm="48">
        <f ca="1"/>
        <v>136305900</v>
      </c>
    </row>
    <row r="31" spans="1:6">
      <c r="A31" vm="49">
        <f ca="1"/>
        <v>45058</v>
      </c>
      <c r="B31" vm="50">
        <f ca="1"/>
        <v>25.58</v>
      </c>
      <c r="C31" vm="51">
        <f ca="1"/>
        <v>26.74</v>
      </c>
      <c r="D31" vm="45">
        <f ca="1"/>
        <v>25.48</v>
      </c>
      <c r="E31" vm="52">
        <f ca="1"/>
        <v>26.25</v>
      </c>
      <c r="F31" vm="53">
        <f ca="1"/>
        <v>117050200</v>
      </c>
    </row>
    <row r="32" spans="1:6">
      <c r="A32" vm="54">
        <f ca="1"/>
        <v>45061</v>
      </c>
      <c r="B32" vm="55">
        <f ca="1"/>
        <v>26.06</v>
      </c>
      <c r="C32" vm="56">
        <f ca="1"/>
        <v>26.15</v>
      </c>
      <c r="D32" vm="57">
        <f ca="1"/>
        <v>25.4</v>
      </c>
      <c r="E32" vm="58">
        <f ca="1"/>
        <v>25.66</v>
      </c>
      <c r="F32" vm="59">
        <f ca="1"/>
        <v>81864400</v>
      </c>
    </row>
    <row r="33" spans="1:13">
      <c r="A33" vm="60">
        <f ca="1"/>
        <v>45062</v>
      </c>
      <c r="B33" vm="61">
        <f ca="1"/>
        <v>26.11</v>
      </c>
      <c r="C33" vm="62">
        <f ca="1"/>
        <v>27.03</v>
      </c>
      <c r="D33" vm="63">
        <f ca="1"/>
        <v>26.08</v>
      </c>
      <c r="E33" vm="64">
        <f ca="1"/>
        <v>26.3</v>
      </c>
      <c r="F33" vm="65">
        <f ca="1"/>
        <v>117199600</v>
      </c>
    </row>
    <row r="34" spans="1:13">
      <c r="A34" vm="66">
        <f ca="1"/>
        <v>45063</v>
      </c>
      <c r="B34" vm="67">
        <f ca="1"/>
        <v>26.6</v>
      </c>
      <c r="C34" vm="68">
        <f ca="1"/>
        <v>26.76</v>
      </c>
      <c r="D34" vm="69">
        <f ca="1"/>
        <v>25.51</v>
      </c>
      <c r="E34" vm="58">
        <f ca="1"/>
        <v>25.66</v>
      </c>
      <c r="F34" vm="70">
        <f ca="1"/>
        <v>106826400</v>
      </c>
    </row>
    <row r="35" spans="1:13">
      <c r="A35" vm="71">
        <f ca="1"/>
        <v>45064</v>
      </c>
      <c r="B35" vm="72">
        <f ca="1"/>
        <v>25.59</v>
      </c>
      <c r="C35" vm="73">
        <f ca="1"/>
        <v>25.85</v>
      </c>
      <c r="D35" vm="74">
        <f ca="1"/>
        <v>25.35</v>
      </c>
      <c r="E35" vm="75">
        <f ca="1"/>
        <v>25.81</v>
      </c>
      <c r="F35" vm="76">
        <f ca="1"/>
        <v>62821200</v>
      </c>
    </row>
    <row r="36" spans="1:13">
      <c r="A36" vm="77">
        <f ca="1"/>
        <v>45065</v>
      </c>
      <c r="B36" vm="63">
        <f ca="1"/>
        <v>26.08</v>
      </c>
      <c r="C36" vm="78">
        <f ca="1"/>
        <v>26.18</v>
      </c>
      <c r="D36" vm="79">
        <f ca="1"/>
        <v>25.64</v>
      </c>
      <c r="E36" vm="80">
        <f ca="1"/>
        <v>25.92</v>
      </c>
      <c r="F36" vm="81">
        <f ca="1"/>
        <v>68059400</v>
      </c>
    </row>
    <row r="37" spans="1:13">
      <c r="A37" vm="82">
        <f ca="1"/>
        <v>45068</v>
      </c>
      <c r="B37" vm="83">
        <f ca="1"/>
        <v>25.88</v>
      </c>
      <c r="C37" vm="84">
        <f ca="1"/>
        <v>26.01</v>
      </c>
      <c r="D37" vm="85">
        <f ca="1"/>
        <v>25.5</v>
      </c>
      <c r="E37" vm="86">
        <f ca="1"/>
        <v>25.62</v>
      </c>
      <c r="F37" vm="87">
        <f ca="1"/>
        <v>37756200</v>
      </c>
    </row>
    <row r="38" spans="1:13">
      <c r="A38" vm="88">
        <f ca="1"/>
        <v>45069</v>
      </c>
      <c r="B38" vm="89">
        <f ca="1"/>
        <v>25.65</v>
      </c>
      <c r="C38" vm="90">
        <f ca="1"/>
        <v>26.43</v>
      </c>
      <c r="D38" vm="91">
        <f ca="1"/>
        <v>25.52</v>
      </c>
      <c r="E38" vm="52">
        <f ca="1"/>
        <v>26.25</v>
      </c>
      <c r="F38" vm="92">
        <f ca="1"/>
        <v>57844100</v>
      </c>
    </row>
    <row r="39" spans="1:13">
      <c r="A39" vm="93">
        <f ca="1"/>
        <v>45070</v>
      </c>
      <c r="B39" vm="52">
        <f ca="1"/>
        <v>26.25</v>
      </c>
      <c r="C39" vm="94">
        <f ca="1"/>
        <v>26.9</v>
      </c>
      <c r="D39" vm="95">
        <f ca="1"/>
        <v>26.05</v>
      </c>
      <c r="E39" vm="96">
        <f ca="1"/>
        <v>26.65</v>
      </c>
      <c r="F39" vm="97">
        <f ca="1"/>
        <v>54639300</v>
      </c>
    </row>
    <row r="40" spans="1:13">
      <c r="A40" vm="98">
        <f ca="1"/>
        <v>45071</v>
      </c>
      <c r="B40" vm="99">
        <f ca="1"/>
        <v>26.8</v>
      </c>
      <c r="C40" vm="100">
        <f ca="1"/>
        <v>26.84</v>
      </c>
      <c r="D40" vm="101">
        <f ca="1"/>
        <v>26.19</v>
      </c>
      <c r="E40" vm="102">
        <f ca="1"/>
        <v>26.45</v>
      </c>
      <c r="F40" vm="103">
        <f ca="1"/>
        <v>49026400</v>
      </c>
    </row>
    <row r="41" spans="1:13">
      <c r="A41" vm="104">
        <f ca="1"/>
        <v>45072</v>
      </c>
      <c r="B41" vm="105">
        <f ca="1"/>
        <v>26.81</v>
      </c>
      <c r="C41" vm="106">
        <f ca="1"/>
        <v>26.91</v>
      </c>
      <c r="D41" vm="107">
        <f ca="1"/>
        <v>26.53</v>
      </c>
      <c r="E41" vm="99">
        <f ca="1"/>
        <v>26.8</v>
      </c>
      <c r="F41" vm="108">
        <f ca="1"/>
        <v>39809900</v>
      </c>
    </row>
    <row r="42" spans="1:13">
      <c r="A42" vm="109">
        <f ca="1"/>
        <v>45075</v>
      </c>
      <c r="B42" vm="110">
        <f ca="1"/>
        <v>26.75</v>
      </c>
      <c r="C42" vm="111">
        <f ca="1"/>
        <v>26.82</v>
      </c>
      <c r="D42" vm="112">
        <f ca="1"/>
        <v>26.56</v>
      </c>
      <c r="E42" vm="113">
        <f ca="1"/>
        <v>26.69</v>
      </c>
      <c r="F42" vm="114">
        <f ca="1"/>
        <v>17917700</v>
      </c>
    </row>
    <row r="43" spans="1:13">
      <c r="A43" vm="115">
        <f ca="1"/>
        <v>45076</v>
      </c>
      <c r="B43" vm="116">
        <f ca="1"/>
        <v>26.72</v>
      </c>
      <c r="C43" vm="99">
        <f ca="1"/>
        <v>26.8</v>
      </c>
      <c r="D43" vm="117">
        <f ca="1"/>
        <v>26.26</v>
      </c>
      <c r="E43" vm="118">
        <f ca="1"/>
        <v>26.39</v>
      </c>
      <c r="F43" vm="119">
        <f ca="1"/>
        <v>45649600</v>
      </c>
    </row>
    <row r="45" spans="1:13" ht="17.25" thickBot="1">
      <c r="A45" s="26" t="s">
        <v>5841</v>
      </c>
      <c r="B45" s="26"/>
    </row>
    <row r="46" spans="1:13" ht="15.75" thickTop="1">
      <c r="A46" s="22" t="s">
        <v>5832</v>
      </c>
      <c r="B46" s="22" t="s">
        <v>5796</v>
      </c>
      <c r="C46" s="22" t="s">
        <v>5842</v>
      </c>
      <c r="D46" s="22" t="s">
        <v>5843</v>
      </c>
      <c r="E46" s="22" t="s">
        <v>5844</v>
      </c>
      <c r="F46" s="22" t="s">
        <v>5845</v>
      </c>
      <c r="G46" s="22" t="s">
        <v>5797</v>
      </c>
      <c r="H46" s="22" t="s">
        <v>5798</v>
      </c>
      <c r="I46" s="22" t="s">
        <v>5799</v>
      </c>
      <c r="J46" s="22" t="s">
        <v>5800</v>
      </c>
      <c r="K46" s="22" t="s">
        <v>5801</v>
      </c>
      <c r="L46" s="22" t="s">
        <v>5802</v>
      </c>
      <c r="M46" s="22" t="s">
        <v>5803</v>
      </c>
    </row>
    <row r="47" spans="1:13">
      <c r="A47" t="s">
        <v>5834</v>
      </c>
      <c r="B47" s="49">
        <v>950000</v>
      </c>
      <c r="C47" s="49">
        <v>1035500</v>
      </c>
      <c r="D47" s="49">
        <v>994080</v>
      </c>
      <c r="E47" s="49">
        <v>944376</v>
      </c>
      <c r="F47" s="49">
        <v>897157</v>
      </c>
      <c r="G47" s="49">
        <v>888185</v>
      </c>
      <c r="H47" s="49">
        <v>817130</v>
      </c>
      <c r="I47" s="49">
        <v>784444</v>
      </c>
      <c r="J47" s="49">
        <v>776599</v>
      </c>
      <c r="K47" s="49">
        <v>807662</v>
      </c>
      <c r="L47" s="49">
        <v>823815</v>
      </c>
      <c r="M47" s="49">
        <v>823815</v>
      </c>
    </row>
    <row r="48" spans="1:13">
      <c r="A48" t="s">
        <v>5835</v>
      </c>
      <c r="B48" s="49">
        <v>400000</v>
      </c>
      <c r="C48" s="49">
        <v>436000</v>
      </c>
      <c r="D48" s="49">
        <v>462160</v>
      </c>
      <c r="E48" s="49">
        <v>443673</v>
      </c>
      <c r="F48" s="49">
        <v>479166</v>
      </c>
      <c r="G48" s="49">
        <v>541457</v>
      </c>
      <c r="H48" s="49">
        <v>536042</v>
      </c>
      <c r="I48" s="49">
        <v>482437</v>
      </c>
      <c r="J48" s="49">
        <v>549978</v>
      </c>
      <c r="K48" s="49">
        <v>505979</v>
      </c>
      <c r="L48" s="49">
        <v>485739</v>
      </c>
      <c r="M48" s="49">
        <v>544027</v>
      </c>
    </row>
    <row r="49" spans="1:13">
      <c r="A49" t="s">
        <v>5838</v>
      </c>
      <c r="B49" s="49">
        <v>250000</v>
      </c>
      <c r="C49" s="49">
        <v>250000</v>
      </c>
      <c r="D49" s="49">
        <v>260000</v>
      </c>
      <c r="E49" s="49">
        <v>278200</v>
      </c>
      <c r="F49" s="49">
        <v>292110</v>
      </c>
      <c r="G49" s="49">
        <v>280425</v>
      </c>
      <c r="H49" s="49">
        <v>294446</v>
      </c>
      <c r="I49" s="49">
        <v>323890</v>
      </c>
      <c r="J49" s="49">
        <v>320651</v>
      </c>
      <c r="K49" s="49">
        <v>323857</v>
      </c>
      <c r="L49" s="49">
        <v>356242</v>
      </c>
      <c r="M49" s="49">
        <v>324180</v>
      </c>
    </row>
    <row r="50" spans="1:13">
      <c r="A50" t="s">
        <v>5836</v>
      </c>
      <c r="B50" s="49">
        <v>150000</v>
      </c>
      <c r="C50" s="49">
        <v>162000</v>
      </c>
      <c r="D50" s="49">
        <v>176580</v>
      </c>
      <c r="E50" s="49">
        <v>181877</v>
      </c>
      <c r="F50" s="49">
        <v>209158</v>
      </c>
      <c r="G50" s="49">
        <v>198700</v>
      </c>
      <c r="H50" s="49">
        <v>190752</v>
      </c>
      <c r="I50" s="49">
        <v>194567</v>
      </c>
      <c r="J50" s="49">
        <v>219860</v>
      </c>
      <c r="K50" s="49">
        <v>248441</v>
      </c>
      <c r="L50" s="49">
        <v>285707</v>
      </c>
      <c r="M50" s="49">
        <v>294278</v>
      </c>
    </row>
    <row r="51" spans="1:13">
      <c r="A51" t="s">
        <v>5839</v>
      </c>
      <c r="B51" s="49">
        <v>90000</v>
      </c>
      <c r="C51" s="49">
        <v>81900</v>
      </c>
      <c r="D51" s="49">
        <v>84357</v>
      </c>
      <c r="E51" s="49">
        <v>84357</v>
      </c>
      <c r="F51" s="49">
        <v>85200</v>
      </c>
      <c r="G51" s="49">
        <v>86052</v>
      </c>
      <c r="H51" s="49">
        <v>77446</v>
      </c>
      <c r="I51" s="49">
        <v>76671</v>
      </c>
      <c r="J51" s="49">
        <v>69003</v>
      </c>
      <c r="K51" s="49">
        <v>71073</v>
      </c>
      <c r="L51" s="49">
        <v>67519</v>
      </c>
      <c r="M51" s="49">
        <v>74270</v>
      </c>
    </row>
    <row r="52" spans="1:13">
      <c r="A52" t="s">
        <v>5837</v>
      </c>
      <c r="B52" s="49">
        <v>30000</v>
      </c>
      <c r="C52" s="49">
        <v>28800</v>
      </c>
      <c r="D52" s="49">
        <v>29664</v>
      </c>
      <c r="E52" s="49">
        <v>28180</v>
      </c>
      <c r="F52" s="49">
        <v>27616</v>
      </c>
      <c r="G52" s="49">
        <v>28444</v>
      </c>
      <c r="H52" s="49">
        <v>26452</v>
      </c>
      <c r="I52" s="49">
        <v>30155</v>
      </c>
      <c r="J52" s="49">
        <v>30155</v>
      </c>
      <c r="K52" s="49">
        <v>29853</v>
      </c>
      <c r="L52" s="49">
        <v>28957</v>
      </c>
      <c r="M52" s="49">
        <v>27509</v>
      </c>
    </row>
  </sheetData>
  <phoneticPr fontId="6" type="noConversion"/>
  <conditionalFormatting sqref="B46:B52">
    <cfRule type="dataBar" priority="12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{7D5046EE-A4A4-4003-B27F-9C045EC51900}</x14:id>
        </ext>
      </extLst>
    </cfRule>
  </conditionalFormatting>
  <conditionalFormatting sqref="C47:C52">
    <cfRule type="dataBar" priority="1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{8C7D82C7-F4DE-434F-8579-3FDC48B31541}</x14:id>
        </ext>
      </extLst>
    </cfRule>
  </conditionalFormatting>
  <conditionalFormatting sqref="D47:D52">
    <cfRule type="dataBar" priority="10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{FEDE9351-958A-4227-94E8-85250C05A12E}</x14:id>
        </ext>
      </extLst>
    </cfRule>
  </conditionalFormatting>
  <conditionalFormatting sqref="E47:E52"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{6655DC66-27C5-4565-86FB-02F685A835BC}</x14:id>
        </ext>
      </extLst>
    </cfRule>
  </conditionalFormatting>
  <conditionalFormatting sqref="F47:F52">
    <cfRule type="dataBar" priority="8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{A2447C2D-64C8-4CA4-BF40-84656DBA10D6}</x14:id>
        </ext>
      </extLst>
    </cfRule>
  </conditionalFormatting>
  <conditionalFormatting sqref="G47:G52"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{B8A40423-2682-4CAA-8DD4-A77858C34929}</x14:id>
        </ext>
      </extLst>
    </cfRule>
  </conditionalFormatting>
  <conditionalFormatting sqref="H47:H52">
    <cfRule type="dataBar" priority="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{614F09E0-44B8-4236-B6F9-602C3235591C}</x14:id>
        </ext>
      </extLst>
    </cfRule>
  </conditionalFormatting>
  <conditionalFormatting sqref="I47:I52">
    <cfRule type="dataBar" priority="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{3B582E1E-7F9B-47C7-95AE-E3804BD1B369}</x14:id>
        </ext>
      </extLst>
    </cfRule>
  </conditionalFormatting>
  <conditionalFormatting sqref="J47:J52">
    <cfRule type="dataBar" priority="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{F13C7F75-95BC-4F8B-AF9E-4E8B2ED7DF0A}</x14:id>
        </ext>
      </extLst>
    </cfRule>
  </conditionalFormatting>
  <conditionalFormatting sqref="K47:K52">
    <cfRule type="dataBar" priority="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{01D54632-CC86-4636-BF26-9E219E8DB1D6}</x14:id>
        </ext>
      </extLst>
    </cfRule>
  </conditionalFormatting>
  <conditionalFormatting sqref="L47:L52">
    <cfRule type="dataBar" priority="2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{57969101-C8B7-4BF5-AC20-091DDEA04320}</x14:id>
        </ext>
      </extLst>
    </cfRule>
  </conditionalFormatting>
  <conditionalFormatting sqref="M47:M52">
    <cfRule type="dataBar" priority="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{093D553B-758C-4B6B-A382-223DDF77B99A}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5046EE-A4A4-4003-B27F-9C045EC51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B46:B52</xm:sqref>
        </x14:conditionalFormatting>
        <x14:conditionalFormatting xmlns:xm="http://schemas.microsoft.com/office/excel/2006/main">
          <x14:cfRule type="dataBar" id="{8C7D82C7-F4DE-434F-8579-3FDC48B31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C47:C52</xm:sqref>
        </x14:conditionalFormatting>
        <x14:conditionalFormatting xmlns:xm="http://schemas.microsoft.com/office/excel/2006/main">
          <x14:cfRule type="dataBar" id="{FEDE9351-958A-4227-94E8-85250C05A1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D47:D52</xm:sqref>
        </x14:conditionalFormatting>
        <x14:conditionalFormatting xmlns:xm="http://schemas.microsoft.com/office/excel/2006/main">
          <x14:cfRule type="dataBar" id="{6655DC66-27C5-4565-86FB-02F685A83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E47:E52</xm:sqref>
        </x14:conditionalFormatting>
        <x14:conditionalFormatting xmlns:xm="http://schemas.microsoft.com/office/excel/2006/main">
          <x14:cfRule type="dataBar" id="{A2447C2D-64C8-4CA4-BF40-84656DBA10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F47:F52</xm:sqref>
        </x14:conditionalFormatting>
        <x14:conditionalFormatting xmlns:xm="http://schemas.microsoft.com/office/excel/2006/main">
          <x14:cfRule type="dataBar" id="{B8A40423-2682-4CAA-8DD4-A77858C34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G47:G52</xm:sqref>
        </x14:conditionalFormatting>
        <x14:conditionalFormatting xmlns:xm="http://schemas.microsoft.com/office/excel/2006/main">
          <x14:cfRule type="dataBar" id="{614F09E0-44B8-4236-B6F9-602C323559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H47:H52</xm:sqref>
        </x14:conditionalFormatting>
        <x14:conditionalFormatting xmlns:xm="http://schemas.microsoft.com/office/excel/2006/main">
          <x14:cfRule type="dataBar" id="{3B582E1E-7F9B-47C7-95AE-E3804BD1B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I47:I52</xm:sqref>
        </x14:conditionalFormatting>
        <x14:conditionalFormatting xmlns:xm="http://schemas.microsoft.com/office/excel/2006/main">
          <x14:cfRule type="dataBar" id="{F13C7F75-95BC-4F8B-AF9E-4E8B2ED7DF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J47:J52</xm:sqref>
        </x14:conditionalFormatting>
        <x14:conditionalFormatting xmlns:xm="http://schemas.microsoft.com/office/excel/2006/main">
          <x14:cfRule type="dataBar" id="{01D54632-CC86-4636-BF26-9E219E8DB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K47:K52</xm:sqref>
        </x14:conditionalFormatting>
        <x14:conditionalFormatting xmlns:xm="http://schemas.microsoft.com/office/excel/2006/main">
          <x14:cfRule type="dataBar" id="{57969101-C8B7-4BF5-AC20-091DDEA043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L47:L52</xm:sqref>
        </x14:conditionalFormatting>
        <x14:conditionalFormatting xmlns:xm="http://schemas.microsoft.com/office/excel/2006/main">
          <x14:cfRule type="dataBar" id="{093D553B-758C-4B6B-A382-223DDF77B9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M47:M52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72CA2C9-6F9F-4C0F-B6A9-B25FD40721D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Gráficos!B46:M46</xm:f>
              <xm:sqref>N46</xm:sqref>
            </x14:sparkline>
            <x14:sparkline>
              <xm:f>Gráficos!B47:M47</xm:f>
              <xm:sqref>N47</xm:sqref>
            </x14:sparkline>
            <x14:sparkline>
              <xm:f>Gráficos!B48:M48</xm:f>
              <xm:sqref>N48</xm:sqref>
            </x14:sparkline>
            <x14:sparkline>
              <xm:f>Gráficos!B49:M49</xm:f>
              <xm:sqref>N49</xm:sqref>
            </x14:sparkline>
            <x14:sparkline>
              <xm:f>Gráficos!B50:M50</xm:f>
              <xm:sqref>N50</xm:sqref>
            </x14:sparkline>
            <x14:sparkline>
              <xm:f>Gráficos!B51:M51</xm:f>
              <xm:sqref>N51</xm:sqref>
            </x14:sparkline>
            <x14:sparkline>
              <xm:f>Gráficos!B52:M52</xm:f>
              <xm:sqref>N52</xm:sqref>
            </x14:sparkline>
          </x14:sparklines>
        </x14:sparklineGroup>
      </x14:sparklineGroup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1755-5D92-4DFE-8BD3-C91D69684B58}">
  <dimension ref="A1:N42"/>
  <sheetViews>
    <sheetView zoomScale="115" zoomScaleNormal="115" workbookViewId="0"/>
  </sheetViews>
  <sheetFormatPr defaultRowHeight="14.25"/>
  <cols>
    <col min="1" max="1" width="15.875" customWidth="1"/>
    <col min="3" max="3" width="13.25" bestFit="1" customWidth="1"/>
    <col min="4" max="6" width="10.125" customWidth="1"/>
    <col min="7" max="8" width="16.875" bestFit="1" customWidth="1"/>
    <col min="9" max="9" width="10.625" customWidth="1"/>
    <col min="10" max="10" width="14" customWidth="1"/>
    <col min="11" max="13" width="11.5" customWidth="1"/>
  </cols>
  <sheetData>
    <row r="1" spans="1:12" ht="20.25" thickBot="1">
      <c r="A1" s="4" t="s">
        <v>5852</v>
      </c>
      <c r="B1" s="4"/>
      <c r="C1" s="4"/>
      <c r="D1" s="4"/>
      <c r="E1" s="4"/>
    </row>
    <row r="2" spans="1:12" ht="15" thickTop="1"/>
    <row r="3" spans="1:12">
      <c r="B3" s="30" t="s">
        <v>5795</v>
      </c>
      <c r="C3" s="1">
        <v>10000</v>
      </c>
    </row>
    <row r="4" spans="1:12">
      <c r="B4" s="30" t="s">
        <v>5846</v>
      </c>
      <c r="C4" s="28">
        <v>0.1</v>
      </c>
    </row>
    <row r="5" spans="1:12">
      <c r="B5" s="30" t="s">
        <v>5847</v>
      </c>
      <c r="C5" s="28">
        <v>0.25</v>
      </c>
    </row>
    <row r="6" spans="1:12">
      <c r="B6" s="30" t="s">
        <v>5903</v>
      </c>
      <c r="C6">
        <v>100</v>
      </c>
    </row>
    <row r="8" spans="1:12" ht="15.75" thickBot="1">
      <c r="A8" s="29" t="s">
        <v>5732</v>
      </c>
      <c r="B8" s="29" t="s">
        <v>5796</v>
      </c>
      <c r="C8" s="29" t="s">
        <v>5842</v>
      </c>
      <c r="D8" s="29" t="s">
        <v>5843</v>
      </c>
      <c r="E8" s="29" t="s">
        <v>5844</v>
      </c>
      <c r="F8" s="29" t="s">
        <v>5845</v>
      </c>
      <c r="G8" s="29" t="s">
        <v>5851</v>
      </c>
      <c r="H8" s="29" t="s">
        <v>5738</v>
      </c>
      <c r="I8" s="29" t="s">
        <v>5904</v>
      </c>
      <c r="J8" s="29" t="s">
        <v>5848</v>
      </c>
      <c r="K8" s="29" t="s">
        <v>5849</v>
      </c>
      <c r="L8" s="29" t="s">
        <v>5850</v>
      </c>
    </row>
    <row r="9" spans="1:12">
      <c r="A9" s="8" t="s">
        <v>5741</v>
      </c>
      <c r="B9" s="50">
        <v>3.73E-2</v>
      </c>
      <c r="C9" s="50">
        <v>-3.5000000000000001E-3</v>
      </c>
      <c r="D9" s="50">
        <v>1.4999999999999999E-2</v>
      </c>
      <c r="E9" s="50">
        <v>1.06E-2</v>
      </c>
      <c r="F9" s="50">
        <v>-1.4E-3</v>
      </c>
      <c r="G9" s="50">
        <f>AVERAGE(B9:F9)</f>
        <v>1.1599999999999999E-2</v>
      </c>
      <c r="H9" s="50">
        <f>_xlfn.STDEV.P(B9:F9)</f>
        <v>1.4629148984134381E-2</v>
      </c>
      <c r="I9" s="51">
        <f>H9*J9</f>
        <v>32.441228524716252</v>
      </c>
      <c r="J9" s="51">
        <v>2217.5745533728204</v>
      </c>
      <c r="K9" s="52">
        <f>J9/$J$14</f>
        <v>0.25000000078975693</v>
      </c>
      <c r="L9" s="51">
        <f>G9*J9</f>
        <v>25.723864819124714</v>
      </c>
    </row>
    <row r="10" spans="1:12">
      <c r="A10" s="8" t="s">
        <v>5742</v>
      </c>
      <c r="B10" s="50">
        <v>4.5999999999999999E-3</v>
      </c>
      <c r="C10" s="50">
        <v>-1.4500000000000001E-2</v>
      </c>
      <c r="D10" s="50">
        <v>6.7000000000000002E-3</v>
      </c>
      <c r="E10" s="50">
        <v>-3.5000000000000001E-3</v>
      </c>
      <c r="F10" s="50">
        <v>3.6900000000000002E-2</v>
      </c>
      <c r="G10" s="50">
        <f t="shared" ref="G10:G13" si="0">AVERAGE(B10:F10)</f>
        <v>6.0400000000000002E-3</v>
      </c>
      <c r="H10" s="50">
        <f t="shared" ref="H10:H13" si="1">_xlfn.STDEV.P(B10:F10)</f>
        <v>1.7133312581050986E-2</v>
      </c>
      <c r="I10" s="51">
        <f t="shared" ref="I10:I13" si="2">H10*J10</f>
        <v>0</v>
      </c>
      <c r="J10" s="51">
        <v>0</v>
      </c>
      <c r="K10" s="52">
        <f t="shared" ref="K10:K13" si="3">J10/$J$14</f>
        <v>0</v>
      </c>
      <c r="L10" s="51">
        <f t="shared" ref="L10:L13" si="4">G10*J10</f>
        <v>0</v>
      </c>
    </row>
    <row r="11" spans="1:12">
      <c r="A11" s="8" t="s">
        <v>5743</v>
      </c>
      <c r="B11" s="50">
        <v>4.4000000000000003E-3</v>
      </c>
      <c r="C11" s="50">
        <v>1.49E-2</v>
      </c>
      <c r="D11" s="50">
        <v>-7.4000000000000003E-3</v>
      </c>
      <c r="E11" s="50">
        <v>8.8999999999999999E-3</v>
      </c>
      <c r="F11" s="50">
        <v>1.4999999999999999E-2</v>
      </c>
      <c r="G11" s="50">
        <f t="shared" si="0"/>
        <v>7.1599999999999997E-3</v>
      </c>
      <c r="H11" s="50">
        <f t="shared" si="1"/>
        <v>8.2947212129160803E-3</v>
      </c>
      <c r="I11" s="51">
        <f t="shared" si="2"/>
        <v>18.394162572872062</v>
      </c>
      <c r="J11" s="51">
        <v>2217.5745393624188</v>
      </c>
      <c r="K11" s="52">
        <f t="shared" si="3"/>
        <v>0.24999999921028332</v>
      </c>
      <c r="L11" s="51">
        <f t="shared" si="4"/>
        <v>15.877833701834918</v>
      </c>
    </row>
    <row r="12" spans="1:12">
      <c r="A12" s="8" t="s">
        <v>5744</v>
      </c>
      <c r="B12" s="50">
        <v>1.8599999999999998E-2</v>
      </c>
      <c r="C12" s="50">
        <v>1.44E-2</v>
      </c>
      <c r="D12" s="50">
        <v>3.04E-2</v>
      </c>
      <c r="E12" s="50">
        <v>3.3599999999999998E-2</v>
      </c>
      <c r="F12" s="50">
        <v>-4.7999999999999996E-3</v>
      </c>
      <c r="G12" s="50">
        <f t="shared" si="0"/>
        <v>1.8440000000000002E-2</v>
      </c>
      <c r="H12" s="50">
        <f t="shared" si="1"/>
        <v>1.3633136102892832E-2</v>
      </c>
      <c r="I12" s="51">
        <f t="shared" si="2"/>
        <v>30.232495608932869</v>
      </c>
      <c r="J12" s="51">
        <v>2217.5745463670532</v>
      </c>
      <c r="K12" s="52">
        <f t="shared" si="3"/>
        <v>0.24999999999995626</v>
      </c>
      <c r="L12" s="51">
        <f t="shared" si="4"/>
        <v>40.892074635008463</v>
      </c>
    </row>
    <row r="13" spans="1:12">
      <c r="A13" s="8" t="s">
        <v>5745</v>
      </c>
      <c r="B13" s="50">
        <v>1.01E-2</v>
      </c>
      <c r="C13" s="50">
        <v>6.7000000000000002E-3</v>
      </c>
      <c r="D13" s="50">
        <v>6.4000000000000003E-3</v>
      </c>
      <c r="E13" s="50">
        <v>2.92E-2</v>
      </c>
      <c r="F13" s="50">
        <v>1.67E-2</v>
      </c>
      <c r="G13" s="50">
        <f t="shared" si="0"/>
        <v>1.3819999999999999E-2</v>
      </c>
      <c r="H13" s="50">
        <f t="shared" si="1"/>
        <v>8.5373063667646392E-3</v>
      </c>
      <c r="I13" s="51">
        <f t="shared" si="2"/>
        <v>18.932113293478217</v>
      </c>
      <c r="J13" s="51">
        <v>2217.5745463674712</v>
      </c>
      <c r="K13" s="52">
        <f t="shared" si="3"/>
        <v>0.25000000000000339</v>
      </c>
      <c r="L13" s="51">
        <f t="shared" si="4"/>
        <v>30.646880230798448</v>
      </c>
    </row>
    <row r="14" spans="1:12" ht="15.75" thickBot="1">
      <c r="A14" s="53"/>
      <c r="B14" s="53"/>
      <c r="C14" s="53"/>
      <c r="D14" s="53"/>
      <c r="E14" s="53"/>
      <c r="F14" s="53"/>
      <c r="G14" s="53"/>
      <c r="H14" s="53"/>
      <c r="I14" s="54">
        <f>SUM(I9:I13)</f>
        <v>99.999999999999403</v>
      </c>
      <c r="J14" s="54">
        <f>SUM(J9:J13)</f>
        <v>8870.2981854697646</v>
      </c>
      <c r="K14" s="55">
        <f>SUM(K9:K13)</f>
        <v>0.99999999999999978</v>
      </c>
      <c r="L14" s="54">
        <f>SUM(L9:L13)</f>
        <v>113.14065338676653</v>
      </c>
    </row>
    <row r="15" spans="1:12" ht="15" thickTop="1"/>
    <row r="23" spans="14:14">
      <c r="N23" t="s">
        <v>5923</v>
      </c>
    </row>
    <row r="24" spans="14:14">
      <c r="N24" t="s">
        <v>5924</v>
      </c>
    </row>
    <row r="25" spans="14:14">
      <c r="N25" t="s">
        <v>5925</v>
      </c>
    </row>
    <row r="26" spans="14:14">
      <c r="N26" t="s">
        <v>5926</v>
      </c>
    </row>
    <row r="27" spans="14:14">
      <c r="N27" t="s">
        <v>5927</v>
      </c>
    </row>
    <row r="28" spans="14:14">
      <c r="N28" t="s">
        <v>5928</v>
      </c>
    </row>
    <row r="29" spans="14:14">
      <c r="N29" t="s">
        <v>5929</v>
      </c>
    </row>
    <row r="42" spans="14:14">
      <c r="N42" t="s">
        <v>5930</v>
      </c>
    </row>
  </sheetData>
  <scenarios current="0">
    <scenario name="Percentual 50%" count="5" user="Cristiano" comment="Criado por Cristiano em 6/6/2023">
      <inputCells r="J9" val="0" numFmtId="43"/>
      <inputCells r="J10" val="0" numFmtId="43"/>
      <inputCells r="J11" val="0" numFmtId="43"/>
      <inputCells r="J12" val="4510.50880893838" numFmtId="43"/>
      <inputCells r="J13" val="4510.51163463121" numFmtId="43"/>
    </scenario>
    <scenario name="Percentual 33%" count="5" user="Cristiano" comment="Criado por Cristiano em 6/6/2023">
      <inputCells r="J9" val="98.0387018204958" numFmtId="43"/>
      <inputCells r="J10" val="0" numFmtId="43"/>
      <inputCells r="J11" val="3235.36192385539" numFmtId="43"/>
      <inputCells r="J12" val="3235.3595380537" numFmtId="43"/>
      <inputCells r="J13" val="3235.35948376283" numFmtId="43"/>
    </scenario>
    <scenario name="Percentual 25%" count="5" user="Cristiano" comment="Criado por Cristiano em 6/6/2023">
      <inputCells r="J9" val="2217.57455337282" numFmtId="43"/>
      <inputCells r="J10" val="0" numFmtId="43"/>
      <inputCells r="J11" val="2217.57453936242" numFmtId="43"/>
      <inputCells r="J12" val="2217.57454636705" numFmtId="43"/>
      <inputCells r="J13" val="2217.57454636747" numFmtId="43"/>
    </scenario>
  </scenarios>
  <phoneticPr fontId="6" type="noConversion"/>
  <pageMargins left="0.511811024" right="0.511811024" top="0.78740157499999996" bottom="0.78740157499999996" header="0.31496062000000002" footer="0.31496062000000002"/>
  <ignoredErrors>
    <ignoredError sqref="G10:G13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1DED-6795-4C43-95E3-4233BAAA681D}">
  <sheetPr>
    <tabColor theme="0" tint="-0.14999847407452621"/>
  </sheetPr>
  <dimension ref="A1:B6"/>
  <sheetViews>
    <sheetView workbookViewId="0"/>
  </sheetViews>
  <sheetFormatPr defaultRowHeight="14.25"/>
  <sheetData>
    <row r="1" spans="1:2">
      <c r="A1" t="s">
        <v>5824</v>
      </c>
      <c r="B1" t="s">
        <v>5854</v>
      </c>
    </row>
    <row r="2" spans="1:2">
      <c r="A2" t="s">
        <v>5825</v>
      </c>
      <c r="B2" t="s">
        <v>5855</v>
      </c>
    </row>
    <row r="3" spans="1:2">
      <c r="A3" t="s">
        <v>5827</v>
      </c>
      <c r="B3" t="s">
        <v>5855</v>
      </c>
    </row>
    <row r="4" spans="1:2">
      <c r="A4" t="s">
        <v>5826</v>
      </c>
      <c r="B4" t="s">
        <v>5856</v>
      </c>
    </row>
    <row r="5" spans="1:2">
      <c r="A5" t="s">
        <v>5828</v>
      </c>
      <c r="B5" t="s">
        <v>5856</v>
      </c>
    </row>
    <row r="6" spans="1:2">
      <c r="A6" t="s">
        <v>5711</v>
      </c>
      <c r="B6" t="s">
        <v>5856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68B6-40F2-4714-B5BD-570954CD5C7D}">
  <dimension ref="A1:N64"/>
  <sheetViews>
    <sheetView zoomScale="115" zoomScaleNormal="115" workbookViewId="0"/>
  </sheetViews>
  <sheetFormatPr defaultRowHeight="14.25"/>
  <cols>
    <col min="1" max="6" width="15" customWidth="1"/>
    <col min="9" max="9" width="17.875" customWidth="1"/>
    <col min="10" max="10" width="22" customWidth="1"/>
    <col min="14" max="14" width="12.75" customWidth="1"/>
  </cols>
  <sheetData>
    <row r="1" spans="1:14" ht="17.25" thickBot="1">
      <c r="A1" s="26" t="s">
        <v>5857</v>
      </c>
      <c r="B1" s="26"/>
    </row>
    <row r="2" spans="1:14" ht="18" thickTop="1" thickBot="1">
      <c r="A2" s="26" t="e" vm="1">
        <v>#VALUE!</v>
      </c>
      <c r="B2" s="26"/>
      <c r="C2" s="26"/>
      <c r="D2" s="26"/>
      <c r="E2" s="26"/>
      <c r="F2" s="26"/>
      <c r="I2" t="e" vm="1">
        <v>#VALUE!</v>
      </c>
    </row>
    <row r="3" spans="1:14" ht="16.5" thickTop="1" thickBot="1">
      <c r="A3" s="48" t="str" cm="1">
        <f t="array" aca="1" ref="A3:F24" ca="1">_xlfn.STOCKHISTORY(A2,DATE(2023,5,1),DATE(2023,5,30),0,1,0,2,3,4,1,5)</f>
        <v>Data</v>
      </c>
      <c r="B3" s="48" t="str">
        <f ca="1"/>
        <v>Abertura</v>
      </c>
      <c r="C3" s="48" t="str">
        <f ca="1"/>
        <v>Alto</v>
      </c>
      <c r="D3" s="48" t="str">
        <f ca="1"/>
        <v>Baixo</v>
      </c>
      <c r="E3" s="48" t="str">
        <f ca="1"/>
        <v>Fechamento</v>
      </c>
      <c r="F3" s="48" t="str">
        <f ca="1"/>
        <v>Volume</v>
      </c>
    </row>
    <row r="4" spans="1:14">
      <c r="A4" vm="2">
        <f ca="1"/>
        <v>45048</v>
      </c>
      <c r="B4" vm="3">
        <f ca="1"/>
        <v>23.7</v>
      </c>
      <c r="C4" vm="4">
        <f ca="1"/>
        <v>23.74</v>
      </c>
      <c r="D4" vm="5">
        <f ca="1"/>
        <v>22.64</v>
      </c>
      <c r="E4" vm="6">
        <f ca="1"/>
        <v>22.74</v>
      </c>
      <c r="F4" vm="7">
        <f ca="1"/>
        <v>67556900</v>
      </c>
      <c r="I4" t="e" vm="120">
        <v>#VALUE!</v>
      </c>
      <c r="J4" s="75" cm="1">
        <f t="array" ref="J4">_FV(I4,"Capitalização de mercado",TRUE)</f>
        <v>2479772425440</v>
      </c>
      <c r="K4" s="76" cm="1">
        <f t="array" ref="K4">_FV(I4,"Preço")</f>
        <v>333.505</v>
      </c>
      <c r="L4" s="76" cm="1">
        <f t="array" ref="L4">_FV(I4,"Variação")</f>
        <v>-2.4350000000000001</v>
      </c>
    </row>
    <row r="5" spans="1:14">
      <c r="A5" vm="8">
        <f ca="1"/>
        <v>45049</v>
      </c>
      <c r="B5" vm="9">
        <f ca="1"/>
        <v>22.6</v>
      </c>
      <c r="C5" vm="10">
        <f ca="1"/>
        <v>22.99</v>
      </c>
      <c r="D5" vm="11">
        <f ca="1"/>
        <v>22.42</v>
      </c>
      <c r="E5" vm="12">
        <f ca="1"/>
        <v>22.66</v>
      </c>
      <c r="F5" vm="13">
        <f ca="1"/>
        <v>50965500</v>
      </c>
    </row>
    <row r="6" spans="1:14">
      <c r="A6" vm="14">
        <f ca="1"/>
        <v>45050</v>
      </c>
      <c r="B6" vm="15">
        <f ca="1"/>
        <v>22.89</v>
      </c>
      <c r="C6" vm="16">
        <f ca="1"/>
        <v>23.38</v>
      </c>
      <c r="D6" vm="17">
        <f ca="1"/>
        <v>22.61</v>
      </c>
      <c r="E6" vm="18">
        <f ca="1"/>
        <v>23.02</v>
      </c>
      <c r="F6" vm="19">
        <f ca="1"/>
        <v>57772200</v>
      </c>
      <c r="I6" t="str" cm="1">
        <f t="array" aca="1" ref="I6:N64" ca="1">_xlfn.STOCKHISTORY(I4,DATE(2022,5,1),TODAY(),1,1,0,1,2,3,4,5)</f>
        <v>Data</v>
      </c>
      <c r="J6" t="str">
        <f ca="1"/>
        <v>Fechamento</v>
      </c>
      <c r="K6" t="str">
        <f ca="1"/>
        <v>Abertura</v>
      </c>
      <c r="L6" t="str">
        <f ca="1"/>
        <v>Alto</v>
      </c>
      <c r="M6" t="str">
        <f ca="1"/>
        <v>Baixo</v>
      </c>
      <c r="N6" t="str">
        <f ca="1"/>
        <v>Volume</v>
      </c>
    </row>
    <row r="7" spans="1:14">
      <c r="A7" vm="20">
        <f ca="1"/>
        <v>45051</v>
      </c>
      <c r="B7" vm="21">
        <f ca="1"/>
        <v>23.3</v>
      </c>
      <c r="C7" vm="22">
        <f ca="1"/>
        <v>24.17</v>
      </c>
      <c r="D7" vm="23">
        <f ca="1"/>
        <v>23.18</v>
      </c>
      <c r="E7" vm="24">
        <f ca="1"/>
        <v>24</v>
      </c>
      <c r="F7" vm="25">
        <f ca="1"/>
        <v>83124700</v>
      </c>
      <c r="I7" vm="121">
        <f ca="1"/>
        <v>44683</v>
      </c>
      <c r="J7" vm="122">
        <f ca="1"/>
        <v>274.73</v>
      </c>
      <c r="K7" vm="123">
        <f ca="1"/>
        <v>277.70999999999998</v>
      </c>
      <c r="L7" vm="124">
        <f ca="1"/>
        <v>290.88</v>
      </c>
      <c r="M7" vm="125">
        <f ca="1"/>
        <v>271.27</v>
      </c>
      <c r="N7" vm="126">
        <f ca="1"/>
        <v>175769738</v>
      </c>
    </row>
    <row r="8" spans="1:14">
      <c r="A8" vm="26">
        <f ca="1"/>
        <v>45054</v>
      </c>
      <c r="B8" vm="27">
        <f ca="1"/>
        <v>24.45</v>
      </c>
      <c r="C8" vm="28">
        <f ca="1"/>
        <v>24.63</v>
      </c>
      <c r="D8" vm="29">
        <f ca="1"/>
        <v>24.21</v>
      </c>
      <c r="E8" vm="30">
        <f ca="1"/>
        <v>24.51</v>
      </c>
      <c r="F8" vm="31">
        <f ca="1"/>
        <v>59179200</v>
      </c>
      <c r="I8" vm="127">
        <f ca="1"/>
        <v>44690</v>
      </c>
      <c r="J8" vm="128">
        <f ca="1"/>
        <v>261.12</v>
      </c>
      <c r="K8" vm="129">
        <f ca="1"/>
        <v>270.06</v>
      </c>
      <c r="L8" vm="130">
        <f ca="1"/>
        <v>273.75</v>
      </c>
      <c r="M8" vm="131">
        <f ca="1"/>
        <v>250.02</v>
      </c>
      <c r="N8" vm="132">
        <f ca="1"/>
        <v>221997169</v>
      </c>
    </row>
    <row r="9" spans="1:14">
      <c r="A9" vm="32">
        <f ca="1"/>
        <v>45055</v>
      </c>
      <c r="B9" vm="33">
        <f ca="1"/>
        <v>24.41</v>
      </c>
      <c r="C9" vm="34">
        <f ca="1"/>
        <v>24.8</v>
      </c>
      <c r="D9" vm="35">
        <f ca="1"/>
        <v>24.24</v>
      </c>
      <c r="E9" vm="36">
        <f ca="1"/>
        <v>24.59</v>
      </c>
      <c r="F9" vm="37">
        <f ca="1"/>
        <v>33712700</v>
      </c>
      <c r="I9" vm="133">
        <f ca="1"/>
        <v>44697</v>
      </c>
      <c r="J9" vm="134">
        <f ca="1"/>
        <v>252.56</v>
      </c>
      <c r="K9" vm="135">
        <f ca="1"/>
        <v>259.95499999999998</v>
      </c>
      <c r="L9" vm="136">
        <f ca="1"/>
        <v>268.33</v>
      </c>
      <c r="M9" vm="137">
        <f ca="1"/>
        <v>246.44</v>
      </c>
      <c r="N9" vm="138">
        <f ca="1"/>
        <v>164627282</v>
      </c>
    </row>
    <row r="10" spans="1:14">
      <c r="A10" vm="38">
        <f ca="1"/>
        <v>45056</v>
      </c>
      <c r="B10" vm="36">
        <f ca="1"/>
        <v>24.59</v>
      </c>
      <c r="C10" vm="39">
        <f ca="1"/>
        <v>24.82</v>
      </c>
      <c r="D10" vm="40">
        <f ca="1"/>
        <v>24.33</v>
      </c>
      <c r="E10" vm="41">
        <f ca="1"/>
        <v>24.53</v>
      </c>
      <c r="F10" vm="42">
        <f ca="1"/>
        <v>41346300</v>
      </c>
      <c r="I10" vm="139">
        <f ca="1"/>
        <v>44704</v>
      </c>
      <c r="J10" vm="140">
        <f ca="1"/>
        <v>273.24</v>
      </c>
      <c r="K10" vm="141">
        <f ca="1"/>
        <v>255.49</v>
      </c>
      <c r="L10" vm="142">
        <f ca="1"/>
        <v>273.33999999999997</v>
      </c>
      <c r="M10" vm="143">
        <f ca="1"/>
        <v>253.43</v>
      </c>
      <c r="N10" vm="144">
        <f ca="1"/>
        <v>142680141</v>
      </c>
    </row>
    <row r="11" spans="1:14">
      <c r="A11" vm="43">
        <f ca="1"/>
        <v>45057</v>
      </c>
      <c r="B11" vm="44">
        <f ca="1"/>
        <v>24.13</v>
      </c>
      <c r="C11" vm="45">
        <f ca="1"/>
        <v>25.48</v>
      </c>
      <c r="D11" vm="46">
        <f ca="1"/>
        <v>23.93</v>
      </c>
      <c r="E11" vm="47">
        <f ca="1"/>
        <v>25.43</v>
      </c>
      <c r="F11" vm="48">
        <f ca="1"/>
        <v>136305900</v>
      </c>
      <c r="I11" vm="145">
        <f ca="1"/>
        <v>44712</v>
      </c>
      <c r="J11" vm="146">
        <f ca="1"/>
        <v>270.02</v>
      </c>
      <c r="K11" vm="147">
        <f ca="1"/>
        <v>272.52999999999997</v>
      </c>
      <c r="L11" vm="148">
        <f ca="1"/>
        <v>277.69</v>
      </c>
      <c r="M11" vm="149">
        <f ca="1"/>
        <v>261.60000000000002</v>
      </c>
      <c r="N11" vm="150">
        <f ca="1"/>
        <v>135187036</v>
      </c>
    </row>
    <row r="12" spans="1:14">
      <c r="A12" vm="49">
        <f ca="1"/>
        <v>45058</v>
      </c>
      <c r="B12" vm="50">
        <f ca="1"/>
        <v>25.58</v>
      </c>
      <c r="C12" vm="51">
        <f ca="1"/>
        <v>26.74</v>
      </c>
      <c r="D12" vm="45">
        <f ca="1"/>
        <v>25.48</v>
      </c>
      <c r="E12" vm="52">
        <f ca="1"/>
        <v>26.25</v>
      </c>
      <c r="F12" vm="53">
        <f ca="1"/>
        <v>117050200</v>
      </c>
      <c r="I12" vm="151">
        <f ca="1"/>
        <v>44718</v>
      </c>
      <c r="J12" vm="152">
        <f ca="1"/>
        <v>252.99</v>
      </c>
      <c r="K12" vm="153">
        <f ca="1"/>
        <v>272.06</v>
      </c>
      <c r="L12" vm="154">
        <f ca="1"/>
        <v>274.18</v>
      </c>
      <c r="M12" vm="155">
        <f ca="1"/>
        <v>252.53</v>
      </c>
      <c r="N12" vm="156">
        <f ca="1"/>
        <v>120518929</v>
      </c>
    </row>
    <row r="13" spans="1:14">
      <c r="A13" vm="54">
        <f ca="1"/>
        <v>45061</v>
      </c>
      <c r="B13" vm="55">
        <f ca="1"/>
        <v>26.06</v>
      </c>
      <c r="C13" vm="56">
        <f ca="1"/>
        <v>26.15</v>
      </c>
      <c r="D13" vm="57">
        <f ca="1"/>
        <v>25.4</v>
      </c>
      <c r="E13" vm="58">
        <f ca="1"/>
        <v>25.66</v>
      </c>
      <c r="F13" vm="59">
        <f ca="1"/>
        <v>81864400</v>
      </c>
      <c r="I13" vm="157">
        <f ca="1"/>
        <v>44725</v>
      </c>
      <c r="J13" vm="158">
        <f ca="1"/>
        <v>247.65</v>
      </c>
      <c r="K13" vm="159">
        <f ca="1"/>
        <v>245.11</v>
      </c>
      <c r="L13" vm="160">
        <f ca="1"/>
        <v>255.3</v>
      </c>
      <c r="M13" vm="161">
        <f ca="1"/>
        <v>241.51</v>
      </c>
      <c r="N13" vm="162">
        <f ca="1"/>
        <v>184152944</v>
      </c>
    </row>
    <row r="14" spans="1:14">
      <c r="A14" vm="60">
        <f ca="1"/>
        <v>45062</v>
      </c>
      <c r="B14" vm="61">
        <f ca="1"/>
        <v>26.11</v>
      </c>
      <c r="C14" vm="62">
        <f ca="1"/>
        <v>27.03</v>
      </c>
      <c r="D14" vm="63">
        <f ca="1"/>
        <v>26.08</v>
      </c>
      <c r="E14" vm="64">
        <f ca="1"/>
        <v>26.3</v>
      </c>
      <c r="F14" vm="65">
        <f ca="1"/>
        <v>117199600</v>
      </c>
      <c r="I14" vm="163">
        <f ca="1"/>
        <v>44733</v>
      </c>
      <c r="J14" vm="164">
        <f ca="1"/>
        <v>267.7</v>
      </c>
      <c r="K14" vm="165">
        <f ca="1"/>
        <v>250.255</v>
      </c>
      <c r="L14" vm="166">
        <f ca="1"/>
        <v>267.98</v>
      </c>
      <c r="M14" vm="167">
        <f ca="1"/>
        <v>249.51</v>
      </c>
      <c r="N14" vm="168">
        <f ca="1"/>
        <v>115674192</v>
      </c>
    </row>
    <row r="15" spans="1:14">
      <c r="A15" vm="66">
        <f ca="1"/>
        <v>45063</v>
      </c>
      <c r="B15" vm="67">
        <f ca="1"/>
        <v>26.6</v>
      </c>
      <c r="C15" vm="68">
        <f ca="1"/>
        <v>26.76</v>
      </c>
      <c r="D15" vm="69">
        <f ca="1"/>
        <v>25.51</v>
      </c>
      <c r="E15" vm="58">
        <f ca="1"/>
        <v>25.66</v>
      </c>
      <c r="F15" vm="70">
        <f ca="1"/>
        <v>106826400</v>
      </c>
      <c r="I15" vm="169">
        <f ca="1"/>
        <v>44739</v>
      </c>
      <c r="J15" vm="170">
        <f ca="1"/>
        <v>259.58</v>
      </c>
      <c r="K15" vm="171">
        <f ca="1"/>
        <v>268.20499999999998</v>
      </c>
      <c r="L15" vm="172">
        <f ca="1"/>
        <v>268.3</v>
      </c>
      <c r="M15" vm="173">
        <f ca="1"/>
        <v>252.9</v>
      </c>
      <c r="N15" vm="174">
        <f ca="1"/>
        <v>126633760</v>
      </c>
    </row>
    <row r="16" spans="1:14">
      <c r="A16" vm="71">
        <f ca="1"/>
        <v>45064</v>
      </c>
      <c r="B16" vm="72">
        <f ca="1"/>
        <v>25.59</v>
      </c>
      <c r="C16" vm="73">
        <f ca="1"/>
        <v>25.85</v>
      </c>
      <c r="D16" vm="74">
        <f ca="1"/>
        <v>25.35</v>
      </c>
      <c r="E16" vm="75">
        <f ca="1"/>
        <v>25.81</v>
      </c>
      <c r="F16" vm="76">
        <f ca="1"/>
        <v>62821200</v>
      </c>
      <c r="I16" vm="175">
        <f ca="1"/>
        <v>44747</v>
      </c>
      <c r="J16" vm="176">
        <f ca="1"/>
        <v>267.66000000000003</v>
      </c>
      <c r="K16" vm="177">
        <f ca="1"/>
        <v>256.16000000000003</v>
      </c>
      <c r="L16" vm="178">
        <f ca="1"/>
        <v>269.05500000000001</v>
      </c>
      <c r="M16" vm="179">
        <f ca="1"/>
        <v>254.74</v>
      </c>
      <c r="N16" vm="180">
        <f ca="1"/>
        <v>87314678</v>
      </c>
    </row>
    <row r="17" spans="1:14">
      <c r="A17" vm="77">
        <f ca="1"/>
        <v>45065</v>
      </c>
      <c r="B17" vm="63">
        <f ca="1"/>
        <v>26.08</v>
      </c>
      <c r="C17" vm="78">
        <f ca="1"/>
        <v>26.18</v>
      </c>
      <c r="D17" vm="79">
        <f ca="1"/>
        <v>25.64</v>
      </c>
      <c r="E17" vm="80">
        <f ca="1"/>
        <v>25.92</v>
      </c>
      <c r="F17" vm="81">
        <f ca="1"/>
        <v>68059400</v>
      </c>
      <c r="I17" vm="181">
        <f ca="1"/>
        <v>44753</v>
      </c>
      <c r="J17" vm="182">
        <f ca="1"/>
        <v>256.72000000000003</v>
      </c>
      <c r="K17" vm="183">
        <f ca="1"/>
        <v>265.64999999999998</v>
      </c>
      <c r="L17" vm="184">
        <f ca="1"/>
        <v>266.52999999999997</v>
      </c>
      <c r="M17" vm="185">
        <f ca="1"/>
        <v>245.94</v>
      </c>
      <c r="N17" vm="186">
        <f ca="1"/>
        <v>139761854</v>
      </c>
    </row>
    <row r="18" spans="1:14">
      <c r="A18" vm="82">
        <f ca="1"/>
        <v>45068</v>
      </c>
      <c r="B18" vm="83">
        <f ca="1"/>
        <v>25.88</v>
      </c>
      <c r="C18" vm="84">
        <f ca="1"/>
        <v>26.01</v>
      </c>
      <c r="D18" vm="85">
        <f ca="1"/>
        <v>25.5</v>
      </c>
      <c r="E18" vm="86">
        <f ca="1"/>
        <v>25.62</v>
      </c>
      <c r="F18" vm="87">
        <f ca="1"/>
        <v>37756200</v>
      </c>
      <c r="I18" vm="187">
        <f ca="1"/>
        <v>44760</v>
      </c>
      <c r="J18" vm="188">
        <f ca="1"/>
        <v>260.36</v>
      </c>
      <c r="K18" vm="189">
        <f ca="1"/>
        <v>259.75</v>
      </c>
      <c r="L18" vm="190">
        <f ca="1"/>
        <v>265.33</v>
      </c>
      <c r="M18" vm="191">
        <f ca="1"/>
        <v>253.3</v>
      </c>
      <c r="N18" vm="192">
        <f ca="1"/>
        <v>113061843</v>
      </c>
    </row>
    <row r="19" spans="1:14">
      <c r="A19" vm="88">
        <f ca="1"/>
        <v>45069</v>
      </c>
      <c r="B19" vm="89">
        <f ca="1"/>
        <v>25.65</v>
      </c>
      <c r="C19" vm="90">
        <f ca="1"/>
        <v>26.43</v>
      </c>
      <c r="D19" vm="91">
        <f ca="1"/>
        <v>25.52</v>
      </c>
      <c r="E19" vm="52">
        <f ca="1"/>
        <v>26.25</v>
      </c>
      <c r="F19" vm="92">
        <f ca="1"/>
        <v>57844100</v>
      </c>
      <c r="I19" vm="193">
        <f ca="1"/>
        <v>44767</v>
      </c>
      <c r="J19" vm="194">
        <f ca="1"/>
        <v>280.74</v>
      </c>
      <c r="K19" vm="195">
        <f ca="1"/>
        <v>260.995</v>
      </c>
      <c r="L19" vm="196">
        <f ca="1"/>
        <v>282</v>
      </c>
      <c r="M19" vm="197">
        <f ca="1"/>
        <v>249.57</v>
      </c>
      <c r="N19" vm="198">
        <f ca="1"/>
        <v>172010083</v>
      </c>
    </row>
    <row r="20" spans="1:14">
      <c r="A20" vm="93">
        <f ca="1"/>
        <v>45070</v>
      </c>
      <c r="B20" vm="52">
        <f ca="1"/>
        <v>26.25</v>
      </c>
      <c r="C20" vm="94">
        <f ca="1"/>
        <v>26.9</v>
      </c>
      <c r="D20" vm="95">
        <f ca="1"/>
        <v>26.05</v>
      </c>
      <c r="E20" vm="96">
        <f ca="1"/>
        <v>26.65</v>
      </c>
      <c r="F20" vm="97">
        <f ca="1"/>
        <v>54639300</v>
      </c>
      <c r="I20" vm="199">
        <f ca="1"/>
        <v>44774</v>
      </c>
      <c r="J20" vm="200">
        <f ca="1"/>
        <v>282.91000000000003</v>
      </c>
      <c r="K20" vm="201">
        <f ca="1"/>
        <v>277.82</v>
      </c>
      <c r="L20" vm="202">
        <f ca="1"/>
        <v>283.8</v>
      </c>
      <c r="M20" vm="203">
        <f ca="1"/>
        <v>272.38</v>
      </c>
      <c r="N20" vm="204">
        <f ca="1"/>
        <v>102685912</v>
      </c>
    </row>
    <row r="21" spans="1:14">
      <c r="A21" vm="98">
        <f ca="1"/>
        <v>45071</v>
      </c>
      <c r="B21" vm="99">
        <f ca="1"/>
        <v>26.8</v>
      </c>
      <c r="C21" vm="100">
        <f ca="1"/>
        <v>26.84</v>
      </c>
      <c r="D21" vm="101">
        <f ca="1"/>
        <v>26.19</v>
      </c>
      <c r="E21" vm="102">
        <f ca="1"/>
        <v>26.45</v>
      </c>
      <c r="F21" vm="103">
        <f ca="1"/>
        <v>49026400</v>
      </c>
      <c r="I21" vm="205">
        <f ca="1"/>
        <v>44781</v>
      </c>
      <c r="J21" vm="206">
        <f ca="1"/>
        <v>291.91000000000003</v>
      </c>
      <c r="K21" vm="207">
        <f ca="1"/>
        <v>284.05</v>
      </c>
      <c r="L21" vm="206">
        <f ca="1"/>
        <v>291.91000000000003</v>
      </c>
      <c r="M21" vm="208">
        <f ca="1"/>
        <v>277.61</v>
      </c>
      <c r="N21" vm="209">
        <f ca="1"/>
        <v>109536514</v>
      </c>
    </row>
    <row r="22" spans="1:14">
      <c r="A22" vm="104">
        <f ca="1"/>
        <v>45072</v>
      </c>
      <c r="B22" vm="105">
        <f ca="1"/>
        <v>26.81</v>
      </c>
      <c r="C22" vm="106">
        <f ca="1"/>
        <v>26.91</v>
      </c>
      <c r="D22" vm="107">
        <f ca="1"/>
        <v>26.53</v>
      </c>
      <c r="E22" vm="99">
        <f ca="1"/>
        <v>26.8</v>
      </c>
      <c r="F22" vm="108">
        <f ca="1"/>
        <v>39809900</v>
      </c>
      <c r="I22" vm="210">
        <f ca="1"/>
        <v>44788</v>
      </c>
      <c r="J22" vm="211">
        <f ca="1"/>
        <v>286.14999999999998</v>
      </c>
      <c r="K22" vm="212">
        <f ca="1"/>
        <v>291</v>
      </c>
      <c r="L22" vm="213">
        <f ca="1"/>
        <v>294.18</v>
      </c>
      <c r="M22" vm="214">
        <f ca="1"/>
        <v>285.56</v>
      </c>
      <c r="N22" vm="215">
        <f ca="1"/>
        <v>92198119</v>
      </c>
    </row>
    <row r="23" spans="1:14">
      <c r="A23" vm="109">
        <f ca="1"/>
        <v>45075</v>
      </c>
      <c r="B23" vm="110">
        <f ca="1"/>
        <v>26.75</v>
      </c>
      <c r="C23" vm="111">
        <f ca="1"/>
        <v>26.82</v>
      </c>
      <c r="D23" vm="112">
        <f ca="1"/>
        <v>26.56</v>
      </c>
      <c r="E23" vm="113">
        <f ca="1"/>
        <v>26.69</v>
      </c>
      <c r="F23" vm="114">
        <f ca="1"/>
        <v>17917700</v>
      </c>
      <c r="I23" vm="216">
        <f ca="1"/>
        <v>44795</v>
      </c>
      <c r="J23" vm="217">
        <f ca="1"/>
        <v>268.08999999999997</v>
      </c>
      <c r="K23" vm="218">
        <f ca="1"/>
        <v>282.08</v>
      </c>
      <c r="L23" vm="219">
        <f ca="1"/>
        <v>282.45999999999998</v>
      </c>
      <c r="M23" vm="166">
        <f ca="1"/>
        <v>267.98</v>
      </c>
      <c r="N23" vm="220">
        <f ca="1"/>
        <v>104858212</v>
      </c>
    </row>
    <row r="24" spans="1:14">
      <c r="A24" vm="115">
        <f ca="1"/>
        <v>45076</v>
      </c>
      <c r="B24" vm="116">
        <f ca="1"/>
        <v>26.72</v>
      </c>
      <c r="C24" vm="99">
        <f ca="1"/>
        <v>26.8</v>
      </c>
      <c r="D24" vm="117">
        <f ca="1"/>
        <v>26.26</v>
      </c>
      <c r="E24" vm="118">
        <f ca="1"/>
        <v>26.39</v>
      </c>
      <c r="F24" vm="119">
        <f ca="1"/>
        <v>45649600</v>
      </c>
      <c r="I24" vm="221">
        <f ca="1"/>
        <v>44802</v>
      </c>
      <c r="J24" vm="222">
        <f ca="1"/>
        <v>256.06</v>
      </c>
      <c r="K24" vm="223">
        <f ca="1"/>
        <v>265.85000000000002</v>
      </c>
      <c r="L24" vm="224">
        <f ca="1"/>
        <v>267.39999999999998</v>
      </c>
      <c r="M24" vm="225">
        <f ca="1"/>
        <v>254.47</v>
      </c>
      <c r="N24" vm="226">
        <f ca="1"/>
        <v>114016260</v>
      </c>
    </row>
    <row r="25" spans="1:14">
      <c r="I25" vm="227">
        <f ca="1"/>
        <v>44810</v>
      </c>
      <c r="J25" vm="228">
        <f ca="1"/>
        <v>264.45999999999998</v>
      </c>
      <c r="K25" vm="229">
        <f ca="1"/>
        <v>256.2</v>
      </c>
      <c r="L25" vm="230">
        <f ca="1"/>
        <v>265.23</v>
      </c>
      <c r="M25" vm="231">
        <f ca="1"/>
        <v>251.94</v>
      </c>
      <c r="N25" vm="232">
        <f ca="1"/>
        <v>87868043</v>
      </c>
    </row>
    <row r="26" spans="1:14">
      <c r="I26" vm="233">
        <f ca="1"/>
        <v>44816</v>
      </c>
      <c r="J26" vm="234">
        <f ca="1"/>
        <v>244.74</v>
      </c>
      <c r="K26" vm="235">
        <f ca="1"/>
        <v>265.77999999999997</v>
      </c>
      <c r="L26" vm="236">
        <f ca="1"/>
        <v>267.45</v>
      </c>
      <c r="M26" vm="237">
        <f ca="1"/>
        <v>242.06270000000001</v>
      </c>
      <c r="N26" vm="238">
        <f ca="1"/>
        <v>147336678</v>
      </c>
    </row>
    <row r="27" spans="1:14">
      <c r="I27" vm="239">
        <f ca="1"/>
        <v>44823</v>
      </c>
      <c r="J27" vm="240">
        <f ca="1"/>
        <v>237.92</v>
      </c>
      <c r="K27" vm="241">
        <f ca="1"/>
        <v>242.465</v>
      </c>
      <c r="L27" vm="242">
        <f ca="1"/>
        <v>247.66</v>
      </c>
      <c r="M27" vm="243">
        <f ca="1"/>
        <v>235.2</v>
      </c>
      <c r="N27" vm="244">
        <f ca="1"/>
        <v>147349997</v>
      </c>
    </row>
    <row r="28" spans="1:14">
      <c r="I28" vm="245">
        <f ca="1"/>
        <v>44830</v>
      </c>
      <c r="J28" vm="246">
        <f ca="1"/>
        <v>232.9</v>
      </c>
      <c r="K28" vm="247">
        <f ca="1"/>
        <v>237.04499999999999</v>
      </c>
      <c r="L28" vm="248">
        <f ca="1"/>
        <v>242.33</v>
      </c>
      <c r="M28" vm="249">
        <f ca="1"/>
        <v>232.73</v>
      </c>
      <c r="N28" vm="250">
        <f ca="1"/>
        <v>146921666</v>
      </c>
    </row>
    <row r="29" spans="1:14">
      <c r="I29" vm="251">
        <f ca="1"/>
        <v>44837</v>
      </c>
      <c r="J29" vm="252">
        <f ca="1"/>
        <v>234.24</v>
      </c>
      <c r="K29" vm="253">
        <f ca="1"/>
        <v>235.41</v>
      </c>
      <c r="L29" vm="254">
        <f ca="1"/>
        <v>250.58</v>
      </c>
      <c r="M29" vm="255">
        <f ca="1"/>
        <v>233.17</v>
      </c>
      <c r="N29" vm="256">
        <f ca="1"/>
        <v>142125397</v>
      </c>
    </row>
    <row r="30" spans="1:14">
      <c r="I30" vm="257">
        <f ca="1"/>
        <v>44844</v>
      </c>
      <c r="J30" vm="258">
        <f ca="1"/>
        <v>228.56</v>
      </c>
      <c r="K30" vm="259">
        <f ca="1"/>
        <v>233.05</v>
      </c>
      <c r="L30" vm="260">
        <f ca="1"/>
        <v>237.24</v>
      </c>
      <c r="M30" vm="261">
        <f ca="1"/>
        <v>219.13</v>
      </c>
      <c r="N30" vm="262">
        <f ca="1"/>
        <v>154871905</v>
      </c>
    </row>
    <row r="31" spans="1:14">
      <c r="I31" vm="263">
        <f ca="1"/>
        <v>44851</v>
      </c>
      <c r="J31" vm="264">
        <f ca="1"/>
        <v>242.12</v>
      </c>
      <c r="K31" vm="265">
        <f ca="1"/>
        <v>235.82</v>
      </c>
      <c r="L31" vm="266">
        <f ca="1"/>
        <v>243.93</v>
      </c>
      <c r="M31" vm="267">
        <f ca="1"/>
        <v>234.29</v>
      </c>
      <c r="N31" vm="268">
        <f ca="1"/>
        <v>122568305</v>
      </c>
    </row>
    <row r="32" spans="1:14">
      <c r="I32" vm="269">
        <f ca="1"/>
        <v>44858</v>
      </c>
      <c r="J32" vm="270">
        <f ca="1"/>
        <v>235.87</v>
      </c>
      <c r="K32" vm="271">
        <f ca="1"/>
        <v>243.76</v>
      </c>
      <c r="L32" vm="272">
        <f ca="1"/>
        <v>251.04</v>
      </c>
      <c r="M32" vm="273">
        <f ca="1"/>
        <v>225.78</v>
      </c>
      <c r="N32" vm="274">
        <f ca="1"/>
        <v>223443932</v>
      </c>
    </row>
    <row r="33" spans="9:14">
      <c r="I33" vm="275">
        <f ca="1"/>
        <v>44865</v>
      </c>
      <c r="J33" vm="276">
        <f ca="1"/>
        <v>221.39</v>
      </c>
      <c r="K33" vm="277">
        <f ca="1"/>
        <v>233.76</v>
      </c>
      <c r="L33" vm="278">
        <f ca="1"/>
        <v>235.74</v>
      </c>
      <c r="M33" vm="279">
        <f ca="1"/>
        <v>213.43100000000001</v>
      </c>
      <c r="N33" vm="280">
        <f ca="1"/>
        <v>170779529</v>
      </c>
    </row>
    <row r="34" spans="9:14">
      <c r="I34" vm="281">
        <f ca="1"/>
        <v>44872</v>
      </c>
      <c r="J34" vm="282">
        <f ca="1"/>
        <v>247.11</v>
      </c>
      <c r="K34" vm="283">
        <f ca="1"/>
        <v>221.99</v>
      </c>
      <c r="L34" vm="284">
        <f ca="1"/>
        <v>247.99</v>
      </c>
      <c r="M34" vm="285">
        <f ca="1"/>
        <v>221.28</v>
      </c>
      <c r="N34" vm="286">
        <f ca="1"/>
        <v>170431704</v>
      </c>
    </row>
    <row r="35" spans="9:14">
      <c r="I35" vm="287">
        <f ca="1"/>
        <v>44879</v>
      </c>
      <c r="J35" vm="288">
        <f ca="1"/>
        <v>241.22</v>
      </c>
      <c r="K35" vm="289">
        <f ca="1"/>
        <v>241.98500000000001</v>
      </c>
      <c r="L35" vm="290">
        <f ca="1"/>
        <v>247</v>
      </c>
      <c r="M35" vm="291">
        <f ca="1"/>
        <v>237.63</v>
      </c>
      <c r="N35" vm="292">
        <f ca="1"/>
        <v>137343796</v>
      </c>
    </row>
    <row r="36" spans="9:14">
      <c r="I36" vm="293">
        <f ca="1"/>
        <v>44886</v>
      </c>
      <c r="J36" vm="294">
        <f ca="1"/>
        <v>247.49</v>
      </c>
      <c r="K36" vm="295">
        <f ca="1"/>
        <v>241.43</v>
      </c>
      <c r="L36" vm="296">
        <f ca="1"/>
        <v>248.7</v>
      </c>
      <c r="M36" vm="297">
        <f ca="1"/>
        <v>240.71</v>
      </c>
      <c r="N36" vm="298">
        <f ca="1"/>
        <v>74769633</v>
      </c>
    </row>
    <row r="37" spans="9:14">
      <c r="I37" vm="299">
        <f ca="1"/>
        <v>44893</v>
      </c>
      <c r="J37" vm="300">
        <f ca="1"/>
        <v>255.02</v>
      </c>
      <c r="K37" vm="301">
        <f ca="1"/>
        <v>246.08</v>
      </c>
      <c r="L37" vm="302">
        <f ca="1"/>
        <v>256.12</v>
      </c>
      <c r="M37" vm="303">
        <f ca="1"/>
        <v>238.21</v>
      </c>
      <c r="N37" vm="304">
        <f ca="1"/>
        <v>137930867</v>
      </c>
    </row>
    <row r="38" spans="9:14">
      <c r="I38" vm="305">
        <f ca="1"/>
        <v>44900</v>
      </c>
      <c r="J38" vm="306">
        <f ca="1"/>
        <v>245.42</v>
      </c>
      <c r="K38" vm="307">
        <f ca="1"/>
        <v>252.01</v>
      </c>
      <c r="L38" vm="308">
        <f ca="1"/>
        <v>253.81899999999999</v>
      </c>
      <c r="M38" vm="309">
        <f ca="1"/>
        <v>242.20500000000001</v>
      </c>
      <c r="N38" vm="310">
        <f ca="1"/>
        <v>109602043</v>
      </c>
    </row>
    <row r="39" spans="9:14">
      <c r="I39" vm="311">
        <f ca="1"/>
        <v>44907</v>
      </c>
      <c r="J39" vm="312">
        <f ca="1"/>
        <v>244.69</v>
      </c>
      <c r="K39" vm="313">
        <f ca="1"/>
        <v>247.44499999999999</v>
      </c>
      <c r="L39" vm="314">
        <f ca="1"/>
        <v>263.91500000000002</v>
      </c>
      <c r="M39" vm="315">
        <f ca="1"/>
        <v>243.51</v>
      </c>
      <c r="N39" vm="316">
        <f ca="1"/>
        <v>229942973</v>
      </c>
    </row>
    <row r="40" spans="9:14">
      <c r="I40" vm="317">
        <f ca="1"/>
        <v>44914</v>
      </c>
      <c r="J40" vm="318">
        <f ca="1"/>
        <v>238.73</v>
      </c>
      <c r="K40" vm="319">
        <f ca="1"/>
        <v>244.86</v>
      </c>
      <c r="L40" vm="320">
        <f ca="1"/>
        <v>245.61500000000001</v>
      </c>
      <c r="M40" vm="321">
        <f ca="1"/>
        <v>233.87</v>
      </c>
      <c r="N40" vm="322">
        <f ca="1"/>
        <v>128396491</v>
      </c>
    </row>
    <row r="41" spans="9:14">
      <c r="I41" vm="323">
        <f ca="1"/>
        <v>44922</v>
      </c>
      <c r="J41" vm="324">
        <f ca="1"/>
        <v>239.82</v>
      </c>
      <c r="K41" vm="325">
        <f ca="1"/>
        <v>238.7</v>
      </c>
      <c r="L41" vm="326">
        <f ca="1"/>
        <v>241.92</v>
      </c>
      <c r="M41" vm="327">
        <f ca="1"/>
        <v>234.17</v>
      </c>
      <c r="N41" vm="328">
        <f ca="1"/>
        <v>75591158</v>
      </c>
    </row>
    <row r="42" spans="9:14">
      <c r="I42" vm="329">
        <f ca="1"/>
        <v>44929</v>
      </c>
      <c r="J42" vm="330">
        <f ca="1"/>
        <v>224.93</v>
      </c>
      <c r="K42" vm="331">
        <f ca="1"/>
        <v>243.08</v>
      </c>
      <c r="L42" vm="332">
        <f ca="1"/>
        <v>245.75</v>
      </c>
      <c r="M42" vm="333">
        <f ca="1"/>
        <v>219.35</v>
      </c>
      <c r="N42" vm="334">
        <f ca="1"/>
        <v>159562627</v>
      </c>
    </row>
    <row r="43" spans="9:14">
      <c r="I43" vm="335">
        <f ca="1"/>
        <v>44935</v>
      </c>
      <c r="J43" vm="336">
        <f ca="1"/>
        <v>239.23</v>
      </c>
      <c r="K43" vm="337">
        <f ca="1"/>
        <v>226.45</v>
      </c>
      <c r="L43" vm="338">
        <f ca="1"/>
        <v>239.9</v>
      </c>
      <c r="M43" vm="339">
        <f ca="1"/>
        <v>226.41</v>
      </c>
      <c r="N43" vm="340">
        <f ca="1"/>
        <v>131675747</v>
      </c>
    </row>
    <row r="44" spans="9:14">
      <c r="I44" vm="341">
        <f ca="1"/>
        <v>44943</v>
      </c>
      <c r="J44" vm="342">
        <f ca="1"/>
        <v>240.22</v>
      </c>
      <c r="K44" vm="343">
        <f ca="1"/>
        <v>237.97</v>
      </c>
      <c r="L44" vm="344">
        <f ca="1"/>
        <v>242.38</v>
      </c>
      <c r="M44" vm="345">
        <f ca="1"/>
        <v>230.68</v>
      </c>
      <c r="N44" vm="346">
        <f ca="1"/>
        <v>123872791</v>
      </c>
    </row>
    <row r="45" spans="9:14">
      <c r="I45" vm="347">
        <f ca="1"/>
        <v>44949</v>
      </c>
      <c r="J45" vm="348">
        <f ca="1"/>
        <v>248.16</v>
      </c>
      <c r="K45" vm="349">
        <f ca="1"/>
        <v>241.1</v>
      </c>
      <c r="L45" vm="350">
        <f ca="1"/>
        <v>249.83</v>
      </c>
      <c r="M45" vm="351">
        <f ca="1"/>
        <v>230.9</v>
      </c>
      <c r="N45" vm="352">
        <f ca="1"/>
        <v>198648466</v>
      </c>
    </row>
    <row r="46" spans="9:14">
      <c r="I46" vm="353">
        <f ca="1"/>
        <v>44956</v>
      </c>
      <c r="J46" vm="354">
        <f ca="1"/>
        <v>258.35000000000002</v>
      </c>
      <c r="K46" vm="355">
        <f ca="1"/>
        <v>244.51</v>
      </c>
      <c r="L46" vm="356">
        <f ca="1"/>
        <v>264.69</v>
      </c>
      <c r="M46" vm="357">
        <f ca="1"/>
        <v>242.2</v>
      </c>
      <c r="N46" vm="358">
        <f ca="1"/>
        <v>152686042</v>
      </c>
    </row>
    <row r="47" spans="9:14">
      <c r="I47" vm="359">
        <f ca="1"/>
        <v>44963</v>
      </c>
      <c r="J47" vm="360">
        <f ca="1"/>
        <v>263.10000000000002</v>
      </c>
      <c r="K47" vm="361">
        <f ca="1"/>
        <v>257.44</v>
      </c>
      <c r="L47" vm="362">
        <f ca="1"/>
        <v>276.76</v>
      </c>
      <c r="M47" vm="363">
        <f ca="1"/>
        <v>254.78</v>
      </c>
      <c r="N47" vm="364">
        <f ca="1"/>
        <v>196239002</v>
      </c>
    </row>
    <row r="48" spans="9:14">
      <c r="I48" vm="365">
        <f ca="1"/>
        <v>44970</v>
      </c>
      <c r="J48" vm="366">
        <f ca="1"/>
        <v>258.06</v>
      </c>
      <c r="K48" vm="367">
        <f ca="1"/>
        <v>267.64</v>
      </c>
      <c r="L48" vm="368">
        <f ca="1"/>
        <v>274.97000000000003</v>
      </c>
      <c r="M48" vm="369">
        <f ca="1"/>
        <v>256</v>
      </c>
      <c r="N48" vm="370">
        <f ca="1"/>
        <v>170244679</v>
      </c>
    </row>
    <row r="49" spans="9:14">
      <c r="I49" vm="371">
        <f ca="1"/>
        <v>44978</v>
      </c>
      <c r="J49" vm="372">
        <f ca="1"/>
        <v>249.22</v>
      </c>
      <c r="K49" vm="373">
        <f ca="1"/>
        <v>254.48</v>
      </c>
      <c r="L49" vm="374">
        <f ca="1"/>
        <v>256.83999999999997</v>
      </c>
      <c r="M49" vm="375">
        <f ca="1"/>
        <v>248.1</v>
      </c>
      <c r="N49" vm="376">
        <f ca="1"/>
        <v>105098500</v>
      </c>
    </row>
    <row r="50" spans="9:14">
      <c r="I50" vm="377">
        <f ca="1"/>
        <v>44984</v>
      </c>
      <c r="J50" vm="378">
        <f ca="1"/>
        <v>255.29</v>
      </c>
      <c r="K50" vm="379">
        <f ca="1"/>
        <v>252.46</v>
      </c>
      <c r="L50" vm="380">
        <f ca="1"/>
        <v>255.62</v>
      </c>
      <c r="M50" vm="381">
        <f ca="1"/>
        <v>245.61</v>
      </c>
      <c r="N50" vm="382">
        <f ca="1"/>
        <v>126840033</v>
      </c>
    </row>
    <row r="51" spans="9:14">
      <c r="I51" vm="383">
        <f ca="1"/>
        <v>44991</v>
      </c>
      <c r="J51" vm="384">
        <f ca="1"/>
        <v>248.59</v>
      </c>
      <c r="K51" vm="385">
        <f ca="1"/>
        <v>256.42500000000001</v>
      </c>
      <c r="L51" vm="386">
        <f ca="1"/>
        <v>260.12</v>
      </c>
      <c r="M51" vm="387">
        <f ca="1"/>
        <v>247.6</v>
      </c>
      <c r="N51" vm="388">
        <f ca="1"/>
        <v>117910562</v>
      </c>
    </row>
    <row r="52" spans="9:14">
      <c r="I52" vm="389">
        <f ca="1"/>
        <v>44998</v>
      </c>
      <c r="J52" vm="390">
        <f ca="1"/>
        <v>279.43</v>
      </c>
      <c r="K52" vm="391">
        <f ca="1"/>
        <v>247.4</v>
      </c>
      <c r="L52" vm="392">
        <f ca="1"/>
        <v>283.33</v>
      </c>
      <c r="M52" vm="393">
        <f ca="1"/>
        <v>245.73</v>
      </c>
      <c r="N52" vm="394">
        <f ca="1"/>
        <v>237347572</v>
      </c>
    </row>
    <row r="53" spans="9:14">
      <c r="I53" vm="395">
        <f ca="1"/>
        <v>45005</v>
      </c>
      <c r="J53" vm="396">
        <f ca="1"/>
        <v>280.57</v>
      </c>
      <c r="K53" vm="397">
        <f ca="1"/>
        <v>276.98</v>
      </c>
      <c r="L53" vm="398">
        <f ca="1"/>
        <v>281.06</v>
      </c>
      <c r="M53" vm="399">
        <f ca="1"/>
        <v>269.51909999999998</v>
      </c>
      <c r="N53" vm="400">
        <f ca="1"/>
        <v>177709524</v>
      </c>
    </row>
    <row r="54" spans="9:14">
      <c r="I54" vm="401">
        <f ca="1"/>
        <v>45012</v>
      </c>
      <c r="J54" vm="402">
        <f ca="1"/>
        <v>288.3</v>
      </c>
      <c r="K54" vm="403">
        <f ca="1"/>
        <v>280.5</v>
      </c>
      <c r="L54" vm="404">
        <f ca="1"/>
        <v>289.27</v>
      </c>
      <c r="M54" vm="405">
        <f ca="1"/>
        <v>272.04509999999999</v>
      </c>
      <c r="N54" vm="406">
        <f ca="1"/>
        <v>131625277</v>
      </c>
    </row>
    <row r="55" spans="9:14">
      <c r="I55" vm="407">
        <f ca="1"/>
        <v>45019</v>
      </c>
      <c r="J55" vm="408">
        <f ca="1"/>
        <v>291.60000000000002</v>
      </c>
      <c r="K55" vm="409">
        <f ca="1"/>
        <v>286.52</v>
      </c>
      <c r="L55" vm="410">
        <f ca="1"/>
        <v>292.08</v>
      </c>
      <c r="M55" vm="411">
        <f ca="1"/>
        <v>282.02999999999997</v>
      </c>
      <c r="N55" vm="412">
        <f ca="1"/>
        <v>102542745</v>
      </c>
    </row>
    <row r="56" spans="9:14">
      <c r="I56" vm="413">
        <f ca="1"/>
        <v>45026</v>
      </c>
      <c r="J56" vm="414">
        <f ca="1"/>
        <v>286.14</v>
      </c>
      <c r="K56" vm="415">
        <f ca="1"/>
        <v>289.20800000000003</v>
      </c>
      <c r="L56" vm="416">
        <f ca="1"/>
        <v>289.89999999999998</v>
      </c>
      <c r="M56" vm="417">
        <f ca="1"/>
        <v>281.64</v>
      </c>
      <c r="N56" vm="418">
        <f ca="1"/>
        <v>122993610</v>
      </c>
    </row>
    <row r="57" spans="9:14">
      <c r="I57" vm="419">
        <f ca="1"/>
        <v>45033</v>
      </c>
      <c r="J57" vm="420">
        <f ca="1"/>
        <v>285.76</v>
      </c>
      <c r="K57" vm="421">
        <f ca="1"/>
        <v>289.93</v>
      </c>
      <c r="L57" vm="422">
        <f ca="1"/>
        <v>291.755</v>
      </c>
      <c r="M57" vm="423">
        <f ca="1"/>
        <v>283.06079999999997</v>
      </c>
      <c r="N57" vm="424">
        <f ca="1"/>
        <v>106069089</v>
      </c>
    </row>
    <row r="58" spans="9:14">
      <c r="I58" vm="425">
        <f ca="1"/>
        <v>45040</v>
      </c>
      <c r="J58" vm="426">
        <f ca="1"/>
        <v>307.26</v>
      </c>
      <c r="K58" vm="427">
        <f ca="1"/>
        <v>282.08999999999997</v>
      </c>
      <c r="L58" vm="428">
        <f ca="1"/>
        <v>308.93</v>
      </c>
      <c r="M58" vm="429">
        <f ca="1"/>
        <v>275.37</v>
      </c>
      <c r="N58" vm="430">
        <f ca="1"/>
        <v>219914683</v>
      </c>
    </row>
    <row r="59" spans="9:14">
      <c r="I59" vm="431">
        <f ca="1"/>
        <v>45047</v>
      </c>
      <c r="J59" vm="432">
        <f ca="1"/>
        <v>310.64999999999998</v>
      </c>
      <c r="K59" vm="433">
        <f ca="1"/>
        <v>306.97000000000003</v>
      </c>
      <c r="L59" vm="434">
        <f ca="1"/>
        <v>311.97000000000003</v>
      </c>
      <c r="M59" vm="435">
        <f ca="1"/>
        <v>303.39999999999998</v>
      </c>
      <c r="N59" vm="436">
        <f ca="1"/>
        <v>120776259</v>
      </c>
    </row>
    <row r="60" spans="9:14">
      <c r="I60" vm="26">
        <f ca="1"/>
        <v>45054</v>
      </c>
      <c r="J60" vm="437">
        <f ca="1"/>
        <v>308.97000000000003</v>
      </c>
      <c r="K60" vm="438">
        <f ca="1"/>
        <v>310.13</v>
      </c>
      <c r="L60" vm="439">
        <f ca="1"/>
        <v>313</v>
      </c>
      <c r="M60" vm="440">
        <f ca="1"/>
        <v>306.08999999999997</v>
      </c>
      <c r="N60" vm="441">
        <f ca="1"/>
        <v>124192361</v>
      </c>
    </row>
    <row r="61" spans="9:14">
      <c r="I61" vm="54">
        <f ca="1"/>
        <v>45061</v>
      </c>
      <c r="J61" vm="442">
        <f ca="1"/>
        <v>318.33999999999997</v>
      </c>
      <c r="K61" vm="443">
        <f ca="1"/>
        <v>309.09500000000003</v>
      </c>
      <c r="L61" vm="444">
        <f ca="1"/>
        <v>319.04000000000002</v>
      </c>
      <c r="M61" vm="445">
        <f ca="1"/>
        <v>307.58999999999997</v>
      </c>
      <c r="N61" vm="446">
        <f ca="1"/>
        <v>122204598</v>
      </c>
    </row>
    <row r="62" spans="9:14">
      <c r="I62" vm="82">
        <f ca="1"/>
        <v>45068</v>
      </c>
      <c r="J62" vm="447">
        <f ca="1"/>
        <v>332.89</v>
      </c>
      <c r="K62" vm="448">
        <f ca="1"/>
        <v>318.60000000000002</v>
      </c>
      <c r="L62" vm="449">
        <f ca="1"/>
        <v>333.4</v>
      </c>
      <c r="M62" vm="450">
        <f ca="1"/>
        <v>312.61</v>
      </c>
      <c r="N62" vm="451">
        <f ca="1"/>
        <v>158230100</v>
      </c>
    </row>
    <row r="63" spans="9:14">
      <c r="I63" vm="115">
        <f ca="1"/>
        <v>45076</v>
      </c>
      <c r="J63" vm="452">
        <f ca="1"/>
        <v>335.4</v>
      </c>
      <c r="K63" vm="453">
        <f ca="1"/>
        <v>335.23</v>
      </c>
      <c r="L63" vm="454">
        <f ca="1"/>
        <v>337.5</v>
      </c>
      <c r="M63" vm="455">
        <f ca="1"/>
        <v>324.72000000000003</v>
      </c>
      <c r="N63" vm="456">
        <f ca="1"/>
        <v>128101243</v>
      </c>
    </row>
    <row r="64" spans="9:14">
      <c r="I64" vm="457">
        <f ca="1"/>
        <v>45082</v>
      </c>
      <c r="J64" vm="458">
        <f ca="1"/>
        <v>335.94</v>
      </c>
      <c r="K64" vm="459">
        <f ca="1"/>
        <v>335.22</v>
      </c>
      <c r="L64" vm="460">
        <f ca="1"/>
        <v>338.55990000000003</v>
      </c>
      <c r="M64" vm="461">
        <f ca="1"/>
        <v>334.6601</v>
      </c>
      <c r="N64" vm="462">
        <f ca="1"/>
        <v>21307053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F9E5-2F47-4738-8AA9-1695E4DC8B28}">
  <dimension ref="A1:D4"/>
  <sheetViews>
    <sheetView workbookViewId="0"/>
  </sheetViews>
  <sheetFormatPr defaultRowHeight="14.25"/>
  <cols>
    <col min="1" max="4" width="23.875" customWidth="1"/>
  </cols>
  <sheetData>
    <row r="1" spans="1:4" ht="20.25" thickBot="1">
      <c r="A1" s="4" t="s">
        <v>5862</v>
      </c>
      <c r="B1" s="4"/>
      <c r="C1" s="4"/>
      <c r="D1" s="4"/>
    </row>
    <row r="2" spans="1:4" ht="15" thickTop="1"/>
    <row r="3" spans="1:4">
      <c r="A3" t="s">
        <v>5863</v>
      </c>
      <c r="B3" t="s">
        <v>5864</v>
      </c>
    </row>
    <row r="4" spans="1:4">
      <c r="A4" t="s">
        <v>5865</v>
      </c>
      <c r="B4" t="s">
        <v>5866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1C71-C0BD-4E15-B865-678E8D47252D}">
  <dimension ref="A1:D11"/>
  <sheetViews>
    <sheetView zoomScale="160" zoomScaleNormal="160" workbookViewId="0"/>
  </sheetViews>
  <sheetFormatPr defaultRowHeight="14.25"/>
  <cols>
    <col min="1" max="1" width="70.5" customWidth="1"/>
    <col min="3" max="3" width="10.875" customWidth="1"/>
  </cols>
  <sheetData>
    <row r="1" spans="1:4" ht="20.25" thickBot="1">
      <c r="A1" s="4" t="s">
        <v>5858</v>
      </c>
      <c r="B1" s="4"/>
      <c r="C1" s="4"/>
      <c r="D1" s="4"/>
    </row>
    <row r="2" spans="1:4" ht="15" thickTop="1"/>
    <row r="3" spans="1:4">
      <c r="A3" t="s">
        <v>5906</v>
      </c>
      <c r="C3" s="57" t="s">
        <v>5905</v>
      </c>
    </row>
    <row r="5" spans="1:4">
      <c r="A5" t="s">
        <v>5859</v>
      </c>
    </row>
    <row r="6" spans="1:4">
      <c r="A6" t="s">
        <v>5860</v>
      </c>
    </row>
    <row r="8" spans="1:4" ht="154.5" customHeight="1">
      <c r="A8" s="56" t="str">
        <f>_xlfn.WEBSERVICE(A3)</f>
        <v>&lt;?xml version="1.0" encoding="UTF-8"?&gt;
&lt;xmlcep&gt;
  &lt;cep&gt;04550-004&lt;/cep&gt;
  &lt;logradouro&gt;Rua Alvorada&lt;/logradouro&gt;
  &lt;complemento&gt;de 961/962 ao fim&lt;/complemento&gt;
  &lt;bairro&gt;Vila Olímpia&lt;/bairro&gt;
  &lt;localidade&gt;São Paulo&lt;/localidade&gt;
  &lt;uf&gt;SP&lt;/uf&gt;
  &lt;ibge&gt;3550308&lt;/ibge&gt;
  &lt;gia&gt;1004&lt;/gia&gt;
  &lt;ddd&gt;11&lt;/ddd&gt;
  &lt;siafi&gt;7107&lt;/siafi&gt;
&lt;/xmlcep&gt;</v>
      </c>
    </row>
    <row r="10" spans="1:4" ht="17.25" thickBot="1">
      <c r="A10" s="26" t="s">
        <v>5861</v>
      </c>
    </row>
    <row r="11" spans="1:4" ht="15" thickTop="1">
      <c r="A11" t="str" cm="1">
        <f t="array" ref="A11">_xlfn.FILTERXML(A8,"//localidade")</f>
        <v>São Paulo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BDAA-A85B-4036-AA2E-AD0CEF39203D}">
  <dimension ref="A1:D15"/>
  <sheetViews>
    <sheetView zoomScale="175" zoomScaleNormal="175" workbookViewId="0"/>
  </sheetViews>
  <sheetFormatPr defaultRowHeight="14.25"/>
  <cols>
    <col min="1" max="2" width="12.625" customWidth="1"/>
    <col min="3" max="3" width="12.625" style="30" customWidth="1"/>
    <col min="4" max="4" width="15.875" style="1" customWidth="1"/>
  </cols>
  <sheetData>
    <row r="1" spans="1:4" ht="20.25" thickBot="1">
      <c r="A1" s="4" t="s">
        <v>5867</v>
      </c>
      <c r="B1" s="4"/>
      <c r="C1" s="58"/>
      <c r="D1" s="59"/>
    </row>
    <row r="2" spans="1:4" ht="15" thickTop="1"/>
    <row r="3" spans="1:4">
      <c r="C3" s="30" t="s">
        <v>5868</v>
      </c>
      <c r="D3" s="1">
        <v>-50000</v>
      </c>
    </row>
    <row r="4" spans="1:4">
      <c r="C4" s="30" t="s">
        <v>5872</v>
      </c>
      <c r="D4" s="1">
        <v>10000</v>
      </c>
    </row>
    <row r="5" spans="1:4">
      <c r="C5" s="30" t="s">
        <v>5873</v>
      </c>
      <c r="D5" s="1">
        <v>12000</v>
      </c>
    </row>
    <row r="6" spans="1:4">
      <c r="C6" s="30" t="s">
        <v>5874</v>
      </c>
      <c r="D6" s="1">
        <v>14000</v>
      </c>
    </row>
    <row r="7" spans="1:4">
      <c r="C7" s="30" t="s">
        <v>5875</v>
      </c>
      <c r="D7" s="1">
        <v>15000</v>
      </c>
    </row>
    <row r="8" spans="1:4">
      <c r="C8" s="30" t="s">
        <v>5876</v>
      </c>
      <c r="D8" s="1">
        <v>13000</v>
      </c>
    </row>
    <row r="9" spans="1:4">
      <c r="C9" s="30" t="s">
        <v>5869</v>
      </c>
      <c r="D9" s="1">
        <f>SUM(D4:D8)</f>
        <v>64000</v>
      </c>
    </row>
    <row r="11" spans="1:4">
      <c r="C11" s="30" t="s">
        <v>5870</v>
      </c>
      <c r="D11" s="60">
        <f>D9/-D3-1</f>
        <v>0.28000000000000003</v>
      </c>
    </row>
    <row r="13" spans="1:4">
      <c r="C13" s="30" t="s">
        <v>5871</v>
      </c>
      <c r="D13" s="60">
        <f>IRR(D3:D8)</f>
        <v>8.3837631048500505E-2</v>
      </c>
    </row>
    <row r="15" spans="1:4">
      <c r="C15" s="30" t="s">
        <v>5877</v>
      </c>
      <c r="D15" s="61">
        <f>NPV(D13,D4:D8)</f>
        <v>50000.000000003238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D91F-893E-4670-8AF7-C516A2F91896}">
  <sheetPr>
    <tabColor theme="8" tint="0.79998168889431442"/>
  </sheetPr>
  <dimension ref="A1:G20"/>
  <sheetViews>
    <sheetView showGridLines="0" zoomScale="145" zoomScaleNormal="145" workbookViewId="0"/>
  </sheetViews>
  <sheetFormatPr defaultRowHeight="14.25"/>
  <cols>
    <col min="1" max="5" width="12.5" customWidth="1"/>
  </cols>
  <sheetData>
    <row r="1" spans="1:7" ht="20.25" thickBot="1">
      <c r="A1" s="4" t="s">
        <v>5914</v>
      </c>
      <c r="B1" s="4"/>
      <c r="C1" s="4"/>
      <c r="D1" s="4"/>
    </row>
    <row r="2" spans="1:7" ht="15" thickTop="1"/>
    <row r="3" spans="1:7" ht="17.25" thickBot="1">
      <c r="A3" s="26" t="s">
        <v>5915</v>
      </c>
      <c r="B3" s="26"/>
      <c r="C3" s="26"/>
      <c r="D3" s="26"/>
      <c r="G3" s="78" t="s">
        <v>5908</v>
      </c>
    </row>
    <row r="4" spans="1:7" ht="15.75" thickTop="1" thickBot="1">
      <c r="A4" s="79"/>
      <c r="B4" s="79"/>
      <c r="C4" s="79"/>
      <c r="D4" s="79"/>
      <c r="E4" s="79"/>
      <c r="G4" t="s">
        <v>5910</v>
      </c>
    </row>
    <row r="5" spans="1:7" ht="15" thickBot="1">
      <c r="A5" s="84" t="s">
        <v>5920</v>
      </c>
      <c r="B5" s="80"/>
      <c r="C5" s="79"/>
      <c r="D5" s="80"/>
      <c r="E5" s="79"/>
      <c r="G5" t="s">
        <v>5911</v>
      </c>
    </row>
    <row r="6" spans="1:7" ht="15" thickBot="1">
      <c r="A6" s="79"/>
      <c r="B6" s="79"/>
      <c r="C6" s="79"/>
      <c r="D6" s="79"/>
      <c r="E6" s="79"/>
      <c r="G6" t="s">
        <v>5912</v>
      </c>
    </row>
    <row r="7" spans="1:7" ht="15" thickBot="1">
      <c r="A7" s="79"/>
      <c r="B7" s="81"/>
      <c r="C7" s="82"/>
      <c r="D7" s="83"/>
      <c r="E7" s="79"/>
    </row>
    <row r="8" spans="1:7">
      <c r="A8" s="79"/>
      <c r="B8" s="79"/>
      <c r="C8" s="79"/>
      <c r="D8" s="79"/>
      <c r="E8" s="79"/>
    </row>
    <row r="10" spans="1:7" ht="17.25" thickBot="1">
      <c r="A10" s="26" t="s">
        <v>5916</v>
      </c>
      <c r="B10" s="26"/>
      <c r="C10" s="26"/>
      <c r="D10" s="26"/>
    </row>
    <row r="11" spans="1:7" ht="15" thickTop="1">
      <c r="A11" t="s">
        <v>5921</v>
      </c>
    </row>
    <row r="13" spans="1:7" ht="17.25" thickBot="1">
      <c r="A13" s="26" t="s">
        <v>5918</v>
      </c>
      <c r="B13" s="26"/>
      <c r="C13" s="26"/>
      <c r="D13" s="26"/>
    </row>
    <row r="14" spans="1:7" ht="15" thickTop="1">
      <c r="A14" t="s">
        <v>5909</v>
      </c>
    </row>
    <row r="16" spans="1:7" ht="17.25" thickBot="1">
      <c r="A16" s="26" t="s">
        <v>5919</v>
      </c>
      <c r="B16" s="26"/>
      <c r="C16" s="26"/>
      <c r="D16" s="26"/>
    </row>
    <row r="17" spans="1:4" ht="15" thickTop="1">
      <c r="A17" t="s">
        <v>5913</v>
      </c>
    </row>
    <row r="19" spans="1:4" ht="17.25" thickBot="1">
      <c r="A19" s="26" t="s">
        <v>5917</v>
      </c>
      <c r="B19" s="26"/>
      <c r="C19" s="26"/>
      <c r="D19" s="26"/>
    </row>
    <row r="20" spans="1:4" ht="15" thickTop="1">
      <c r="A20" t="s">
        <v>5907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5</vt:i4>
      </vt:variant>
    </vt:vector>
  </HeadingPairs>
  <TitlesOfParts>
    <vt:vector size="31" baseType="lpstr">
      <vt:lpstr>Introdução</vt:lpstr>
      <vt:lpstr>Navegação (A)</vt:lpstr>
      <vt:lpstr>Navegação (B)</vt:lpstr>
      <vt:lpstr>Navegação (C)</vt:lpstr>
      <vt:lpstr>Edição</vt:lpstr>
      <vt:lpstr>Formatação</vt:lpstr>
      <vt:lpstr>Fórmulas</vt:lpstr>
      <vt:lpstr>Funções Básicas</vt:lpstr>
      <vt:lpstr>Funções Lógicas</vt:lpstr>
      <vt:lpstr>Funções de Texto</vt:lpstr>
      <vt:lpstr>Funções Financeiras</vt:lpstr>
      <vt:lpstr>Planilha de Previsão</vt:lpstr>
      <vt:lpstr>Análise de Dados</vt:lpstr>
      <vt:lpstr>Procura e Referência</vt:lpstr>
      <vt:lpstr>Matrizes Dinâmicas</vt:lpstr>
      <vt:lpstr>Classificação e Filtro</vt:lpstr>
      <vt:lpstr>Tabela Dinâmica</vt:lpstr>
      <vt:lpstr>Tabela Dinâmica Pronta</vt:lpstr>
      <vt:lpstr>Gráficos</vt:lpstr>
      <vt:lpstr>Carteira</vt:lpstr>
      <vt:lpstr>Diretores</vt:lpstr>
      <vt:lpstr>Tipos de Dados</vt:lpstr>
      <vt:lpstr>Power Query</vt:lpstr>
      <vt:lpstr>Serviço Web</vt:lpstr>
      <vt:lpstr>Indicadores</vt:lpstr>
      <vt:lpstr>Bônus</vt:lpstr>
      <vt:lpstr>preços</vt:lpstr>
      <vt:lpstr>primeiro</vt:lpstr>
      <vt:lpstr>segundo</vt:lpstr>
      <vt:lpstr>unidades</vt:lpstr>
      <vt:lpstr>valores_usd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</dc:creator>
  <cp:lastModifiedBy>Cristiano</cp:lastModifiedBy>
  <dcterms:created xsi:type="dcterms:W3CDTF">2023-05-30T18:42:12Z</dcterms:created>
  <dcterms:modified xsi:type="dcterms:W3CDTF">2023-06-06T18:36:36Z</dcterms:modified>
</cp:coreProperties>
</file>