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26f7d5f0242845/Área de Trabalho/"/>
    </mc:Choice>
  </mc:AlternateContent>
  <xr:revisionPtr revIDLastSave="0" documentId="8_{7CAA502F-47E9-48CC-A7FF-C626A173645C}" xr6:coauthVersionLast="47" xr6:coauthVersionMax="47" xr10:uidLastSave="{00000000-0000-0000-0000-000000000000}"/>
  <bookViews>
    <workbookView xWindow="-103" yWindow="-103" windowWidth="16663" windowHeight="8863" xr2:uid="{D880820C-ECD9-4CB1-8CCF-08193C35B77A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4" i="1" l="1"/>
  <c r="J61" i="1"/>
  <c r="I61" i="1"/>
  <c r="H61" i="1"/>
  <c r="G61" i="1"/>
  <c r="F61" i="1"/>
  <c r="F58" i="1"/>
  <c r="E58" i="1"/>
  <c r="E57" i="1"/>
  <c r="E56" i="1"/>
  <c r="E55" i="1"/>
  <c r="C58" i="1"/>
  <c r="C56" i="1"/>
  <c r="B52" i="1"/>
  <c r="B46" i="1"/>
  <c r="B42" i="1"/>
  <c r="B41" i="1"/>
  <c r="B40" i="1"/>
  <c r="E34" i="1"/>
  <c r="J30" i="1"/>
  <c r="I30" i="1"/>
  <c r="H30" i="1"/>
  <c r="G30" i="1"/>
  <c r="F30" i="1"/>
  <c r="B31" i="1"/>
  <c r="B28" i="1"/>
  <c r="B21" i="1"/>
  <c r="A21" i="1"/>
  <c r="B20" i="1"/>
  <c r="B15" i="1"/>
  <c r="B14" i="1"/>
  <c r="F10" i="1"/>
  <c r="B10" i="1"/>
  <c r="B13" i="1" s="1"/>
  <c r="B9" i="1"/>
  <c r="B4" i="1"/>
  <c r="B3" i="1"/>
  <c r="B8" i="1"/>
  <c r="B22" i="1" l="1"/>
  <c r="B19" i="1" s="1"/>
  <c r="B16" i="1"/>
</calcChain>
</file>

<file path=xl/sharedStrings.xml><?xml version="1.0" encoding="utf-8"?>
<sst xmlns="http://schemas.openxmlformats.org/spreadsheetml/2006/main" count="55" uniqueCount="40">
  <si>
    <t>Taxa</t>
  </si>
  <si>
    <t>a.a</t>
  </si>
  <si>
    <t>real</t>
  </si>
  <si>
    <t>PMT (pgto)</t>
  </si>
  <si>
    <t>n</t>
  </si>
  <si>
    <t>meses</t>
  </si>
  <si>
    <t>a.m</t>
  </si>
  <si>
    <t>taxa</t>
  </si>
  <si>
    <t>taxa liq</t>
  </si>
  <si>
    <t>VP (65 anos)</t>
  </si>
  <si>
    <t>ano</t>
  </si>
  <si>
    <t>vc terá 65 anos (daqui a 35 anos)</t>
  </si>
  <si>
    <t>VF</t>
  </si>
  <si>
    <t>PMT (pgto)?</t>
  </si>
  <si>
    <t>VP?</t>
  </si>
  <si>
    <t>ação</t>
  </si>
  <si>
    <t>Dividendo</t>
  </si>
  <si>
    <t>Div yield</t>
  </si>
  <si>
    <t>pagou</t>
  </si>
  <si>
    <t>ações</t>
  </si>
  <si>
    <t>comprou</t>
  </si>
  <si>
    <t>Retorno = D +(P1-P0)/P0</t>
  </si>
  <si>
    <t>TIR</t>
  </si>
  <si>
    <t>CDI</t>
  </si>
  <si>
    <t>3 anos</t>
  </si>
  <si>
    <t>taxa do CDI diária bruta</t>
  </si>
  <si>
    <t>taxa do CDI diária bruta (120%)</t>
  </si>
  <si>
    <t>taxa do CDI diária bruta (120%) Líquida</t>
  </si>
  <si>
    <t>ano 252</t>
  </si>
  <si>
    <t>du</t>
  </si>
  <si>
    <t>120% do CDI líquido de IR</t>
  </si>
  <si>
    <t>LCI</t>
  </si>
  <si>
    <t>85% CDI</t>
  </si>
  <si>
    <t>CDB</t>
  </si>
  <si>
    <t>115% CDI</t>
  </si>
  <si>
    <t>preço</t>
  </si>
  <si>
    <t>quantidade</t>
  </si>
  <si>
    <t>valor</t>
  </si>
  <si>
    <t>soma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</si>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</sst>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6" formatCode="0.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0" applyNumberFormat="1"/>
    <xf numFmtId="9" fontId="0" fillId="0" borderId="0" xfId="1" applyFont="1"/>
    <xf numFmtId="10" fontId="0" fillId="0" borderId="0" xfId="1" applyNumberFormat="1" applyFont="1"/>
    <xf numFmtId="8" fontId="0" fillId="0" borderId="0" xfId="0" applyNumberFormat="1"/>
    <xf numFmtId="8" fontId="0" fillId="2" borderId="0" xfId="0" applyNumberFormat="1" applyFill="1"/>
    <xf numFmtId="0" fontId="0" fillId="2" borderId="0" xfId="0" applyFill="1"/>
    <xf numFmtId="9" fontId="0" fillId="0" borderId="0" xfId="0" applyNumberFormat="1"/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648956</xdr:colOff>
      <xdr:row>4</xdr:row>
      <xdr:rowOff>171660</xdr:rowOff>
    </xdr:from>
    <xdr:to>
      <xdr:col>8</xdr:col>
      <xdr:colOff>255395</xdr:colOff>
      <xdr:row>4</xdr:row>
      <xdr:rowOff>180034</xdr:rowOff>
    </xdr:to>
    <xdr:cxnSp macro="">
      <xdr:nvCxnSpPr>
        <xdr:cNvPr id="3" name="Conector de Seta Reta 2">
          <a:extLst>
            <a:ext uri="{FF2B5EF4-FFF2-40B4-BE49-F238E27FC236}">
              <a16:creationId xmlns:a16="http://schemas.microsoft.com/office/drawing/2014/main" id="{3E6754C8-835D-DEAC-9625-CFF0975C543D}"/>
            </a:ext>
          </a:extLst>
        </xdr:cNvPr>
        <xdr:cNvCxnSpPr/>
      </xdr:nvCxnSpPr>
      <xdr:spPr>
        <a:xfrm flipV="1">
          <a:off x="1955241" y="908539"/>
          <a:ext cx="3525297" cy="837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</xdr:colOff>
      <xdr:row>3</xdr:row>
      <xdr:rowOff>50242</xdr:rowOff>
    </xdr:from>
    <xdr:to>
      <xdr:col>3</xdr:col>
      <xdr:colOff>8374</xdr:colOff>
      <xdr:row>4</xdr:row>
      <xdr:rowOff>171659</xdr:rowOff>
    </xdr:to>
    <xdr:cxnSp macro="">
      <xdr:nvCxnSpPr>
        <xdr:cNvPr id="5" name="Conector de Seta Reta 4">
          <a:extLst>
            <a:ext uri="{FF2B5EF4-FFF2-40B4-BE49-F238E27FC236}">
              <a16:creationId xmlns:a16="http://schemas.microsoft.com/office/drawing/2014/main" id="{4D350875-7838-54FB-CEBE-E86609CB89F0}"/>
            </a:ext>
          </a:extLst>
        </xdr:cNvPr>
        <xdr:cNvCxnSpPr/>
      </xdr:nvCxnSpPr>
      <xdr:spPr>
        <a:xfrm flipH="1" flipV="1">
          <a:off x="1959429" y="602901"/>
          <a:ext cx="8373" cy="3056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231951</xdr:colOff>
      <xdr:row>3</xdr:row>
      <xdr:rowOff>72850</xdr:rowOff>
    </xdr:from>
    <xdr:to>
      <xdr:col>3</xdr:col>
      <xdr:colOff>240324</xdr:colOff>
      <xdr:row>5</xdr:row>
      <xdr:rowOff>10047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46852F83-6810-4069-9E56-EC11F636EDD3}"/>
            </a:ext>
          </a:extLst>
        </xdr:cNvPr>
        <xdr:cNvCxnSpPr/>
      </xdr:nvCxnSpPr>
      <xdr:spPr>
        <a:xfrm flipH="1" flipV="1">
          <a:off x="2191379" y="625509"/>
          <a:ext cx="8373" cy="3056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32658</xdr:colOff>
      <xdr:row>3</xdr:row>
      <xdr:rowOff>49403</xdr:rowOff>
    </xdr:from>
    <xdr:to>
      <xdr:col>8</xdr:col>
      <xdr:colOff>41031</xdr:colOff>
      <xdr:row>4</xdr:row>
      <xdr:rowOff>170820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DA0C4CB6-2767-4F89-B874-25BED672D586}"/>
            </a:ext>
          </a:extLst>
        </xdr:cNvPr>
        <xdr:cNvCxnSpPr/>
      </xdr:nvCxnSpPr>
      <xdr:spPr>
        <a:xfrm flipH="1" flipV="1">
          <a:off x="5257801" y="602062"/>
          <a:ext cx="8373" cy="3056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</xdr:col>
      <xdr:colOff>93365</xdr:colOff>
      <xdr:row>2</xdr:row>
      <xdr:rowOff>11723</xdr:rowOff>
    </xdr:from>
    <xdr:ext cx="1047018" cy="17222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FF923986-C96B-AA0B-41CE-4B0F7F0444F2}"/>
                </a:ext>
              </a:extLst>
            </xdr:cNvPr>
            <xdr:cNvSpPr txBox="1"/>
          </xdr:nvSpPr>
          <xdr:spPr>
            <a:xfrm>
              <a:off x="3359080" y="380162"/>
              <a:ext cx="104701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100" b="0" i="1">
                        <a:latin typeface="Cambria Math" panose="02040503050406030204" pitchFamily="18" charset="0"/>
                      </a:rPr>
                      <m:t>𝑖𝑙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100" b="0" i="1">
                        <a:latin typeface="Cambria Math" panose="02040503050406030204" pitchFamily="18" charset="0"/>
                      </a:rPr>
                      <m:t>𝑖𝑏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×(1−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𝑇</m:t>
                    </m:r>
                    <m:r>
                      <a:rPr lang="pt-BR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t-BR" sz="1100"/>
            </a:p>
          </xdr:txBody>
        </xdr:sp>
      </mc:Choice>
      <mc:Fallback>
        <xdr:sp macro="" textlink="">
          <xdr:nvSpPr>
            <xdr:cNvPr id="8" name="CaixaDeTexto 7">
              <a:extLst>
                <a:ext uri="{FF2B5EF4-FFF2-40B4-BE49-F238E27FC236}">
                  <a16:creationId xmlns:a16="http://schemas.microsoft.com/office/drawing/2014/main" id="{FF923986-C96B-AA0B-41CE-4B0F7F0444F2}"/>
                </a:ext>
              </a:extLst>
            </xdr:cNvPr>
            <xdr:cNvSpPr txBox="1"/>
          </xdr:nvSpPr>
          <xdr:spPr>
            <a:xfrm>
              <a:off x="3359080" y="380162"/>
              <a:ext cx="1047018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pt-BR" sz="1100" b="0" i="0">
                  <a:latin typeface="Cambria Math" panose="02040503050406030204" pitchFamily="18" charset="0"/>
                </a:rPr>
                <a:t>𝑖𝑙=𝑖𝑏</a:t>
              </a:r>
              <a:r>
                <a:rPr lang="pt-B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×(1−𝑇)</a:t>
              </a:r>
              <a:endParaRPr lang="pt-B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038F-770A-4E92-BDC2-0AD7B8188E2E}">
  <dimension ref="A2:J64"/>
  <sheetViews>
    <sheetView showGridLines="0" tabSelected="1" zoomScale="130" zoomScaleNormal="130" workbookViewId="0">
      <selection activeCell="D4" sqref="D4"/>
    </sheetView>
  </sheetViews>
  <sheetFormatPr defaultRowHeight="14.6" x14ac:dyDescent="0.4"/>
  <cols>
    <col min="2" max="2" width="14.61328125" bestFit="1" customWidth="1"/>
  </cols>
  <sheetData>
    <row r="2" spans="1:9" x14ac:dyDescent="0.4">
      <c r="A2" t="s">
        <v>0</v>
      </c>
      <c r="B2" s="1">
        <v>5.5899999999999998E-2</v>
      </c>
      <c r="C2" t="s">
        <v>1</v>
      </c>
      <c r="D2" t="s">
        <v>2</v>
      </c>
    </row>
    <row r="3" spans="1:9" x14ac:dyDescent="0.4">
      <c r="A3" t="s">
        <v>7</v>
      </c>
      <c r="B3" s="3">
        <f>(1+B2)^(1/12)-1</f>
        <v>4.5430789527656223E-3</v>
      </c>
      <c r="C3" t="s">
        <v>6</v>
      </c>
      <c r="I3">
        <v>7000</v>
      </c>
    </row>
    <row r="4" spans="1:9" x14ac:dyDescent="0.4">
      <c r="A4" t="s">
        <v>8</v>
      </c>
      <c r="B4" s="1">
        <f>B3*(1-15%)</f>
        <v>3.861617109850779E-3</v>
      </c>
      <c r="C4" t="s">
        <v>6</v>
      </c>
    </row>
    <row r="6" spans="1:9" x14ac:dyDescent="0.4">
      <c r="D6">
        <v>65</v>
      </c>
      <c r="I6">
        <v>85</v>
      </c>
    </row>
    <row r="7" spans="1:9" x14ac:dyDescent="0.4">
      <c r="A7" t="s">
        <v>3</v>
      </c>
      <c r="B7">
        <v>7000</v>
      </c>
    </row>
    <row r="8" spans="1:9" x14ac:dyDescent="0.4">
      <c r="A8" t="s">
        <v>4</v>
      </c>
      <c r="B8">
        <f>(85-65)*12</f>
        <v>240</v>
      </c>
      <c r="C8" t="s">
        <v>5</v>
      </c>
    </row>
    <row r="9" spans="1:9" x14ac:dyDescent="0.4">
      <c r="A9" t="s">
        <v>7</v>
      </c>
      <c r="B9" s="1">
        <f>B4</f>
        <v>3.861617109850779E-3</v>
      </c>
    </row>
    <row r="10" spans="1:9" x14ac:dyDescent="0.4">
      <c r="A10" t="s">
        <v>9</v>
      </c>
      <c r="B10" s="5">
        <f>PV(B9,B8,B7)</f>
        <v>-1093917.1248284783</v>
      </c>
      <c r="F10">
        <f>2023+35</f>
        <v>2058</v>
      </c>
    </row>
    <row r="11" spans="1:9" x14ac:dyDescent="0.4">
      <c r="F11" t="s">
        <v>10</v>
      </c>
      <c r="G11" t="s">
        <v>11</v>
      </c>
    </row>
    <row r="13" spans="1:9" x14ac:dyDescent="0.4">
      <c r="A13" t="s">
        <v>12</v>
      </c>
      <c r="B13" s="4">
        <f>B10</f>
        <v>-1093917.1248284783</v>
      </c>
    </row>
    <row r="14" spans="1:9" x14ac:dyDescent="0.4">
      <c r="A14" t="s">
        <v>4</v>
      </c>
      <c r="B14">
        <f>35*12</f>
        <v>420</v>
      </c>
      <c r="C14" t="s">
        <v>5</v>
      </c>
    </row>
    <row r="15" spans="1:9" x14ac:dyDescent="0.4">
      <c r="A15" t="s">
        <v>7</v>
      </c>
      <c r="B15" s="1">
        <f>B9</f>
        <v>3.861617109850779E-3</v>
      </c>
    </row>
    <row r="16" spans="1:9" x14ac:dyDescent="0.4">
      <c r="A16" s="6" t="s">
        <v>14</v>
      </c>
      <c r="B16" s="5">
        <f>PV(B15,B14,,B13)</f>
        <v>216754.31849659351</v>
      </c>
    </row>
    <row r="19" spans="1:10" x14ac:dyDescent="0.4">
      <c r="A19" s="6" t="s">
        <v>13</v>
      </c>
      <c r="B19" s="5">
        <f>PMT(B21,B20,,B22)</f>
        <v>1043.8574177543835</v>
      </c>
    </row>
    <row r="20" spans="1:10" x14ac:dyDescent="0.4">
      <c r="A20" t="s">
        <v>4</v>
      </c>
      <c r="B20">
        <f>B14</f>
        <v>420</v>
      </c>
    </row>
    <row r="21" spans="1:10" x14ac:dyDescent="0.4">
      <c r="A21" t="str">
        <f>A15</f>
        <v>taxa</v>
      </c>
      <c r="B21" s="1">
        <f>B15</f>
        <v>3.861617109850779E-3</v>
      </c>
    </row>
    <row r="22" spans="1:10" x14ac:dyDescent="0.4">
      <c r="A22" t="s">
        <v>12</v>
      </c>
      <c r="B22" s="4">
        <f>B13</f>
        <v>-1093917.1248284783</v>
      </c>
    </row>
    <row r="25" spans="1:10" x14ac:dyDescent="0.4">
      <c r="E25" t="s">
        <v>21</v>
      </c>
    </row>
    <row r="26" spans="1:10" x14ac:dyDescent="0.4">
      <c r="A26" t="s">
        <v>15</v>
      </c>
      <c r="B26">
        <v>30</v>
      </c>
    </row>
    <row r="27" spans="1:10" x14ac:dyDescent="0.4">
      <c r="A27" t="s">
        <v>16</v>
      </c>
      <c r="B27">
        <v>3</v>
      </c>
    </row>
    <row r="28" spans="1:10" x14ac:dyDescent="0.4">
      <c r="A28" t="s">
        <v>17</v>
      </c>
      <c r="B28" s="3">
        <f>B27/B26</f>
        <v>0.1</v>
      </c>
    </row>
    <row r="30" spans="1:10" x14ac:dyDescent="0.4">
      <c r="A30" t="s">
        <v>18</v>
      </c>
      <c r="B30">
        <v>3000</v>
      </c>
      <c r="E30">
        <v>-3000</v>
      </c>
      <c r="F30">
        <f>B27*B31</f>
        <v>300</v>
      </c>
      <c r="G30">
        <f>F30</f>
        <v>300</v>
      </c>
      <c r="H30">
        <f>G30</f>
        <v>300</v>
      </c>
      <c r="I30">
        <f>H30</f>
        <v>300</v>
      </c>
      <c r="J30">
        <f>I30+4000</f>
        <v>4300</v>
      </c>
    </row>
    <row r="31" spans="1:10" x14ac:dyDescent="0.4">
      <c r="A31" t="s">
        <v>20</v>
      </c>
      <c r="B31">
        <f>B30/B26</f>
        <v>100</v>
      </c>
      <c r="C31" t="s">
        <v>19</v>
      </c>
      <c r="E31">
        <v>0</v>
      </c>
      <c r="F31">
        <v>1</v>
      </c>
      <c r="G31">
        <v>2</v>
      </c>
      <c r="H31">
        <v>3</v>
      </c>
      <c r="I31">
        <v>4</v>
      </c>
      <c r="J31">
        <v>5</v>
      </c>
    </row>
    <row r="34" spans="1:6" x14ac:dyDescent="0.4">
      <c r="D34" t="s">
        <v>22</v>
      </c>
      <c r="E34" s="1">
        <f>IRR(E30:J30)</f>
        <v>0.14948860780582174</v>
      </c>
      <c r="F34" t="s">
        <v>1</v>
      </c>
    </row>
    <row r="37" spans="1:6" x14ac:dyDescent="0.4">
      <c r="A37" t="s">
        <v>23</v>
      </c>
      <c r="B37" s="1">
        <v>0.13650000000000001</v>
      </c>
      <c r="C37" t="s">
        <v>1</v>
      </c>
    </row>
    <row r="38" spans="1:6" x14ac:dyDescent="0.4">
      <c r="A38" s="7">
        <v>1.2</v>
      </c>
      <c r="B38" t="s">
        <v>23</v>
      </c>
      <c r="C38" t="s">
        <v>24</v>
      </c>
    </row>
    <row r="40" spans="1:6" x14ac:dyDescent="0.4">
      <c r="B40" s="8">
        <f>(1+B37)^(1/252)-1</f>
        <v>5.0788037326188196E-4</v>
      </c>
      <c r="C40" t="s">
        <v>25</v>
      </c>
    </row>
    <row r="41" spans="1:6" x14ac:dyDescent="0.4">
      <c r="B41" s="9">
        <f>B40*120%</f>
        <v>6.0945644791425828E-4</v>
      </c>
      <c r="C41" t="s">
        <v>26</v>
      </c>
    </row>
    <row r="42" spans="1:6" x14ac:dyDescent="0.4">
      <c r="B42" s="10">
        <f>B41*(1-15%)</f>
        <v>5.1803798072711958E-4</v>
      </c>
      <c r="C42" t="s">
        <v>27</v>
      </c>
    </row>
    <row r="44" spans="1:6" x14ac:dyDescent="0.4">
      <c r="A44" t="s">
        <v>28</v>
      </c>
      <c r="B44" t="s">
        <v>29</v>
      </c>
    </row>
    <row r="46" spans="1:6" x14ac:dyDescent="0.4">
      <c r="B46" s="3">
        <f>(1+B42)^(252)-1</f>
        <v>0.13941134958616952</v>
      </c>
      <c r="C46" t="s">
        <v>1</v>
      </c>
      <c r="D46" t="s">
        <v>30</v>
      </c>
    </row>
    <row r="48" spans="1:6" x14ac:dyDescent="0.4">
      <c r="A48" t="s">
        <v>32</v>
      </c>
      <c r="B48" s="3" t="s">
        <v>31</v>
      </c>
      <c r="C48">
        <v>1.5</v>
      </c>
      <c r="D48" t="s">
        <v>10</v>
      </c>
    </row>
    <row r="49" spans="1:10" x14ac:dyDescent="0.4">
      <c r="A49" t="s">
        <v>34</v>
      </c>
      <c r="B49" s="1" t="s">
        <v>33</v>
      </c>
      <c r="C49">
        <v>1.5</v>
      </c>
      <c r="D49" t="s">
        <v>10</v>
      </c>
    </row>
    <row r="52" spans="1:10" x14ac:dyDescent="0.4">
      <c r="B52" s="2">
        <f>85%/(1-17.5%)</f>
        <v>1.0303030303030303</v>
      </c>
      <c r="C52" t="s">
        <v>23</v>
      </c>
    </row>
    <row r="54" spans="1:10" x14ac:dyDescent="0.4">
      <c r="C54" t="s">
        <v>36</v>
      </c>
      <c r="D54" t="s">
        <v>35</v>
      </c>
      <c r="E54" t="s">
        <v>39</v>
      </c>
    </row>
    <row r="55" spans="1:10" x14ac:dyDescent="0.4">
      <c r="C55">
        <v>100</v>
      </c>
      <c r="D55">
        <v>15</v>
      </c>
      <c r="E55">
        <f>C55/C58</f>
        <v>0.25</v>
      </c>
    </row>
    <row r="56" spans="1:10" x14ac:dyDescent="0.4">
      <c r="C56">
        <f>200</f>
        <v>200</v>
      </c>
      <c r="D56">
        <v>18</v>
      </c>
      <c r="E56">
        <f>C56/C58</f>
        <v>0.5</v>
      </c>
    </row>
    <row r="57" spans="1:10" x14ac:dyDescent="0.4">
      <c r="C57">
        <v>100</v>
      </c>
      <c r="D57">
        <v>14</v>
      </c>
      <c r="E57">
        <f>C57/C58</f>
        <v>0.25</v>
      </c>
    </row>
    <row r="58" spans="1:10" x14ac:dyDescent="0.4">
      <c r="B58" t="s">
        <v>38</v>
      </c>
      <c r="C58">
        <f>SUM(C55:C57)</f>
        <v>400</v>
      </c>
      <c r="E58">
        <f>SUM(E55:E57)</f>
        <v>1</v>
      </c>
      <c r="F58" s="6">
        <f>E55*D55+E56*D56+E57*D57</f>
        <v>16.25</v>
      </c>
    </row>
    <row r="61" spans="1:10" x14ac:dyDescent="0.4">
      <c r="F61">
        <f>-F58*C58</f>
        <v>-6500</v>
      </c>
      <c r="G61">
        <f>C58*3</f>
        <v>1200</v>
      </c>
      <c r="H61">
        <f>G61</f>
        <v>1200</v>
      </c>
      <c r="I61">
        <f>H61</f>
        <v>1200</v>
      </c>
      <c r="J61">
        <f>I61+20*C58</f>
        <v>9200</v>
      </c>
    </row>
    <row r="62" spans="1:10" x14ac:dyDescent="0.4">
      <c r="F62" t="s">
        <v>37</v>
      </c>
    </row>
    <row r="64" spans="1:10" x14ac:dyDescent="0.4">
      <c r="F64" t="s">
        <v>22</v>
      </c>
      <c r="G64" s="7">
        <f>IRR(F61:J61)</f>
        <v>0.22603058142858234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2023-06-20T22:44:42Z</dcterms:created>
  <dcterms:modified xsi:type="dcterms:W3CDTF">2023-06-20T23:58:30Z</dcterms:modified>
</cp:coreProperties>
</file>