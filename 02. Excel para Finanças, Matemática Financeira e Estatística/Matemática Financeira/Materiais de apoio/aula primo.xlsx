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\OneDrive\Área de Trabalho\"/>
    </mc:Choice>
  </mc:AlternateContent>
  <xr:revisionPtr revIDLastSave="0" documentId="8_{DDD38A25-6986-4B6B-AB7E-D7DB9FD2E5E3}" xr6:coauthVersionLast="47" xr6:coauthVersionMax="47" xr10:uidLastSave="{00000000-0000-0000-0000-000000000000}"/>
  <bookViews>
    <workbookView xWindow="-103" yWindow="-103" windowWidth="16663" windowHeight="8863" activeTab="1" xr2:uid="{890C7C3F-D9C9-41EA-A687-CC5FD686BFB3}"/>
  </bookViews>
  <sheets>
    <sheet name="estat" sheetId="1" r:id="rId1"/>
    <sheet name="mat fi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8" i="1" l="1"/>
  <c r="F46" i="1"/>
  <c r="F44" i="1"/>
  <c r="D37" i="1"/>
  <c r="D36" i="1"/>
  <c r="D130" i="2"/>
  <c r="E127" i="2"/>
  <c r="E125" i="2"/>
  <c r="C128" i="2"/>
  <c r="E126" i="2" s="1"/>
  <c r="E117" i="2"/>
  <c r="E118" i="2"/>
  <c r="A116" i="2"/>
  <c r="A117" i="2"/>
  <c r="A118" i="2"/>
  <c r="A115" i="2"/>
  <c r="E104" i="2"/>
  <c r="E103" i="2"/>
  <c r="E102" i="2"/>
  <c r="B104" i="2"/>
  <c r="B103" i="2"/>
  <c r="B102" i="2"/>
  <c r="E100" i="2"/>
  <c r="B100" i="2"/>
  <c r="D87" i="2"/>
  <c r="A83" i="2"/>
  <c r="D81" i="2"/>
  <c r="C81" i="2"/>
  <c r="B81" i="2"/>
  <c r="A81" i="2"/>
  <c r="D63" i="2"/>
  <c r="B58" i="2"/>
  <c r="D54" i="2"/>
  <c r="B57" i="2"/>
  <c r="B50" i="2"/>
  <c r="B45" i="2"/>
  <c r="B37" i="2"/>
  <c r="C30" i="2"/>
  <c r="C29" i="2"/>
  <c r="C27" i="2"/>
  <c r="C25" i="2"/>
  <c r="C24" i="2"/>
  <c r="F20" i="2"/>
  <c r="F21" i="2"/>
  <c r="F22" i="2"/>
  <c r="F19" i="2"/>
  <c r="E20" i="2"/>
  <c r="E21" i="2"/>
  <c r="E22" i="2"/>
  <c r="E19" i="2"/>
  <c r="C11" i="2"/>
  <c r="C9" i="2"/>
  <c r="C5" i="2"/>
  <c r="D3" i="2"/>
  <c r="F26" i="1" l="1"/>
  <c r="G28" i="1" s="1"/>
  <c r="G22" i="1"/>
  <c r="E14" i="1"/>
  <c r="F9" i="1"/>
  <c r="E5" i="1"/>
  <c r="F28" i="1" l="1"/>
</calcChain>
</file>

<file path=xl/sharedStrings.xml><?xml version="1.0" encoding="utf-8"?>
<sst xmlns="http://schemas.openxmlformats.org/spreadsheetml/2006/main" count="100" uniqueCount="76">
  <si>
    <t>X</t>
  </si>
  <si>
    <t>média</t>
  </si>
  <si>
    <t>retorna a probabilidade</t>
  </si>
  <si>
    <t>Retorno médio</t>
  </si>
  <si>
    <t>Desvio</t>
  </si>
  <si>
    <t>Qual é a probabilidade do retorno exceder 10%?</t>
  </si>
  <si>
    <t>a.t</t>
  </si>
  <si>
    <t>a.m?</t>
  </si>
  <si>
    <t>a.m</t>
  </si>
  <si>
    <t>a.a?</t>
  </si>
  <si>
    <t>a.a</t>
  </si>
  <si>
    <t>questão 2</t>
  </si>
  <si>
    <t>Inflação</t>
  </si>
  <si>
    <t>CDI (a.a.)</t>
  </si>
  <si>
    <t>Dia 1</t>
  </si>
  <si>
    <t>Dia 2</t>
  </si>
  <si>
    <t>Dia 3</t>
  </si>
  <si>
    <t>Dia 4</t>
  </si>
  <si>
    <t>CDI a.d</t>
  </si>
  <si>
    <t>acumular taxa</t>
  </si>
  <si>
    <t>taxa bruta a.p para 4 du</t>
  </si>
  <si>
    <t>taxa líquida a.p para 4 du</t>
  </si>
  <si>
    <t>inflação acumul</t>
  </si>
  <si>
    <t>VF=VP*(1+i)^n</t>
  </si>
  <si>
    <t>valor de resgate</t>
  </si>
  <si>
    <t>taxa líquida e real</t>
  </si>
  <si>
    <t>taxa pré</t>
  </si>
  <si>
    <t>taxa real = taxa nominal - Inflação</t>
  </si>
  <si>
    <t>Inflação = Taxa nominal - Taxa real</t>
  </si>
  <si>
    <r>
      <rPr>
        <sz val="11"/>
        <color rgb="FFFF0000"/>
        <rFont val="Calibri"/>
        <family val="2"/>
        <scheme val="minor"/>
      </rPr>
      <t>IPCA</t>
    </r>
    <r>
      <rPr>
        <sz val="11"/>
        <color theme="1"/>
        <rFont val="Calibri"/>
        <family val="2"/>
        <scheme val="minor"/>
      </rPr>
      <t xml:space="preserve"> + 5,5924%</t>
    </r>
  </si>
  <si>
    <t>IPCA (inflação implícita)</t>
  </si>
  <si>
    <t>VP</t>
  </si>
  <si>
    <t>taxa</t>
  </si>
  <si>
    <t>a.d</t>
  </si>
  <si>
    <t>período</t>
  </si>
  <si>
    <t>dias úteis</t>
  </si>
  <si>
    <t>meses</t>
  </si>
  <si>
    <t>VF</t>
  </si>
  <si>
    <t>ano</t>
  </si>
  <si>
    <t>1 ano =12 meses</t>
  </si>
  <si>
    <t>questão 03</t>
  </si>
  <si>
    <t>d1</t>
  </si>
  <si>
    <t>d2</t>
  </si>
  <si>
    <t>d3</t>
  </si>
  <si>
    <t>d4</t>
  </si>
  <si>
    <t>vou vender por 13,00</t>
  </si>
  <si>
    <t>quanto vale a ação hoje?</t>
  </si>
  <si>
    <t>taxa desconto = custo de capital = retorno esperado</t>
  </si>
  <si>
    <t>12% a.a</t>
  </si>
  <si>
    <t>fluxo a VP</t>
  </si>
  <si>
    <t>venda da ação</t>
  </si>
  <si>
    <t>preço da ação</t>
  </si>
  <si>
    <t>i1</t>
  </si>
  <si>
    <t>i2</t>
  </si>
  <si>
    <t>t1</t>
  </si>
  <si>
    <t>t2</t>
  </si>
  <si>
    <t>h</t>
  </si>
  <si>
    <t>aplicacao 1</t>
  </si>
  <si>
    <t>aplicacao 2</t>
  </si>
  <si>
    <t>fluxo a VP do ano 1 ao 3</t>
  </si>
  <si>
    <t>VPL</t>
  </si>
  <si>
    <t>vol (desvio padrão)</t>
  </si>
  <si>
    <t>vol</t>
  </si>
  <si>
    <t>volA</t>
  </si>
  <si>
    <t>volB</t>
  </si>
  <si>
    <t>carteira</t>
  </si>
  <si>
    <t>boi</t>
  </si>
  <si>
    <t>LTN</t>
  </si>
  <si>
    <t>Petr</t>
  </si>
  <si>
    <t>valor</t>
  </si>
  <si>
    <t>retorno</t>
  </si>
  <si>
    <t>peso</t>
  </si>
  <si>
    <t>retorno carteira</t>
  </si>
  <si>
    <t>qual é a probabilidade da ação subir mais do que 10%</t>
  </si>
  <si>
    <t>z = (X-media)/despad</t>
  </si>
  <si>
    <t xml:space="preserve">correlação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</si>
</sst>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70" formatCode="0.0000%"/>
    <numFmt numFmtId="171" formatCode="0.00000%"/>
    <numFmt numFmtId="172" formatCode="&quot;R$&quot;\ #,##0.000;[Red]\-&quot;R$&quot;\ 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8" fontId="0" fillId="0" borderId="0" xfId="0" applyNumberForma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44" fontId="0" fillId="0" borderId="0" xfId="2" applyFont="1"/>
    <xf numFmtId="9" fontId="0" fillId="0" borderId="0" xfId="3" applyFont="1"/>
    <xf numFmtId="10" fontId="0" fillId="0" borderId="0" xfId="3" applyNumberFormat="1" applyFont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0" fontId="3" fillId="0" borderId="4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0" fontId="0" fillId="0" borderId="0" xfId="0" applyNumberFormat="1"/>
    <xf numFmtId="0" fontId="3" fillId="0" borderId="0" xfId="0" applyFont="1" applyFill="1" applyBorder="1" applyAlignment="1">
      <alignment vertical="center" wrapText="1"/>
    </xf>
    <xf numFmtId="170" fontId="0" fillId="0" borderId="0" xfId="3" applyNumberFormat="1" applyFont="1"/>
    <xf numFmtId="0" fontId="0" fillId="0" borderId="0" xfId="0" applyAlignment="1">
      <alignment wrapText="1"/>
    </xf>
    <xf numFmtId="171" fontId="0" fillId="0" borderId="0" xfId="0" applyNumberFormat="1"/>
    <xf numFmtId="43" fontId="0" fillId="0" borderId="0" xfId="1" applyFont="1"/>
    <xf numFmtId="171" fontId="0" fillId="0" borderId="0" xfId="3" applyNumberFormat="1" applyFont="1"/>
    <xf numFmtId="0" fontId="3" fillId="0" borderId="1" xfId="0" applyFont="1" applyBorder="1" applyAlignment="1">
      <alignment vertical="center" wrapText="1"/>
    </xf>
    <xf numFmtId="4" fontId="0" fillId="0" borderId="0" xfId="0" applyNumberFormat="1"/>
    <xf numFmtId="4" fontId="3" fillId="0" borderId="2" xfId="0" applyNumberFormat="1" applyFont="1" applyBorder="1" applyAlignment="1">
      <alignment vertical="center" wrapText="1"/>
    </xf>
    <xf numFmtId="4" fontId="3" fillId="0" borderId="4" xfId="0" applyNumberFormat="1" applyFont="1" applyBorder="1" applyAlignment="1">
      <alignment vertical="center" wrapText="1"/>
    </xf>
    <xf numFmtId="172" fontId="0" fillId="0" borderId="0" xfId="0" applyNumberFormat="1"/>
    <xf numFmtId="0" fontId="0" fillId="0" borderId="5" xfId="0" applyBorder="1"/>
    <xf numFmtId="9" fontId="0" fillId="0" borderId="5" xfId="0" applyNumberFormat="1" applyBorder="1"/>
    <xf numFmtId="9" fontId="0" fillId="0" borderId="5" xfId="3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154406</xdr:colOff>
      <xdr:row>0</xdr:row>
      <xdr:rowOff>55574</xdr:rowOff>
    </xdr:from>
    <xdr:ext cx="1421543" cy="1821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4EDDBAB-9A16-45EF-A3BE-E7BE06024D47}"/>
                </a:ext>
              </a:extLst>
            </xdr:cNvPr>
            <xdr:cNvSpPr txBox="1"/>
          </xdr:nvSpPr>
          <xdr:spPr>
            <a:xfrm>
              <a:off x="2113834" y="55574"/>
              <a:ext cx="1421543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𝑖𝑞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𝑖𝑑𝑎𝑑𝑜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𝑞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4EDDBAB-9A16-45EF-A3BE-E7BE06024D47}"/>
                </a:ext>
              </a:extLst>
            </xdr:cNvPr>
            <xdr:cNvSpPr txBox="1"/>
          </xdr:nvSpPr>
          <xdr:spPr>
            <a:xfrm>
              <a:off x="2113834" y="55574"/>
              <a:ext cx="1421543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𝑖𝑞=〖(1+𝑖𝑑𝑎𝑑𝑜)〗^(𝑞/𝑡)−1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306311</xdr:colOff>
      <xdr:row>24</xdr:row>
      <xdr:rowOff>29634</xdr:rowOff>
    </xdr:from>
    <xdr:ext cx="107805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ABB6E9EB-C1FE-4B35-A103-CC7FC7920BED}"/>
                </a:ext>
              </a:extLst>
            </xdr:cNvPr>
            <xdr:cNvSpPr txBox="1"/>
          </xdr:nvSpPr>
          <xdr:spPr>
            <a:xfrm>
              <a:off x="3659716" y="4755848"/>
              <a:ext cx="10780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𝑖𝑙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𝑖𝑏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×(1−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ABB6E9EB-C1FE-4B35-A103-CC7FC7920BED}"/>
                </a:ext>
              </a:extLst>
            </xdr:cNvPr>
            <xdr:cNvSpPr txBox="1"/>
          </xdr:nvSpPr>
          <xdr:spPr>
            <a:xfrm>
              <a:off x="3659716" y="4755848"/>
              <a:ext cx="10780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𝑖𝑙=𝑖𝑏 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×(1−𝑇)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233741</xdr:colOff>
      <xdr:row>58</xdr:row>
      <xdr:rowOff>96157</xdr:rowOff>
    </xdr:from>
    <xdr:ext cx="1094017" cy="34765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6D11F142-C18D-429D-BFFC-A15F69C1E840}"/>
                </a:ext>
              </a:extLst>
            </xdr:cNvPr>
            <xdr:cNvSpPr txBox="1"/>
          </xdr:nvSpPr>
          <xdr:spPr>
            <a:xfrm>
              <a:off x="1627717" y="11462657"/>
              <a:ext cx="1094017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𝑝𝑒𝑟𝑝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𝐹𝐶𝑎𝑛𝑜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6D11F142-C18D-429D-BFFC-A15F69C1E840}"/>
                </a:ext>
              </a:extLst>
            </xdr:cNvPr>
            <xdr:cNvSpPr txBox="1"/>
          </xdr:nvSpPr>
          <xdr:spPr>
            <a:xfrm>
              <a:off x="1627717" y="11462657"/>
              <a:ext cx="1094017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</a:rPr>
                <a:t>〖</a:t>
              </a:r>
              <a:r>
                <a:rPr lang="pt-BR" sz="1100" b="0" i="0">
                  <a:latin typeface="Cambria Math" panose="02040503050406030204" pitchFamily="18" charset="0"/>
                </a:rPr>
                <a:t>𝑉𝑃〗_𝑝𝑒𝑟𝑝=𝐹𝐶𝑎𝑛𝑜1/(𝑖−𝑔)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306312</xdr:colOff>
      <xdr:row>73</xdr:row>
      <xdr:rowOff>180823</xdr:rowOff>
    </xdr:from>
    <xdr:ext cx="907749" cy="35727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9A67BF5C-5509-4BD0-962A-34DD1D0E5B95}"/>
                </a:ext>
              </a:extLst>
            </xdr:cNvPr>
            <xdr:cNvSpPr txBox="1"/>
          </xdr:nvSpPr>
          <xdr:spPr>
            <a:xfrm>
              <a:off x="2413907" y="14314109"/>
              <a:ext cx="907749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𝑉𝑃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𝑉𝐹</m:t>
                        </m:r>
                      </m:num>
                      <m:den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9A67BF5C-5509-4BD0-962A-34DD1D0E5B95}"/>
                </a:ext>
              </a:extLst>
            </xdr:cNvPr>
            <xdr:cNvSpPr txBox="1"/>
          </xdr:nvSpPr>
          <xdr:spPr>
            <a:xfrm>
              <a:off x="2413907" y="14314109"/>
              <a:ext cx="907749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𝑉𝑃=𝑉𝐹/〖(1+𝑖)〗^𝑛 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161169</xdr:colOff>
      <xdr:row>84</xdr:row>
      <xdr:rowOff>90109</xdr:rowOff>
    </xdr:from>
    <xdr:ext cx="244733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8B0807FE-B5A4-4820-B159-F7DC33F9F8DB}"/>
                </a:ext>
              </a:extLst>
            </xdr:cNvPr>
            <xdr:cNvSpPr txBox="1"/>
          </xdr:nvSpPr>
          <xdr:spPr>
            <a:xfrm>
              <a:off x="2268764" y="16252371"/>
              <a:ext cx="24473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𝑖𝑞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1+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2−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×(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1)/(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2−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1)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8B0807FE-B5A4-4820-B159-F7DC33F9F8DB}"/>
                </a:ext>
              </a:extLst>
            </xdr:cNvPr>
            <xdr:cNvSpPr txBox="1"/>
          </xdr:nvSpPr>
          <xdr:spPr>
            <a:xfrm>
              <a:off x="2268764" y="16252371"/>
              <a:ext cx="24473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𝑖𝑞=𝑖1+(𝑖2−𝑖1)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×(ℎ−𝑡1)/(𝑡2−𝑡1)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BE66-8D9C-47D3-9333-9346293D5F8E}">
  <dimension ref="C3:I51"/>
  <sheetViews>
    <sheetView topLeftCell="A7" workbookViewId="0">
      <selection activeCell="G50" sqref="G50"/>
    </sheetView>
  </sheetViews>
  <sheetFormatPr defaultRowHeight="14.6" x14ac:dyDescent="0.4"/>
  <cols>
    <col min="5" max="5" width="13.15234375" customWidth="1"/>
    <col min="6" max="6" width="11.84375" bestFit="1" customWidth="1"/>
  </cols>
  <sheetData>
    <row r="3" spans="5:9" x14ac:dyDescent="0.4">
      <c r="E3">
        <v>1.4</v>
      </c>
      <c r="F3">
        <v>1.9</v>
      </c>
      <c r="G3">
        <v>2.25</v>
      </c>
      <c r="H3">
        <v>3.5</v>
      </c>
      <c r="I3">
        <v>19.5</v>
      </c>
    </row>
    <row r="5" spans="5:9" x14ac:dyDescent="0.4">
      <c r="E5" s="1">
        <f>NPV(12%,E3:I3)</f>
        <v>17.655310885856707</v>
      </c>
    </row>
    <row r="8" spans="5:9" x14ac:dyDescent="0.4">
      <c r="E8" s="2">
        <v>0.1</v>
      </c>
      <c r="F8">
        <v>0.3</v>
      </c>
    </row>
    <row r="9" spans="5:9" x14ac:dyDescent="0.4">
      <c r="E9" s="2">
        <v>0.16</v>
      </c>
      <c r="F9">
        <f>1-F8</f>
        <v>0.7</v>
      </c>
    </row>
    <row r="11" spans="5:9" x14ac:dyDescent="0.4">
      <c r="E11" s="4">
        <v>0.13</v>
      </c>
    </row>
    <row r="14" spans="5:9" x14ac:dyDescent="0.4">
      <c r="E14">
        <f>E8*F8+E9*F9</f>
        <v>0.14199999999999999</v>
      </c>
    </row>
    <row r="20" spans="3:7" x14ac:dyDescent="0.4">
      <c r="E20" t="s">
        <v>3</v>
      </c>
      <c r="F20" s="2">
        <v>0.08</v>
      </c>
    </row>
    <row r="21" spans="3:7" x14ac:dyDescent="0.4">
      <c r="E21" t="s">
        <v>4</v>
      </c>
      <c r="F21" s="4">
        <v>1.4999999999999999E-2</v>
      </c>
    </row>
    <row r="22" spans="3:7" x14ac:dyDescent="0.4">
      <c r="E22" t="s">
        <v>0</v>
      </c>
      <c r="F22" s="4">
        <v>0.1</v>
      </c>
      <c r="G22" s="5">
        <f>(F22-F20)/F21</f>
        <v>1.3333333333333337</v>
      </c>
    </row>
    <row r="24" spans="3:7" x14ac:dyDescent="0.4">
      <c r="E24" t="s">
        <v>5</v>
      </c>
    </row>
    <row r="26" spans="3:7" x14ac:dyDescent="0.4">
      <c r="F26">
        <f>_xlfn.NORM.S.DIST(G22,TRUE)</f>
        <v>0.90878878027413224</v>
      </c>
      <c r="G26" t="s">
        <v>2</v>
      </c>
    </row>
    <row r="28" spans="3:7" x14ac:dyDescent="0.4">
      <c r="F28" s="4">
        <f>F26-50%</f>
        <v>0.40878878027413224</v>
      </c>
      <c r="G28">
        <f>1-F26</f>
        <v>9.1211219725867765E-2</v>
      </c>
    </row>
    <row r="30" spans="3:7" x14ac:dyDescent="0.4">
      <c r="C30" t="s">
        <v>38</v>
      </c>
    </row>
    <row r="31" spans="3:7" x14ac:dyDescent="0.4">
      <c r="C31">
        <v>1</v>
      </c>
      <c r="D31" s="3">
        <v>3.9899999999999998E-2</v>
      </c>
    </row>
    <row r="32" spans="3:7" x14ac:dyDescent="0.4">
      <c r="C32">
        <v>2</v>
      </c>
      <c r="D32" s="3">
        <v>0.08</v>
      </c>
    </row>
    <row r="33" spans="3:7" x14ac:dyDescent="0.4">
      <c r="C33">
        <v>3</v>
      </c>
      <c r="D33" s="3">
        <v>0.04</v>
      </c>
    </row>
    <row r="34" spans="3:7" x14ac:dyDescent="0.4">
      <c r="C34">
        <v>4</v>
      </c>
      <c r="D34" s="3">
        <v>0.16</v>
      </c>
    </row>
    <row r="36" spans="3:7" x14ac:dyDescent="0.4">
      <c r="C36" t="s">
        <v>1</v>
      </c>
      <c r="D36" s="4">
        <f>AVERAGE(D31:D34)</f>
        <v>7.9975000000000004E-2</v>
      </c>
      <c r="F36" t="s">
        <v>1</v>
      </c>
      <c r="G36" s="2">
        <v>0.08</v>
      </c>
    </row>
    <row r="37" spans="3:7" x14ac:dyDescent="0.4">
      <c r="C37" t="s">
        <v>62</v>
      </c>
      <c r="D37" s="7">
        <f>STDEV(D31:D34)</f>
        <v>5.6592129900425794E-2</v>
      </c>
      <c r="F37" t="s">
        <v>62</v>
      </c>
      <c r="G37" s="4">
        <v>5.6599999999999998E-2</v>
      </c>
    </row>
    <row r="39" spans="3:7" x14ac:dyDescent="0.4">
      <c r="F39" t="s">
        <v>73</v>
      </c>
    </row>
    <row r="42" spans="3:7" x14ac:dyDescent="0.4">
      <c r="F42" t="s">
        <v>74</v>
      </c>
    </row>
    <row r="44" spans="3:7" x14ac:dyDescent="0.4">
      <c r="F44" s="17">
        <f>(10%-8%)/G37</f>
        <v>0.35335689045936403</v>
      </c>
    </row>
    <row r="46" spans="3:7" x14ac:dyDescent="0.4">
      <c r="F46">
        <f>_xlfn.NORM.S.DIST(F44,TRUE)</f>
        <v>0.63808954985890831</v>
      </c>
    </row>
    <row r="48" spans="3:7" x14ac:dyDescent="0.4">
      <c r="F48">
        <f>1-F46</f>
        <v>0.36191045014109169</v>
      </c>
    </row>
    <row r="51" spans="6:7" x14ac:dyDescent="0.4">
      <c r="F51" t="s">
        <v>75</v>
      </c>
      <c r="G51">
        <v>-0.5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5968-1012-4835-8863-9303171F425A}">
  <dimension ref="A3:F130"/>
  <sheetViews>
    <sheetView showGridLines="0" tabSelected="1" topLeftCell="A16" zoomScale="180" zoomScaleNormal="180" workbookViewId="0">
      <selection activeCell="B5" sqref="B5"/>
    </sheetView>
  </sheetViews>
  <sheetFormatPr defaultRowHeight="14.6" x14ac:dyDescent="0.4"/>
  <cols>
    <col min="2" max="2" width="11.765625" customWidth="1"/>
    <col min="3" max="3" width="10.07421875" bestFit="1" customWidth="1"/>
    <col min="5" max="5" width="12.921875" bestFit="1" customWidth="1"/>
  </cols>
  <sheetData>
    <row r="3" spans="1:4" x14ac:dyDescent="0.4">
      <c r="D3">
        <f>(1+12%)^(5)-1</f>
        <v>0.76234168320000051</v>
      </c>
    </row>
    <row r="5" spans="1:4" x14ac:dyDescent="0.4">
      <c r="A5" s="2">
        <v>0.02</v>
      </c>
      <c r="B5" t="s">
        <v>6</v>
      </c>
      <c r="C5" s="7">
        <f>(1+A5)^(1/3)-1</f>
        <v>6.6227095601130159E-3</v>
      </c>
    </row>
    <row r="6" spans="1:4" x14ac:dyDescent="0.4">
      <c r="B6" t="s">
        <v>7</v>
      </c>
    </row>
    <row r="8" spans="1:4" x14ac:dyDescent="0.4">
      <c r="A8" s="4">
        <v>3.5000000000000003E-2</v>
      </c>
      <c r="B8" t="s">
        <v>8</v>
      </c>
    </row>
    <row r="9" spans="1:4" x14ac:dyDescent="0.4">
      <c r="B9" t="s">
        <v>9</v>
      </c>
      <c r="C9" s="7">
        <f>(1+A8)^(12/1)-1</f>
        <v>0.51106865734636031</v>
      </c>
    </row>
    <row r="11" spans="1:4" x14ac:dyDescent="0.4">
      <c r="A11" s="2">
        <v>0.11</v>
      </c>
      <c r="B11" t="s">
        <v>10</v>
      </c>
      <c r="C11" s="7">
        <f>(1+11%)^(1/12)-1</f>
        <v>8.7345938235519061E-3</v>
      </c>
    </row>
    <row r="12" spans="1:4" x14ac:dyDescent="0.4">
      <c r="B12" t="s">
        <v>7</v>
      </c>
    </row>
    <row r="17" spans="1:6" ht="15" thickBot="1" x14ac:dyDescent="0.45">
      <c r="A17" t="s">
        <v>11</v>
      </c>
    </row>
    <row r="18" spans="1:6" ht="21.9" customHeight="1" thickBot="1" x14ac:dyDescent="0.45">
      <c r="B18" s="11"/>
      <c r="C18" s="8" t="s">
        <v>12</v>
      </c>
      <c r="D18" s="8" t="s">
        <v>13</v>
      </c>
      <c r="E18" t="s">
        <v>18</v>
      </c>
    </row>
    <row r="19" spans="1:6" ht="15" thickBot="1" x14ac:dyDescent="0.45">
      <c r="B19" s="9" t="s">
        <v>14</v>
      </c>
      <c r="C19" s="10">
        <v>2.7E-4</v>
      </c>
      <c r="D19" s="10">
        <v>0.1003</v>
      </c>
      <c r="E19" s="12">
        <f>(1+D19)^(1/252)-1</f>
        <v>3.7936904499447088E-4</v>
      </c>
      <c r="F19" s="12">
        <f>105%*E19</f>
        <v>3.9833749724419446E-4</v>
      </c>
    </row>
    <row r="20" spans="1:6" ht="15" thickBot="1" x14ac:dyDescent="0.45">
      <c r="B20" s="9" t="s">
        <v>15</v>
      </c>
      <c r="C20" s="10">
        <v>2.1000000000000001E-4</v>
      </c>
      <c r="D20" s="10">
        <v>0.1019</v>
      </c>
      <c r="E20" s="12">
        <f t="shared" ref="E20:E22" si="0">(1+D20)^(1/252)-1</f>
        <v>3.8513748970592232E-4</v>
      </c>
      <c r="F20" s="12">
        <f t="shared" ref="F20:F22" si="1">105%*E20</f>
        <v>4.0439436419121845E-4</v>
      </c>
    </row>
    <row r="21" spans="1:6" ht="15" thickBot="1" x14ac:dyDescent="0.45">
      <c r="B21" s="9" t="s">
        <v>16</v>
      </c>
      <c r="C21" s="10">
        <v>3.3E-4</v>
      </c>
      <c r="D21" s="10">
        <v>0.1011</v>
      </c>
      <c r="E21" s="12">
        <f t="shared" si="0"/>
        <v>3.8225431095284534E-4</v>
      </c>
      <c r="F21" s="12">
        <f t="shared" si="1"/>
        <v>4.0136702650048764E-4</v>
      </c>
    </row>
    <row r="22" spans="1:6" ht="15" thickBot="1" x14ac:dyDescent="0.45">
      <c r="B22" s="9" t="s">
        <v>17</v>
      </c>
      <c r="C22" s="10">
        <v>2.9E-4</v>
      </c>
      <c r="D22" s="10">
        <v>0.1004</v>
      </c>
      <c r="E22" s="12">
        <f t="shared" si="0"/>
        <v>3.797298174867958E-4</v>
      </c>
      <c r="F22" s="12">
        <f t="shared" si="1"/>
        <v>3.9871630836113559E-4</v>
      </c>
    </row>
    <row r="24" spans="1:6" ht="28.3" x14ac:dyDescent="0.4">
      <c r="B24" s="13" t="s">
        <v>19</v>
      </c>
      <c r="C24" s="12">
        <f>(1+F19)*(1+F20)*(1+F21)*(1+F22)-1</f>
        <v>1.6037788230698347E-3</v>
      </c>
      <c r="D24" t="s">
        <v>20</v>
      </c>
    </row>
    <row r="25" spans="1:6" x14ac:dyDescent="0.4">
      <c r="C25" s="14">
        <f>C24*(1-22.5%)</f>
        <v>1.2429285878791218E-3</v>
      </c>
      <c r="D25" t="s">
        <v>21</v>
      </c>
    </row>
    <row r="27" spans="1:6" x14ac:dyDescent="0.4">
      <c r="B27" t="s">
        <v>22</v>
      </c>
      <c r="C27" s="4">
        <f>(1+C19)*(1+C20)*(1+C21)*(1+C22)-1</f>
        <v>1.1004500810953832E-3</v>
      </c>
      <c r="E27" t="s">
        <v>23</v>
      </c>
    </row>
    <row r="29" spans="1:6" ht="29.15" x14ac:dyDescent="0.4">
      <c r="B29" s="15" t="s">
        <v>24</v>
      </c>
      <c r="C29" s="17">
        <f>10000*(1+C25)</f>
        <v>10012.429285878792</v>
      </c>
    </row>
    <row r="30" spans="1:6" ht="29.15" x14ac:dyDescent="0.4">
      <c r="B30" s="15" t="s">
        <v>25</v>
      </c>
      <c r="C30" s="16">
        <f>(1+C25)/(1+C27)-1</f>
        <v>1.423218886498212E-4</v>
      </c>
    </row>
    <row r="33" spans="1:4" x14ac:dyDescent="0.4">
      <c r="A33" t="s">
        <v>26</v>
      </c>
      <c r="B33" s="4">
        <v>0.13126399999999999</v>
      </c>
      <c r="C33" t="s">
        <v>10</v>
      </c>
      <c r="D33" t="s">
        <v>27</v>
      </c>
    </row>
    <row r="34" spans="1:4" x14ac:dyDescent="0.4">
      <c r="D34" t="s">
        <v>28</v>
      </c>
    </row>
    <row r="35" spans="1:4" x14ac:dyDescent="0.4">
      <c r="A35" t="s">
        <v>29</v>
      </c>
    </row>
    <row r="37" spans="1:4" x14ac:dyDescent="0.4">
      <c r="B37" s="18">
        <f>(1+B33)/(1+5.5924%)-1</f>
        <v>7.1349831995484392E-2</v>
      </c>
      <c r="C37" t="s">
        <v>30</v>
      </c>
    </row>
    <row r="41" spans="1:4" x14ac:dyDescent="0.4">
      <c r="A41" t="s">
        <v>31</v>
      </c>
      <c r="B41">
        <v>10000</v>
      </c>
    </row>
    <row r="42" spans="1:4" x14ac:dyDescent="0.4">
      <c r="A42" t="s">
        <v>32</v>
      </c>
      <c r="B42" s="12">
        <v>3.4999999999999997E-5</v>
      </c>
      <c r="C42" t="s">
        <v>33</v>
      </c>
      <c r="D42" t="s">
        <v>23</v>
      </c>
    </row>
    <row r="43" spans="1:4" x14ac:dyDescent="0.4">
      <c r="A43" t="s">
        <v>34</v>
      </c>
      <c r="B43">
        <v>40</v>
      </c>
      <c r="C43" t="s">
        <v>35</v>
      </c>
    </row>
    <row r="45" spans="1:4" x14ac:dyDescent="0.4">
      <c r="B45">
        <f>B41*(1+B42)^B43</f>
        <v>10014.009559237458</v>
      </c>
    </row>
    <row r="47" spans="1:4" x14ac:dyDescent="0.4">
      <c r="A47" t="s">
        <v>31</v>
      </c>
      <c r="B47">
        <v>5000</v>
      </c>
    </row>
    <row r="48" spans="1:4" x14ac:dyDescent="0.4">
      <c r="A48" t="s">
        <v>32</v>
      </c>
      <c r="B48" s="2">
        <v>0.02</v>
      </c>
      <c r="C48" t="s">
        <v>8</v>
      </c>
    </row>
    <row r="49" spans="1:5" x14ac:dyDescent="0.4">
      <c r="A49" t="s">
        <v>34</v>
      </c>
      <c r="B49">
        <v>8</v>
      </c>
      <c r="C49" t="s">
        <v>36</v>
      </c>
    </row>
    <row r="50" spans="1:5" x14ac:dyDescent="0.4">
      <c r="A50" t="s">
        <v>37</v>
      </c>
      <c r="B50">
        <f>B47*(1+B48)^B49</f>
        <v>5858.2969050113279</v>
      </c>
    </row>
    <row r="53" spans="1:5" x14ac:dyDescent="0.4">
      <c r="A53" t="s">
        <v>31</v>
      </c>
      <c r="B53">
        <v>5000</v>
      </c>
    </row>
    <row r="54" spans="1:5" x14ac:dyDescent="0.4">
      <c r="A54" t="s">
        <v>32</v>
      </c>
      <c r="B54" s="2">
        <v>0.02</v>
      </c>
      <c r="C54" t="s">
        <v>8</v>
      </c>
      <c r="D54" s="7">
        <f>(1+2%)^(12/1)-1</f>
        <v>0.26824179456254527</v>
      </c>
      <c r="E54" t="s">
        <v>10</v>
      </c>
    </row>
    <row r="55" spans="1:5" x14ac:dyDescent="0.4">
      <c r="A55" t="s">
        <v>34</v>
      </c>
      <c r="B55">
        <v>1</v>
      </c>
      <c r="C55" t="s">
        <v>38</v>
      </c>
      <c r="D55" t="s">
        <v>39</v>
      </c>
    </row>
    <row r="56" spans="1:5" x14ac:dyDescent="0.4">
      <c r="A56" t="s">
        <v>37</v>
      </c>
    </row>
    <row r="57" spans="1:5" x14ac:dyDescent="0.4">
      <c r="A57" t="s">
        <v>37</v>
      </c>
      <c r="B57">
        <f>B53*(1+B54)^(12)-1</f>
        <v>6340.2089728127266</v>
      </c>
    </row>
    <row r="58" spans="1:5" x14ac:dyDescent="0.4">
      <c r="B58">
        <f>5000*(1+D54)^B55</f>
        <v>6341.2089728127266</v>
      </c>
    </row>
    <row r="60" spans="1:5" x14ac:dyDescent="0.4">
      <c r="A60" t="s">
        <v>40</v>
      </c>
    </row>
    <row r="63" spans="1:5" x14ac:dyDescent="0.4">
      <c r="D63">
        <f>2/(15%-3%)</f>
        <v>16.666666666666668</v>
      </c>
    </row>
    <row r="67" spans="1:5" x14ac:dyDescent="0.4">
      <c r="A67" t="s">
        <v>41</v>
      </c>
      <c r="B67">
        <v>3</v>
      </c>
    </row>
    <row r="68" spans="1:5" x14ac:dyDescent="0.4">
      <c r="A68" t="s">
        <v>42</v>
      </c>
      <c r="B68">
        <v>3.5</v>
      </c>
    </row>
    <row r="69" spans="1:5" x14ac:dyDescent="0.4">
      <c r="A69" t="s">
        <v>43</v>
      </c>
      <c r="B69">
        <v>4.0999999999999996</v>
      </c>
    </row>
    <row r="70" spans="1:5" x14ac:dyDescent="0.4">
      <c r="A70" t="s">
        <v>44</v>
      </c>
      <c r="B70">
        <v>5</v>
      </c>
      <c r="C70" t="s">
        <v>45</v>
      </c>
    </row>
    <row r="72" spans="1:5" x14ac:dyDescent="0.4">
      <c r="A72" t="s">
        <v>46</v>
      </c>
    </row>
    <row r="73" spans="1:5" x14ac:dyDescent="0.4">
      <c r="A73" t="s">
        <v>47</v>
      </c>
    </row>
    <row r="74" spans="1:5" x14ac:dyDescent="0.4">
      <c r="A74" t="s">
        <v>48</v>
      </c>
    </row>
    <row r="76" spans="1:5" x14ac:dyDescent="0.4">
      <c r="A76" t="s">
        <v>49</v>
      </c>
    </row>
    <row r="78" spans="1:5" x14ac:dyDescent="0.4">
      <c r="A78" t="s">
        <v>41</v>
      </c>
      <c r="B78" t="s">
        <v>42</v>
      </c>
      <c r="C78" t="s">
        <v>43</v>
      </c>
      <c r="D78" t="s">
        <v>44</v>
      </c>
    </row>
    <row r="79" spans="1:5" x14ac:dyDescent="0.4">
      <c r="A79">
        <v>3</v>
      </c>
      <c r="B79">
        <v>3.5</v>
      </c>
      <c r="C79">
        <v>4.0999999999999996</v>
      </c>
      <c r="D79">
        <v>5</v>
      </c>
    </row>
    <row r="80" spans="1:5" x14ac:dyDescent="0.4">
      <c r="D80">
        <v>13</v>
      </c>
      <c r="E80" t="s">
        <v>50</v>
      </c>
    </row>
    <row r="81" spans="1:5" x14ac:dyDescent="0.4">
      <c r="A81">
        <f>A79/(1+12%)^1</f>
        <v>2.6785714285714284</v>
      </c>
      <c r="B81">
        <f>B79/(1+12%)^2</f>
        <v>2.7901785714285712</v>
      </c>
      <c r="C81">
        <f>C79/(1+12%)^3</f>
        <v>2.9182990160349842</v>
      </c>
      <c r="D81">
        <f>(D79+D80)/(1+12%)^4</f>
        <v>11.43932541128696</v>
      </c>
    </row>
    <row r="83" spans="1:5" x14ac:dyDescent="0.4">
      <c r="A83">
        <f>SUM(A81:D81)</f>
        <v>19.826374427321944</v>
      </c>
      <c r="B83" t="s">
        <v>51</v>
      </c>
    </row>
    <row r="85" spans="1:5" x14ac:dyDescent="0.4">
      <c r="A85" t="s">
        <v>52</v>
      </c>
      <c r="B85" s="2">
        <v>0.11</v>
      </c>
    </row>
    <row r="86" spans="1:5" x14ac:dyDescent="0.4">
      <c r="A86" t="s">
        <v>53</v>
      </c>
      <c r="B86" s="4">
        <v>0.1138</v>
      </c>
    </row>
    <row r="87" spans="1:5" x14ac:dyDescent="0.4">
      <c r="A87" t="s">
        <v>54</v>
      </c>
      <c r="B87">
        <v>252</v>
      </c>
      <c r="D87" s="4">
        <f>B85+(B86-B85)*(B88-B87)/(B89-B87)</f>
        <v>0.11144761904761905</v>
      </c>
    </row>
    <row r="88" spans="1:5" x14ac:dyDescent="0.4">
      <c r="A88" t="s">
        <v>56</v>
      </c>
      <c r="B88">
        <v>300</v>
      </c>
    </row>
    <row r="89" spans="1:5" x14ac:dyDescent="0.4">
      <c r="A89" t="s">
        <v>55</v>
      </c>
      <c r="B89">
        <v>378</v>
      </c>
    </row>
    <row r="94" spans="1:5" ht="15" thickBot="1" x14ac:dyDescent="0.45">
      <c r="A94" t="s">
        <v>57</v>
      </c>
      <c r="D94" t="s">
        <v>58</v>
      </c>
    </row>
    <row r="95" spans="1:5" ht="15" thickBot="1" x14ac:dyDescent="0.45">
      <c r="A95" s="19">
        <v>0</v>
      </c>
      <c r="B95" s="21">
        <v>-10000</v>
      </c>
      <c r="D95" s="9">
        <v>0</v>
      </c>
      <c r="E95" s="22">
        <v>-10000</v>
      </c>
    </row>
    <row r="96" spans="1:5" ht="15" thickBot="1" x14ac:dyDescent="0.45">
      <c r="A96" s="9">
        <v>1</v>
      </c>
      <c r="B96" s="22">
        <v>4021.15</v>
      </c>
      <c r="D96" s="9">
        <v>1</v>
      </c>
      <c r="E96" s="22">
        <v>6000</v>
      </c>
    </row>
    <row r="97" spans="1:5" ht="15" thickBot="1" x14ac:dyDescent="0.45">
      <c r="A97" s="9">
        <v>2</v>
      </c>
      <c r="B97" s="22">
        <v>4021.15</v>
      </c>
      <c r="D97" s="9">
        <v>2</v>
      </c>
      <c r="E97" s="22">
        <v>2880.95</v>
      </c>
    </row>
    <row r="98" spans="1:5" ht="15" thickBot="1" x14ac:dyDescent="0.45">
      <c r="A98" s="9">
        <v>3</v>
      </c>
      <c r="B98" s="22">
        <v>4021.15</v>
      </c>
      <c r="D98" s="9">
        <v>3</v>
      </c>
      <c r="E98" s="22">
        <v>2880.95</v>
      </c>
    </row>
    <row r="100" spans="1:5" x14ac:dyDescent="0.4">
      <c r="B100" s="4">
        <f>IRR(B95:B98)</f>
        <v>0.10000027739440887</v>
      </c>
      <c r="E100" s="4">
        <f>IRR(E95:E98)</f>
        <v>9.9999752708463285E-2</v>
      </c>
    </row>
    <row r="102" spans="1:5" x14ac:dyDescent="0.4">
      <c r="B102" s="1">
        <f>NPV(8%,B96:B98)</f>
        <v>10362.893550271807</v>
      </c>
      <c r="C102" t="s">
        <v>59</v>
      </c>
      <c r="E102" s="1">
        <f>NPV(8%,E96:E98)</f>
        <v>10312.496824671034</v>
      </c>
    </row>
    <row r="103" spans="1:5" x14ac:dyDescent="0.4">
      <c r="B103" s="20">
        <f>B95</f>
        <v>-10000</v>
      </c>
      <c r="E103" s="20">
        <f>B103</f>
        <v>-10000</v>
      </c>
    </row>
    <row r="104" spans="1:5" x14ac:dyDescent="0.4">
      <c r="B104" s="1">
        <f>B102+B103</f>
        <v>362.89355027180682</v>
      </c>
      <c r="C104" t="s">
        <v>60</v>
      </c>
      <c r="E104" s="23">
        <f>E102+E103</f>
        <v>312.49682467103412</v>
      </c>
    </row>
    <row r="113" spans="1:5" x14ac:dyDescent="0.4">
      <c r="A113" t="s">
        <v>38</v>
      </c>
    </row>
    <row r="114" spans="1:5" x14ac:dyDescent="0.4">
      <c r="A114">
        <v>1</v>
      </c>
      <c r="B114" s="2">
        <v>0.02</v>
      </c>
    </row>
    <row r="115" spans="1:5" x14ac:dyDescent="0.4">
      <c r="A115">
        <f>A114+1</f>
        <v>2</v>
      </c>
      <c r="B115" s="2">
        <v>-0.03</v>
      </c>
    </row>
    <row r="116" spans="1:5" x14ac:dyDescent="0.4">
      <c r="A116">
        <f t="shared" ref="A116:A118" si="2">A115+1</f>
        <v>3</v>
      </c>
      <c r="B116" s="2">
        <v>0.08</v>
      </c>
    </row>
    <row r="117" spans="1:5" x14ac:dyDescent="0.4">
      <c r="A117">
        <f t="shared" si="2"/>
        <v>4</v>
      </c>
      <c r="B117" s="2">
        <v>0.05</v>
      </c>
      <c r="D117" t="s">
        <v>1</v>
      </c>
      <c r="E117" s="4">
        <f>AVERAGE(B114:B118)</f>
        <v>5.4000000000000006E-2</v>
      </c>
    </row>
    <row r="118" spans="1:5" x14ac:dyDescent="0.4">
      <c r="A118">
        <f t="shared" si="2"/>
        <v>5</v>
      </c>
      <c r="B118" s="2">
        <v>0.15</v>
      </c>
      <c r="D118" t="s">
        <v>61</v>
      </c>
      <c r="E118" s="7">
        <f>_xlfn.STDEV.S(B114:B118)</f>
        <v>6.7305274681855348E-2</v>
      </c>
    </row>
    <row r="120" spans="1:5" x14ac:dyDescent="0.4">
      <c r="B120" t="s">
        <v>63</v>
      </c>
      <c r="C120" s="2">
        <v>0.05</v>
      </c>
      <c r="E120" s="4"/>
    </row>
    <row r="122" spans="1:5" x14ac:dyDescent="0.4">
      <c r="B122" t="s">
        <v>64</v>
      </c>
      <c r="C122" s="2">
        <v>0.12</v>
      </c>
    </row>
    <row r="124" spans="1:5" x14ac:dyDescent="0.4">
      <c r="B124" t="s">
        <v>65</v>
      </c>
      <c r="C124" t="s">
        <v>69</v>
      </c>
      <c r="D124" t="s">
        <v>70</v>
      </c>
      <c r="E124" t="s">
        <v>71</v>
      </c>
    </row>
    <row r="125" spans="1:5" x14ac:dyDescent="0.4">
      <c r="B125" t="s">
        <v>66</v>
      </c>
      <c r="C125">
        <v>10000</v>
      </c>
      <c r="D125" s="2">
        <v>0.12</v>
      </c>
      <c r="E125" s="6">
        <f>C125/C128</f>
        <v>0.2</v>
      </c>
    </row>
    <row r="126" spans="1:5" x14ac:dyDescent="0.4">
      <c r="B126" t="s">
        <v>67</v>
      </c>
      <c r="C126">
        <v>20000</v>
      </c>
      <c r="D126" s="2">
        <v>0.08</v>
      </c>
      <c r="E126" s="6">
        <f>C126/C128</f>
        <v>0.4</v>
      </c>
    </row>
    <row r="127" spans="1:5" x14ac:dyDescent="0.4">
      <c r="B127" s="24" t="s">
        <v>68</v>
      </c>
      <c r="C127" s="24">
        <v>20000</v>
      </c>
      <c r="D127" s="25">
        <v>-0.02</v>
      </c>
      <c r="E127" s="26">
        <f>C127/C128</f>
        <v>0.4</v>
      </c>
    </row>
    <row r="128" spans="1:5" x14ac:dyDescent="0.4">
      <c r="B128" t="s">
        <v>65</v>
      </c>
      <c r="C128">
        <f>SUM(C125:C127)</f>
        <v>50000</v>
      </c>
    </row>
    <row r="130" spans="3:4" x14ac:dyDescent="0.4">
      <c r="C130" t="s">
        <v>72</v>
      </c>
      <c r="D130" s="4">
        <f>E125*D125+E126*D126+E127*D127</f>
        <v>4.8000000000000001E-2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estat</vt:lpstr>
      <vt:lpstr>mat 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2022-04-20T13:38:12Z</dcterms:created>
  <dcterms:modified xsi:type="dcterms:W3CDTF">2022-04-21T00:12:51Z</dcterms:modified>
</cp:coreProperties>
</file>