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 Villar\Downloads\"/>
    </mc:Choice>
  </mc:AlternateContent>
  <xr:revisionPtr revIDLastSave="0" documentId="13_ncr:1_{7FA34726-F9FB-4F15-A3F0-03327D44C5E9}" xr6:coauthVersionLast="47" xr6:coauthVersionMax="47" xr10:uidLastSave="{00000000-0000-0000-0000-000000000000}"/>
  <bookViews>
    <workbookView xWindow="-28920" yWindow="-120" windowWidth="29040" windowHeight="15840" xr2:uid="{8212B031-B851-40E0-A8E2-09F350395D48}"/>
  </bookViews>
  <sheets>
    <sheet name="Exercício 1" sheetId="1" r:id="rId1"/>
    <sheet name="Exercício 2" sheetId="2" r:id="rId2"/>
    <sheet name="Exercício 3" sheetId="3" r:id="rId3"/>
    <sheet name="Exercício 4" sheetId="4" r:id="rId4"/>
    <sheet name="Exercício 5" sheetId="5" r:id="rId5"/>
    <sheet name="Exercício 6" sheetId="6" r:id="rId6"/>
    <sheet name="Exercício 7" sheetId="7" r:id="rId7"/>
    <sheet name="Exercício 8" sheetId="8" r:id="rId8"/>
    <sheet name="Exercício 9" sheetId="9" r:id="rId9"/>
    <sheet name="Exercício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10" l="1"/>
  <c r="D20" i="9"/>
  <c r="D15" i="9"/>
  <c r="D16" i="9"/>
  <c r="D17" i="9"/>
  <c r="D18" i="9"/>
  <c r="D19" i="9"/>
  <c r="D14" i="9"/>
  <c r="E12" i="8"/>
  <c r="B17" i="8"/>
  <c r="E10" i="7"/>
  <c r="B16" i="6"/>
  <c r="B9" i="6"/>
  <c r="B6" i="5"/>
  <c r="B6" i="4"/>
  <c r="E4" i="3"/>
  <c r="E3" i="3"/>
  <c r="E6" i="2"/>
  <c r="E3" i="1"/>
</calcChain>
</file>

<file path=xl/sharedStrings.xml><?xml version="1.0" encoding="utf-8"?>
<sst xmlns="http://schemas.openxmlformats.org/spreadsheetml/2006/main" count="84" uniqueCount="60">
  <si>
    <t>Resposta:</t>
  </si>
  <si>
    <t>J =</t>
  </si>
  <si>
    <t xml:space="preserve"> i x C x n</t>
  </si>
  <si>
    <t>i =</t>
  </si>
  <si>
    <t>C =</t>
  </si>
  <si>
    <t>n =</t>
  </si>
  <si>
    <t>1) Saída de caixa de R$ 15.000</t>
  </si>
  <si>
    <t>Qual é a rentabilidade desse investidor no período?</t>
  </si>
  <si>
    <t xml:space="preserve">Considere os seguintes eventos no fluxo de caixa de um investidor: </t>
  </si>
  <si>
    <t>VF =</t>
  </si>
  <si>
    <t>VP =</t>
  </si>
  <si>
    <t>(VF/VP) - 1</t>
  </si>
  <si>
    <t>2) Entrada de caixa de R$ 19.300</t>
  </si>
  <si>
    <t>Qual será o valor bruto a ser resgatado por um investidor que aplica R$50.000 em um título de renda fixa com prazo de 6 anos e rentabilidade de 13% ao ano?</t>
  </si>
  <si>
    <t>VP x (1 + i)^n</t>
  </si>
  <si>
    <t>Passo 1</t>
  </si>
  <si>
    <t>Descobrir a taxa</t>
  </si>
  <si>
    <t>(anos)</t>
  </si>
  <si>
    <t>Passo 2</t>
  </si>
  <si>
    <t>Descobrir a taxa mensal equivalente</t>
  </si>
  <si>
    <t>a.a.</t>
  </si>
  <si>
    <t>a.m.</t>
  </si>
  <si>
    <t>* Taxa para 252 dias úteis: 12,45% a.a.</t>
  </si>
  <si>
    <t>* Taxa para 426 dias úteis: 13,10% a.a.</t>
  </si>
  <si>
    <t>i1 =</t>
  </si>
  <si>
    <t>i2 =</t>
  </si>
  <si>
    <t>h =</t>
  </si>
  <si>
    <t>t1 =</t>
  </si>
  <si>
    <t>t2 =</t>
  </si>
  <si>
    <t>Considere os seguintes dados de um fluxo de caixa:</t>
  </si>
  <si>
    <t>Ano 2</t>
  </si>
  <si>
    <t>Ano 1</t>
  </si>
  <si>
    <t>Ano 3</t>
  </si>
  <si>
    <t>Ano 4</t>
  </si>
  <si>
    <t>Ano 5</t>
  </si>
  <si>
    <t>FC1 =</t>
  </si>
  <si>
    <t>g =</t>
  </si>
  <si>
    <t xml:space="preserve"> =</t>
  </si>
  <si>
    <t>(ano 0 da perpetuidade)</t>
  </si>
  <si>
    <t>Período</t>
  </si>
  <si>
    <t>Preço da ação</t>
  </si>
  <si>
    <t>Considere o seguinte investimento em uma ação:</t>
  </si>
  <si>
    <t>(compra)</t>
  </si>
  <si>
    <t>(venda)</t>
  </si>
  <si>
    <t>Total</t>
  </si>
  <si>
    <t>Dividendo/ação</t>
  </si>
  <si>
    <t xml:space="preserve">Ano </t>
  </si>
  <si>
    <t>Fluxo</t>
  </si>
  <si>
    <t>Utilizando a função TAXA, assinale qual é o rendimento anualizado de um título de 5 anos cujo valor aportado foi R$20.000 e o valor final foi R$34.000.</t>
  </si>
  <si>
    <t>Qual é o prazo de um título cujo valor inicial é R$80.000, valor final é R$98.000 e o rendimento anualizado é de 7%?</t>
  </si>
  <si>
    <t>Assinale o retorno mensal de um título com as seguintes características:</t>
  </si>
  <si>
    <t>Suponha que constem os seguintes dados na curva de juros:</t>
  </si>
  <si>
    <t>Assinale a alternativa que corresponda à estimativa, por interpolação, da taxa para 340 dias.</t>
  </si>
  <si>
    <t>Qual é a TIR do investimento?</t>
  </si>
  <si>
    <t>Considerando o fluxo abaixo e uma Taxa Mínima de Atratividade de 11%, avalie se há lucro econômico no projeto e qual é seu valor presente líquido.</t>
  </si>
  <si>
    <t>Considerando um empréstimo com principal de R$120.000, período de 3 anos e taxa de juros de 8% ao ano, quanto será pago em juros no sistema de juros simples?</t>
  </si>
  <si>
    <t>tir =</t>
  </si>
  <si>
    <t>TMA =</t>
  </si>
  <si>
    <t>VPL =</t>
  </si>
  <si>
    <r>
      <t xml:space="preserve">Qual é o </t>
    </r>
    <r>
      <rPr>
        <b/>
        <sz val="11"/>
        <color theme="1"/>
        <rFont val="Calibri"/>
        <family val="2"/>
        <scheme val="minor"/>
      </rPr>
      <t>valor presente da perpetuidade</t>
    </r>
    <r>
      <rPr>
        <sz val="11"/>
        <color theme="1"/>
        <rFont val="Calibri"/>
        <family val="2"/>
        <scheme val="minor"/>
      </rPr>
      <t xml:space="preserve"> considerando custo de capital de 12% e crescimento perpétuo de 6%?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</si>
</sst>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 applyAlignment="1">
      <alignment horizontal="right"/>
    </xf>
    <xf numFmtId="9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2" xfId="0" applyBorder="1"/>
    <xf numFmtId="0" fontId="0" fillId="3" borderId="0" xfId="0" applyFill="1"/>
    <xf numFmtId="0" fontId="0" fillId="0" borderId="3" xfId="0" applyBorder="1"/>
    <xf numFmtId="0" fontId="0" fillId="3" borderId="4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10" fontId="0" fillId="0" borderId="0" xfId="0" applyNumberFormat="1"/>
    <xf numFmtId="0" fontId="0" fillId="3" borderId="1" xfId="0" applyFill="1" applyBorder="1"/>
    <xf numFmtId="0" fontId="0" fillId="0" borderId="1" xfId="0" applyBorder="1"/>
    <xf numFmtId="10" fontId="0" fillId="2" borderId="0" xfId="0" applyNumberFormat="1" applyFill="1"/>
    <xf numFmtId="3" fontId="0" fillId="2" borderId="0" xfId="0" applyNumberFormat="1" applyFill="1"/>
    <xf numFmtId="166" fontId="0" fillId="2" borderId="0" xfId="0" applyNumberFormat="1" applyFill="1"/>
    <xf numFmtId="165" fontId="0" fillId="2" borderId="0" xfId="1" applyFont="1" applyFill="1"/>
    <xf numFmtId="164" fontId="0" fillId="2" borderId="0" xfId="0" applyNumberFormat="1" applyFill="1"/>
    <xf numFmtId="10" fontId="0" fillId="2" borderId="0" xfId="2" applyNumberFormat="1" applyFont="1" applyFill="1"/>
    <xf numFmtId="0" fontId="0" fillId="2" borderId="0" xfId="0" applyFill="1"/>
    <xf numFmtId="0" fontId="2" fillId="4" borderId="7" xfId="0" applyFont="1" applyFill="1" applyBorder="1"/>
    <xf numFmtId="1" fontId="0" fillId="2" borderId="0" xfId="0" applyNumberFormat="1" applyFill="1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1" applyFont="1" applyFill="1"/>
    <xf numFmtId="0" fontId="0" fillId="3" borderId="0" xfId="0" applyFill="1" applyAlignment="1">
      <alignment horizontal="right"/>
    </xf>
    <xf numFmtId="0" fontId="0" fillId="3" borderId="8" xfId="0" applyFill="1" applyBorder="1"/>
    <xf numFmtId="0" fontId="0" fillId="3" borderId="10" xfId="0" applyFill="1" applyBorder="1" applyAlignment="1">
      <alignment horizontal="right"/>
    </xf>
    <xf numFmtId="0" fontId="0" fillId="3" borderId="10" xfId="0" applyFill="1" applyBorder="1" applyAlignment="1">
      <alignment horizontal="left"/>
    </xf>
    <xf numFmtId="0" fontId="0" fillId="3" borderId="10" xfId="0" applyFill="1" applyBorder="1"/>
    <xf numFmtId="0" fontId="0" fillId="3" borderId="9" xfId="0" applyFill="1" applyBorder="1"/>
    <xf numFmtId="3" fontId="0" fillId="3" borderId="0" xfId="0" applyNumberFormat="1" applyFill="1"/>
    <xf numFmtId="0" fontId="0" fillId="0" borderId="11" xfId="0" applyBorder="1"/>
    <xf numFmtId="0" fontId="0" fillId="3" borderId="7" xfId="0" applyFill="1" applyBorder="1"/>
    <xf numFmtId="165" fontId="0" fillId="3" borderId="7" xfId="1" applyFont="1" applyFill="1" applyBorder="1"/>
    <xf numFmtId="165" fontId="0" fillId="3" borderId="7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4" borderId="7" xfId="0" applyFill="1" applyBorder="1"/>
    <xf numFmtId="9" fontId="0" fillId="0" borderId="0" xfId="0" applyNumberFormat="1"/>
    <xf numFmtId="165" fontId="0" fillId="0" borderId="0" xfId="1" applyFont="1" applyFill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3" borderId="10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0" xfId="0" applyFill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9" fontId="0" fillId="2" borderId="0" xfId="2" applyNumberFormat="1" applyFont="1" applyFill="1"/>
    <xf numFmtId="166" fontId="0" fillId="0" borderId="7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</xdr:row>
      <xdr:rowOff>53975</xdr:rowOff>
    </xdr:from>
    <xdr:ext cx="1109535" cy="2494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35011FD-F811-23AD-CE89-73753580AC70}"/>
                </a:ext>
              </a:extLst>
            </xdr:cNvPr>
            <xdr:cNvSpPr txBox="1"/>
          </xdr:nvSpPr>
          <xdr:spPr>
            <a:xfrm>
              <a:off x="676275" y="2263775"/>
              <a:ext cx="1109535" cy="249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b>
                        <m:r>
                          <a:rPr lang="pt-BR" sz="1100" i="1">
                            <a:latin typeface="Cambria Math" panose="02040503050406030204" pitchFamily="18" charset="0"/>
                          </a:rPr>
                          <m:t>𝑞</m:t>
                        </m:r>
                      </m:sub>
                    </m:sSub>
                    <m:r>
                      <a:rPr lang="pt-BR" sz="110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i="0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pt-BR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11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sub>
                                <m:r>
                                  <a:rPr lang="pt-BR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  <m:sup>
                        <m:f>
                          <m:fPr>
                            <m:ctrlPr>
                              <a:rPr lang="pt-BR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num>
                          <m:den>
                            <m:r>
                              <a:rPr lang="pt-BR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den>
                        </m:f>
                      </m:sup>
                    </m:sSup>
                    <m:r>
                      <a:rPr lang="pt-BR" sz="110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35011FD-F811-23AD-CE89-73753580AC70}"/>
                </a:ext>
              </a:extLst>
            </xdr:cNvPr>
            <xdr:cNvSpPr txBox="1"/>
          </xdr:nvSpPr>
          <xdr:spPr>
            <a:xfrm>
              <a:off x="676275" y="2263775"/>
              <a:ext cx="1109535" cy="249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</a:rPr>
                <a:t>𝑖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1100" i="0">
                  <a:latin typeface="Cambria Math" panose="02040503050406030204" pitchFamily="18" charset="0"/>
                </a:rPr>
                <a:t>𝑞=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pt-BR" sz="1100" i="0">
                  <a:latin typeface="Cambria Math" panose="02040503050406030204" pitchFamily="18" charset="0"/>
                </a:rPr>
                <a:t>1+𝑖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1100" i="0">
                  <a:latin typeface="Cambria Math" panose="02040503050406030204" pitchFamily="18" charset="0"/>
                </a:rPr>
                <a:t>𝑡 )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pt-BR" sz="1100" i="0">
                  <a:latin typeface="Cambria Math" panose="02040503050406030204" pitchFamily="18" charset="0"/>
                </a:rPr>
                <a:t>𝑞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pt-BR" sz="1100" i="0">
                  <a:latin typeface="Cambria Math" panose="02040503050406030204" pitchFamily="18" charset="0"/>
                </a:rPr>
                <a:t>𝑡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pt-BR" sz="1100" i="0">
                  <a:latin typeface="Cambria Math" panose="02040503050406030204" pitchFamily="18" charset="0"/>
                </a:rPr>
                <a:t>−1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73025</xdr:colOff>
      <xdr:row>6</xdr:row>
      <xdr:rowOff>9525</xdr:rowOff>
    </xdr:from>
    <xdr:ext cx="1715341" cy="356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7D579D3-EA47-3E0B-A048-20D440B5D631}"/>
                </a:ext>
              </a:extLst>
            </xdr:cNvPr>
            <xdr:cNvSpPr txBox="1"/>
          </xdr:nvSpPr>
          <xdr:spPr>
            <a:xfrm>
              <a:off x="682625" y="1114425"/>
              <a:ext cx="1715341" cy="356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>
                        <a:latin typeface="Cambria Math" panose="02040503050406030204" pitchFamily="18" charset="0"/>
                      </a:rPr>
                      <m:t>ⅈ</m:t>
                    </m:r>
                    <m:r>
                      <a:rPr lang="pt-BR" sz="11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b>
                        <m:r>
                          <a:rPr lang="pt-BR" sz="11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100" i="0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pt-BR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pt-BR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  <m:sub>
                            <m:r>
                              <a:rPr lang="pt-BR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pt-BR" sz="11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pt-BR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  <m:sub>
                            <m:r>
                              <a:rPr lang="pt-BR" sz="1100" i="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pt-BR" sz="1100" i="0">
                        <a:latin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pt-BR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i="1">
                                <a:latin typeface="Cambria Math" panose="02040503050406030204" pitchFamily="18" charset="0"/>
                              </a:rPr>
                              <m:t>h</m:t>
                            </m:r>
                            <m:r>
                              <a:rPr lang="pt-BR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pt-BR" sz="1100" i="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num>
                      <m:den>
                        <m:d>
                          <m:dPr>
                            <m:ctrlPr>
                              <a:rPr lang="pt-BR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pt-BR" sz="11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pt-BR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pt-BR" sz="1100" i="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7D579D3-EA47-3E0B-A048-20D440B5D631}"/>
                </a:ext>
              </a:extLst>
            </xdr:cNvPr>
            <xdr:cNvSpPr txBox="1"/>
          </xdr:nvSpPr>
          <xdr:spPr>
            <a:xfrm>
              <a:off x="682625" y="1114425"/>
              <a:ext cx="1715341" cy="356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</a:rPr>
                <a:t>ⅈ=𝑖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1100" i="0">
                  <a:latin typeface="Cambria Math" panose="02040503050406030204" pitchFamily="18" charset="0"/>
                </a:rPr>
                <a:t>1+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pt-BR" sz="1100" i="0">
                  <a:latin typeface="Cambria Math" panose="02040503050406030204" pitchFamily="18" charset="0"/>
                </a:rPr>
                <a:t>𝑖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1100" i="0">
                  <a:latin typeface="Cambria Math" panose="02040503050406030204" pitchFamily="18" charset="0"/>
                </a:rPr>
                <a:t>2−𝑖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1100" i="0">
                  <a:latin typeface="Cambria Math" panose="02040503050406030204" pitchFamily="18" charset="0"/>
                </a:rPr>
                <a:t>1 )×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((</a:t>
              </a:r>
              <a:r>
                <a:rPr lang="pt-BR" sz="1100" i="0">
                  <a:latin typeface="Cambria Math" panose="02040503050406030204" pitchFamily="18" charset="0"/>
                </a:rPr>
                <a:t>ℎ−𝑡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1100" i="0">
                  <a:latin typeface="Cambria Math" panose="02040503050406030204" pitchFamily="18" charset="0"/>
                </a:rPr>
                <a:t>1 )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)/((</a:t>
              </a:r>
              <a:r>
                <a:rPr lang="pt-BR" sz="1100" i="0">
                  <a:latin typeface="Cambria Math" panose="02040503050406030204" pitchFamily="18" charset="0"/>
                </a:rPr>
                <a:t>𝑡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1100" i="0">
                  <a:latin typeface="Cambria Math" panose="02040503050406030204" pitchFamily="18" charset="0"/>
                </a:rPr>
                <a:t>2−𝑡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1100" i="0">
                  <a:latin typeface="Cambria Math" panose="02040503050406030204" pitchFamily="18" charset="0"/>
                </a:rPr>
                <a:t>1 ) </a:t>
              </a:r>
              <a:r>
                <a:rPr lang="pt-BR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206375</xdr:colOff>
      <xdr:row>10</xdr:row>
      <xdr:rowOff>28575</xdr:rowOff>
    </xdr:from>
    <xdr:ext cx="926472" cy="47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900804E-7D27-2A95-DAB5-6849A6BC299C}"/>
                </a:ext>
              </a:extLst>
            </xdr:cNvPr>
            <xdr:cNvSpPr txBox="1"/>
          </xdr:nvSpPr>
          <xdr:spPr>
            <a:xfrm>
              <a:off x="815975" y="1870075"/>
              <a:ext cx="926472" cy="47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2000" i="0">
                  <a:latin typeface="+mn-lt"/>
                </a:rPr>
                <a:t>VP</a:t>
              </a:r>
              <a:r>
                <a:rPr lang="pt-BR" sz="2000" i="0" baseline="0">
                  <a:latin typeface="+mn-lt"/>
                </a:rPr>
                <a:t> </a:t>
              </a:r>
              <a14:m>
                <m:oMath xmlns:m="http://schemas.openxmlformats.org/officeDocument/2006/math">
                  <m:r>
                    <a:rPr lang="pt-BR" sz="2000" i="0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pt-BR" sz="20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2000" i="1">
                          <a:latin typeface="Cambria Math" panose="02040503050406030204" pitchFamily="18" charset="0"/>
                        </a:rPr>
                        <m:t>𝐹</m:t>
                      </m:r>
                      <m:sSub>
                        <m:sSubPr>
                          <m:ctrlPr>
                            <a:rPr lang="pt-BR" sz="2000" i="1">
                              <a:solidFill>
                                <a:srgbClr val="836967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sz="2000" i="1">
                              <a:latin typeface="Cambria Math" panose="02040503050406030204" pitchFamily="18" charset="0"/>
                            </a:rPr>
                            <m:t>𝐶</m:t>
                          </m:r>
                        </m:e>
                        <m:sub>
                          <m:r>
                            <a:rPr lang="pt-BR" sz="2000" i="0"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</m:num>
                    <m:den>
                      <m:r>
                        <a:rPr lang="pt-BR" sz="2000" i="0">
                          <a:latin typeface="Cambria Math" panose="02040503050406030204" pitchFamily="18" charset="0"/>
                        </a:rPr>
                        <m:t>ⅈ−</m:t>
                      </m:r>
                      <m:r>
                        <a:rPr lang="pt-BR" sz="2000" i="1">
                          <a:latin typeface="Cambria Math" panose="02040503050406030204" pitchFamily="18" charset="0"/>
                        </a:rPr>
                        <m:t>𝑔</m:t>
                      </m:r>
                    </m:den>
                  </m:f>
                </m:oMath>
              </a14:m>
              <a:endParaRPr lang="pt-BR" sz="20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900804E-7D27-2A95-DAB5-6849A6BC299C}"/>
                </a:ext>
              </a:extLst>
            </xdr:cNvPr>
            <xdr:cNvSpPr txBox="1"/>
          </xdr:nvSpPr>
          <xdr:spPr>
            <a:xfrm>
              <a:off x="815975" y="1870075"/>
              <a:ext cx="926472" cy="47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2000" i="0">
                  <a:latin typeface="+mn-lt"/>
                </a:rPr>
                <a:t>VP</a:t>
              </a:r>
              <a:r>
                <a:rPr lang="pt-BR" sz="2000" i="0" baseline="0">
                  <a:latin typeface="+mn-lt"/>
                </a:rPr>
                <a:t> </a:t>
              </a:r>
              <a:r>
                <a:rPr lang="pt-BR" sz="2000" i="0">
                  <a:latin typeface="Cambria Math" panose="02040503050406030204" pitchFamily="18" charset="0"/>
                </a:rPr>
                <a:t>=</a:t>
              </a:r>
              <a:r>
                <a:rPr lang="pt-BR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pt-BR" sz="2000" i="0">
                  <a:latin typeface="Cambria Math" panose="02040503050406030204" pitchFamily="18" charset="0"/>
                </a:rPr>
                <a:t>𝐹𝐶</a:t>
              </a:r>
              <a:r>
                <a:rPr lang="pt-BR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sz="2000" i="0">
                  <a:latin typeface="Cambria Math" panose="02040503050406030204" pitchFamily="18" charset="0"/>
                </a:rPr>
                <a:t>1</a:t>
              </a:r>
              <a:r>
                <a:rPr lang="pt-BR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pt-BR" sz="2000" i="0">
                  <a:latin typeface="Cambria Math" panose="02040503050406030204" pitchFamily="18" charset="0"/>
                </a:rPr>
                <a:t>ⅈ−𝑔</a:t>
              </a:r>
              <a:r>
                <a:rPr lang="pt-BR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pt-BR" sz="20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770A-0FA5-4F5A-97A6-AE1744A1E197}">
  <dimension ref="A1:K6"/>
  <sheetViews>
    <sheetView tabSelected="1" zoomScale="180" zoomScaleNormal="180" workbookViewId="0">
      <selection sqref="A1:K1"/>
    </sheetView>
  </sheetViews>
  <sheetFormatPr defaultRowHeight="15" x14ac:dyDescent="0.25"/>
  <cols>
    <col min="1" max="1" width="3.85546875" customWidth="1"/>
    <col min="5" max="5" width="13.28515625" bestFit="1" customWidth="1"/>
  </cols>
  <sheetData>
    <row r="1" spans="1:11" ht="43.5" customHeight="1" x14ac:dyDescent="0.25">
      <c r="A1" s="48" t="s">
        <v>55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spans="1:11" x14ac:dyDescent="0.25">
      <c r="A3" s="3" t="s">
        <v>1</v>
      </c>
      <c r="B3" s="4" t="s">
        <v>2</v>
      </c>
      <c r="D3" t="s">
        <v>0</v>
      </c>
      <c r="E3" s="22">
        <f>B4*B5*B6</f>
        <v>28800</v>
      </c>
    </row>
    <row r="4" spans="1:11" x14ac:dyDescent="0.25">
      <c r="A4" s="3" t="s">
        <v>3</v>
      </c>
      <c r="B4" s="5">
        <v>0.08</v>
      </c>
    </row>
    <row r="5" spans="1:11" x14ac:dyDescent="0.25">
      <c r="A5" s="3" t="s">
        <v>4</v>
      </c>
      <c r="B5" s="6">
        <v>120000</v>
      </c>
    </row>
    <row r="6" spans="1:11" x14ac:dyDescent="0.25">
      <c r="A6" s="3" t="s">
        <v>5</v>
      </c>
      <c r="B6" s="4">
        <v>3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2E41-DE8D-4730-A99A-58A8925C5656}">
  <dimension ref="A1:L8"/>
  <sheetViews>
    <sheetView zoomScale="180" zoomScaleNormal="180" workbookViewId="0">
      <selection activeCell="E6" sqref="E6"/>
    </sheetView>
  </sheetViews>
  <sheetFormatPr defaultRowHeight="15" x14ac:dyDescent="0.25"/>
  <cols>
    <col min="2" max="2" width="9.5703125" bestFit="1" customWidth="1"/>
  </cols>
  <sheetData>
    <row r="1" spans="1:12" ht="14.45" customHeight="1" x14ac:dyDescent="0.25">
      <c r="A1" s="49" t="s">
        <v>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10"/>
    </row>
    <row r="2" spans="1:12" x14ac:dyDescent="0.25">
      <c r="A2" s="50" t="s">
        <v>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10"/>
    </row>
    <row r="3" spans="1:12" x14ac:dyDescent="0.25">
      <c r="A3" s="50" t="s">
        <v>12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10"/>
    </row>
    <row r="4" spans="1:12" x14ac:dyDescent="0.25">
      <c r="A4" s="51" t="s">
        <v>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10"/>
    </row>
    <row r="6" spans="1:12" x14ac:dyDescent="0.25">
      <c r="A6" s="3" t="s">
        <v>3</v>
      </c>
      <c r="B6" t="s">
        <v>11</v>
      </c>
      <c r="D6" t="s">
        <v>0</v>
      </c>
      <c r="E6" s="57">
        <f>(B7/B8)-1</f>
        <v>0.28666666666666663</v>
      </c>
    </row>
    <row r="7" spans="1:12" x14ac:dyDescent="0.25">
      <c r="A7" s="3" t="s">
        <v>9</v>
      </c>
      <c r="B7" s="2">
        <v>19300</v>
      </c>
    </row>
    <row r="8" spans="1:12" x14ac:dyDescent="0.25">
      <c r="A8" s="3" t="s">
        <v>10</v>
      </c>
      <c r="B8" s="2">
        <v>15000</v>
      </c>
    </row>
  </sheetData>
  <mergeCells count="4">
    <mergeCell ref="A1:K1"/>
    <mergeCell ref="A2:K2"/>
    <mergeCell ref="A3:K3"/>
    <mergeCell ref="A4:K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CA20-4F7B-4AFE-B10B-28CBE0D9F52B}">
  <dimension ref="A1:K6"/>
  <sheetViews>
    <sheetView zoomScale="180" zoomScaleNormal="180" workbookViewId="0">
      <selection sqref="A1:K1"/>
    </sheetView>
  </sheetViews>
  <sheetFormatPr defaultRowHeight="15" x14ac:dyDescent="0.25"/>
  <cols>
    <col min="5" max="5" width="14.28515625" bestFit="1" customWidth="1"/>
  </cols>
  <sheetData>
    <row r="1" spans="1:11" ht="43.5" customHeight="1" x14ac:dyDescent="0.25">
      <c r="A1" s="48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spans="1:11" x14ac:dyDescent="0.25">
      <c r="A3" s="3" t="s">
        <v>9</v>
      </c>
      <c r="B3" s="4" t="s">
        <v>14</v>
      </c>
      <c r="D3" t="s">
        <v>0</v>
      </c>
      <c r="E3" s="23">
        <f>B4*(1+B5)^B6</f>
        <v>104097.58763044991</v>
      </c>
    </row>
    <row r="4" spans="1:11" x14ac:dyDescent="0.25">
      <c r="A4" s="3" t="s">
        <v>10</v>
      </c>
      <c r="B4" s="6">
        <v>50000</v>
      </c>
      <c r="E4" s="24">
        <f>FV(B5,B6,0,-B4)</f>
        <v>104097.58763044991</v>
      </c>
    </row>
    <row r="5" spans="1:11" x14ac:dyDescent="0.25">
      <c r="A5" s="3" t="s">
        <v>3</v>
      </c>
      <c r="B5" s="5">
        <v>0.13</v>
      </c>
    </row>
    <row r="6" spans="1:11" x14ac:dyDescent="0.25">
      <c r="A6" s="3" t="s">
        <v>5</v>
      </c>
      <c r="B6" s="4">
        <v>6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B78E-FD85-41C4-B775-46110748B263}">
  <dimension ref="A1:K6"/>
  <sheetViews>
    <sheetView zoomScale="180" zoomScaleNormal="180" workbookViewId="0">
      <selection activeCell="B6" sqref="B6"/>
    </sheetView>
  </sheetViews>
  <sheetFormatPr defaultRowHeight="15" x14ac:dyDescent="0.25"/>
  <sheetData>
    <row r="1" spans="1:11" ht="43.5" customHeight="1" x14ac:dyDescent="0.25">
      <c r="A1" s="48" t="s">
        <v>48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spans="1:11" x14ac:dyDescent="0.25">
      <c r="A3" s="3" t="s">
        <v>10</v>
      </c>
      <c r="B3" s="6">
        <v>20000</v>
      </c>
    </row>
    <row r="4" spans="1:11" x14ac:dyDescent="0.25">
      <c r="A4" s="3" t="s">
        <v>9</v>
      </c>
      <c r="B4" s="6">
        <v>34000</v>
      </c>
    </row>
    <row r="5" spans="1:11" x14ac:dyDescent="0.25">
      <c r="A5" s="3" t="s">
        <v>5</v>
      </c>
      <c r="B5" s="4">
        <v>5</v>
      </c>
    </row>
    <row r="6" spans="1:11" x14ac:dyDescent="0.25">
      <c r="A6" s="7" t="s">
        <v>3</v>
      </c>
      <c r="B6" s="8">
        <f>RATE(B5,0,-B3,B4)</f>
        <v>0.11196158593862061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E0C8-41AB-4B2A-AB55-8537932504AD}">
  <dimension ref="A1:K8"/>
  <sheetViews>
    <sheetView zoomScale="180" zoomScaleNormal="180" workbookViewId="0">
      <selection sqref="A1:K1"/>
    </sheetView>
  </sheetViews>
  <sheetFormatPr defaultRowHeight="15" x14ac:dyDescent="0.25"/>
  <cols>
    <col min="2" max="2" width="8.7109375" customWidth="1"/>
  </cols>
  <sheetData>
    <row r="1" spans="1:11" x14ac:dyDescent="0.25">
      <c r="A1" s="52" t="s">
        <v>49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3" spans="1:11" x14ac:dyDescent="0.25">
      <c r="A3" s="3" t="s">
        <v>10</v>
      </c>
      <c r="B3" s="6">
        <v>80000</v>
      </c>
    </row>
    <row r="4" spans="1:11" x14ac:dyDescent="0.25">
      <c r="A4" s="3" t="s">
        <v>9</v>
      </c>
      <c r="B4" s="6">
        <v>98000</v>
      </c>
    </row>
    <row r="5" spans="1:11" x14ac:dyDescent="0.25">
      <c r="A5" s="3" t="s">
        <v>3</v>
      </c>
      <c r="B5" s="5">
        <v>7.0000000000000007E-2</v>
      </c>
    </row>
    <row r="6" spans="1:11" x14ac:dyDescent="0.25">
      <c r="A6" s="7" t="s">
        <v>5</v>
      </c>
      <c r="B6" s="28">
        <f>NPER(B5,0,-B3,B4)</f>
        <v>2.9994811982570422</v>
      </c>
    </row>
    <row r="8" spans="1:11" x14ac:dyDescent="0.25">
      <c r="A8" s="29"/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DA58-F30C-4BCD-8917-3CC409F46782}">
  <dimension ref="A1:G16"/>
  <sheetViews>
    <sheetView zoomScale="180" zoomScaleNormal="180" workbookViewId="0"/>
  </sheetViews>
  <sheetFormatPr defaultRowHeight="15" x14ac:dyDescent="0.25"/>
  <sheetData>
    <row r="1" spans="1:7" x14ac:dyDescent="0.25">
      <c r="A1" s="11" t="s">
        <v>50</v>
      </c>
      <c r="B1" s="11"/>
      <c r="C1" s="11"/>
      <c r="D1" s="11"/>
      <c r="E1" s="11"/>
      <c r="F1" s="11"/>
      <c r="G1" s="32"/>
    </row>
    <row r="2" spans="1:7" x14ac:dyDescent="0.25">
      <c r="A2" s="11"/>
      <c r="B2" s="11"/>
      <c r="C2" s="11"/>
      <c r="D2" s="11"/>
      <c r="E2" s="11"/>
      <c r="F2" s="11"/>
      <c r="G2" s="32"/>
    </row>
    <row r="3" spans="1:7" x14ac:dyDescent="0.25">
      <c r="A3" s="31" t="s">
        <v>9</v>
      </c>
      <c r="B3" s="9">
        <v>1000</v>
      </c>
      <c r="C3" s="11"/>
      <c r="D3" s="11"/>
      <c r="E3" s="11"/>
      <c r="F3" s="11"/>
      <c r="G3" s="32"/>
    </row>
    <row r="4" spans="1:7" x14ac:dyDescent="0.25">
      <c r="A4" s="31" t="s">
        <v>10</v>
      </c>
      <c r="B4" s="9">
        <v>432</v>
      </c>
      <c r="C4" s="11"/>
      <c r="D4" s="11"/>
      <c r="E4" s="11"/>
      <c r="F4" s="11"/>
      <c r="G4" s="32"/>
    </row>
    <row r="5" spans="1:7" x14ac:dyDescent="0.25">
      <c r="A5" s="33" t="s">
        <v>5</v>
      </c>
      <c r="B5" s="34">
        <v>4</v>
      </c>
      <c r="C5" s="35" t="s">
        <v>17</v>
      </c>
      <c r="D5" s="35"/>
      <c r="E5" s="35"/>
      <c r="F5" s="35"/>
      <c r="G5" s="36"/>
    </row>
    <row r="7" spans="1:7" x14ac:dyDescent="0.25">
      <c r="A7" s="3" t="s">
        <v>15</v>
      </c>
      <c r="B7" t="s">
        <v>16</v>
      </c>
    </row>
    <row r="9" spans="1:7" x14ac:dyDescent="0.25">
      <c r="A9" s="3" t="s">
        <v>3</v>
      </c>
      <c r="B9" s="17">
        <f>RATE(B5,0,-B4,B3)</f>
        <v>0.23347134082047524</v>
      </c>
      <c r="C9" t="s">
        <v>20</v>
      </c>
    </row>
    <row r="11" spans="1:7" x14ac:dyDescent="0.25">
      <c r="A11" s="3" t="s">
        <v>18</v>
      </c>
      <c r="B11" t="s">
        <v>19</v>
      </c>
    </row>
    <row r="12" spans="1:7" x14ac:dyDescent="0.25">
      <c r="B12" s="10"/>
      <c r="C12" s="10"/>
    </row>
    <row r="13" spans="1:7" x14ac:dyDescent="0.25">
      <c r="A13" s="12"/>
      <c r="B13" s="11"/>
      <c r="C13" s="13"/>
    </row>
    <row r="14" spans="1:7" x14ac:dyDescent="0.25">
      <c r="A14" s="12"/>
      <c r="B14" s="15"/>
      <c r="C14" s="16"/>
    </row>
    <row r="15" spans="1:7" x14ac:dyDescent="0.25">
      <c r="A15" s="12"/>
    </row>
    <row r="16" spans="1:7" x14ac:dyDescent="0.25">
      <c r="B16" s="25">
        <f>(1+B9)^(1/12)-1</f>
        <v>1.7639810939229061E-2</v>
      </c>
      <c r="C16" s="26" t="s">
        <v>21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B8B4-5A4F-4087-B4ED-DF6614860984}">
  <dimension ref="A1:I14"/>
  <sheetViews>
    <sheetView zoomScale="180" zoomScaleNormal="180" workbookViewId="0">
      <selection sqref="A1:A4"/>
    </sheetView>
  </sheetViews>
  <sheetFormatPr defaultRowHeight="15" x14ac:dyDescent="0.25"/>
  <sheetData>
    <row r="1" spans="1:9" x14ac:dyDescent="0.25">
      <c r="A1" s="11" t="s">
        <v>51</v>
      </c>
      <c r="B1" s="11"/>
      <c r="C1" s="11"/>
      <c r="D1" s="11"/>
      <c r="E1" s="11"/>
      <c r="F1" s="11"/>
      <c r="G1" s="11"/>
      <c r="H1" s="11"/>
      <c r="I1" s="32"/>
    </row>
    <row r="2" spans="1:9" x14ac:dyDescent="0.25">
      <c r="A2" s="11" t="s">
        <v>22</v>
      </c>
      <c r="B2" s="11"/>
      <c r="C2" s="11"/>
      <c r="D2" s="11"/>
      <c r="E2" s="11"/>
      <c r="F2" s="11"/>
      <c r="G2" s="11"/>
      <c r="H2" s="11"/>
      <c r="I2" s="32"/>
    </row>
    <row r="3" spans="1:9" x14ac:dyDescent="0.25">
      <c r="A3" s="11" t="s">
        <v>23</v>
      </c>
      <c r="B3" s="11"/>
      <c r="C3" s="11"/>
      <c r="D3" s="11"/>
      <c r="E3" s="11"/>
      <c r="F3" s="11"/>
      <c r="G3" s="11"/>
      <c r="H3" s="11"/>
      <c r="I3" s="32"/>
    </row>
    <row r="4" spans="1:9" x14ac:dyDescent="0.25">
      <c r="A4" s="35" t="s">
        <v>52</v>
      </c>
      <c r="B4" s="35"/>
      <c r="C4" s="35"/>
      <c r="D4" s="35"/>
      <c r="E4" s="35"/>
      <c r="F4" s="35"/>
      <c r="G4" s="35"/>
      <c r="H4" s="35"/>
      <c r="I4" s="36"/>
    </row>
    <row r="6" spans="1:9" x14ac:dyDescent="0.25">
      <c r="B6" s="19"/>
      <c r="C6" s="19"/>
      <c r="D6" s="19"/>
    </row>
    <row r="7" spans="1:9" x14ac:dyDescent="0.25">
      <c r="A7" s="12"/>
      <c r="B7" s="11"/>
      <c r="C7" s="11"/>
      <c r="D7" s="13"/>
    </row>
    <row r="8" spans="1:9" x14ac:dyDescent="0.25">
      <c r="A8" s="12"/>
      <c r="B8" s="15"/>
      <c r="C8" s="18"/>
      <c r="D8" s="16"/>
    </row>
    <row r="10" spans="1:9" x14ac:dyDescent="0.25">
      <c r="A10" s="3" t="s">
        <v>24</v>
      </c>
      <c r="B10" s="17">
        <v>0.1245</v>
      </c>
      <c r="D10" s="7" t="s">
        <v>3</v>
      </c>
      <c r="E10" s="20">
        <f>B10+(B11-B10)*((B12-B13)/(B14-B13))</f>
        <v>0.12778735632183907</v>
      </c>
    </row>
    <row r="11" spans="1:9" x14ac:dyDescent="0.25">
      <c r="A11" s="3" t="s">
        <v>25</v>
      </c>
      <c r="B11" s="17">
        <v>0.13100000000000001</v>
      </c>
    </row>
    <row r="12" spans="1:9" x14ac:dyDescent="0.25">
      <c r="A12" s="3" t="s">
        <v>26</v>
      </c>
      <c r="B12">
        <v>340</v>
      </c>
    </row>
    <row r="13" spans="1:9" x14ac:dyDescent="0.25">
      <c r="A13" s="3" t="s">
        <v>27</v>
      </c>
      <c r="B13">
        <v>252</v>
      </c>
    </row>
    <row r="14" spans="1:9" x14ac:dyDescent="0.25">
      <c r="A14" s="3" t="s">
        <v>28</v>
      </c>
      <c r="B14">
        <v>426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4406-F657-4AC7-8368-BBA496F30A5A}">
  <dimension ref="A1:J17"/>
  <sheetViews>
    <sheetView zoomScale="180" zoomScaleNormal="180" workbookViewId="0">
      <selection sqref="A1:I9"/>
    </sheetView>
  </sheetViews>
  <sheetFormatPr defaultRowHeight="15" x14ac:dyDescent="0.25"/>
  <cols>
    <col min="2" max="2" width="10.28515625" bestFit="1" customWidth="1"/>
    <col min="5" max="5" width="12.42578125" bestFit="1" customWidth="1"/>
  </cols>
  <sheetData>
    <row r="1" spans="1:10" x14ac:dyDescent="0.25">
      <c r="A1" s="11" t="s">
        <v>29</v>
      </c>
      <c r="B1" s="11"/>
      <c r="C1" s="11"/>
      <c r="D1" s="11"/>
      <c r="E1" s="11"/>
      <c r="F1" s="11"/>
      <c r="G1" s="11"/>
      <c r="H1" s="11"/>
      <c r="I1" s="32"/>
    </row>
    <row r="2" spans="1:10" x14ac:dyDescent="0.25">
      <c r="A2" s="11"/>
      <c r="B2" s="11"/>
      <c r="C2" s="11"/>
      <c r="D2" s="11"/>
      <c r="E2" s="11"/>
      <c r="F2" s="11"/>
      <c r="G2" s="11"/>
      <c r="H2" s="11"/>
      <c r="I2" s="32"/>
    </row>
    <row r="3" spans="1:10" x14ac:dyDescent="0.25">
      <c r="A3" s="11" t="s">
        <v>31</v>
      </c>
      <c r="B3" s="37">
        <v>30000000</v>
      </c>
      <c r="C3" s="11"/>
      <c r="D3" s="11"/>
      <c r="E3" s="11"/>
      <c r="F3" s="11"/>
      <c r="G3" s="11"/>
      <c r="H3" s="11"/>
      <c r="I3" s="32"/>
    </row>
    <row r="4" spans="1:10" x14ac:dyDescent="0.25">
      <c r="A4" s="11" t="s">
        <v>30</v>
      </c>
      <c r="B4" s="37">
        <v>32000000</v>
      </c>
      <c r="C4" s="11"/>
      <c r="D4" s="11"/>
      <c r="E4" s="11"/>
      <c r="F4" s="11"/>
      <c r="G4" s="11"/>
      <c r="H4" s="11"/>
      <c r="I4" s="32"/>
    </row>
    <row r="5" spans="1:10" x14ac:dyDescent="0.25">
      <c r="A5" s="11" t="s">
        <v>32</v>
      </c>
      <c r="B5" s="37">
        <v>41000000</v>
      </c>
      <c r="C5" s="11"/>
      <c r="D5" s="11"/>
      <c r="E5" s="11"/>
      <c r="F5" s="11"/>
      <c r="G5" s="11"/>
      <c r="H5" s="11"/>
      <c r="I5" s="32"/>
    </row>
    <row r="6" spans="1:10" x14ac:dyDescent="0.25">
      <c r="A6" s="11" t="s">
        <v>33</v>
      </c>
      <c r="B6" s="37">
        <v>45000000</v>
      </c>
      <c r="C6" s="11"/>
      <c r="D6" s="11"/>
      <c r="E6" s="11"/>
      <c r="F6" s="11"/>
      <c r="G6" s="11"/>
      <c r="H6" s="11"/>
      <c r="I6" s="32"/>
    </row>
    <row r="7" spans="1:10" x14ac:dyDescent="0.25">
      <c r="A7" s="11" t="s">
        <v>34</v>
      </c>
      <c r="B7" s="37">
        <v>48000000</v>
      </c>
      <c r="C7" s="11" t="s">
        <v>38</v>
      </c>
      <c r="D7" s="11"/>
      <c r="E7" s="11"/>
      <c r="F7" s="11"/>
      <c r="G7" s="11"/>
      <c r="H7" s="11"/>
      <c r="I7" s="32"/>
    </row>
    <row r="8" spans="1:10" x14ac:dyDescent="0.25">
      <c r="A8" s="11"/>
      <c r="B8" s="11"/>
      <c r="C8" s="11"/>
      <c r="D8" s="11"/>
      <c r="E8" s="11"/>
      <c r="F8" s="11"/>
      <c r="G8" s="11"/>
      <c r="H8" s="11"/>
      <c r="I8" s="32"/>
      <c r="J8" s="38"/>
    </row>
    <row r="9" spans="1:10" ht="28.5" customHeight="1" x14ac:dyDescent="0.25">
      <c r="A9" s="53" t="s">
        <v>59</v>
      </c>
      <c r="B9" s="53"/>
      <c r="C9" s="53"/>
      <c r="D9" s="53"/>
      <c r="E9" s="53"/>
      <c r="F9" s="53"/>
      <c r="G9" s="53"/>
      <c r="H9" s="53"/>
      <c r="I9" s="54"/>
    </row>
    <row r="10" spans="1:10" x14ac:dyDescent="0.25">
      <c r="B10" s="19"/>
      <c r="C10" s="19"/>
    </row>
    <row r="11" spans="1:10" x14ac:dyDescent="0.25">
      <c r="A11" s="12"/>
      <c r="B11" s="11"/>
      <c r="C11" s="13"/>
    </row>
    <row r="12" spans="1:10" x14ac:dyDescent="0.25">
      <c r="A12" s="12"/>
      <c r="B12" s="11"/>
      <c r="C12" s="14"/>
      <c r="D12" s="1" t="s">
        <v>37</v>
      </c>
      <c r="E12" s="21">
        <f>B17/(B16-B15)</f>
        <v>848000000</v>
      </c>
    </row>
    <row r="13" spans="1:10" x14ac:dyDescent="0.25">
      <c r="A13" s="12"/>
      <c r="B13" s="15"/>
      <c r="C13" s="16"/>
    </row>
    <row r="15" spans="1:10" x14ac:dyDescent="0.25">
      <c r="A15" s="3" t="s">
        <v>36</v>
      </c>
      <c r="B15" s="5">
        <v>0.06</v>
      </c>
    </row>
    <row r="16" spans="1:10" x14ac:dyDescent="0.25">
      <c r="A16" s="3" t="s">
        <v>3</v>
      </c>
      <c r="B16" s="5">
        <v>0.12</v>
      </c>
    </row>
    <row r="17" spans="1:2" x14ac:dyDescent="0.25">
      <c r="A17" s="3" t="s">
        <v>35</v>
      </c>
      <c r="B17" s="2">
        <f>B7*(1+B15)</f>
        <v>50880000</v>
      </c>
    </row>
  </sheetData>
  <mergeCells count="1">
    <mergeCell ref="A9:I9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0CAC-5073-4A19-80B8-4A93D3AA94BB}">
  <dimension ref="A1:D21"/>
  <sheetViews>
    <sheetView zoomScale="180" zoomScaleNormal="180" workbookViewId="0">
      <selection activeCell="G10" sqref="G10"/>
    </sheetView>
  </sheetViews>
  <sheetFormatPr defaultRowHeight="15" x14ac:dyDescent="0.25"/>
  <cols>
    <col min="2" max="3" width="14.5703125" customWidth="1"/>
    <col min="4" max="4" width="9.5703125" bestFit="1" customWidth="1"/>
  </cols>
  <sheetData>
    <row r="1" spans="1:4" x14ac:dyDescent="0.25">
      <c r="A1" s="11" t="s">
        <v>41</v>
      </c>
      <c r="B1" s="11"/>
      <c r="C1" s="11"/>
      <c r="D1" s="32"/>
    </row>
    <row r="2" spans="1:4" x14ac:dyDescent="0.25">
      <c r="A2" s="11"/>
      <c r="B2" s="11"/>
      <c r="C2" s="11"/>
      <c r="D2" s="32"/>
    </row>
    <row r="3" spans="1:4" x14ac:dyDescent="0.25">
      <c r="A3" s="27" t="s">
        <v>39</v>
      </c>
      <c r="B3" s="27" t="s">
        <v>45</v>
      </c>
      <c r="C3" s="27" t="s">
        <v>40</v>
      </c>
      <c r="D3" s="32"/>
    </row>
    <row r="4" spans="1:4" x14ac:dyDescent="0.25">
      <c r="A4" s="39">
        <v>0</v>
      </c>
      <c r="B4" s="40">
        <v>0</v>
      </c>
      <c r="C4" s="40">
        <v>-38</v>
      </c>
      <c r="D4" s="32" t="s">
        <v>42</v>
      </c>
    </row>
    <row r="5" spans="1:4" x14ac:dyDescent="0.25">
      <c r="A5" s="39">
        <v>1</v>
      </c>
      <c r="B5" s="40">
        <v>1.5</v>
      </c>
      <c r="C5" s="41"/>
      <c r="D5" s="32"/>
    </row>
    <row r="6" spans="1:4" x14ac:dyDescent="0.25">
      <c r="A6" s="39">
        <v>2</v>
      </c>
      <c r="B6" s="40">
        <v>2.2999999999999998</v>
      </c>
      <c r="C6" s="41"/>
      <c r="D6" s="32"/>
    </row>
    <row r="7" spans="1:4" x14ac:dyDescent="0.25">
      <c r="A7" s="39">
        <v>3</v>
      </c>
      <c r="B7" s="40">
        <v>1.8</v>
      </c>
      <c r="C7" s="41"/>
      <c r="D7" s="32"/>
    </row>
    <row r="8" spans="1:4" x14ac:dyDescent="0.25">
      <c r="A8" s="39">
        <v>4</v>
      </c>
      <c r="B8" s="40">
        <v>2</v>
      </c>
      <c r="C8" s="41"/>
      <c r="D8" s="32"/>
    </row>
    <row r="9" spans="1:4" x14ac:dyDescent="0.25">
      <c r="A9" s="39">
        <v>5</v>
      </c>
      <c r="B9" s="40">
        <v>2.4</v>
      </c>
      <c r="C9" s="40">
        <v>52</v>
      </c>
      <c r="D9" s="32" t="s">
        <v>43</v>
      </c>
    </row>
    <row r="10" spans="1:4" x14ac:dyDescent="0.25">
      <c r="A10" s="11"/>
      <c r="B10" s="11"/>
      <c r="C10" s="11"/>
      <c r="D10" s="32"/>
    </row>
    <row r="11" spans="1:4" x14ac:dyDescent="0.25">
      <c r="A11" s="35" t="s">
        <v>53</v>
      </c>
      <c r="B11" s="35"/>
      <c r="C11" s="35"/>
      <c r="D11" s="36"/>
    </row>
    <row r="13" spans="1:4" x14ac:dyDescent="0.25">
      <c r="A13" s="27" t="s">
        <v>39</v>
      </c>
      <c r="B13" s="27" t="s">
        <v>45</v>
      </c>
      <c r="C13" s="27" t="s">
        <v>40</v>
      </c>
      <c r="D13" s="27" t="s">
        <v>44</v>
      </c>
    </row>
    <row r="14" spans="1:4" x14ac:dyDescent="0.25">
      <c r="A14" s="39">
        <v>0</v>
      </c>
      <c r="B14" s="40">
        <v>0</v>
      </c>
      <c r="C14" s="40">
        <v>-38</v>
      </c>
      <c r="D14" s="58">
        <f>B14+C14</f>
        <v>-38</v>
      </c>
    </row>
    <row r="15" spans="1:4" x14ac:dyDescent="0.25">
      <c r="A15" s="39">
        <v>1</v>
      </c>
      <c r="B15" s="40">
        <v>1.5</v>
      </c>
      <c r="C15" s="41"/>
      <c r="D15" s="58">
        <f t="shared" ref="D15:D19" si="0">B15+C15</f>
        <v>1.5</v>
      </c>
    </row>
    <row r="16" spans="1:4" x14ac:dyDescent="0.25">
      <c r="A16" s="39">
        <v>2</v>
      </c>
      <c r="B16" s="40">
        <v>2.2999999999999998</v>
      </c>
      <c r="C16" s="41"/>
      <c r="D16" s="58">
        <f t="shared" si="0"/>
        <v>2.2999999999999998</v>
      </c>
    </row>
    <row r="17" spans="1:4" x14ac:dyDescent="0.25">
      <c r="A17" s="39">
        <v>3</v>
      </c>
      <c r="B17" s="40">
        <v>1.8</v>
      </c>
      <c r="C17" s="41"/>
      <c r="D17" s="58">
        <f t="shared" si="0"/>
        <v>1.8</v>
      </c>
    </row>
    <row r="18" spans="1:4" x14ac:dyDescent="0.25">
      <c r="A18" s="39">
        <v>4</v>
      </c>
      <c r="B18" s="40">
        <v>2</v>
      </c>
      <c r="C18" s="41"/>
      <c r="D18" s="58">
        <f t="shared" si="0"/>
        <v>2</v>
      </c>
    </row>
    <row r="19" spans="1:4" x14ac:dyDescent="0.25">
      <c r="A19" s="39">
        <v>5</v>
      </c>
      <c r="B19" s="40">
        <v>2.4</v>
      </c>
      <c r="C19" s="40">
        <v>52</v>
      </c>
      <c r="D19" s="58">
        <f t="shared" si="0"/>
        <v>54.4</v>
      </c>
    </row>
    <row r="20" spans="1:4" x14ac:dyDescent="0.25">
      <c r="B20" s="30"/>
      <c r="C20" s="46" t="s">
        <v>56</v>
      </c>
      <c r="D20" s="25">
        <f>IRR(D14:D19)</f>
        <v>0.11085748551935226</v>
      </c>
    </row>
    <row r="21" spans="1:4" x14ac:dyDescent="0.25">
      <c r="C21" s="42"/>
      <c r="D21" s="4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D62B-2AE5-43EC-9372-A9EFBBBB1D78}">
  <dimension ref="A1:K12"/>
  <sheetViews>
    <sheetView zoomScale="160" zoomScaleNormal="160" workbookViewId="0">
      <selection activeCell="G16" sqref="G16"/>
    </sheetView>
  </sheetViews>
  <sheetFormatPr defaultRowHeight="15" x14ac:dyDescent="0.25"/>
  <cols>
    <col min="2" max="2" width="11.42578125" bestFit="1" customWidth="1"/>
  </cols>
  <sheetData>
    <row r="1" spans="1:11" ht="43.5" customHeight="1" x14ac:dyDescent="0.25">
      <c r="A1" s="55" t="s">
        <v>54</v>
      </c>
      <c r="B1" s="55"/>
      <c r="C1" s="55"/>
      <c r="D1" s="55"/>
      <c r="E1" s="55"/>
      <c r="F1" s="55"/>
      <c r="G1" s="55"/>
      <c r="H1" s="55"/>
      <c r="I1" s="55"/>
      <c r="J1" s="55"/>
      <c r="K1" s="56"/>
    </row>
    <row r="2" spans="1:11" x14ac:dyDescent="0.25">
      <c r="A2" s="44" t="s">
        <v>46</v>
      </c>
      <c r="B2" s="44" t="s">
        <v>47</v>
      </c>
      <c r="C2" s="11"/>
      <c r="D2" s="11"/>
      <c r="E2" s="11"/>
      <c r="F2" s="11"/>
      <c r="G2" s="11"/>
      <c r="H2" s="11"/>
      <c r="I2" s="11"/>
      <c r="J2" s="11"/>
      <c r="K2" s="32"/>
    </row>
    <row r="3" spans="1:11" x14ac:dyDescent="0.25">
      <c r="A3" s="39">
        <v>0</v>
      </c>
      <c r="B3" s="39">
        <v>-50000</v>
      </c>
      <c r="C3" s="11"/>
      <c r="D3" s="11"/>
      <c r="E3" s="11"/>
      <c r="F3" s="11"/>
      <c r="G3" s="11"/>
      <c r="H3" s="11"/>
      <c r="I3" s="11"/>
      <c r="J3" s="11"/>
      <c r="K3" s="32"/>
    </row>
    <row r="4" spans="1:11" x14ac:dyDescent="0.25">
      <c r="A4" s="39">
        <v>1</v>
      </c>
      <c r="B4" s="39">
        <v>2000</v>
      </c>
      <c r="C4" s="11"/>
      <c r="D4" s="11"/>
      <c r="E4" s="11"/>
      <c r="F4" s="11"/>
      <c r="G4" s="11"/>
      <c r="H4" s="11"/>
      <c r="I4" s="11"/>
      <c r="J4" s="11"/>
      <c r="K4" s="32"/>
    </row>
    <row r="5" spans="1:11" x14ac:dyDescent="0.25">
      <c r="A5" s="39">
        <v>2</v>
      </c>
      <c r="B5" s="39">
        <v>7000</v>
      </c>
      <c r="C5" s="11"/>
      <c r="D5" s="11"/>
      <c r="E5" s="11"/>
      <c r="F5" s="11"/>
      <c r="G5" s="11"/>
      <c r="H5" s="11"/>
      <c r="I5" s="11"/>
      <c r="J5" s="11"/>
      <c r="K5" s="32"/>
    </row>
    <row r="6" spans="1:11" x14ac:dyDescent="0.25">
      <c r="A6" s="39">
        <v>3</v>
      </c>
      <c r="B6" s="39">
        <v>20000</v>
      </c>
      <c r="C6" s="11"/>
      <c r="D6" s="11"/>
      <c r="E6" s="11"/>
      <c r="F6" s="11"/>
      <c r="G6" s="11"/>
      <c r="H6" s="11"/>
      <c r="I6" s="11"/>
      <c r="J6" s="11"/>
      <c r="K6" s="32"/>
    </row>
    <row r="7" spans="1:11" x14ac:dyDescent="0.25">
      <c r="A7" s="39">
        <v>4</v>
      </c>
      <c r="B7" s="39">
        <v>25000</v>
      </c>
      <c r="C7" s="11"/>
      <c r="D7" s="11"/>
      <c r="E7" s="11"/>
      <c r="F7" s="11"/>
      <c r="G7" s="11"/>
      <c r="H7" s="11"/>
      <c r="I7" s="11"/>
      <c r="J7" s="11"/>
      <c r="K7" s="32"/>
    </row>
    <row r="8" spans="1:11" x14ac:dyDescent="0.25">
      <c r="A8" s="39">
        <v>5</v>
      </c>
      <c r="B8" s="39">
        <v>14000</v>
      </c>
      <c r="C8" s="11"/>
      <c r="D8" s="11"/>
      <c r="E8" s="11"/>
      <c r="F8" s="11"/>
      <c r="G8" s="11"/>
      <c r="H8" s="11"/>
      <c r="I8" s="11"/>
      <c r="J8" s="11"/>
      <c r="K8" s="32"/>
    </row>
    <row r="9" spans="1:1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6"/>
    </row>
    <row r="11" spans="1:11" x14ac:dyDescent="0.25">
      <c r="A11" t="s">
        <v>57</v>
      </c>
      <c r="B11" s="45">
        <v>0.11</v>
      </c>
    </row>
    <row r="12" spans="1:11" x14ac:dyDescent="0.25">
      <c r="A12" t="s">
        <v>58</v>
      </c>
      <c r="B12" s="47">
        <f>NPV(B11,B4:B8)+B3</f>
        <v>-3116.420593025985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Exercício 1</vt:lpstr>
      <vt:lpstr>Exercício 2</vt:lpstr>
      <vt:lpstr>Exercício 3</vt:lpstr>
      <vt:lpstr>Exercício 4</vt:lpstr>
      <vt:lpstr>Exercício 5</vt:lpstr>
      <vt:lpstr>Exercício 6</vt:lpstr>
      <vt:lpstr>Exercício 7</vt:lpstr>
      <vt:lpstr>Exercício 8</vt:lpstr>
      <vt:lpstr>Exercício 9</vt:lpstr>
      <vt:lpstr>Exercício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Rodrigues Villar</dc:creator>
  <cp:lastModifiedBy>Matheus Villar</cp:lastModifiedBy>
  <dcterms:created xsi:type="dcterms:W3CDTF">2022-09-12T19:00:35Z</dcterms:created>
  <dcterms:modified xsi:type="dcterms:W3CDTF">2022-09-14T14:31:14Z</dcterms:modified>
</cp:coreProperties>
</file>