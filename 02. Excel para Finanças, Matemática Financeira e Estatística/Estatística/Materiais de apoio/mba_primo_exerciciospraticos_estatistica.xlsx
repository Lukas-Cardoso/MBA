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rcício 1" sheetId="1" r:id="rId4"/>
    <sheet state="visible" name="Exercício 2" sheetId="2" r:id="rId5"/>
    <sheet state="visible" name="Exercício 3" sheetId="3" r:id="rId6"/>
    <sheet state="visible" name="Exercício 4" sheetId="4" r:id="rId7"/>
    <sheet state="visible" name="Exercício 5" sheetId="5" r:id="rId8"/>
    <sheet state="visible" name="Exercício 6" sheetId="6" r:id="rId9"/>
    <sheet state="visible" name="Exercício 7" sheetId="7" r:id="rId10"/>
    <sheet state="visible" name="Exercício 8" sheetId="8" r:id="rId11"/>
    <sheet state="visible" name="Exercício 9" sheetId="9" r:id="rId12"/>
  </sheets>
  <definedNames/>
  <calcPr/>
</workbook>
</file>

<file path=xl/sharedStrings.xml><?xml version="1.0" encoding="utf-8"?>
<sst xmlns="http://schemas.openxmlformats.org/spreadsheetml/2006/main" count="66" uniqueCount="62">
  <si>
    <t>Média</t>
  </si>
  <si>
    <t>Média aparada</t>
  </si>
  <si>
    <t>Mediana</t>
  </si>
  <si>
    <t>Retorno diário</t>
  </si>
  <si>
    <t>% na carteira</t>
  </si>
  <si>
    <t>ABCD4</t>
  </si>
  <si>
    <t>ZXYZ4</t>
  </si>
  <si>
    <t>HFGI4</t>
  </si>
  <si>
    <t>OPQR4</t>
  </si>
  <si>
    <t>Média ponderada</t>
  </si>
  <si>
    <t>Desvio-padrão amostral</t>
  </si>
  <si>
    <t>Desvio-padrão populacional</t>
  </si>
  <si>
    <t>HIJ4</t>
  </si>
  <si>
    <t>2T2014</t>
  </si>
  <si>
    <t>3T2014</t>
  </si>
  <si>
    <t>4T2014</t>
  </si>
  <si>
    <t>1T2015</t>
  </si>
  <si>
    <t>2T2015</t>
  </si>
  <si>
    <t>3T2015</t>
  </si>
  <si>
    <t>4T2015</t>
  </si>
  <si>
    <t>1T2016</t>
  </si>
  <si>
    <t>2T2016</t>
  </si>
  <si>
    <t>3T2016</t>
  </si>
  <si>
    <t>4T2016</t>
  </si>
  <si>
    <t>1T2017</t>
  </si>
  <si>
    <t>2T2017</t>
  </si>
  <si>
    <t>3T2017</t>
  </si>
  <si>
    <t>Correlação</t>
  </si>
  <si>
    <t>Ativo 1</t>
  </si>
  <si>
    <t>Ativo 2</t>
  </si>
  <si>
    <t>Ativo 3</t>
  </si>
  <si>
    <t>Ativo 4</t>
  </si>
  <si>
    <t>Ativo 5</t>
  </si>
  <si>
    <t>Ativo 6</t>
  </si>
  <si>
    <t>Ativo 7</t>
  </si>
  <si>
    <t>Ativo 8</t>
  </si>
  <si>
    <t>Funcionário</t>
  </si>
  <si>
    <t>Idade</t>
  </si>
  <si>
    <t>Moda</t>
  </si>
  <si>
    <t>Variância amostral</t>
  </si>
  <si>
    <t>Variância populacional</t>
  </si>
  <si>
    <t>XYZ4</t>
  </si>
  <si>
    <t>STU4</t>
  </si>
  <si>
    <t>1T2010</t>
  </si>
  <si>
    <t>2T2010</t>
  </si>
  <si>
    <t>3T2010</t>
  </si>
  <si>
    <t>4T2010</t>
  </si>
  <si>
    <t>1T2011</t>
  </si>
  <si>
    <t>2T2011</t>
  </si>
  <si>
    <t>3T2011</t>
  </si>
  <si>
    <t>4T2011</t>
  </si>
  <si>
    <t>1T2012</t>
  </si>
  <si>
    <t>2T2012</t>
  </si>
  <si>
    <t>3T2012</t>
  </si>
  <si>
    <t>4T2012</t>
  </si>
  <si>
    <t>1T2013</t>
  </si>
  <si>
    <t>2T2013</t>
  </si>
  <si>
    <t>3T2013</t>
  </si>
  <si>
    <t>4T2013</t>
  </si>
  <si>
    <t>1T2014</t>
  </si>
  <si>
    <t>Covariação amostral</t>
  </si>
  <si>
    <t>Covariação populacional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</si>
</sst>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_-* #,##0.0_-;\-* #,##0.0_-;_-* &quot;-&quot;??_-;_-@"/>
    <numFmt numFmtId="166" formatCode="_-* #,##0.0_-;\-* #,##0.0_-;_-* &quot;-&quot;?_-;_-@"/>
    <numFmt numFmtId="167" formatCode="0.000"/>
    <numFmt numFmtId="168" formatCode="0.00000"/>
  </numFmts>
  <fonts count="4">
    <font>
      <sz val="11.0"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 shrinkToFit="0" vertical="center" wrapText="1"/>
    </xf>
    <xf borderId="2" fillId="0" fontId="1" numFmtId="10" xfId="0" applyAlignment="1" applyBorder="1" applyFont="1" applyNumberFormat="1">
      <alignment horizontal="center" shrinkToFit="0" vertical="center" wrapText="1"/>
    </xf>
    <xf borderId="3" fillId="0" fontId="1" numFmtId="14" xfId="0" applyAlignment="1" applyBorder="1" applyFont="1" applyNumberFormat="1">
      <alignment horizontal="center" shrinkToFit="0" vertical="center" wrapText="1"/>
    </xf>
    <xf borderId="4" fillId="0" fontId="1" numFmtId="10" xfId="0" applyAlignment="1" applyBorder="1" applyFont="1" applyNumberFormat="1">
      <alignment horizontal="center" shrinkToFit="0" vertical="center" wrapText="1"/>
    </xf>
    <xf borderId="5" fillId="0" fontId="1" numFmtId="14" xfId="0" applyAlignment="1" applyBorder="1" applyFont="1" applyNumberFormat="1">
      <alignment horizontal="center" shrinkToFit="0" vertical="center" wrapText="1"/>
    </xf>
    <xf borderId="6" fillId="0" fontId="1" numFmtId="10" xfId="0" applyAlignment="1" applyBorder="1" applyFont="1" applyNumberFormat="1">
      <alignment horizontal="center" shrinkToFit="0" vertical="center" wrapText="1"/>
    </xf>
    <xf borderId="0" fillId="0" fontId="2" numFmtId="0" xfId="0" applyFont="1"/>
    <xf borderId="0" fillId="0" fontId="3" numFmtId="10" xfId="0" applyFont="1" applyNumberFormat="1"/>
    <xf borderId="1" fillId="0" fontId="3" numFmtId="14" xfId="0" applyBorder="1" applyFont="1" applyNumberFormat="1"/>
    <xf borderId="2" fillId="0" fontId="3" numFmtId="0" xfId="0" applyBorder="1" applyFont="1"/>
    <xf borderId="3" fillId="0" fontId="3" numFmtId="14" xfId="0" applyBorder="1" applyFont="1" applyNumberFormat="1"/>
    <xf borderId="4" fillId="0" fontId="3" numFmtId="0" xfId="0" applyBorder="1" applyFont="1"/>
    <xf borderId="5" fillId="0" fontId="3" numFmtId="14" xfId="0" applyBorder="1" applyFont="1" applyNumberFormat="1"/>
    <xf borderId="6" fillId="0" fontId="3" numFmtId="0" xfId="0" applyBorder="1" applyFont="1"/>
    <xf borderId="1" fillId="0" fontId="3" numFmtId="0" xfId="0" applyBorder="1" applyFont="1"/>
    <xf borderId="7" fillId="0" fontId="3" numFmtId="0" xfId="0" applyBorder="1" applyFont="1"/>
    <xf borderId="3" fillId="0" fontId="3" numFmtId="0" xfId="0" applyBorder="1" applyFont="1"/>
    <xf borderId="8" fillId="0" fontId="3" numFmtId="0" xfId="0" applyBorder="1" applyFont="1"/>
    <xf borderId="4" fillId="0" fontId="3" numFmtId="9" xfId="0" applyBorder="1" applyFont="1" applyNumberFormat="1"/>
    <xf borderId="5" fillId="0" fontId="3" numFmtId="0" xfId="0" applyBorder="1" applyFont="1"/>
    <xf borderId="9" fillId="0" fontId="3" numFmtId="0" xfId="0" applyBorder="1" applyFont="1"/>
    <xf borderId="6" fillId="0" fontId="3" numFmtId="9" xfId="0" applyBorder="1" applyFont="1" applyNumberFormat="1"/>
    <xf borderId="0" fillId="0" fontId="3" numFmtId="2" xfId="0" applyFont="1" applyNumberFormat="1"/>
    <xf borderId="3" fillId="0" fontId="3" numFmtId="14" xfId="0" applyAlignment="1" applyBorder="1" applyFont="1" applyNumberFormat="1">
      <alignment horizontal="center"/>
    </xf>
    <xf borderId="4" fillId="0" fontId="3" numFmtId="10" xfId="0" applyAlignment="1" applyBorder="1" applyFont="1" applyNumberFormat="1">
      <alignment readingOrder="0"/>
    </xf>
    <xf borderId="4" fillId="0" fontId="3" numFmtId="10" xfId="0" applyBorder="1" applyFont="1" applyNumberFormat="1"/>
    <xf borderId="5" fillId="0" fontId="3" numFmtId="14" xfId="0" applyAlignment="1" applyBorder="1" applyFont="1" applyNumberFormat="1">
      <alignment horizontal="center"/>
    </xf>
    <xf borderId="6" fillId="0" fontId="3" numFmtId="10" xfId="0" applyAlignment="1" applyBorder="1" applyFont="1" applyNumberFormat="1">
      <alignment readingOrder="0"/>
    </xf>
    <xf borderId="0" fillId="0" fontId="2" numFmtId="164" xfId="0" applyFont="1" applyNumberFormat="1"/>
    <xf borderId="10" fillId="0" fontId="3" numFmtId="0" xfId="0" applyBorder="1" applyFont="1"/>
    <xf borderId="11" fillId="0" fontId="3" numFmtId="9" xfId="0" applyBorder="1" applyFont="1" applyNumberFormat="1"/>
    <xf borderId="12" fillId="0" fontId="3" numFmtId="9" xfId="0" applyBorder="1" applyFont="1" applyNumberFormat="1"/>
    <xf borderId="8" fillId="0" fontId="3" numFmtId="9" xfId="0" applyBorder="1" applyFont="1" applyNumberFormat="1"/>
    <xf borderId="9" fillId="0" fontId="3" numFmtId="9" xfId="0" applyBorder="1" applyFont="1" applyNumberFormat="1"/>
    <xf borderId="13" fillId="0" fontId="3" numFmtId="0" xfId="0" applyBorder="1" applyFont="1"/>
    <xf borderId="8" fillId="0" fontId="3" numFmtId="165" xfId="0" applyBorder="1" applyFont="1" applyNumberFormat="1"/>
    <xf borderId="0" fillId="0" fontId="3" numFmtId="166" xfId="0" applyFont="1" applyNumberForma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/>
    </xf>
    <xf borderId="4" fillId="0" fontId="3" numFmtId="2" xfId="0" applyBorder="1" applyFont="1" applyNumberFormat="1"/>
    <xf borderId="6" fillId="0" fontId="3" numFmtId="2" xfId="0" applyBorder="1" applyFont="1" applyNumberFormat="1"/>
    <xf borderId="0" fillId="0" fontId="3" numFmtId="167" xfId="0" applyFont="1" applyNumberForma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8.29"/>
    <col customWidth="1" min="3" max="26" width="8.71"/>
  </cols>
  <sheetData>
    <row r="1" ht="14.25" customHeight="1"/>
    <row r="2" ht="19.5" customHeight="1">
      <c r="A2" s="1">
        <v>44627.0</v>
      </c>
      <c r="B2" s="2">
        <v>0.0086</v>
      </c>
    </row>
    <row r="3" ht="19.5" customHeight="1">
      <c r="A3" s="3">
        <v>44628.0</v>
      </c>
      <c r="B3" s="4">
        <v>-0.0046</v>
      </c>
    </row>
    <row r="4" ht="19.5" customHeight="1">
      <c r="A4" s="3">
        <v>44629.0</v>
      </c>
      <c r="B4" s="4">
        <v>-0.0042</v>
      </c>
    </row>
    <row r="5" ht="19.5" customHeight="1">
      <c r="A5" s="3">
        <v>44630.0</v>
      </c>
      <c r="B5" s="4">
        <v>0.0012</v>
      </c>
    </row>
    <row r="6" ht="19.5" customHeight="1">
      <c r="A6" s="5">
        <v>44631.0</v>
      </c>
      <c r="B6" s="6">
        <v>0.0658</v>
      </c>
    </row>
    <row r="7" ht="14.25" customHeight="1">
      <c r="A7" s="7" t="s">
        <v>0</v>
      </c>
      <c r="B7" s="8">
        <f>AVERAGE(B2:B6)</f>
        <v>0.01336</v>
      </c>
    </row>
    <row r="8" ht="14.25" customHeight="1">
      <c r="A8" s="7" t="s">
        <v>1</v>
      </c>
      <c r="B8" s="8">
        <f>AVERAGE(B2:B5)</f>
        <v>0.00025</v>
      </c>
    </row>
    <row r="9" ht="14.25" customHeight="1">
      <c r="B9" s="8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6" width="8.71"/>
  </cols>
  <sheetData>
    <row r="1" ht="14.25" customHeight="1">
      <c r="A1" s="9">
        <v>44044.0</v>
      </c>
      <c r="B1" s="10">
        <v>29.52</v>
      </c>
    </row>
    <row r="2" ht="14.25" customHeight="1">
      <c r="A2" s="11">
        <v>44045.0</v>
      </c>
      <c r="B2" s="12">
        <v>30.22</v>
      </c>
    </row>
    <row r="3" ht="14.25" customHeight="1">
      <c r="A3" s="11">
        <v>44046.0</v>
      </c>
      <c r="B3" s="12">
        <v>30.32</v>
      </c>
    </row>
    <row r="4" ht="14.25" customHeight="1">
      <c r="A4" s="11">
        <v>44047.0</v>
      </c>
      <c r="B4" s="12">
        <v>29.83</v>
      </c>
    </row>
    <row r="5" ht="14.25" customHeight="1">
      <c r="A5" s="11">
        <v>44048.0</v>
      </c>
      <c r="B5" s="12">
        <v>28.39</v>
      </c>
    </row>
    <row r="6" ht="14.25" customHeight="1">
      <c r="A6" s="11">
        <v>44051.0</v>
      </c>
      <c r="B6" s="12">
        <v>27.86</v>
      </c>
    </row>
    <row r="7" ht="14.25" customHeight="1">
      <c r="A7" s="11">
        <v>44052.0</v>
      </c>
      <c r="B7" s="12">
        <v>27.56</v>
      </c>
    </row>
    <row r="8" ht="14.25" customHeight="1">
      <c r="A8" s="11">
        <v>44053.0</v>
      </c>
      <c r="B8" s="12">
        <v>27.55</v>
      </c>
    </row>
    <row r="9" ht="14.25" customHeight="1">
      <c r="A9" s="11">
        <v>44054.0</v>
      </c>
      <c r="B9" s="12">
        <v>27.43</v>
      </c>
    </row>
    <row r="10" ht="14.25" customHeight="1">
      <c r="A10" s="11">
        <v>44055.0</v>
      </c>
      <c r="B10" s="12">
        <v>31.71</v>
      </c>
    </row>
    <row r="11" ht="14.25" customHeight="1">
      <c r="A11" s="13">
        <v>44058.0</v>
      </c>
      <c r="B11" s="14">
        <v>31.72</v>
      </c>
    </row>
    <row r="12" ht="14.25" customHeight="1">
      <c r="A12" s="7" t="s">
        <v>2</v>
      </c>
      <c r="B12" s="7">
        <f>MEDIAN(B1:B11)</f>
        <v>29.52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5.29"/>
    <col customWidth="1" min="4" max="26" width="8.71"/>
  </cols>
  <sheetData>
    <row r="1" ht="14.25" customHeight="1">
      <c r="A1" s="15"/>
      <c r="B1" s="16" t="s">
        <v>3</v>
      </c>
      <c r="C1" s="10" t="s">
        <v>4</v>
      </c>
    </row>
    <row r="2" ht="14.25" customHeight="1">
      <c r="A2" s="17" t="s">
        <v>5</v>
      </c>
      <c r="B2" s="18">
        <v>1.18</v>
      </c>
      <c r="C2" s="19">
        <v>0.25</v>
      </c>
    </row>
    <row r="3" ht="14.25" customHeight="1">
      <c r="A3" s="17" t="s">
        <v>6</v>
      </c>
      <c r="B3" s="18">
        <v>-0.56</v>
      </c>
      <c r="C3" s="19">
        <v>0.35</v>
      </c>
    </row>
    <row r="4" ht="14.25" customHeight="1">
      <c r="A4" s="17" t="s">
        <v>7</v>
      </c>
      <c r="B4" s="18">
        <v>0.82</v>
      </c>
      <c r="C4" s="19">
        <v>0.1</v>
      </c>
    </row>
    <row r="5" ht="14.25" customHeight="1">
      <c r="A5" s="20" t="s">
        <v>8</v>
      </c>
      <c r="B5" s="21">
        <v>0.04</v>
      </c>
      <c r="C5" s="22">
        <v>0.3</v>
      </c>
    </row>
    <row r="6" ht="14.25" customHeight="1">
      <c r="B6" s="7" t="s">
        <v>9</v>
      </c>
      <c r="C6" s="23">
        <f>SUMPRODUCT(B2:B5,C2:C5)</f>
        <v>0.193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4.43"/>
    <col customWidth="1" min="3" max="26" width="8.71"/>
  </cols>
  <sheetData>
    <row r="1" ht="14.25" customHeight="1">
      <c r="A1" s="24">
        <v>42598.0</v>
      </c>
      <c r="B1" s="25">
        <v>-0.0024</v>
      </c>
    </row>
    <row r="2" ht="14.25" customHeight="1">
      <c r="A2" s="24">
        <v>42599.0</v>
      </c>
      <c r="B2" s="26">
        <v>0.0</v>
      </c>
    </row>
    <row r="3" ht="14.25" customHeight="1">
      <c r="A3" s="24">
        <v>42600.0</v>
      </c>
      <c r="B3" s="25">
        <v>0.0215</v>
      </c>
    </row>
    <row r="4" ht="14.25" customHeight="1">
      <c r="A4" s="24">
        <v>42601.0</v>
      </c>
      <c r="B4" s="25">
        <v>-0.0086</v>
      </c>
    </row>
    <row r="5" ht="14.25" customHeight="1">
      <c r="A5" s="24">
        <v>42604.0</v>
      </c>
      <c r="B5" s="25">
        <v>0.0016</v>
      </c>
    </row>
    <row r="6" ht="14.25" customHeight="1">
      <c r="A6" s="24">
        <v>42605.0</v>
      </c>
      <c r="B6" s="25">
        <v>-0.0408</v>
      </c>
    </row>
    <row r="7" ht="14.25" customHeight="1">
      <c r="A7" s="24">
        <v>42606.0</v>
      </c>
      <c r="B7" s="25">
        <v>0.0147</v>
      </c>
    </row>
    <row r="8" ht="14.25" customHeight="1">
      <c r="A8" s="27">
        <v>42607.0</v>
      </c>
      <c r="B8" s="28">
        <v>0.0242</v>
      </c>
    </row>
    <row r="9" ht="14.25" customHeight="1">
      <c r="A9" s="7" t="s">
        <v>10</v>
      </c>
      <c r="B9" s="29">
        <f>_xlfn.STDEV.S(B1:B8)</f>
        <v>0.02069470257</v>
      </c>
    </row>
    <row r="10" ht="14.25" customHeight="1">
      <c r="A10" s="7" t="s">
        <v>11</v>
      </c>
      <c r="B10" s="29">
        <f>_xlfn.STDEV.P(B1:B8)</f>
        <v>0.01935812168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5"/>
      <c r="B1" s="16" t="s">
        <v>5</v>
      </c>
      <c r="C1" s="10" t="s">
        <v>12</v>
      </c>
    </row>
    <row r="2" ht="14.25" customHeight="1">
      <c r="A2" s="30" t="s">
        <v>13</v>
      </c>
      <c r="B2" s="31">
        <v>-0.06307936436015071</v>
      </c>
      <c r="C2" s="32">
        <v>0.038703486555956124</v>
      </c>
    </row>
    <row r="3" ht="14.25" customHeight="1">
      <c r="A3" s="17" t="s">
        <v>14</v>
      </c>
      <c r="B3" s="33">
        <v>0.027756843408813126</v>
      </c>
      <c r="C3" s="19">
        <v>0.07075523963593744</v>
      </c>
    </row>
    <row r="4" ht="14.25" customHeight="1">
      <c r="A4" s="17" t="s">
        <v>15</v>
      </c>
      <c r="B4" s="33">
        <v>0.03386018109706623</v>
      </c>
      <c r="C4" s="19">
        <v>0.02282039671129743</v>
      </c>
    </row>
    <row r="5" ht="14.25" customHeight="1">
      <c r="A5" s="17" t="s">
        <v>16</v>
      </c>
      <c r="B5" s="33">
        <v>0.14977967526564862</v>
      </c>
      <c r="C5" s="19">
        <v>0.047181879837828955</v>
      </c>
    </row>
    <row r="6" ht="14.25" customHeight="1">
      <c r="A6" s="17" t="s">
        <v>17</v>
      </c>
      <c r="B6" s="33">
        <v>0.040847445974791174</v>
      </c>
      <c r="C6" s="19">
        <v>-0.02965599735224511</v>
      </c>
    </row>
    <row r="7" ht="14.25" customHeight="1">
      <c r="A7" s="17" t="s">
        <v>18</v>
      </c>
      <c r="B7" s="33">
        <v>0.02459118719241693</v>
      </c>
      <c r="C7" s="19">
        <v>-0.13575321823265984</v>
      </c>
    </row>
    <row r="8" ht="14.25" customHeight="1">
      <c r="A8" s="17" t="s">
        <v>19</v>
      </c>
      <c r="B8" s="33">
        <v>-0.0731204944010837</v>
      </c>
      <c r="C8" s="19">
        <v>0.002057437232341197</v>
      </c>
    </row>
    <row r="9" ht="14.25" customHeight="1">
      <c r="A9" s="17" t="s">
        <v>20</v>
      </c>
      <c r="B9" s="33">
        <v>0.061738629675653245</v>
      </c>
      <c r="C9" s="19">
        <v>0.21982698701326964</v>
      </c>
    </row>
    <row r="10" ht="14.25" customHeight="1">
      <c r="A10" s="17" t="s">
        <v>21</v>
      </c>
      <c r="B10" s="33">
        <v>0.012221041408256417</v>
      </c>
      <c r="C10" s="19">
        <v>-0.027745017519917536</v>
      </c>
    </row>
    <row r="11" ht="14.25" customHeight="1">
      <c r="A11" s="17" t="s">
        <v>22</v>
      </c>
      <c r="B11" s="33">
        <v>0.047438867787769956</v>
      </c>
      <c r="C11" s="19">
        <v>0.18704830985537702</v>
      </c>
    </row>
    <row r="12" ht="14.25" customHeight="1">
      <c r="A12" s="17" t="s">
        <v>23</v>
      </c>
      <c r="B12" s="33">
        <v>-0.1540723614469025</v>
      </c>
      <c r="C12" s="19">
        <v>0.06524778646120777</v>
      </c>
    </row>
    <row r="13" ht="14.25" customHeight="1">
      <c r="A13" s="17" t="s">
        <v>24</v>
      </c>
      <c r="B13" s="33">
        <v>0.1167031508705838</v>
      </c>
      <c r="C13" s="19">
        <v>0.14260133455293467</v>
      </c>
    </row>
    <row r="14" ht="14.25" customHeight="1">
      <c r="A14" s="17" t="s">
        <v>25</v>
      </c>
      <c r="B14" s="33">
        <v>0.012721238945260005</v>
      </c>
      <c r="C14" s="19">
        <v>-0.029178693984378</v>
      </c>
    </row>
    <row r="15" ht="14.25" customHeight="1">
      <c r="A15" s="20" t="s">
        <v>26</v>
      </c>
      <c r="B15" s="34">
        <v>0.14909885310018467</v>
      </c>
      <c r="C15" s="22">
        <v>0.19289809439581718</v>
      </c>
    </row>
    <row r="16" ht="14.25" customHeight="1">
      <c r="A16" s="35" t="s">
        <v>27</v>
      </c>
      <c r="B16" s="7">
        <f>CORREL(B2:B15,C2:C15)</f>
        <v>0.3498113329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8" t="s">
        <v>28</v>
      </c>
      <c r="B1" s="36">
        <v>17.763561988</v>
      </c>
    </row>
    <row r="2" ht="14.25" customHeight="1">
      <c r="A2" s="18" t="s">
        <v>29</v>
      </c>
      <c r="B2" s="36">
        <v>11.919015263</v>
      </c>
    </row>
    <row r="3" ht="14.25" customHeight="1">
      <c r="A3" s="18" t="s">
        <v>30</v>
      </c>
      <c r="B3" s="36">
        <v>5.247026331</v>
      </c>
    </row>
    <row r="4" ht="14.25" customHeight="1">
      <c r="A4" s="18" t="s">
        <v>31</v>
      </c>
      <c r="B4" s="36">
        <v>14.250869065</v>
      </c>
    </row>
    <row r="5" ht="14.25" customHeight="1">
      <c r="A5" s="18" t="s">
        <v>32</v>
      </c>
      <c r="B5" s="36">
        <v>-2.0120665101</v>
      </c>
    </row>
    <row r="6" ht="14.25" customHeight="1">
      <c r="A6" s="18" t="s">
        <v>33</v>
      </c>
      <c r="B6" s="36">
        <v>15.967481063</v>
      </c>
    </row>
    <row r="7" ht="14.25" customHeight="1">
      <c r="A7" s="18" t="s">
        <v>34</v>
      </c>
      <c r="B7" s="36">
        <v>7.8986814488</v>
      </c>
    </row>
    <row r="8" ht="14.25" customHeight="1">
      <c r="A8" s="18" t="s">
        <v>35</v>
      </c>
      <c r="B8" s="36">
        <v>4.3466101376</v>
      </c>
      <c r="D8" s="37">
        <f>B1-B5</f>
        <v>19.7756285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6" width="8.71"/>
  </cols>
  <sheetData>
    <row r="1" ht="14.25" customHeight="1">
      <c r="A1" s="38" t="s">
        <v>36</v>
      </c>
      <c r="B1" s="39" t="s">
        <v>37</v>
      </c>
    </row>
    <row r="2" ht="14.25" customHeight="1">
      <c r="A2" s="40">
        <v>1.0</v>
      </c>
      <c r="B2" s="12">
        <v>18.0</v>
      </c>
    </row>
    <row r="3" ht="14.25" customHeight="1">
      <c r="A3" s="40">
        <v>2.0</v>
      </c>
      <c r="B3" s="12">
        <v>46.0</v>
      </c>
    </row>
    <row r="4" ht="14.25" customHeight="1">
      <c r="A4" s="40">
        <v>3.0</v>
      </c>
      <c r="B4" s="12">
        <v>32.0</v>
      </c>
    </row>
    <row r="5" ht="14.25" customHeight="1">
      <c r="A5" s="40">
        <v>4.0</v>
      </c>
      <c r="B5" s="12">
        <v>28.0</v>
      </c>
    </row>
    <row r="6" ht="14.25" customHeight="1">
      <c r="A6" s="40">
        <v>5.0</v>
      </c>
      <c r="B6" s="12">
        <v>27.0</v>
      </c>
    </row>
    <row r="7" ht="14.25" customHeight="1">
      <c r="A7" s="40">
        <v>6.0</v>
      </c>
      <c r="B7" s="12">
        <v>23.0</v>
      </c>
    </row>
    <row r="8" ht="14.25" customHeight="1">
      <c r="A8" s="40">
        <v>7.0</v>
      </c>
      <c r="B8" s="12">
        <v>31.0</v>
      </c>
    </row>
    <row r="9" ht="14.25" customHeight="1">
      <c r="A9" s="40">
        <v>8.0</v>
      </c>
      <c r="B9" s="12">
        <v>32.0</v>
      </c>
    </row>
    <row r="10" ht="14.25" customHeight="1">
      <c r="A10" s="40">
        <v>9.0</v>
      </c>
      <c r="B10" s="12">
        <v>19.0</v>
      </c>
    </row>
    <row r="11" ht="14.25" customHeight="1">
      <c r="A11" s="40">
        <v>10.0</v>
      </c>
      <c r="B11" s="12">
        <v>22.0</v>
      </c>
    </row>
    <row r="12" ht="14.25" customHeight="1">
      <c r="A12" s="40">
        <v>11.0</v>
      </c>
      <c r="B12" s="12">
        <v>32.0</v>
      </c>
    </row>
    <row r="13" ht="14.25" customHeight="1">
      <c r="A13" s="40">
        <v>12.0</v>
      </c>
      <c r="B13" s="12">
        <v>30.0</v>
      </c>
    </row>
    <row r="14" ht="14.25" customHeight="1">
      <c r="A14" s="40">
        <v>13.0</v>
      </c>
      <c r="B14" s="12">
        <v>26.0</v>
      </c>
    </row>
    <row r="15" ht="14.25" customHeight="1">
      <c r="A15" s="41">
        <v>14.0</v>
      </c>
      <c r="B15" s="14">
        <v>25.0</v>
      </c>
    </row>
    <row r="16" ht="14.25" customHeight="1">
      <c r="A16" s="7" t="s">
        <v>38</v>
      </c>
      <c r="B16" s="7">
        <f>MODE(B2:B15)</f>
        <v>32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6" width="8.71"/>
  </cols>
  <sheetData>
    <row r="1" ht="14.25" customHeight="1">
      <c r="A1" s="24">
        <v>42598.0</v>
      </c>
      <c r="B1" s="42">
        <v>-1.18</v>
      </c>
    </row>
    <row r="2" ht="14.25" customHeight="1">
      <c r="A2" s="24">
        <v>42599.0</v>
      </c>
      <c r="B2" s="42">
        <v>0.45</v>
      </c>
    </row>
    <row r="3" ht="14.25" customHeight="1">
      <c r="A3" s="24">
        <v>42600.0</v>
      </c>
      <c r="B3" s="42">
        <v>0.32</v>
      </c>
    </row>
    <row r="4" ht="14.25" customHeight="1">
      <c r="A4" s="24">
        <v>42601.0</v>
      </c>
      <c r="B4" s="42">
        <v>0.02</v>
      </c>
    </row>
    <row r="5" ht="14.25" customHeight="1">
      <c r="A5" s="24">
        <v>42604.0</v>
      </c>
      <c r="B5" s="42">
        <v>-0.17</v>
      </c>
    </row>
    <row r="6" ht="14.25" customHeight="1">
      <c r="A6" s="24">
        <v>42605.0</v>
      </c>
      <c r="B6" s="42">
        <v>-0.040784313725490184</v>
      </c>
    </row>
    <row r="7" ht="14.25" customHeight="1">
      <c r="A7" s="24">
        <v>42606.0</v>
      </c>
      <c r="B7" s="42">
        <v>0.83</v>
      </c>
    </row>
    <row r="8" ht="14.25" customHeight="1">
      <c r="A8" s="27">
        <v>42607.0</v>
      </c>
      <c r="B8" s="43">
        <v>0.22</v>
      </c>
    </row>
    <row r="9" ht="14.25" customHeight="1">
      <c r="A9" s="7" t="s">
        <v>39</v>
      </c>
      <c r="B9" s="44">
        <f>_xlfn.VAR.S(B1:B8)</f>
        <v>0.3486198598</v>
      </c>
    </row>
    <row r="10" ht="14.25" customHeight="1">
      <c r="A10" s="7" t="s">
        <v>40</v>
      </c>
      <c r="B10" s="44">
        <f>_xlfn.VAR.P(B1:B8)</f>
        <v>0.3050423773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6" width="8.71"/>
  </cols>
  <sheetData>
    <row r="1" ht="14.25" customHeight="1">
      <c r="A1" s="45"/>
      <c r="B1" s="46" t="s">
        <v>41</v>
      </c>
      <c r="C1" s="47" t="s">
        <v>42</v>
      </c>
    </row>
    <row r="2" ht="14.25" customHeight="1">
      <c r="A2" s="17" t="s">
        <v>43</v>
      </c>
      <c r="B2" s="33">
        <v>-0.05428554540694408</v>
      </c>
      <c r="C2" s="19">
        <v>0.024172822680355255</v>
      </c>
    </row>
    <row r="3" ht="14.25" customHeight="1">
      <c r="A3" s="17" t="s">
        <v>44</v>
      </c>
      <c r="B3" s="33">
        <v>0.13018908933190532</v>
      </c>
      <c r="C3" s="19">
        <v>-0.16585629462850227</v>
      </c>
    </row>
    <row r="4" ht="14.25" customHeight="1">
      <c r="A4" s="17" t="s">
        <v>45</v>
      </c>
      <c r="B4" s="33">
        <v>0.12858818056999177</v>
      </c>
      <c r="C4" s="19">
        <v>0.2545339073770889</v>
      </c>
    </row>
    <row r="5" ht="14.25" customHeight="1">
      <c r="A5" s="17" t="s">
        <v>46</v>
      </c>
      <c r="B5" s="33">
        <v>0.2741843632555001</v>
      </c>
      <c r="C5" s="19">
        <v>-0.015925621520880617</v>
      </c>
    </row>
    <row r="6" ht="14.25" customHeight="1">
      <c r="A6" s="17" t="s">
        <v>47</v>
      </c>
      <c r="B6" s="33">
        <v>-0.09299038971306484</v>
      </c>
      <c r="C6" s="19">
        <v>-0.005943155619405394</v>
      </c>
    </row>
    <row r="7" ht="14.25" customHeight="1">
      <c r="A7" s="17" t="s">
        <v>48</v>
      </c>
      <c r="B7" s="33">
        <v>0.10871856409387148</v>
      </c>
      <c r="C7" s="19">
        <v>-0.06207555411876653</v>
      </c>
    </row>
    <row r="8" ht="14.25" customHeight="1">
      <c r="A8" s="17" t="s">
        <v>49</v>
      </c>
      <c r="B8" s="33">
        <v>0.07932410231699571</v>
      </c>
      <c r="C8" s="19">
        <v>-0.19413124100291312</v>
      </c>
    </row>
    <row r="9" ht="14.25" customHeight="1">
      <c r="A9" s="17" t="s">
        <v>50</v>
      </c>
      <c r="B9" s="33">
        <v>0.20615003976597523</v>
      </c>
      <c r="C9" s="19">
        <v>0.1812661369193007</v>
      </c>
    </row>
    <row r="10" ht="14.25" customHeight="1">
      <c r="A10" s="17" t="s">
        <v>51</v>
      </c>
      <c r="B10" s="33">
        <v>0.16898507839399812</v>
      </c>
      <c r="C10" s="19">
        <v>0.040567904989424974</v>
      </c>
    </row>
    <row r="11" ht="14.25" customHeight="1">
      <c r="A11" s="17" t="s">
        <v>52</v>
      </c>
      <c r="B11" s="33">
        <v>0.009775280301390632</v>
      </c>
      <c r="C11" s="19">
        <v>-0.1889259722083212</v>
      </c>
    </row>
    <row r="12" ht="14.25" customHeight="1">
      <c r="A12" s="17" t="s">
        <v>53</v>
      </c>
      <c r="B12" s="33">
        <v>0.01789107025319714</v>
      </c>
      <c r="C12" s="19">
        <v>0.09228807454612675</v>
      </c>
    </row>
    <row r="13" ht="14.25" customHeight="1">
      <c r="A13" s="17" t="s">
        <v>54</v>
      </c>
      <c r="B13" s="33">
        <v>0.3272983397438176</v>
      </c>
      <c r="C13" s="19">
        <v>0.10313293667775736</v>
      </c>
    </row>
    <row r="14" ht="14.25" customHeight="1">
      <c r="A14" s="17" t="s">
        <v>55</v>
      </c>
      <c r="B14" s="33">
        <v>-0.004625474532606866</v>
      </c>
      <c r="C14" s="19">
        <v>0.09106745484412637</v>
      </c>
    </row>
    <row r="15" ht="14.25" customHeight="1">
      <c r="A15" s="17" t="s">
        <v>56</v>
      </c>
      <c r="B15" s="33">
        <v>-0.0012094823496912044</v>
      </c>
      <c r="C15" s="19">
        <v>-0.11950570296383478</v>
      </c>
    </row>
    <row r="16" ht="14.25" customHeight="1">
      <c r="A16" s="17" t="s">
        <v>57</v>
      </c>
      <c r="B16" s="33">
        <v>0.03337990322340123</v>
      </c>
      <c r="C16" s="19">
        <v>0.10587075962057035</v>
      </c>
    </row>
    <row r="17" ht="14.25" customHeight="1">
      <c r="A17" s="17" t="s">
        <v>58</v>
      </c>
      <c r="B17" s="33">
        <v>0.022673594670577613</v>
      </c>
      <c r="C17" s="19">
        <v>0.00434668034386787</v>
      </c>
    </row>
    <row r="18" ht="14.25" customHeight="1">
      <c r="A18" s="17" t="s">
        <v>59</v>
      </c>
      <c r="B18" s="33">
        <v>-0.006737151042748635</v>
      </c>
      <c r="C18" s="19">
        <v>0.10145176713298198</v>
      </c>
    </row>
    <row r="19" ht="14.25" customHeight="1">
      <c r="A19" s="17" t="s">
        <v>13</v>
      </c>
      <c r="B19" s="33">
        <v>-0.06307936436015071</v>
      </c>
      <c r="C19" s="19">
        <v>0.038703486555956124</v>
      </c>
    </row>
    <row r="20" ht="14.25" customHeight="1">
      <c r="A20" s="17" t="s">
        <v>14</v>
      </c>
      <c r="B20" s="33">
        <v>0.027756843408813126</v>
      </c>
      <c r="C20" s="19">
        <v>0.07075523963593744</v>
      </c>
    </row>
    <row r="21" ht="14.25" customHeight="1">
      <c r="A21" s="20" t="s">
        <v>15</v>
      </c>
      <c r="B21" s="34">
        <v>0.03386018109706623</v>
      </c>
      <c r="C21" s="22">
        <v>0.02282039671129743</v>
      </c>
    </row>
    <row r="22" ht="14.25" customHeight="1">
      <c r="A22" s="48" t="s">
        <v>60</v>
      </c>
      <c r="B22" s="7">
        <f>_xlfn.COVARIANCE.S(B2:B21,C2:C21)</f>
        <v>0.002059783734</v>
      </c>
    </row>
    <row r="23" ht="14.25" customHeight="1">
      <c r="A23" s="48" t="s">
        <v>61</v>
      </c>
      <c r="B23" s="49">
        <f>_xlfn.COVARIANCE.P(B2:B21,C2:C21)</f>
        <v>0.001956794547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orientation="landscape"/>
  <drawing r:id="rId1"/>
</worksheet>
</file>