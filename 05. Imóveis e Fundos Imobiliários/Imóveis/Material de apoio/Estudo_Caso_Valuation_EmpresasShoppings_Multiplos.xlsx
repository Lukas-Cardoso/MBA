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defaultThemeVersion="166925"/>
  <mc:AlternateContent xmlns:mc="http://schemas.openxmlformats.org/markup-compatibility/2006">
    <mc:Choice Requires="x15">
      <x15ac:absPath xmlns:x15ac="http://schemas.microsoft.com/office/spreadsheetml/2010/11/ac" url="C:\Users\FelipeVaz\Desktop\Pessoal\Cursos\Primo Rico\MBA_Value_Investing_Barsi\Estudos de Caso_Valuation\"/>
    </mc:Choice>
  </mc:AlternateContent>
  <xr:revisionPtr revIDLastSave="0" documentId="13_ncr:1_{A96D3D68-0C1B-4DAE-848D-7BCCC156EF91}" xr6:coauthVersionLast="47" xr6:coauthVersionMax="47" xr10:uidLastSave="{00000000-0000-0000-0000-000000000000}"/>
  <bookViews>
    <workbookView xWindow="-120" yWindow="-120" windowWidth="29040" windowHeight="15720" tabRatio="642" xr2:uid="{DDBE46DD-4D57-47B8-9FE3-01B0E9EAC36C}"/>
  </bookViews>
  <sheets>
    <sheet name="Multiplos_EmpresasShoppings" sheetId="8" r:id="rId1"/>
  </sheets>
  <definedNames>
    <definedName name="_Regression_Int">1</definedName>
    <definedName name="_xlnm.Print_Area" localSheetId="0">Multiplos_EmpresasShoppings!$C$2:$M$106</definedName>
    <definedName name="AS2DocOpenMode">"AS2DocumentEdit"</definedName>
    <definedName name="Caixa_equivalentes">#REF!</definedName>
    <definedName name="CIQWBGuid">"f21cbaa1-9147-4f87-a771-8140be45a2cb"</definedName>
    <definedName name="Custo_Fundo_DCF">#REF!</definedName>
    <definedName name="Dívida">#REF!</definedName>
    <definedName name="Equity_Value_DCF">#REF!</definedName>
    <definedName name="Feriados_BR">#REF!</definedName>
    <definedName name="Investimentos">#REF!</definedName>
    <definedName name="IQ_ADDIN">"AUTO"</definedName>
    <definedName name="IQ_CH">110000</definedName>
    <definedName name="IQ_CQ">5000</definedName>
    <definedName name="IQ_CY">10000</definedName>
    <definedName name="IQ_DAILY">500000</definedName>
    <definedName name="IQ_DNTM">700000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"04/14/2015 23:18:01"</definedName>
    <definedName name="IQ_NTM">6000</definedName>
    <definedName name="IQ_QTD">750000</definedName>
    <definedName name="IQ_TODAY">0</definedName>
    <definedName name="IQ_WEEK">50000</definedName>
    <definedName name="IQ_YTD">3000</definedName>
    <definedName name="IQ_YTDMONTH">130000</definedName>
    <definedName name="Outros_Passivos">#REF!</definedName>
    <definedName name="Part_Minoritárias">#REF!</definedName>
    <definedName name="Patrimônio_Líquido">#REF!</definedName>
    <definedName name="Propriedades">#REF!</definedName>
    <definedName name="Rec_Financeira_DCF">#REF!</definedName>
    <definedName name="Recebiveis">#REF!</definedName>
    <definedName name="Recebíveis">#REF!</definedName>
    <definedName name="TOTAL_Ativos">#REF!</definedName>
    <definedName name="TOTAL_PassivoPL">#REF!</definedName>
    <definedName name="Valor_do_Ativo_DCF">#REF!</definedName>
    <definedName name="ValordoAtivo_DCF">#REF!</definedName>
  </definedNames>
  <calcPr calcId="191028"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0" i="8" l="1"/>
  <c r="M49" i="8"/>
  <c r="M48" i="8"/>
  <c r="M47" i="8"/>
  <c r="M46" i="8"/>
  <c r="M43" i="8"/>
  <c r="M42" i="8"/>
  <c r="M41" i="8"/>
  <c r="M40" i="8"/>
  <c r="M39" i="8"/>
  <c r="M36" i="8"/>
  <c r="M35" i="8"/>
  <c r="M34" i="8"/>
  <c r="M33" i="8"/>
  <c r="M32" i="8"/>
  <c r="K36" i="8"/>
  <c r="K35" i="8"/>
  <c r="K34" i="8"/>
  <c r="K33" i="8"/>
  <c r="K32" i="8"/>
  <c r="K50" i="8"/>
  <c r="K49" i="8"/>
  <c r="K48" i="8"/>
  <c r="K47" i="8"/>
  <c r="K46" i="8"/>
  <c r="K43" i="8"/>
  <c r="K42" i="8"/>
  <c r="K41" i="8"/>
  <c r="K40" i="8"/>
  <c r="K39" i="8"/>
  <c r="E36" i="8"/>
  <c r="E35" i="8"/>
  <c r="E34" i="8"/>
  <c r="E33" i="8"/>
  <c r="E32" i="8"/>
  <c r="G36" i="8"/>
  <c r="G35" i="8"/>
  <c r="G34" i="8"/>
  <c r="G33" i="8"/>
  <c r="G32" i="8"/>
  <c r="I36" i="8"/>
  <c r="I35" i="8"/>
  <c r="I34" i="8"/>
  <c r="I33" i="8"/>
  <c r="I32" i="8"/>
  <c r="I50" i="8"/>
  <c r="I49" i="8"/>
  <c r="I48" i="8"/>
  <c r="I47" i="8"/>
  <c r="I46" i="8"/>
  <c r="G50" i="8"/>
  <c r="G49" i="8"/>
  <c r="G48" i="8"/>
  <c r="G47" i="8"/>
  <c r="G46" i="8"/>
  <c r="E50" i="8"/>
  <c r="E49" i="8"/>
  <c r="E48" i="8"/>
  <c r="E47" i="8"/>
  <c r="E46" i="8"/>
  <c r="I43" i="8"/>
  <c r="I42" i="8"/>
  <c r="I41" i="8"/>
  <c r="I40" i="8"/>
  <c r="I39" i="8"/>
  <c r="G43" i="8"/>
  <c r="G42" i="8"/>
  <c r="G41" i="8"/>
  <c r="G40" i="8"/>
  <c r="G39" i="8"/>
  <c r="E43" i="8"/>
  <c r="E42" i="8"/>
  <c r="E41" i="8"/>
  <c r="E40" i="8"/>
  <c r="E3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tc={4E3009A7-9F9E-4185-B5AB-80E7E3ACC788}</author>
    <author>tc={D145A811-7C3A-4921-989E-DF940BCF16E2}</author>
    <author>tc={26B1BB4F-0897-4988-838A-0516DABE2C2B}</author>
    <author>tc={77F0B1AF-512B-40AB-A439-BD8A31316B9F}</author>
    <author>tc={7F66E94D-7A7E-49F2-A371-0B174F569D66}</author>
    <author>tc={C57506D0-4F4A-463D-95D2-2C25F374B1E8}</author>
    <author>tc={D3636E5D-A965-41C7-8004-48D47CCF20FE}</author>
    <author>tc={6DCE875D-9366-4A98-B508-D974DCD15AE5}</author>
    <author>tc={12AD8CEA-F508-4CD6-A12D-EA751C163237}</author>
    <author>tc={5F37113A-7328-4F29-999F-D6316CE02985}</author>
  </authors>
  <commentList>
    <comment ref="J62" authorId="0" shapeId="0" xr:uid="{4E3009A7-9F9E-4185-B5AB-80E7E3ACC788}">
      <text>
        <t>[Comentário encadeado]
Sua versão do Excel permite que você leia este comentário encadeado, no entanto, as edições serão removidas se o arquivo for aberto em uma versão mais recente do Excel. Saiba mais: https://go.microsoft.com/fwlink/?linkid=870924
Comentário:
    Estava antes o máximo</t>
      </text>
    </comment>
    <comment ref="L62" authorId="1" shapeId="0" xr:uid="{D145A811-7C3A-4921-989E-DF940BCF16E2}">
      <text>
        <t>[Comentário encadeado]
Sua versão do Excel permite que você leia este comentário encadeado, no entanto, as edições serão removidas se o arquivo for aberto em uma versão mais recente do Excel. Saiba mais: https://go.microsoft.com/fwlink/?linkid=870924
Comentário:
    Estava antes a média entre mediana e maximo</t>
      </text>
    </comment>
    <comment ref="J63" authorId="2" shapeId="0" xr:uid="{26B1BB4F-0897-4988-838A-0516DABE2C2B}">
      <text>
        <t>[Comentário encadeado]
Sua versão do Excel permite que você leia este comentário encadeado, no entanto, as edições serão removidas se o arquivo for aberto em uma versão mais recente do Excel. Saiba mais: https://go.microsoft.com/fwlink/?linkid=870924
Comentário:
    Estava antes o máximo</t>
      </text>
    </comment>
    <comment ref="L68" authorId="3" shapeId="0" xr:uid="{77F0B1AF-512B-40AB-A439-BD8A31316B9F}">
      <text>
        <t>[Comentário encadeado]
Sua versão do Excel permite que você leia este comentário encadeado, no entanto, as edições serão removidas se o arquivo for aberto em uma versão mais recente do Excel. Saiba mais: https://go.microsoft.com/fwlink/?linkid=870924
Comentário:
    Estava antes a média entre mediana e maximo</t>
      </text>
    </comment>
    <comment ref="D74" authorId="4" shapeId="0" xr:uid="{7F66E94D-7A7E-49F2-A371-0B174F569D66}">
      <text>
        <t>[Comentário encadeado]
Sua versão do Excel permite que você leia este comentário encadeado, no entanto, as edições serão removidas se o arquivo for aberto em uma versão mais recente do Excel. Saiba mais: https://go.microsoft.com/fwlink/?linkid=870924
Comentário:
    Estava antes a mediana</t>
      </text>
    </comment>
    <comment ref="L74" authorId="5" shapeId="0" xr:uid="{C57506D0-4F4A-463D-95D2-2C25F374B1E8}">
      <text>
        <t>[Comentário encadeado]
Sua versão do Excel permite que você leia este comentário encadeado, no entanto, as edições serão removidas se o arquivo for aberto em uma versão mais recente do Excel. Saiba mais: https://go.microsoft.com/fwlink/?linkid=870924
Comentário:
    Estava antes o maximo</t>
      </text>
    </comment>
    <comment ref="D75" authorId="6" shapeId="0" xr:uid="{D3636E5D-A965-41C7-8004-48D47CCF20FE}">
      <text>
        <t>[Comentário encadeado]
Sua versão do Excel permite que você leia este comentário encadeado, no entanto, as edições serão removidas se o arquivo for aberto em uma versão mais recente do Excel. Saiba mais: https://go.microsoft.com/fwlink/?linkid=870924
Comentário:
    Estava antes a mediana</t>
      </text>
    </comment>
    <comment ref="D79" authorId="7" shapeId="0" xr:uid="{6DCE875D-9366-4A98-B508-D974DCD15AE5}">
      <text>
        <t>[Comentário encadeado]
Sua versão do Excel permite que você leia este comentário encadeado, no entanto, as edições serão removidas se o arquivo for aberto em uma versão mais recente do Excel. Saiba mais: https://go.microsoft.com/fwlink/?linkid=870924
Comentário:
    Excluído Shopping Santa Úrsula e West Plaza.</t>
      </text>
    </comment>
    <comment ref="F79" authorId="8" shapeId="0" xr:uid="{12AD8CEA-F508-4CD6-A12D-EA751C163237}">
      <text>
        <t>[Comentário encadeado]
Sua versão do Excel permite que você leia este comentário encadeado, no entanto, as edições serão removidas se o arquivo for aberto em uma versão mais recente do Excel. Saiba mais: https://go.microsoft.com/fwlink/?linkid=870924
Comentário:
    Excluído Shopping Araguaia e São Luiz (não core).
"Conforme divugado na Teleconferência e Apresentação do dia 05/08/2019, a partir do 3º trimestre de 2019, excluímos o Shopping Araguaia e São Luís Shopping de todos os indicadores operacionais apresentados acima, com exceção da ABL Total e ABL Próprio."</t>
      </text>
    </comment>
    <comment ref="L79" authorId="9" shapeId="0" xr:uid="{5F37113A-7328-4F29-999F-D6316CE02985}">
      <text>
        <t>[Comentário encadeado]
Sua versão do Excel permite que você leia este comentário encadeado, no entanto, as edições serão removidas se o arquivo for aberto em uma versão mais recente do Excel. Saiba mais: https://go.microsoft.com/fwlink/?linkid=870924
Comentário:
    Excluído Offices e Barra Shopping Sul (BIG) 
"Observações: Para cálculo dos indicadores R$/m² não considerar o BIG (18.158m2).</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2"/>
        </ext>
      </extLst>
    </bk>
    <bk>
      <extLst>
        <ext uri="{3e2802c4-a4d2-4d8b-9148-e3be6c30e623}">
          <xlrd:rvb i="5"/>
        </ext>
      </extLst>
    </bk>
    <bk>
      <extLst>
        <ext uri="{3e2802c4-a4d2-4d8b-9148-e3be6c30e623}">
          <xlrd:rvb i="8"/>
        </ext>
      </extLst>
    </bk>
  </futureMetadata>
  <valueMetadata count="3">
    <bk>
      <rc t="1" v="0"/>
    </bk>
    <bk>
      <rc t="1" v="1"/>
    </bk>
    <bk>
      <rc t="1" v="2"/>
    </bk>
  </valueMetadata>
</metadata>
</file>

<file path=xl/sharedStrings.xml><?xml version="1.0" encoding="utf-8"?>
<sst xmlns="http://schemas.openxmlformats.org/spreadsheetml/2006/main" count="141" uniqueCount="91">
  <si>
    <t>Data base</t>
  </si>
  <si>
    <t>Variação do preço da ação</t>
  </si>
  <si>
    <t>ALSO3</t>
  </si>
  <si>
    <t>BRML3</t>
  </si>
  <si>
    <t>ALSO+BRML</t>
  </si>
  <si>
    <t>IGTI11</t>
  </si>
  <si>
    <t>MULT3</t>
  </si>
  <si>
    <t>1A</t>
  </si>
  <si>
    <t>YTD</t>
  </si>
  <si>
    <t>MTD</t>
  </si>
  <si>
    <t>WTD</t>
  </si>
  <si>
    <t>Mês de referência</t>
  </si>
  <si>
    <t>Empresa</t>
  </si>
  <si>
    <t>considerar aqui: (FR 19/12/22)</t>
  </si>
  <si>
    <t>Número de Ações (MM)</t>
  </si>
  <si>
    <t>qtd/ação</t>
  </si>
  <si>
    <t>Valor de mercado (R$/ação)</t>
  </si>
  <si>
    <t>qtd ações brmalls</t>
  </si>
  <si>
    <t>Valor de mercado (R$ MM)</t>
  </si>
  <si>
    <t>qtd ações novas emitidas</t>
  </si>
  <si>
    <t>Caixa (R$ MM)</t>
  </si>
  <si>
    <t>Dívida Bruta (R$ MM)</t>
  </si>
  <si>
    <t>Outros valores a pagar (R$ MM)</t>
  </si>
  <si>
    <t>novas ações</t>
  </si>
  <si>
    <t>Financiamentos (R$ MM)</t>
  </si>
  <si>
    <t>ações pré deal</t>
  </si>
  <si>
    <t>Dívida Líquida (R$ MM)</t>
  </si>
  <si>
    <t>total ações</t>
  </si>
  <si>
    <t>Participação minoritários (R$ MM)</t>
  </si>
  <si>
    <t>mkt cap NewCo</t>
  </si>
  <si>
    <t>Enterprise Value Shoppings (R$ MM)</t>
  </si>
  <si>
    <t>Outros ativos operacionais (R$ MM)</t>
  </si>
  <si>
    <t>Lajes Corporativas (R$ MM)</t>
  </si>
  <si>
    <t>Enterprise Value Total (R$ MM)</t>
  </si>
  <si>
    <t>3T22 Anualizado</t>
  </si>
  <si>
    <t>NOI</t>
  </si>
  <si>
    <t>NOI yield e P/NOI</t>
  </si>
  <si>
    <t>NOI yield 2022E - Média</t>
  </si>
  <si>
    <t>NOI yield 2023E - Média</t>
  </si>
  <si>
    <t>Mínimo</t>
  </si>
  <si>
    <t>2022E</t>
  </si>
  <si>
    <t>NOI yield 2022E - Mínimo</t>
  </si>
  <si>
    <t>2023E</t>
  </si>
  <si>
    <t>NOI yield 2023E - Mínimo</t>
  </si>
  <si>
    <t>AFFO yield 2022E - Mínimo</t>
  </si>
  <si>
    <t>EBITDA</t>
  </si>
  <si>
    <t>AFFO yield 2023E - Mínimo</t>
  </si>
  <si>
    <t>EBITDA (% NOI)</t>
  </si>
  <si>
    <t>EBITDA yield e P/EBITDA</t>
  </si>
  <si>
    <t>EBITDA yield 2022E - Média</t>
  </si>
  <si>
    <t>EBITDA yield 2023E - Média</t>
  </si>
  <si>
    <t>EBITDA yield 2022E - Mínimo</t>
  </si>
  <si>
    <t>EBITDA yield 2023E - Mínimo</t>
  </si>
  <si>
    <t>AFFO</t>
  </si>
  <si>
    <t>AFFO (% NOI)</t>
  </si>
  <si>
    <t>AFFO yield e P/AFFO</t>
  </si>
  <si>
    <t>AFFO yield 2022E - Média</t>
  </si>
  <si>
    <t>AFFO yield 2023E - Média</t>
  </si>
  <si>
    <t>% vs 3T22</t>
  </si>
  <si>
    <t>Indicadores</t>
  </si>
  <si>
    <t>Área</t>
  </si>
  <si>
    <t>Portfólio Shoppings (m²)</t>
  </si>
  <si>
    <t>Ocupação (%)</t>
  </si>
  <si>
    <t>Vendas Totais/m²/mês</t>
  </si>
  <si>
    <t>Receita de Aluguel/m²/mês</t>
  </si>
  <si>
    <t>NOI (R$ MM)</t>
  </si>
  <si>
    <t>NOI/m²/mês</t>
  </si>
  <si>
    <t>NOI/Vendas</t>
  </si>
  <si>
    <t>NOI/Receitas</t>
  </si>
  <si>
    <t>Endividamento</t>
  </si>
  <si>
    <t>Dívida Líquida / EV</t>
  </si>
  <si>
    <t>Juros</t>
  </si>
  <si>
    <t>Juros 3T22 anual. / Dívida Bruta</t>
  </si>
  <si>
    <t>ICR (EBITDA 2022E/Juros 3T22 anual.)</t>
  </si>
  <si>
    <t>Valor da Empresa</t>
  </si>
  <si>
    <t>EV Shoppings / Vendas Totais</t>
  </si>
  <si>
    <t>EV Shoppings / Receita de Aluguel</t>
  </si>
  <si>
    <t>EV Shoppings / (Aluguel + Estac.)</t>
  </si>
  <si>
    <t>Receita de Aluguel/Vendas</t>
  </si>
  <si>
    <t>Vendas Totais (R$ MM) - 3T22</t>
  </si>
  <si>
    <t>Receita de Aluguel (R$ MM) - 3T22</t>
  </si>
  <si>
    <t>Receita Shoppings</t>
  </si>
  <si>
    <t>NOI Shoppings</t>
  </si>
  <si>
    <t>Vendas Shoppings</t>
  </si>
  <si>
    <t>EV Shoppings / ABL Shoppings (R$/m²)</t>
  </si>
  <si>
    <t>EV Shoppings / NOI Shoppings</t>
  </si>
  <si>
    <t>EV Shoppings / EBITDA Shoppings</t>
  </si>
  <si>
    <t>Dívida Líquida / NOI 3T22 anual.</t>
  </si>
  <si>
    <t>Dívida Líquida / EBITDA 3T22 anual.</t>
  </si>
  <si>
    <t>ALSO3+BRML3</t>
  </si>
  <si>
    <t>Período de referência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</si>
</sst>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R$-416]\ * #,##0.00_-;\-[$R$-416]\ * #,##0.00_-;_-[$R$-416]\ * &quot;-&quot;??_-;_-@_-"/>
    <numFmt numFmtId="167" formatCode="0.0%"/>
    <numFmt numFmtId="169" formatCode="0.000"/>
    <numFmt numFmtId="170" formatCode="#,###.0\x"/>
    <numFmt numFmtId="171" formatCode="#,##0.000"/>
    <numFmt numFmtId="172" formatCode="#,##0.0\x"/>
    <numFmt numFmtId="173" formatCode="#,##0.00\x"/>
    <numFmt numFmtId="174" formatCode="0.##,,"/>
    <numFmt numFmtId="176" formatCode="##,##0.0\x"/>
  </numFmts>
  <fonts count="10" x14ac:knownFonts="1">
    <font>
      <sz val="11"/>
      <color theme="1"/>
      <name val="Calibri"/>
      <family val="2"/>
      <scheme val="minor"/>
    </font>
    <font>
      <sz val="11"/>
      <color theme="0"/>
      <name val="Calibri"/>
      <family val="2"/>
      <scheme val="minor"/>
    </font>
    <font>
      <sz val="11"/>
      <color theme="1"/>
      <name val="Calibri"/>
      <family val="2"/>
      <scheme val="minor"/>
    </font>
    <font>
      <sz val="10"/>
      <color indexed="8"/>
      <name val="Arial"/>
      <family val="2"/>
    </font>
    <font>
      <b/>
      <sz val="11"/>
      <color theme="0"/>
      <name val="Clan Pro"/>
    </font>
    <font>
      <sz val="11"/>
      <color theme="1"/>
      <name val="Clan Pro"/>
    </font>
    <font>
      <b/>
      <sz val="11"/>
      <color theme="1"/>
      <name val="Clan Pro"/>
    </font>
    <font>
      <sz val="11"/>
      <name val="Clan Pro"/>
    </font>
    <font>
      <b/>
      <sz val="11"/>
      <name val="Clan Pro"/>
    </font>
    <font>
      <sz val="11"/>
      <color theme="0"/>
      <name val="Clan Pro"/>
    </font>
  </fonts>
  <fills count="6">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rgb="FF0053FA"/>
        <bgColor indexed="64"/>
      </patternFill>
    </fill>
  </fills>
  <borders count="16">
    <border>
      <left/>
      <right/>
      <top/>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9" fontId="2" fillId="0" borderId="0" applyFont="0" applyFill="0" applyBorder="0" applyAlignment="0" applyProtection="0"/>
    <xf numFmtId="0" fontId="3" fillId="0" borderId="0"/>
    <xf numFmtId="9" fontId="3" fillId="0" borderId="0" applyFont="0" applyFill="0" applyBorder="0" applyAlignment="0" applyProtection="0"/>
    <xf numFmtId="0" fontId="3" fillId="0" borderId="0"/>
  </cellStyleXfs>
  <cellXfs count="135">
    <xf numFmtId="0" fontId="0" fillId="0" borderId="0" xfId="0"/>
    <xf numFmtId="0" fontId="1" fillId="0" borderId="0" xfId="0" applyFont="1"/>
    <xf numFmtId="3" fontId="5" fillId="3" borderId="0" xfId="0" applyNumberFormat="1" applyFont="1" applyFill="1" applyAlignment="1">
      <alignment horizontal="center"/>
    </xf>
    <xf numFmtId="167" fontId="5" fillId="0" borderId="8" xfId="1" applyNumberFormat="1" applyFont="1" applyBorder="1" applyAlignment="1">
      <alignment horizontal="center"/>
    </xf>
    <xf numFmtId="3" fontId="5" fillId="0" borderId="0" xfId="0" applyNumberFormat="1" applyFont="1" applyAlignment="1">
      <alignment horizontal="center"/>
    </xf>
    <xf numFmtId="3" fontId="5" fillId="3" borderId="8" xfId="0" applyNumberFormat="1" applyFont="1" applyFill="1" applyBorder="1" applyAlignment="1">
      <alignment horizontal="center"/>
    </xf>
    <xf numFmtId="0" fontId="5" fillId="3" borderId="1" xfId="0" applyFont="1" applyFill="1" applyBorder="1" applyAlignment="1">
      <alignment horizontal="center"/>
    </xf>
    <xf numFmtId="0" fontId="5" fillId="0" borderId="1" xfId="0" applyFont="1" applyBorder="1" applyAlignment="1">
      <alignment horizontal="center"/>
    </xf>
    <xf numFmtId="0" fontId="5" fillId="3" borderId="7" xfId="0" applyFont="1" applyFill="1" applyBorder="1" applyAlignment="1">
      <alignment horizontal="center"/>
    </xf>
    <xf numFmtId="167" fontId="5" fillId="0" borderId="0" xfId="1" applyNumberFormat="1" applyFont="1" applyAlignment="1">
      <alignment horizontal="center"/>
    </xf>
    <xf numFmtId="3" fontId="5" fillId="3" borderId="9" xfId="0" applyNumberFormat="1" applyFont="1" applyFill="1" applyBorder="1" applyAlignment="1">
      <alignment horizontal="center"/>
    </xf>
    <xf numFmtId="4" fontId="5" fillId="0" borderId="9" xfId="0" applyNumberFormat="1" applyFont="1" applyBorder="1" applyAlignment="1">
      <alignment horizontal="center"/>
    </xf>
    <xf numFmtId="3" fontId="5" fillId="0" borderId="9" xfId="0" applyNumberFormat="1" applyFont="1" applyBorder="1" applyAlignment="1">
      <alignment horizontal="center"/>
    </xf>
    <xf numFmtId="3" fontId="5" fillId="3" borderId="10" xfId="0" applyNumberFormat="1" applyFont="1" applyFill="1" applyBorder="1" applyAlignment="1">
      <alignment horizontal="center"/>
    </xf>
    <xf numFmtId="9" fontId="5" fillId="0" borderId="9" xfId="1" applyFont="1" applyBorder="1" applyAlignment="1">
      <alignment horizontal="center"/>
    </xf>
    <xf numFmtId="0" fontId="7" fillId="3" borderId="9" xfId="0" applyFont="1" applyFill="1" applyBorder="1"/>
    <xf numFmtId="167" fontId="5" fillId="0" borderId="9" xfId="1" applyNumberFormat="1" applyFont="1" applyBorder="1" applyAlignment="1">
      <alignment horizontal="center"/>
    </xf>
    <xf numFmtId="0" fontId="5" fillId="0" borderId="7" xfId="0" applyFont="1" applyBorder="1" applyAlignment="1">
      <alignment horizontal="center"/>
    </xf>
    <xf numFmtId="0" fontId="8" fillId="3" borderId="14" xfId="0" applyFont="1" applyFill="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6" fillId="0" borderId="3" xfId="0" applyFont="1" applyBorder="1" applyAlignment="1">
      <alignment horizontal="center"/>
    </xf>
    <xf numFmtId="14" fontId="6" fillId="0" borderId="6" xfId="0" applyNumberFormat="1" applyFont="1" applyBorder="1"/>
    <xf numFmtId="0" fontId="5" fillId="0" borderId="0" xfId="0" applyFont="1"/>
    <xf numFmtId="14" fontId="5" fillId="0" borderId="0" xfId="0" applyNumberFormat="1" applyFont="1"/>
    <xf numFmtId="14" fontId="6" fillId="0" borderId="4" xfId="0" applyNumberFormat="1" applyFont="1" applyBorder="1" applyAlignment="1">
      <alignment horizontal="center"/>
    </xf>
    <xf numFmtId="4" fontId="6" fillId="0" borderId="5" xfId="0" applyNumberFormat="1" applyFont="1" applyBorder="1" applyAlignment="1">
      <alignment horizontal="center"/>
    </xf>
    <xf numFmtId="4" fontId="6" fillId="0" borderId="6" xfId="0" applyNumberFormat="1" applyFont="1" applyBorder="1" applyAlignment="1">
      <alignment horizontal="center"/>
    </xf>
    <xf numFmtId="167" fontId="5" fillId="3" borderId="0" xfId="1" applyNumberFormat="1" applyFont="1" applyFill="1" applyAlignment="1">
      <alignment horizontal="center"/>
    </xf>
    <xf numFmtId="0" fontId="6" fillId="0" borderId="2" xfId="0" applyFont="1" applyBorder="1" applyAlignment="1">
      <alignment horizontal="center"/>
    </xf>
    <xf numFmtId="17" fontId="6" fillId="0" borderId="11" xfId="0" applyNumberFormat="1" applyFont="1" applyBorder="1" applyAlignment="1">
      <alignment horizontal="center"/>
    </xf>
    <xf numFmtId="17" fontId="6" fillId="0" borderId="12" xfId="0" applyNumberFormat="1" applyFont="1" applyBorder="1" applyAlignment="1">
      <alignment horizontal="center"/>
    </xf>
    <xf numFmtId="174" fontId="5" fillId="3" borderId="0" xfId="0" applyNumberFormat="1" applyFont="1" applyFill="1" applyAlignment="1">
      <alignment horizontal="center"/>
    </xf>
    <xf numFmtId="174" fontId="5" fillId="3" borderId="9" xfId="0" applyNumberFormat="1" applyFont="1" applyFill="1" applyBorder="1" applyAlignment="1">
      <alignment horizontal="center"/>
    </xf>
    <xf numFmtId="4" fontId="5" fillId="0" borderId="0" xfId="0" applyNumberFormat="1" applyFont="1" applyAlignment="1">
      <alignment horizontal="center"/>
    </xf>
    <xf numFmtId="0" fontId="9" fillId="0" borderId="0" xfId="0" applyFont="1"/>
    <xf numFmtId="164" fontId="9" fillId="0" borderId="0" xfId="0" applyNumberFormat="1" applyFont="1"/>
    <xf numFmtId="4" fontId="5" fillId="0" borderId="0" xfId="0" applyNumberFormat="1" applyFont="1"/>
    <xf numFmtId="17" fontId="5" fillId="0" borderId="0" xfId="0" applyNumberFormat="1" applyFont="1"/>
    <xf numFmtId="167" fontId="5" fillId="0" borderId="0" xfId="1" applyNumberFormat="1" applyFont="1"/>
    <xf numFmtId="169" fontId="5" fillId="0" borderId="0" xfId="0" applyNumberFormat="1" applyFont="1"/>
    <xf numFmtId="171" fontId="5" fillId="0" borderId="0" xfId="0" applyNumberFormat="1" applyFont="1"/>
    <xf numFmtId="3" fontId="5" fillId="0" borderId="0" xfId="0" applyNumberFormat="1" applyFont="1"/>
    <xf numFmtId="0" fontId="4" fillId="2" borderId="3" xfId="0" applyFont="1" applyFill="1" applyBorder="1" applyAlignment="1">
      <alignment horizontal="center"/>
    </xf>
    <xf numFmtId="0" fontId="4" fillId="2" borderId="5" xfId="0" applyFont="1" applyFill="1" applyBorder="1" applyAlignment="1">
      <alignment horizontal="center"/>
    </xf>
    <xf numFmtId="0" fontId="6" fillId="3" borderId="3" xfId="0" applyFont="1" applyFill="1" applyBorder="1" applyAlignment="1">
      <alignment horizontal="center"/>
    </xf>
    <xf numFmtId="170" fontId="5" fillId="0" borderId="9" xfId="0" applyNumberFormat="1" applyFont="1" applyBorder="1" applyAlignment="1">
      <alignment horizontal="center"/>
    </xf>
    <xf numFmtId="167" fontId="5" fillId="0" borderId="0" xfId="1" applyNumberFormat="1" applyFont="1" applyBorder="1" applyAlignment="1">
      <alignment horizontal="center"/>
    </xf>
    <xf numFmtId="9" fontId="5" fillId="0" borderId="9" xfId="1" applyFont="1" applyBorder="1" applyAlignment="1">
      <alignment horizontal="centerContinuous"/>
    </xf>
    <xf numFmtId="170" fontId="5" fillId="0" borderId="10" xfId="0" applyNumberFormat="1" applyFont="1" applyBorder="1" applyAlignment="1">
      <alignment horizontal="center"/>
    </xf>
    <xf numFmtId="3" fontId="5" fillId="0" borderId="8" xfId="0" applyNumberFormat="1" applyFont="1" applyBorder="1" applyAlignment="1">
      <alignment horizontal="center"/>
    </xf>
    <xf numFmtId="3" fontId="5" fillId="0" borderId="10" xfId="0" applyNumberFormat="1" applyFont="1" applyBorder="1" applyAlignment="1">
      <alignment horizontal="center"/>
    </xf>
    <xf numFmtId="0" fontId="6" fillId="0" borderId="13" xfId="0" applyFont="1" applyBorder="1" applyAlignment="1">
      <alignment horizontal="center"/>
    </xf>
    <xf numFmtId="17" fontId="6" fillId="0" borderId="11" xfId="0" applyNumberFormat="1" applyFont="1" applyBorder="1" applyAlignment="1">
      <alignment horizontal="centerContinuous"/>
    </xf>
    <xf numFmtId="0" fontId="6" fillId="0" borderId="12" xfId="0" applyFont="1" applyBorder="1" applyAlignment="1">
      <alignment horizontal="centerContinuous"/>
    </xf>
    <xf numFmtId="0" fontId="5" fillId="2" borderId="9" xfId="0" applyFont="1" applyFill="1" applyBorder="1"/>
    <xf numFmtId="0" fontId="9" fillId="2" borderId="9" xfId="0" applyFont="1" applyFill="1" applyBorder="1" applyAlignment="1">
      <alignment horizontal="centerContinuous"/>
    </xf>
    <xf numFmtId="0" fontId="5" fillId="0" borderId="9" xfId="0" applyFont="1" applyBorder="1" applyAlignment="1">
      <alignment horizontal="centerContinuous"/>
    </xf>
    <xf numFmtId="0" fontId="8" fillId="3" borderId="3" xfId="0" applyFont="1" applyFill="1" applyBorder="1" applyAlignment="1">
      <alignment horizontal="center" vertical="center"/>
    </xf>
    <xf numFmtId="0" fontId="8"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5" xfId="0" applyFont="1" applyFill="1" applyBorder="1" applyAlignment="1">
      <alignment horizontal="center" vertical="center"/>
    </xf>
    <xf numFmtId="9" fontId="5" fillId="0" borderId="9" xfId="1" applyFont="1" applyBorder="1"/>
    <xf numFmtId="9" fontId="5" fillId="0" borderId="10" xfId="1" applyFont="1" applyBorder="1" applyAlignment="1">
      <alignment horizontal="center"/>
    </xf>
    <xf numFmtId="0" fontId="7" fillId="3" borderId="9" xfId="0" applyFont="1" applyFill="1" applyBorder="1" applyAlignment="1">
      <alignment horizontal="centerContinuous"/>
    </xf>
    <xf numFmtId="0" fontId="5" fillId="3" borderId="9" xfId="0" applyFont="1" applyFill="1" applyBorder="1" applyAlignment="1">
      <alignment horizontal="centerContinuous"/>
    </xf>
    <xf numFmtId="170" fontId="5" fillId="0" borderId="8" xfId="0" applyNumberFormat="1" applyFont="1" applyBorder="1" applyAlignment="1">
      <alignment horizontal="centerContinuous"/>
    </xf>
    <xf numFmtId="0" fontId="5" fillId="0" borderId="10" xfId="0" applyFont="1" applyBorder="1" applyAlignment="1">
      <alignment horizontal="centerContinuous"/>
    </xf>
    <xf numFmtId="167" fontId="5" fillId="3" borderId="9" xfId="1" applyNumberFormat="1" applyFont="1" applyFill="1" applyBorder="1" applyAlignment="1">
      <alignment horizontal="center"/>
    </xf>
    <xf numFmtId="10" fontId="5" fillId="0" borderId="0" xfId="1" applyNumberFormat="1" applyFont="1" applyAlignment="1">
      <alignment horizontal="center"/>
    </xf>
    <xf numFmtId="9" fontId="5" fillId="0" borderId="0" xfId="0" applyNumberFormat="1" applyFont="1" applyAlignment="1">
      <alignment horizontal="center"/>
    </xf>
    <xf numFmtId="3" fontId="9" fillId="0" borderId="0" xfId="0" applyNumberFormat="1" applyFont="1"/>
    <xf numFmtId="4" fontId="9" fillId="0" borderId="0" xfId="0" applyNumberFormat="1" applyFont="1"/>
    <xf numFmtId="0" fontId="4" fillId="0" borderId="0" xfId="0" applyFont="1"/>
    <xf numFmtId="3" fontId="1" fillId="0" borderId="0" xfId="0" applyNumberFormat="1" applyFont="1"/>
    <xf numFmtId="9" fontId="9" fillId="0" borderId="0" xfId="1" applyFont="1"/>
    <xf numFmtId="0" fontId="7" fillId="0" borderId="0" xfId="0" applyFont="1"/>
    <xf numFmtId="4" fontId="9" fillId="0" borderId="0" xfId="1" applyNumberFormat="1" applyFont="1"/>
    <xf numFmtId="167" fontId="5" fillId="0" borderId="10" xfId="1" applyNumberFormat="1" applyFont="1" applyBorder="1" applyAlignment="1">
      <alignment horizontal="center"/>
    </xf>
    <xf numFmtId="0" fontId="9" fillId="4" borderId="0" xfId="0" applyFont="1" applyFill="1"/>
    <xf numFmtId="14" fontId="9" fillId="4" borderId="0" xfId="0" applyNumberFormat="1" applyFont="1" applyFill="1"/>
    <xf numFmtId="167" fontId="9" fillId="4" borderId="0" xfId="1" applyNumberFormat="1" applyFont="1" applyFill="1"/>
    <xf numFmtId="0" fontId="9" fillId="4" borderId="0" xfId="0" applyFont="1" applyFill="1" applyAlignment="1">
      <alignment horizontal="right"/>
    </xf>
    <xf numFmtId="17" fontId="6" fillId="0" borderId="12" xfId="0" applyNumberFormat="1" applyFont="1" applyBorder="1" applyAlignment="1">
      <alignment horizontal="centerContinuous"/>
    </xf>
    <xf numFmtId="0" fontId="4" fillId="2" borderId="0" xfId="0" applyFont="1" applyFill="1" applyBorder="1" applyAlignment="1">
      <alignment horizontal="centerContinuous"/>
    </xf>
    <xf numFmtId="0" fontId="4" fillId="2" borderId="9" xfId="0" applyFont="1" applyFill="1" applyBorder="1" applyAlignment="1">
      <alignment horizontal="centerContinuous"/>
    </xf>
    <xf numFmtId="3" fontId="5" fillId="0" borderId="0" xfId="0" applyNumberFormat="1" applyFont="1" applyBorder="1" applyAlignment="1">
      <alignment horizontal="centerContinuous"/>
    </xf>
    <xf numFmtId="3" fontId="5" fillId="0" borderId="9" xfId="0" applyNumberFormat="1" applyFont="1" applyBorder="1" applyAlignment="1">
      <alignment horizontal="centerContinuous"/>
    </xf>
    <xf numFmtId="0" fontId="8" fillId="3" borderId="6" xfId="0" applyFont="1" applyFill="1" applyBorder="1" applyAlignment="1">
      <alignment horizontal="center" vertical="center"/>
    </xf>
    <xf numFmtId="3" fontId="5" fillId="0" borderId="0" xfId="0" applyNumberFormat="1" applyFont="1" applyBorder="1" applyAlignment="1">
      <alignment horizontal="center"/>
    </xf>
    <xf numFmtId="3" fontId="5" fillId="0" borderId="0" xfId="0" applyNumberFormat="1" applyFont="1" applyBorder="1"/>
    <xf numFmtId="0" fontId="7" fillId="3" borderId="0" xfId="0" applyFont="1" applyFill="1" applyBorder="1"/>
    <xf numFmtId="167" fontId="5" fillId="0" borderId="0" xfId="1" applyNumberFormat="1" applyFont="1" applyBorder="1" applyAlignment="1">
      <alignment horizontal="centerContinuous"/>
    </xf>
    <xf numFmtId="167" fontId="5" fillId="0" borderId="9" xfId="1" applyNumberFormat="1" applyFont="1" applyBorder="1" applyAlignment="1">
      <alignment horizontal="centerContinuous"/>
    </xf>
    <xf numFmtId="0" fontId="7" fillId="3" borderId="0" xfId="0" applyFont="1" applyFill="1" applyBorder="1" applyAlignment="1">
      <alignment horizontal="centerContinuous"/>
    </xf>
    <xf numFmtId="0" fontId="5" fillId="3" borderId="0" xfId="0" applyFont="1" applyFill="1" applyBorder="1" applyAlignment="1">
      <alignment horizontal="centerContinuous"/>
    </xf>
    <xf numFmtId="9" fontId="5" fillId="0" borderId="0" xfId="1" applyFont="1" applyBorder="1" applyAlignment="1">
      <alignment horizontal="centerContinuous"/>
    </xf>
    <xf numFmtId="176" fontId="5" fillId="0" borderId="0" xfId="0" applyNumberFormat="1" applyFont="1" applyBorder="1" applyAlignment="1">
      <alignment horizontal="centerContinuous"/>
    </xf>
    <xf numFmtId="170" fontId="5" fillId="0" borderId="0" xfId="0" applyNumberFormat="1" applyFont="1" applyBorder="1" applyAlignment="1">
      <alignment horizontal="centerContinuous"/>
    </xf>
    <xf numFmtId="170" fontId="5" fillId="0" borderId="9" xfId="0" applyNumberFormat="1" applyFont="1" applyBorder="1" applyAlignment="1">
      <alignment horizontal="centerContinuous"/>
    </xf>
    <xf numFmtId="172" fontId="5" fillId="0" borderId="0" xfId="0" applyNumberFormat="1" applyFont="1" applyBorder="1" applyAlignment="1">
      <alignment horizontal="centerContinuous"/>
    </xf>
    <xf numFmtId="173" fontId="5" fillId="0" borderId="0" xfId="0" applyNumberFormat="1" applyFont="1" applyBorder="1" applyAlignment="1">
      <alignment horizontal="centerContinuous"/>
    </xf>
    <xf numFmtId="173" fontId="5" fillId="0" borderId="9" xfId="0" applyNumberFormat="1" applyFont="1" applyBorder="1" applyAlignment="1">
      <alignment horizontal="centerContinuous"/>
    </xf>
    <xf numFmtId="170" fontId="5" fillId="0" borderId="10" xfId="0" applyNumberFormat="1" applyFont="1" applyBorder="1" applyAlignment="1">
      <alignment horizontal="centerContinuous"/>
    </xf>
    <xf numFmtId="0" fontId="4" fillId="2" borderId="4" xfId="0" applyFont="1" applyFill="1" applyBorder="1" applyAlignment="1">
      <alignment horizontal="center"/>
    </xf>
    <xf numFmtId="0" fontId="4" fillId="2" borderId="6" xfId="0" applyFont="1" applyFill="1" applyBorder="1" applyAlignment="1">
      <alignment horizontal="center"/>
    </xf>
    <xf numFmtId="0" fontId="4" fillId="2" borderId="5" xfId="0" applyFont="1" applyFill="1" applyBorder="1" applyAlignment="1">
      <alignment horizontal="center"/>
    </xf>
    <xf numFmtId="3" fontId="6" fillId="3" borderId="5" xfId="0" applyNumberFormat="1" applyFont="1" applyFill="1" applyBorder="1" applyAlignment="1">
      <alignment horizontal="center"/>
    </xf>
    <xf numFmtId="3" fontId="6" fillId="3" borderId="4" xfId="0" applyNumberFormat="1" applyFont="1" applyFill="1" applyBorder="1" applyAlignment="1">
      <alignment horizontal="center"/>
    </xf>
    <xf numFmtId="3" fontId="6" fillId="3" borderId="6" xfId="0" applyNumberFormat="1" applyFont="1" applyFill="1" applyBorder="1" applyAlignment="1">
      <alignment horizontal="center"/>
    </xf>
    <xf numFmtId="9" fontId="5" fillId="0" borderId="2" xfId="1" applyFont="1" applyBorder="1" applyAlignment="1">
      <alignment horizontal="center"/>
    </xf>
    <xf numFmtId="9" fontId="5" fillId="0" borderId="12" xfId="1" applyFont="1" applyBorder="1" applyAlignment="1">
      <alignment horizontal="center"/>
    </xf>
    <xf numFmtId="167" fontId="5" fillId="0" borderId="1" xfId="1" applyNumberFormat="1" applyFont="1" applyBorder="1" applyAlignment="1">
      <alignment horizontal="center"/>
    </xf>
    <xf numFmtId="167" fontId="5" fillId="0" borderId="7" xfId="1" applyNumberFormat="1" applyFont="1" applyBorder="1" applyAlignment="1">
      <alignment horizontal="center"/>
    </xf>
    <xf numFmtId="167" fontId="5" fillId="0" borderId="2" xfId="1" applyNumberFormat="1" applyFont="1" applyBorder="1" applyAlignment="1">
      <alignment horizontal="center"/>
    </xf>
    <xf numFmtId="170" fontId="5" fillId="0" borderId="12" xfId="0" applyNumberFormat="1" applyFont="1" applyBorder="1" applyAlignment="1">
      <alignment horizontal="center"/>
    </xf>
    <xf numFmtId="0" fontId="4" fillId="5" borderId="2" xfId="0" applyFont="1" applyFill="1" applyBorder="1" applyAlignment="1">
      <alignment horizontal="center" vertical="center"/>
    </xf>
    <xf numFmtId="14" fontId="4" fillId="5" borderId="0" xfId="0" applyNumberFormat="1" applyFont="1" applyFill="1" applyAlignment="1">
      <alignment horizontal="center" vertical="center"/>
    </xf>
    <xf numFmtId="0" fontId="4" fillId="5" borderId="0" xfId="0" applyFont="1" applyFill="1" applyAlignment="1">
      <alignment horizontal="center" vertical="center"/>
    </xf>
    <xf numFmtId="0" fontId="4" fillId="5" borderId="9"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14" fontId="4" fillId="5" borderId="5" xfId="0" applyNumberFormat="1" applyFont="1" applyFill="1" applyBorder="1" applyAlignment="1">
      <alignment horizontal="center" vertical="center"/>
    </xf>
    <xf numFmtId="0" fontId="4" fillId="5" borderId="6" xfId="0" applyFont="1" applyFill="1" applyBorder="1" applyAlignment="1">
      <alignment horizontal="center" vertical="center"/>
    </xf>
    <xf numFmtId="0" fontId="4" fillId="5" borderId="4" xfId="0" applyFont="1" applyFill="1" applyBorder="1" applyAlignment="1">
      <alignment horizontal="center"/>
    </xf>
    <xf numFmtId="0" fontId="4" fillId="5" borderId="6" xfId="0" applyFont="1" applyFill="1" applyBorder="1" applyAlignment="1">
      <alignment horizontal="center"/>
    </xf>
    <xf numFmtId="0" fontId="4" fillId="5" borderId="5" xfId="0" applyFont="1" applyFill="1" applyBorder="1" applyAlignment="1">
      <alignment horizontal="center"/>
    </xf>
    <xf numFmtId="0" fontId="4" fillId="5" borderId="3" xfId="0" applyFont="1" applyFill="1" applyBorder="1" applyAlignment="1">
      <alignment horizontal="center"/>
    </xf>
    <xf numFmtId="0" fontId="4" fillId="5" borderId="7" xfId="0" applyFont="1" applyFill="1" applyBorder="1" applyAlignment="1">
      <alignment horizontal="center"/>
    </xf>
    <xf numFmtId="0" fontId="4" fillId="5" borderId="10" xfId="0" applyFont="1" applyFill="1" applyBorder="1" applyAlignment="1">
      <alignment horizontal="center"/>
    </xf>
    <xf numFmtId="0" fontId="4" fillId="5" borderId="4" xfId="0" applyFont="1" applyFill="1" applyBorder="1" applyAlignment="1">
      <alignment horizontal="center"/>
    </xf>
    <xf numFmtId="0" fontId="4" fillId="5" borderId="6" xfId="0" applyFont="1" applyFill="1" applyBorder="1" applyAlignment="1">
      <alignment horizontal="center"/>
    </xf>
    <xf numFmtId="0" fontId="4" fillId="5" borderId="5" xfId="0" applyFont="1" applyFill="1" applyBorder="1" applyAlignment="1">
      <alignment horizontal="centerContinuous"/>
    </xf>
    <xf numFmtId="0" fontId="9" fillId="5" borderId="6" xfId="0" applyFont="1" applyFill="1" applyBorder="1" applyAlignment="1">
      <alignment horizontal="centerContinuous"/>
    </xf>
    <xf numFmtId="0" fontId="4" fillId="5" borderId="6" xfId="0" applyFont="1" applyFill="1" applyBorder="1" applyAlignment="1">
      <alignment horizontal="centerContinuous"/>
    </xf>
  </cellXfs>
  <cellStyles count="5">
    <cellStyle name="Normal" xfId="0" builtinId="0"/>
    <cellStyle name="Normal 2 2" xfId="4" xr:uid="{536EA749-2C3F-40A2-AC61-95ACF92F7872}"/>
    <cellStyle name="Normal 3" xfId="2" xr:uid="{E07A5318-D22D-4CDC-BDDA-C5008E38D61C}"/>
    <cellStyle name="Percent 2" xfId="3" xr:uid="{DA0C4909-443F-4B2A-9F98-02B1B7F8C6F0}"/>
    <cellStyle name="Porcentagem" xfId="1" builtinId="5"/>
  </cellStyles>
  <dxfs count="2">
    <dxf>
      <font>
        <color rgb="FF00B050"/>
      </font>
    </dxf>
    <dxf>
      <font>
        <color rgb="FFFF0000"/>
      </font>
    </dxf>
  </dxfs>
  <tableStyles count="0" defaultTableStyle="TableStyleMedium2" defaultPivotStyle="PivotStyleLight16"/>
  <colors>
    <mruColors>
      <color rgb="FF0053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13" Type="http://schemas.openxmlformats.org/officeDocument/2006/relationships/calcChain" Target="calcChain.xml"/><Relationship Id="rId3" Type="http://schemas.openxmlformats.org/officeDocument/2006/relationships/styles" Target="styles.xml"/><Relationship Id="rId7" Type="http://schemas.microsoft.com/office/2017/06/relationships/rdRichValueStructure" Target="richData/rdrichvaluestructure.xml"/><Relationship Id="rId12" Type="http://schemas.microsoft.com/office/2017/10/relationships/person" Target="persons/person.xml"/><Relationship Id="rId2" Type="http://schemas.openxmlformats.org/officeDocument/2006/relationships/theme" Target="theme/theme1.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5" Type="http://schemas.openxmlformats.org/officeDocument/2006/relationships/customXml" Target="../customXml/item2.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Fernando Marques" id="{493F7312-B568-4094-A56E-C0EEC1D41705}" userId="S::fernando.marques@canumacapital.com.br::6e7d518e-771a-4b60-87be-d014b9a8d672"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9">
  <rv s="0">
    <v>https://www.bing.com/financeapi/forcetrigger?t=br6c3m&amp;q=BVMF%3aALSO3&amp;form=skydnc</v>
    <v>Learn more on Bing</v>
  </rv>
  <rv s="1">
    <v>en-US</v>
    <v>br6c3m</v>
    <v>268435456</v>
    <v>1</v>
    <v>Powered by Refinitiv</v>
    <v>0</v>
    <v>Aliansce Sonae Shopping Centers SA (BVMF:ALSO3)</v>
    <v>2</v>
    <v>3</v>
    <v>Finance</v>
    <v>4</v>
    <v>23.85</v>
    <v>15.35</v>
    <v>1.2020999999999999</v>
    <v>0.18</v>
    <v>1.0404999999999999E-2</v>
    <v>BRL</v>
    <v>Aliansce Sonae Shopping Centers SA, formerly known as Sonae Sierra Brasil SA, is a Brazil-based company principally engaged in the development and operating of shopping centers in Brazil. Through its subsidiaries, the Company is active in the shopping center project development, commercial building construction, management of commercial real estate properties, brokerage services, leasing of space to retailers, rental of commercial spaces for advertising and promotion, and operating parking lots. The Company has such subsidiaries as Sierra Investimentos Brasil Ltda and Unishopping Administradora Ltda, through which it operates a number of shopping centers in Brazil, including Parque D Pedro, Metropole, Manauara, Penha, Tivoli, Campo Limpo and Franca, among others. It is a subsidiary of Sierra Brazil 1 BV.</v>
    <v>444</v>
    <v>B3 - Brazil Stock Exchange</v>
    <v>BVMF</v>
    <v>BVMF</v>
    <v>R Dias Ferreira 00190 Sal 301, Leblon, RIO DE JANEIRO, RIO DE JANEIRO, 22.431-050 BR</v>
    <v>17.59</v>
    <v>Real Estate Operations</v>
    <v>Stock</v>
    <v>44972.684432870374</v>
    <v>0</v>
    <v>17.04</v>
    <v>10249790000</v>
    <v>Aliansce Sonae Shopping Centers SA</v>
    <v>Aliansce Sonae Shopping Centers SA</v>
    <v>17.16</v>
    <v>17.3</v>
    <v>17.48</v>
    <v>592473700</v>
    <v>ALSO3</v>
    <v>Aliansce Sonae Shopping Centers SA (BVMF:ALSO3)</v>
    <v>972500</v>
    <v>2996610</v>
    <v>2003</v>
  </rv>
  <rv s="2">
    <v>1</v>
  </rv>
  <rv s="0">
    <v>https://www.bing.com/financeapi/forcetrigger?t=c47wcw&amp;q=BVMF%3aIGTI11&amp;form=skydnc</v>
    <v>Learn more on Bing</v>
  </rv>
  <rv s="3">
    <v>en-US</v>
    <v>c47wcw</v>
    <v>268435456</v>
    <v>1</v>
    <v>Powered by Refinitiv</v>
    <v>5</v>
    <v>JEREISSATI PARTICIPACOES UNT (BVMF:IGTI11)</v>
    <v>6</v>
    <v>7</v>
    <v>Finance</v>
    <v>4</v>
    <v>22.88</v>
    <v>16.440000000000001</v>
    <v>0.11</v>
    <v>5.9199999999999999E-3</v>
    <v>BRL</v>
    <v>B3 - Brazil Stock Exchange</v>
    <v>BVMF</v>
    <v>18.77</v>
    <v>ETF</v>
    <v>44972.684426133594</v>
    <v>3</v>
    <v>18.37</v>
    <v>JEREISSATI PARTICIPACOES UNT</v>
    <v>18.5</v>
    <v>18.579999999999998</v>
    <v>18.690000000000001</v>
    <v>IGTI11</v>
    <v>JEREISSATI PARTICIPACOES UNT (BVMF:IGTI11)</v>
    <v>844400</v>
  </rv>
  <rv s="2">
    <v>4</v>
  </rv>
  <rv s="0">
    <v>https://www.bing.com/financeapi/forcetrigger?t=apmzxm&amp;q=BVMF%3aMULT3&amp;form=skydnc</v>
    <v>Learn more on Bing</v>
  </rv>
  <rv s="1">
    <v>en-US</v>
    <v>apmzxm</v>
    <v>268435456</v>
    <v>1</v>
    <v>Powered by Refinitiv</v>
    <v>0</v>
    <v>Multiplan Empreendimentos Imobiliarios SA (BVMF:MULT3)</v>
    <v>2</v>
    <v>3</v>
    <v>Finance</v>
    <v>4</v>
    <v>27.45</v>
    <v>18.89</v>
    <v>1.1067</v>
    <v>0.25</v>
    <v>1.0616E-2</v>
    <v>BRL</v>
    <v>Multiplan Empreendimentos Imobiliarios SA is a Brazil-based company primarily engaged in the real estate sector. The Company's activities are divided into four business segments: Rental, Real estate, Projects and Management. The Rental division focuses on leasing of shopping malls and their parking lots. The Real estate division includes sale of properties, such as multifamily homes, built in the surroundings of shopping malls. The Projects division specializes in the planning, development and construction of commercial centers for lease. The Management division primarily offers management services to storeowners. The Company holds and administers numerous shopping malls in Brazil, such as BH Shopping, BarraShopping, RibeiraoShopping, MorumbiShopping, ParkShopping, DiamondMall, Shopping Analia Franco, BarraShopping Sul, New York City Center and Shopping Santa Ursula.</v>
    <v>8500</v>
    <v>B3 - Brazil Stock Exchange</v>
    <v>BVMF</v>
    <v>BVMF</v>
    <v>Av Das Americas 04200 Bloco 2 Salas 101 A 104 112 A 116 401 A 416 E 501 E Bloco 9 Ala B Salas 212 A 216, Barra Da Tijuca, RIO DE JANEIRO, RIO DE JANEIRO, 22.640-102 BR</v>
    <v>23.85</v>
    <v>Real Estate Operations</v>
    <v>Stock</v>
    <v>44972.684467592589</v>
    <v>6</v>
    <v>23.31</v>
    <v>13451424420</v>
    <v>Multiplan Empreendimentos Imobiliarios SA</v>
    <v>Multiplan Empreendimentos Imobiliarios SA</v>
    <v>23.35</v>
    <v>23.55</v>
    <v>23.8</v>
    <v>565185900</v>
    <v>MULT3</v>
    <v>Multiplan Empreendimentos Imobiliarios SA (BVMF:MULT3)</v>
    <v>868700</v>
    <v>4969860</v>
    <v>2005</v>
  </rv>
  <rv s="2">
    <v>7</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High"/>
    <k n="Instrument type" t="s"/>
    <k n="Last trade time"/>
    <k n="LearnMoreOnLink" t="r"/>
    <k n="Low"/>
    <k n="Name" t="s"/>
    <k n="Open"/>
    <k n="Previous close"/>
    <k n="Price"/>
    <k n="Ticker symbol" t="s"/>
    <k n="UniqueName" t="s"/>
    <k n="Volume"/>
  </s>
</rvStructures>
</file>

<file path=xl/richData/rdsupportingpropertybag.xml><?xml version="1.0" encoding="utf-8"?>
<supportingPropertyBags xmlns="http://schemas.microsoft.com/office/spreadsheetml/2017/richdata2">
  <spbArrays count="2">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30">
      <v t="s">%EntityServiceId</v>
      <v t="s">_Format</v>
      <v t="s">%IsRefreshable</v>
      <v t="s">%EntityCulture</v>
      <v t="s">%EntityId</v>
      <v t="s">_Icon</v>
      <v t="s">_Display</v>
      <v t="s">Name</v>
      <v t="s">_SubLabel</v>
      <v t="s">Price</v>
      <v t="s">Exchange</v>
      <v t="s">Last trade time</v>
      <v t="s">Ticker symbol</v>
      <v t="s">Exchange abbreviation</v>
      <v t="s">Change</v>
      <v t="s">Change (%)</v>
      <v t="s">Currency</v>
      <v t="s">Previous close</v>
      <v t="s">Open</v>
      <v t="s">High</v>
      <v t="s">Low</v>
      <v t="s">52 week high</v>
      <v t="s">52 week low</v>
      <v t="s">Volume</v>
      <v t="s">Instrument type</v>
      <v t="s">_Flags</v>
      <v t="s">UniqueName</v>
      <v t="s">_DisplayString</v>
      <v t="s">LearnMoreOnLink</v>
      <v t="s">%ProviderInfo</v>
    </a>
  </spbArrays>
  <spbData count="8">
    <spb s="0">
      <v>0</v>
      <v>Name</v>
      <v>LearnMoreOnLink</v>
    </spb>
    <spb s="1">
      <v>0</v>
      <v>0</v>
      <v>0</v>
    </spb>
    <spb s="2">
      <v>1</v>
      <v>1</v>
      <v>1</v>
      <v>1</v>
    </spb>
    <spb s="3">
      <v>1</v>
      <v>2</v>
      <v>1</v>
      <v>3</v>
      <v>1</v>
      <v>1</v>
      <v>1</v>
      <v>4</v>
      <v>4</v>
      <v>5</v>
      <v>6</v>
      <v>1</v>
      <v>1</v>
      <v>1</v>
      <v>4</v>
      <v>7</v>
      <v>8</v>
      <v>9</v>
      <v>4</v>
    </spb>
    <spb s="4">
      <v>Delayed 30 minutes</v>
      <v>from previous close</v>
      <v>from previous close</v>
      <v>GMT</v>
    </spb>
    <spb s="0">
      <v>1</v>
      <v>Name</v>
      <v>LearnMoreOnLink</v>
    </spb>
    <spb s="5">
      <v>1</v>
      <v>1</v>
      <v>1</v>
    </spb>
    <spb s="6">
      <v>1</v>
      <v>1</v>
      <v>3</v>
      <v>1</v>
      <v>1</v>
      <v>1</v>
      <v>4</v>
      <v>5</v>
      <v>1</v>
      <v>1</v>
      <v>1</v>
      <v>7</v>
      <v>9</v>
    </spb>
  </spbData>
</supportingPropertyBags>
</file>

<file path=xl/richData/rdsupportingpropertybagstructure.xml><?xml version="1.0" encoding="utf-8"?>
<spbStructures xmlns="http://schemas.microsoft.com/office/spreadsheetml/2017/richdata2" count="7">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UniqueName" t="spb"/>
    <k n="`%ProviderInfo" t="spb"/>
    <k n="LearnMoreOnLink" t="spb"/>
  </s>
  <s>
    <k n="Low" t="i"/>
    <k n="High" t="i"/>
    <k n="Name" t="i"/>
    <k n="Open" t="i"/>
    <k n="Price" t="i"/>
    <k n="Change" t="i"/>
    <k n="Volume" t="i"/>
    <k n="Change (%)" t="i"/>
    <k n="52 week low" t="i"/>
    <k n="52 week high" t="i"/>
    <k n="Previous close" t="i"/>
    <k n="Last trade time" t="i"/>
    <k n="`%EntityServiceId"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_-[$R$-pt-BR] * #,##0.00_-;-[$R$-pt-BR] * #,##0.00_-;_-[$R$-pt-BR] * "-"??_-;_-@_-</rpv>
    </rSty>
    <rSty dxfid="5">
      <rpv i="0">#,##0.00</rpv>
    </rSty>
    <rSty>
      <rpv i="1">1</rpv>
    </rSty>
    <rSty dxfid="4">
      <rpv i="0">#,##0</rpv>
    </rSty>
    <rSty dxfid="3"/>
    <rSty dxfid="1">
      <rpv i="0">_-[$R$-pt-BR] * #,##0_-;-[$R$-pt-BR] * #,##0_-;_-[$R$-pt-BR] * "-"_-;_-@_-</rpv>
    </rSty>
    <rSty dxfid="2"/>
    <rSty dxfid="6">
      <rpv i="0">0</rpv>
    </rSty>
    <rSty dxfid="0">
      <rpv i="0">0.00</rpv>
    </rSty>
  </richStyles>
</richStyleSheet>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62" dT="2022-11-04T21:25:25.64" personId="{493F7312-B568-4094-A56E-C0EEC1D41705}" id="{4E3009A7-9F9E-4185-B5AB-80E7E3ACC788}">
    <text>Estava antes o máximo</text>
  </threadedComment>
  <threadedComment ref="L62" dT="2022-11-04T21:24:04.76" personId="{493F7312-B568-4094-A56E-C0EEC1D41705}" id="{D145A811-7C3A-4921-989E-DF940BCF16E2}">
    <text>Estava antes a média entre mediana e maximo</text>
  </threadedComment>
  <threadedComment ref="J63" dT="2022-11-04T21:25:25.64" personId="{493F7312-B568-4094-A56E-C0EEC1D41705}" id="{26B1BB4F-0897-4988-838A-0516DABE2C2B}">
    <text>Estava antes o máximo</text>
  </threadedComment>
  <threadedComment ref="L68" dT="2022-11-04T21:24:04.76" personId="{493F7312-B568-4094-A56E-C0EEC1D41705}" id="{77F0B1AF-512B-40AB-A439-BD8A31316B9F}">
    <text>Estava antes a média entre mediana e maximo</text>
  </threadedComment>
  <threadedComment ref="D74" dT="2022-11-04T21:26:42.72" personId="{493F7312-B568-4094-A56E-C0EEC1D41705}" id="{7F66E94D-7A7E-49F2-A371-0B174F569D66}">
    <text>Estava antes a mediana</text>
  </threadedComment>
  <threadedComment ref="L74" dT="2022-11-04T21:24:04.76" personId="{493F7312-B568-4094-A56E-C0EEC1D41705}" id="{C57506D0-4F4A-463D-95D2-2C25F374B1E8}">
    <text>Estava antes o maximo</text>
  </threadedComment>
  <threadedComment ref="D75" dT="2022-11-04T21:26:42.72" personId="{493F7312-B568-4094-A56E-C0EEC1D41705}" id="{D3636E5D-A965-41C7-8004-48D47CCF20FE}">
    <text>Estava antes a mediana</text>
  </threadedComment>
  <threadedComment ref="D79" dT="2022-09-16T18:22:20.39" personId="{493F7312-B568-4094-A56E-C0EEC1D41705}" id="{6DCE875D-9366-4A98-B508-D974DCD15AE5}">
    <text>Excluído Shopping Santa Úrsula e West Plaza.</text>
  </threadedComment>
  <threadedComment ref="F79" dT="2022-09-16T19:23:20.63" personId="{493F7312-B568-4094-A56E-C0EEC1D41705}" id="{12AD8CEA-F508-4CD6-A12D-EA751C163237}">
    <text>Excluído Shopping Araguaia e São Luiz (não core).
"Conforme divugado na Teleconferência e Apresentação do dia 05/08/2019, a partir do 3º trimestre de 2019, excluímos o Shopping Araguaia e São Luís Shopping de todos os indicadores operacionais apresentados acima, com exceção da ABL Total e ABL Próprio."</text>
  </threadedComment>
  <threadedComment ref="L79" dT="2022-09-16T18:22:34.17" personId="{493F7312-B568-4094-A56E-C0EEC1D41705}" id="{5F37113A-7328-4F29-999F-D6316CE02985}">
    <text>Excluído Offices e Barra Shopping Sul (BIG) 
"Observações: Para cálculo dos indicadores R$/m² não considerar o BIG (18.158m2).</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35F8C-D748-40AB-AED9-76AD9CB4AE77}">
  <sheetPr codeName="Sheet1">
    <tabColor rgb="FF0053FA"/>
    <pageSetUpPr fitToPage="1"/>
  </sheetPr>
  <dimension ref="A1:O107"/>
  <sheetViews>
    <sheetView showGridLines="0" tabSelected="1" topLeftCell="A46" zoomScale="85" zoomScaleNormal="85" workbookViewId="0">
      <selection activeCell="M89" sqref="M89"/>
    </sheetView>
  </sheetViews>
  <sheetFormatPr defaultColWidth="8.7109375" defaultRowHeight="15" outlineLevelRow="1" x14ac:dyDescent="0.25"/>
  <cols>
    <col min="1" max="1" width="6" style="23" customWidth="1"/>
    <col min="2" max="2" width="2.85546875" style="23" customWidth="1"/>
    <col min="3" max="3" width="41.5703125" style="23" customWidth="1"/>
    <col min="4" max="4" width="14.85546875" style="23" bestFit="1" customWidth="1"/>
    <col min="5" max="5" width="10.5703125" style="23" customWidth="1"/>
    <col min="6" max="6" width="12.140625" style="23" bestFit="1" customWidth="1"/>
    <col min="7" max="7" width="13.42578125" style="23" customWidth="1"/>
    <col min="8" max="8" width="13.7109375" style="23" bestFit="1" customWidth="1"/>
    <col min="9" max="9" width="10" style="23" customWidth="1"/>
    <col min="10" max="10" width="11.42578125" style="23" customWidth="1"/>
    <col min="11" max="11" width="11.5703125" style="23" customWidth="1"/>
    <col min="12" max="12" width="18.28515625" style="23" customWidth="1"/>
    <col min="13" max="13" width="15.5703125" style="23" bestFit="1" customWidth="1"/>
    <col min="14" max="14" width="26" style="23" bestFit="1" customWidth="1"/>
    <col min="15" max="15" width="17" style="23" bestFit="1" customWidth="1"/>
    <col min="16" max="16384" width="8.7109375" style="23"/>
  </cols>
  <sheetData>
    <row r="1" spans="2:15" x14ac:dyDescent="0.25">
      <c r="C1" s="35" t="e" vm="1">
        <v>#VALUE!</v>
      </c>
      <c r="D1" s="36">
        <v>17.3</v>
      </c>
      <c r="E1" s="35"/>
      <c r="F1" s="35"/>
      <c r="G1" s="35"/>
      <c r="H1" s="36">
        <v>8.26</v>
      </c>
      <c r="I1" s="35" t="e" vm="2">
        <v>#VALUE!</v>
      </c>
      <c r="J1" s="36">
        <v>18.579999999999998</v>
      </c>
      <c r="K1" s="35" t="e" vm="3">
        <v>#VALUE!</v>
      </c>
      <c r="L1" s="36">
        <v>23.55</v>
      </c>
    </row>
    <row r="2" spans="2:15" ht="15.95" customHeight="1" x14ac:dyDescent="0.25">
      <c r="C2" s="21" t="s">
        <v>0</v>
      </c>
      <c r="D2" s="22">
        <v>44971</v>
      </c>
    </row>
    <row r="3" spans="2:15" ht="15.95" customHeight="1" x14ac:dyDescent="0.25">
      <c r="D3" s="24"/>
      <c r="N3" s="24"/>
    </row>
    <row r="4" spans="2:15" ht="15.95" customHeight="1" x14ac:dyDescent="0.25">
      <c r="B4" s="37"/>
      <c r="C4" s="25">
        <v>44971</v>
      </c>
      <c r="D4" s="26"/>
      <c r="E4" s="26"/>
      <c r="F4" s="26">
        <v>17.3</v>
      </c>
      <c r="G4" s="26">
        <v>18.579999999999998</v>
      </c>
      <c r="H4" s="27">
        <v>23.55</v>
      </c>
      <c r="I4" s="76"/>
      <c r="J4" s="76"/>
      <c r="K4" s="76"/>
      <c r="L4" s="76"/>
      <c r="M4" s="76"/>
      <c r="O4" s="70"/>
    </row>
    <row r="5" spans="2:15" ht="15.95" customHeight="1" x14ac:dyDescent="0.25">
      <c r="C5" s="116" t="s">
        <v>1</v>
      </c>
      <c r="D5" s="117"/>
      <c r="E5" s="118"/>
      <c r="F5" s="117" t="s">
        <v>2</v>
      </c>
      <c r="G5" s="118" t="s">
        <v>5</v>
      </c>
      <c r="H5" s="119" t="s">
        <v>6</v>
      </c>
      <c r="I5" s="76"/>
      <c r="J5" s="76"/>
      <c r="K5" s="76"/>
      <c r="L5" s="76"/>
      <c r="M5" s="76"/>
      <c r="O5" s="4"/>
    </row>
    <row r="6" spans="2:15" ht="15.95" customHeight="1" x14ac:dyDescent="0.25">
      <c r="C6" s="7">
        <v>2022</v>
      </c>
      <c r="D6" s="9"/>
      <c r="E6" s="9"/>
      <c r="F6" s="9">
        <v>-0.19952941176470584</v>
      </c>
      <c r="G6" s="9">
        <v>4.0494938132733305E-2</v>
      </c>
      <c r="H6" s="16">
        <v>0.18827997829625609</v>
      </c>
      <c r="I6" s="35"/>
      <c r="J6" s="35"/>
      <c r="K6" s="35"/>
      <c r="L6" s="35"/>
      <c r="M6" s="35"/>
      <c r="O6" s="69"/>
    </row>
    <row r="7" spans="2:15" ht="15.95" customHeight="1" x14ac:dyDescent="0.25">
      <c r="C7" s="6" t="s">
        <v>7</v>
      </c>
      <c r="D7" s="28"/>
      <c r="E7" s="28"/>
      <c r="F7" s="28">
        <v>-0.2104</v>
      </c>
      <c r="G7" s="28">
        <v>-6.5000000000000002E-2</v>
      </c>
      <c r="H7" s="68">
        <v>6.6799999999999998E-2</v>
      </c>
      <c r="I7" s="35"/>
      <c r="J7" s="35"/>
      <c r="K7" s="35"/>
      <c r="L7" s="35"/>
      <c r="M7" s="35"/>
      <c r="O7" s="4"/>
    </row>
    <row r="8" spans="2:15" ht="15.95" customHeight="1" x14ac:dyDescent="0.25">
      <c r="C8" s="7" t="s">
        <v>8</v>
      </c>
      <c r="D8" s="9"/>
      <c r="E8" s="9"/>
      <c r="F8" s="9">
        <v>1.7000000000000001E-2</v>
      </c>
      <c r="G8" s="9">
        <v>-4.8999999999999998E-3</v>
      </c>
      <c r="H8" s="16">
        <v>7.2099999999999997E-2</v>
      </c>
      <c r="I8" s="35"/>
      <c r="J8" s="35"/>
      <c r="K8" s="35"/>
      <c r="L8" s="1">
        <v>1.509163</v>
      </c>
      <c r="M8" s="35"/>
    </row>
    <row r="9" spans="2:15" ht="15.95" customHeight="1" x14ac:dyDescent="0.25">
      <c r="C9" s="6" t="s">
        <v>9</v>
      </c>
      <c r="D9" s="28"/>
      <c r="E9" s="28"/>
      <c r="F9" s="28">
        <v>-3.9399999999999998E-2</v>
      </c>
      <c r="G9" s="28">
        <v>-6.0199999999999997E-2</v>
      </c>
      <c r="H9" s="68">
        <v>-1.3000000000000001E-2</v>
      </c>
      <c r="I9" s="35"/>
      <c r="J9" s="35"/>
      <c r="K9" s="35"/>
      <c r="L9" s="72">
        <v>1250000299.599092</v>
      </c>
      <c r="M9" s="35"/>
      <c r="O9" s="4"/>
    </row>
    <row r="10" spans="2:15" ht="15.95" customHeight="1" x14ac:dyDescent="0.25">
      <c r="C10" s="17" t="s">
        <v>10</v>
      </c>
      <c r="D10" s="3"/>
      <c r="E10" s="3"/>
      <c r="F10" s="3">
        <v>-9.7000000000000003E-3</v>
      </c>
      <c r="G10" s="3">
        <v>-2.9500000000000002E-2</v>
      </c>
      <c r="H10" s="78">
        <v>-7.6E-3</v>
      </c>
      <c r="I10" s="35"/>
      <c r="J10" s="35">
        <v>0.39400000000000002</v>
      </c>
      <c r="K10" s="35"/>
      <c r="L10" s="35"/>
      <c r="M10" s="35"/>
      <c r="O10" s="4"/>
    </row>
    <row r="11" spans="2:15" ht="15.95" customHeight="1" x14ac:dyDescent="0.25">
      <c r="B11" s="38"/>
      <c r="D11" s="24"/>
      <c r="G11" s="71">
        <v>300585033</v>
      </c>
      <c r="H11" s="71">
        <v>264109033</v>
      </c>
      <c r="I11" s="35"/>
      <c r="J11" s="72">
        <v>326339910.296</v>
      </c>
      <c r="K11" s="35"/>
      <c r="L11" s="35"/>
      <c r="M11" s="35"/>
    </row>
    <row r="12" spans="2:15" ht="15.95" customHeight="1" x14ac:dyDescent="0.25">
      <c r="B12" s="24"/>
      <c r="C12" s="29" t="s">
        <v>90</v>
      </c>
      <c r="D12" s="30">
        <v>44834</v>
      </c>
      <c r="E12" s="30">
        <v>44834</v>
      </c>
      <c r="F12" s="30">
        <v>44834</v>
      </c>
      <c r="G12" s="30">
        <v>44834</v>
      </c>
      <c r="H12" s="31">
        <v>44834</v>
      </c>
      <c r="I12" s="35"/>
      <c r="J12" s="35"/>
      <c r="K12" s="35"/>
      <c r="L12" s="35"/>
      <c r="M12" s="35"/>
    </row>
    <row r="13" spans="2:15" ht="15.95" customHeight="1" x14ac:dyDescent="0.25">
      <c r="B13" s="24"/>
      <c r="C13" s="120" t="s">
        <v>12</v>
      </c>
      <c r="D13" s="121" t="s">
        <v>2</v>
      </c>
      <c r="E13" s="121" t="s">
        <v>3</v>
      </c>
      <c r="F13" s="122" t="s">
        <v>4</v>
      </c>
      <c r="G13" s="121" t="s">
        <v>5</v>
      </c>
      <c r="H13" s="123" t="s">
        <v>6</v>
      </c>
      <c r="I13" s="35"/>
      <c r="J13" s="73" t="s">
        <v>13</v>
      </c>
      <c r="K13" s="35"/>
      <c r="L13" s="35"/>
      <c r="M13" s="35"/>
      <c r="O13" s="4"/>
    </row>
    <row r="14" spans="2:15" ht="15.95" customHeight="1" x14ac:dyDescent="0.25">
      <c r="C14" s="6" t="s">
        <v>14</v>
      </c>
      <c r="D14" s="32">
        <v>265772778</v>
      </c>
      <c r="E14" s="32">
        <v>828273884</v>
      </c>
      <c r="F14" s="32">
        <v>595882641.21583188</v>
      </c>
      <c r="G14" s="32">
        <v>300585033</v>
      </c>
      <c r="H14" s="33">
        <v>600760875</v>
      </c>
      <c r="I14" s="35"/>
      <c r="J14" s="1">
        <v>0.39855157767576299</v>
      </c>
      <c r="K14" s="35" t="s">
        <v>15</v>
      </c>
      <c r="L14" s="1">
        <v>1.6289941017796801</v>
      </c>
      <c r="M14" s="35"/>
      <c r="O14" s="4"/>
    </row>
    <row r="15" spans="2:15" ht="15.95" customHeight="1" x14ac:dyDescent="0.25">
      <c r="C15" s="7" t="s">
        <v>16</v>
      </c>
      <c r="D15" s="34">
        <v>17.3</v>
      </c>
      <c r="E15" s="34">
        <v>8.26</v>
      </c>
      <c r="F15" s="34">
        <v>17.3</v>
      </c>
      <c r="G15" s="34">
        <v>18.579999999999998</v>
      </c>
      <c r="H15" s="11">
        <v>23.55</v>
      </c>
      <c r="I15" s="35"/>
      <c r="J15" s="74">
        <v>828273884</v>
      </c>
      <c r="K15" s="35" t="s">
        <v>17</v>
      </c>
      <c r="L15" s="74">
        <v>828273884</v>
      </c>
      <c r="M15" s="35"/>
    </row>
    <row r="16" spans="2:15" ht="15.95" customHeight="1" x14ac:dyDescent="0.25">
      <c r="C16" s="6" t="s">
        <v>18</v>
      </c>
      <c r="D16" s="2">
        <v>4597.8690594000009</v>
      </c>
      <c r="E16" s="2">
        <v>6841.5422818400002</v>
      </c>
      <c r="F16" s="2">
        <v>10308.769693033892</v>
      </c>
      <c r="G16" s="2">
        <v>5584.869913139999</v>
      </c>
      <c r="H16" s="10">
        <v>14147.918606249999</v>
      </c>
      <c r="I16" s="35"/>
      <c r="J16" s="74">
        <v>330109863.21583188</v>
      </c>
      <c r="K16" s="35" t="s">
        <v>19</v>
      </c>
      <c r="L16" s="74">
        <v>1349253271.6941469</v>
      </c>
      <c r="M16" s="35"/>
    </row>
    <row r="17" spans="1:14" ht="15.95" customHeight="1" x14ac:dyDescent="0.25">
      <c r="C17" s="7" t="s">
        <v>20</v>
      </c>
      <c r="D17" s="4">
        <v>2697.7138989999999</v>
      </c>
      <c r="E17" s="4">
        <v>1405.623</v>
      </c>
      <c r="F17" s="4">
        <v>2754.083627305853</v>
      </c>
      <c r="G17" s="4">
        <v>2069.337</v>
      </c>
      <c r="H17" s="12">
        <v>1157.8120050150003</v>
      </c>
      <c r="I17" s="35"/>
      <c r="J17" s="74"/>
      <c r="K17" s="35"/>
      <c r="L17" s="71"/>
      <c r="M17" s="35"/>
    </row>
    <row r="18" spans="1:14" ht="15.95" customHeight="1" x14ac:dyDescent="0.25">
      <c r="A18" s="42"/>
      <c r="B18" s="42"/>
      <c r="C18" s="6" t="s">
        <v>21</v>
      </c>
      <c r="D18" s="2">
        <v>3151.3348270000001</v>
      </c>
      <c r="E18" s="2">
        <v>3874.1219999999998</v>
      </c>
      <c r="F18" s="2">
        <v>7025.456827</v>
      </c>
      <c r="G18" s="2">
        <v>3240.7249999999999</v>
      </c>
      <c r="H18" s="10">
        <v>3210.0096478899995</v>
      </c>
      <c r="I18" s="35"/>
      <c r="J18" s="35"/>
      <c r="K18" s="35"/>
      <c r="L18" s="35"/>
      <c r="M18" s="35"/>
    </row>
    <row r="19" spans="1:14" ht="15.95" customHeight="1" x14ac:dyDescent="0.25">
      <c r="C19" s="7" t="s">
        <v>22</v>
      </c>
      <c r="D19" s="4">
        <v>0.11169</v>
      </c>
      <c r="E19" s="4">
        <v>493.851</v>
      </c>
      <c r="F19" s="4">
        <v>493.96269000000001</v>
      </c>
      <c r="G19" s="4">
        <v>0</v>
      </c>
      <c r="H19" s="12">
        <v>172.75404335000002</v>
      </c>
      <c r="I19" s="75">
        <v>0.55398469494308411</v>
      </c>
      <c r="J19" s="71">
        <v>330109863.21583188</v>
      </c>
      <c r="K19" s="35" t="s">
        <v>23</v>
      </c>
      <c r="L19" s="35"/>
      <c r="M19" s="35"/>
    </row>
    <row r="20" spans="1:14" ht="15.95" customHeight="1" x14ac:dyDescent="0.25">
      <c r="C20" s="6" t="s">
        <v>24</v>
      </c>
      <c r="D20" s="2">
        <v>3151.223137</v>
      </c>
      <c r="E20" s="2">
        <v>3380.2710000000002</v>
      </c>
      <c r="F20" s="2">
        <v>6531.4941369999997</v>
      </c>
      <c r="G20" s="2">
        <v>3240.7249999999999</v>
      </c>
      <c r="H20" s="10">
        <v>3037.2556045399997</v>
      </c>
      <c r="I20" s="75">
        <v>0.44601530505691589</v>
      </c>
      <c r="J20" s="71">
        <v>265772778</v>
      </c>
      <c r="K20" s="35" t="s">
        <v>25</v>
      </c>
      <c r="L20" s="35"/>
      <c r="M20" s="35"/>
    </row>
    <row r="21" spans="1:14" ht="15.95" customHeight="1" x14ac:dyDescent="0.25">
      <c r="C21" s="7" t="s">
        <v>26</v>
      </c>
      <c r="D21" s="4">
        <v>453.62092800000033</v>
      </c>
      <c r="E21" s="4">
        <v>2468.4989999999998</v>
      </c>
      <c r="F21" s="4">
        <v>4271.3731996941469</v>
      </c>
      <c r="G21" s="4">
        <v>1171.3879999999999</v>
      </c>
      <c r="H21" s="12">
        <v>2052.1976428749995</v>
      </c>
      <c r="I21" s="35"/>
      <c r="J21" s="71">
        <v>595882641.21583188</v>
      </c>
      <c r="K21" s="35" t="s">
        <v>27</v>
      </c>
      <c r="L21" s="35"/>
      <c r="M21" s="35"/>
    </row>
    <row r="22" spans="1:14" ht="15.95" customHeight="1" x14ac:dyDescent="0.25">
      <c r="C22" s="6" t="s">
        <v>28</v>
      </c>
      <c r="D22" s="2">
        <v>0</v>
      </c>
      <c r="E22" s="2">
        <v>122.29600000000001</v>
      </c>
      <c r="F22" s="2">
        <v>122.29600000000001</v>
      </c>
      <c r="G22" s="2">
        <v>13.031000000000001</v>
      </c>
      <c r="H22" s="10">
        <v>0.16514679861806439</v>
      </c>
      <c r="I22" s="35"/>
      <c r="J22" s="71">
        <v>10308769693.033892</v>
      </c>
      <c r="K22" s="35" t="s">
        <v>29</v>
      </c>
      <c r="L22" s="35"/>
      <c r="M22" s="35"/>
    </row>
    <row r="23" spans="1:14" ht="15.95" customHeight="1" x14ac:dyDescent="0.25">
      <c r="A23" s="79"/>
      <c r="B23" s="79"/>
      <c r="C23" s="7" t="s">
        <v>30</v>
      </c>
      <c r="D23" s="4">
        <v>5051.4899874000012</v>
      </c>
      <c r="E23" s="4">
        <v>9432.3372818400003</v>
      </c>
      <c r="F23" s="4">
        <v>14702.43889272804</v>
      </c>
      <c r="G23" s="4">
        <v>6347.6161843399987</v>
      </c>
      <c r="H23" s="12">
        <v>14886.317746483617</v>
      </c>
      <c r="I23" s="35"/>
      <c r="J23" s="35"/>
      <c r="K23" s="35"/>
      <c r="L23" s="35"/>
      <c r="M23" s="35"/>
    </row>
    <row r="24" spans="1:14" ht="15.95" customHeight="1" x14ac:dyDescent="0.25">
      <c r="A24" s="79"/>
      <c r="B24" s="79"/>
      <c r="C24" s="6" t="s">
        <v>31</v>
      </c>
      <c r="D24" s="2">
        <v>0</v>
      </c>
      <c r="E24" s="2">
        <v>0</v>
      </c>
      <c r="F24" s="2">
        <v>0</v>
      </c>
      <c r="G24" s="2">
        <v>0</v>
      </c>
      <c r="H24" s="10">
        <v>549.80964943999993</v>
      </c>
      <c r="I24" s="35"/>
      <c r="J24" s="77">
        <v>5710900633.6338921</v>
      </c>
      <c r="K24" s="35"/>
      <c r="L24" s="35"/>
      <c r="M24" s="35"/>
    </row>
    <row r="25" spans="1:14" ht="15.95" customHeight="1" x14ac:dyDescent="0.25">
      <c r="A25" s="79"/>
      <c r="B25" s="79"/>
      <c r="C25" s="7" t="s">
        <v>32</v>
      </c>
      <c r="D25" s="4">
        <v>0</v>
      </c>
      <c r="E25" s="4">
        <v>0</v>
      </c>
      <c r="F25" s="4">
        <v>0</v>
      </c>
      <c r="G25" s="4">
        <v>421.67272880000002</v>
      </c>
      <c r="H25" s="12">
        <v>764.154</v>
      </c>
      <c r="I25" s="35"/>
      <c r="J25" s="72">
        <v>7060153905.3280392</v>
      </c>
      <c r="K25" s="35"/>
      <c r="L25" s="35"/>
      <c r="M25" s="35"/>
    </row>
    <row r="26" spans="1:14" ht="15.95" customHeight="1" x14ac:dyDescent="0.25">
      <c r="A26" s="79"/>
      <c r="B26" s="79"/>
      <c r="C26" s="8" t="s">
        <v>33</v>
      </c>
      <c r="D26" s="5">
        <v>5051.4899874000012</v>
      </c>
      <c r="E26" s="5">
        <v>9432.3372818400003</v>
      </c>
      <c r="F26" s="5">
        <v>14702.438892728</v>
      </c>
      <c r="G26" s="5">
        <v>6769.2889131399988</v>
      </c>
      <c r="H26" s="13">
        <v>16200.281395923617</v>
      </c>
      <c r="I26" s="35"/>
      <c r="J26" s="35"/>
      <c r="K26" s="35"/>
      <c r="L26" s="35"/>
      <c r="M26" s="35"/>
    </row>
    <row r="27" spans="1:14" x14ac:dyDescent="0.25">
      <c r="A27" s="79"/>
      <c r="B27" s="79"/>
      <c r="I27" s="76"/>
      <c r="J27" s="76"/>
      <c r="K27" s="76"/>
      <c r="L27" s="76"/>
      <c r="M27" s="76"/>
    </row>
    <row r="28" spans="1:14" x14ac:dyDescent="0.25">
      <c r="A28" s="79"/>
      <c r="B28" s="79"/>
      <c r="I28" s="76"/>
      <c r="J28" s="76"/>
      <c r="K28" s="76"/>
      <c r="L28" s="76"/>
      <c r="M28" s="76"/>
    </row>
    <row r="29" spans="1:14" ht="15.95" customHeight="1" x14ac:dyDescent="0.25">
      <c r="A29" s="79"/>
      <c r="B29" s="79"/>
      <c r="D29" s="124" t="s">
        <v>2</v>
      </c>
      <c r="E29" s="125"/>
      <c r="F29" s="124" t="s">
        <v>3</v>
      </c>
      <c r="G29" s="125"/>
      <c r="H29" s="124" t="s">
        <v>89</v>
      </c>
      <c r="I29" s="125"/>
      <c r="J29" s="124" t="s">
        <v>5</v>
      </c>
      <c r="K29" s="126"/>
      <c r="L29" s="124" t="s">
        <v>6</v>
      </c>
      <c r="M29" s="125"/>
    </row>
    <row r="30" spans="1:14" ht="15.95" customHeight="1" x14ac:dyDescent="0.25">
      <c r="A30" s="80">
        <v>44834</v>
      </c>
      <c r="B30" s="80">
        <v>44742</v>
      </c>
      <c r="C30" s="127" t="s">
        <v>34</v>
      </c>
      <c r="D30" s="124"/>
      <c r="E30" s="125"/>
      <c r="F30" s="124"/>
      <c r="G30" s="125"/>
      <c r="H30" s="124"/>
      <c r="I30" s="126"/>
      <c r="J30" s="130"/>
      <c r="K30" s="131"/>
      <c r="L30" s="128"/>
      <c r="M30" s="129"/>
      <c r="N30" s="37"/>
    </row>
    <row r="31" spans="1:14" ht="15.95" customHeight="1" x14ac:dyDescent="0.25">
      <c r="A31" s="79"/>
      <c r="B31" s="81"/>
      <c r="C31" s="45" t="s">
        <v>35</v>
      </c>
      <c r="D31" s="108">
        <v>878.24311146562491</v>
      </c>
      <c r="E31" s="109"/>
      <c r="F31" s="108">
        <v>1218.8548812614561</v>
      </c>
      <c r="G31" s="109"/>
      <c r="H31" s="108">
        <v>2097.097992727081</v>
      </c>
      <c r="I31" s="107"/>
      <c r="J31" s="108">
        <v>764.84612216000005</v>
      </c>
      <c r="K31" s="109"/>
      <c r="L31" s="108">
        <v>1424.8839171081615</v>
      </c>
      <c r="M31" s="109"/>
      <c r="N31" s="37"/>
    </row>
    <row r="32" spans="1:14" ht="15.95" customHeight="1" x14ac:dyDescent="0.25">
      <c r="A32" s="79"/>
      <c r="B32" s="79"/>
      <c r="C32" s="19" t="s">
        <v>36</v>
      </c>
      <c r="D32" s="114">
        <v>0.1738582306717896</v>
      </c>
      <c r="E32" s="46">
        <f>1/D32</f>
        <v>5.7518128197669558</v>
      </c>
      <c r="F32" s="114">
        <v>0.12922087546721925</v>
      </c>
      <c r="G32" s="46">
        <f>1/F32</f>
        <v>7.7386877033941781</v>
      </c>
      <c r="H32" s="114">
        <v>0.144788939673479</v>
      </c>
      <c r="I32" s="46">
        <f>1/H32</f>
        <v>6.9066048985174664</v>
      </c>
      <c r="J32" s="9">
        <v>0.11298766118186244</v>
      </c>
      <c r="K32" s="46">
        <f>1/J32</f>
        <v>8.8505239380999488</v>
      </c>
      <c r="L32" s="112">
        <v>9.1044151268367207E-2</v>
      </c>
      <c r="M32" s="115">
        <f>1/L32</f>
        <v>10.983681939681551</v>
      </c>
    </row>
    <row r="33" spans="1:14" ht="15.95" customHeight="1" x14ac:dyDescent="0.25">
      <c r="A33" s="79"/>
      <c r="B33" s="79"/>
      <c r="C33" s="19" t="s">
        <v>37</v>
      </c>
      <c r="D33" s="112">
        <v>0.1687708815533227</v>
      </c>
      <c r="E33" s="46">
        <f>1/D33</f>
        <v>5.9251927275384455</v>
      </c>
      <c r="F33" s="112">
        <v>0.12160451876497566</v>
      </c>
      <c r="G33" s="46">
        <f>1/F33</f>
        <v>8.2233786224070684</v>
      </c>
      <c r="H33" s="112">
        <v>0.13805461893107029</v>
      </c>
      <c r="I33" s="46">
        <f>1/H33</f>
        <v>7.2435099074757723</v>
      </c>
      <c r="J33" s="9">
        <v>0.11522628299789757</v>
      </c>
      <c r="K33" s="46">
        <f>1/J33</f>
        <v>8.6785755296666665</v>
      </c>
      <c r="L33" s="112">
        <v>9.2222578976953642E-2</v>
      </c>
      <c r="M33" s="46">
        <f>1/L33</f>
        <v>10.843331547363247</v>
      </c>
      <c r="N33" s="39"/>
    </row>
    <row r="34" spans="1:14" ht="15.95" customHeight="1" x14ac:dyDescent="0.25">
      <c r="A34" s="79"/>
      <c r="B34" s="79"/>
      <c r="C34" s="19" t="s">
        <v>38</v>
      </c>
      <c r="D34" s="112">
        <v>0.17979012711230088</v>
      </c>
      <c r="E34" s="46">
        <f>1/D34</f>
        <v>5.5620406752111471</v>
      </c>
      <c r="F34" s="112">
        <v>0.13066380820713047</v>
      </c>
      <c r="G34" s="46">
        <f>1/F34</f>
        <v>7.6532286462582135</v>
      </c>
      <c r="H34" s="112">
        <v>0.14779747760640033</v>
      </c>
      <c r="I34" s="46">
        <f>1/H34</f>
        <v>6.7660153352758927</v>
      </c>
      <c r="J34" s="47">
        <v>0.12408984322850508</v>
      </c>
      <c r="K34" s="46">
        <f>1/J34</f>
        <v>8.0586772775476181</v>
      </c>
      <c r="L34" s="112">
        <v>0.10143922021754385</v>
      </c>
      <c r="M34" s="46">
        <f>1/L34</f>
        <v>9.8581199446863508</v>
      </c>
      <c r="N34" s="39"/>
    </row>
    <row r="35" spans="1:14" ht="15.95" customHeight="1" outlineLevel="1" x14ac:dyDescent="0.25">
      <c r="A35" s="82" t="s">
        <v>39</v>
      </c>
      <c r="B35" s="82" t="s">
        <v>40</v>
      </c>
      <c r="C35" s="19" t="s">
        <v>41</v>
      </c>
      <c r="D35" s="112">
        <v>0.15832510315174747</v>
      </c>
      <c r="E35" s="46">
        <f>1/D35</f>
        <v>6.3161177860818771</v>
      </c>
      <c r="F35" s="112">
        <v>0.11182689766123258</v>
      </c>
      <c r="G35" s="46">
        <f>1/F35</f>
        <v>8.9423924021337982</v>
      </c>
      <c r="H35" s="112">
        <v>0.12804396619575181</v>
      </c>
      <c r="I35" s="46">
        <f>1/H35</f>
        <v>7.8098174377948748</v>
      </c>
      <c r="J35" s="9">
        <v>9.6671896915159206E-2</v>
      </c>
      <c r="K35" s="46">
        <f>1/J35</f>
        <v>10.344267899052564</v>
      </c>
      <c r="L35" s="112">
        <v>8.8789655833359696E-2</v>
      </c>
      <c r="M35" s="46">
        <f>1/L35</f>
        <v>11.262573219979574</v>
      </c>
      <c r="N35" s="39"/>
    </row>
    <row r="36" spans="1:14" ht="15.95" customHeight="1" outlineLevel="1" x14ac:dyDescent="0.25">
      <c r="A36" s="82" t="s">
        <v>39</v>
      </c>
      <c r="B36" s="82" t="s">
        <v>42</v>
      </c>
      <c r="C36" s="19" t="s">
        <v>43</v>
      </c>
      <c r="D36" s="113">
        <v>0.16450591846619006</v>
      </c>
      <c r="E36" s="46">
        <f>1/D36</f>
        <v>6.078808649097474</v>
      </c>
      <c r="F36" s="113">
        <v>0.12160294587941733</v>
      </c>
      <c r="G36" s="46">
        <f>1/F36</f>
        <v>8.2234849885265913</v>
      </c>
      <c r="H36" s="113">
        <v>0.13656611358523815</v>
      </c>
      <c r="I36" s="46">
        <f>1/H36</f>
        <v>7.322460702345805</v>
      </c>
      <c r="J36" s="9">
        <v>0.10848997722263588</v>
      </c>
      <c r="K36" s="46">
        <f>1/J36</f>
        <v>9.2174413305283203</v>
      </c>
      <c r="L36" s="112">
        <v>9.7185568884959758E-2</v>
      </c>
      <c r="M36" s="49">
        <f>1/L36</f>
        <v>10.289593521685481</v>
      </c>
      <c r="N36" s="39"/>
    </row>
    <row r="37" spans="1:14" ht="15.95" customHeight="1" x14ac:dyDescent="0.25">
      <c r="A37" s="82"/>
      <c r="B37" s="82"/>
      <c r="C37" s="45" t="s">
        <v>45</v>
      </c>
      <c r="D37" s="108">
        <v>770.98751138788828</v>
      </c>
      <c r="E37" s="109"/>
      <c r="F37" s="108">
        <v>1048.7291399199999</v>
      </c>
      <c r="G37" s="109"/>
      <c r="H37" s="108">
        <v>1819.7166513078882</v>
      </c>
      <c r="I37" s="109"/>
      <c r="J37" s="108">
        <v>707.38400000000001</v>
      </c>
      <c r="K37" s="109"/>
      <c r="L37" s="108">
        <v>1282.3798696599802</v>
      </c>
      <c r="M37" s="109"/>
      <c r="N37" s="39"/>
    </row>
    <row r="38" spans="1:14" ht="15.95" customHeight="1" x14ac:dyDescent="0.25">
      <c r="A38" s="82"/>
      <c r="B38" s="82"/>
      <c r="C38" s="19" t="s">
        <v>47</v>
      </c>
      <c r="D38" s="110">
        <v>0.87787481771562437</v>
      </c>
      <c r="E38" s="111"/>
      <c r="F38" s="110">
        <v>0.86042165974231133</v>
      </c>
      <c r="G38" s="111"/>
      <c r="H38" s="110">
        <v>0.86773086313506786</v>
      </c>
      <c r="I38" s="111"/>
      <c r="J38" s="110">
        <v>0.92487100281332224</v>
      </c>
      <c r="K38" s="111"/>
      <c r="L38" s="110">
        <v>0.89998901262258824</v>
      </c>
      <c r="M38" s="111"/>
    </row>
    <row r="39" spans="1:14" ht="15.95" customHeight="1" x14ac:dyDescent="0.25">
      <c r="A39" s="82"/>
      <c r="B39" s="82"/>
      <c r="C39" s="19" t="s">
        <v>48</v>
      </c>
      <c r="D39" s="112">
        <v>0.15262576255935828</v>
      </c>
      <c r="E39" s="46">
        <f>1/D39</f>
        <v>6.5519738164196628</v>
      </c>
      <c r="F39" s="112">
        <v>0.11118444014285932</v>
      </c>
      <c r="G39" s="46">
        <f>1/F39</f>
        <v>8.9940642657831802</v>
      </c>
      <c r="H39" s="112">
        <v>0.12376971362267906</v>
      </c>
      <c r="I39" s="46">
        <f>1/H39</f>
        <v>8.0795209969425343</v>
      </c>
      <c r="J39" s="9">
        <v>0.104499011502801</v>
      </c>
      <c r="K39" s="46">
        <f>1/J39</f>
        <v>9.5694685109360673</v>
      </c>
      <c r="L39" s="112">
        <v>8.1938735805079363E-2</v>
      </c>
      <c r="M39" s="46">
        <f>1/L39</f>
        <v>12.204240035858721</v>
      </c>
    </row>
    <row r="40" spans="1:14" ht="15.95" customHeight="1" x14ac:dyDescent="0.25">
      <c r="A40" s="82"/>
      <c r="B40" s="82"/>
      <c r="C40" s="19" t="s">
        <v>49</v>
      </c>
      <c r="D40" s="112">
        <v>0.1563895013096151</v>
      </c>
      <c r="E40" s="46">
        <f>1/D40</f>
        <v>6.3942911232911408</v>
      </c>
      <c r="F40" s="112">
        <v>0.11217305594819493</v>
      </c>
      <c r="G40" s="46">
        <f>1/F40</f>
        <v>8.9147967980994611</v>
      </c>
      <c r="H40" s="112">
        <v>0.12759432042957902</v>
      </c>
      <c r="I40" s="46">
        <f>1/H40</f>
        <v>7.8373394413892674</v>
      </c>
      <c r="J40" s="9">
        <v>0.10340820269042091</v>
      </c>
      <c r="K40" s="46">
        <f>1/J40</f>
        <v>9.670412733057141</v>
      </c>
      <c r="L40" s="112">
        <v>8.5715773137362158E-2</v>
      </c>
      <c r="M40" s="46">
        <f>1/L40</f>
        <v>11.666464215372232</v>
      </c>
      <c r="N40" s="42"/>
    </row>
    <row r="41" spans="1:14" ht="15.95" customHeight="1" x14ac:dyDescent="0.25">
      <c r="A41" s="82"/>
      <c r="B41" s="82"/>
      <c r="C41" s="19" t="s">
        <v>50</v>
      </c>
      <c r="D41" s="112">
        <v>0.16169278593057276</v>
      </c>
      <c r="E41" s="46">
        <f>1/D41</f>
        <v>6.184567816336453</v>
      </c>
      <c r="F41" s="112">
        <v>0.11636315269511069</v>
      </c>
      <c r="G41" s="46">
        <f>1/F41</f>
        <v>8.5937857202971575</v>
      </c>
      <c r="H41" s="112">
        <v>0.1321726610636447</v>
      </c>
      <c r="I41" s="46">
        <f>1/H41</f>
        <v>7.5658611391539816</v>
      </c>
      <c r="J41" s="47">
        <v>0.11522628299789757</v>
      </c>
      <c r="K41" s="46">
        <f>1/J41</f>
        <v>8.6785755296666665</v>
      </c>
      <c r="L41" s="112">
        <v>9.6178889964655664E-2</v>
      </c>
      <c r="M41" s="46">
        <f>1/L41</f>
        <v>10.397291966745357</v>
      </c>
      <c r="N41" s="37"/>
    </row>
    <row r="42" spans="1:14" ht="15.95" customHeight="1" outlineLevel="1" x14ac:dyDescent="0.25">
      <c r="A42" s="82" t="s">
        <v>39</v>
      </c>
      <c r="B42" s="82" t="s">
        <v>40</v>
      </c>
      <c r="C42" s="19" t="s">
        <v>51</v>
      </c>
      <c r="D42" s="112">
        <v>0.14766994684761153</v>
      </c>
      <c r="E42" s="46">
        <f>1/D42</f>
        <v>6.7718586032400561</v>
      </c>
      <c r="F42" s="112">
        <v>9.8419358647807847E-2</v>
      </c>
      <c r="G42" s="46">
        <f>1/F42</f>
        <v>10.160602687713954</v>
      </c>
      <c r="H42" s="112">
        <v>0.11559636915339663</v>
      </c>
      <c r="I42" s="46">
        <f>1/H42</f>
        <v>8.6507907412991312</v>
      </c>
      <c r="J42" s="9">
        <v>9.5430998482874146E-2</v>
      </c>
      <c r="K42" s="46">
        <f>1/J42</f>
        <v>10.478775407337459</v>
      </c>
      <c r="L42" s="112">
        <v>7.9039151026098098E-2</v>
      </c>
      <c r="M42" s="46">
        <f>1/L42</f>
        <v>12.651957757868729</v>
      </c>
    </row>
    <row r="43" spans="1:14" ht="15.95" customHeight="1" outlineLevel="1" x14ac:dyDescent="0.25">
      <c r="A43" s="82" t="s">
        <v>39</v>
      </c>
      <c r="B43" s="82" t="s">
        <v>42</v>
      </c>
      <c r="C43" s="19" t="s">
        <v>52</v>
      </c>
      <c r="D43" s="113">
        <v>0.14946085251741695</v>
      </c>
      <c r="E43" s="46">
        <f>1/D43</f>
        <v>6.6907152150993392</v>
      </c>
      <c r="F43" s="113">
        <v>0.10400391447925755</v>
      </c>
      <c r="G43" s="46">
        <f>1/F43</f>
        <v>9.6150227133944952</v>
      </c>
      <c r="H43" s="113">
        <v>0.11985782264103814</v>
      </c>
      <c r="I43" s="46">
        <f>1/H43</f>
        <v>8.3432184730645176</v>
      </c>
      <c r="J43" s="9">
        <v>0.11433992697483683</v>
      </c>
      <c r="K43" s="46">
        <f>1/J43</f>
        <v>8.7458513089664063</v>
      </c>
      <c r="L43" s="113">
        <v>9.2840651932837956E-2</v>
      </c>
      <c r="M43" s="49">
        <f>1/L43</f>
        <v>10.771143665852454</v>
      </c>
      <c r="N43" s="37"/>
    </row>
    <row r="44" spans="1:14" ht="15.95" customHeight="1" x14ac:dyDescent="0.25">
      <c r="A44" s="82"/>
      <c r="B44" s="82"/>
      <c r="C44" s="45" t="s">
        <v>53</v>
      </c>
      <c r="D44" s="108">
        <v>507.95711489151483</v>
      </c>
      <c r="E44" s="109"/>
      <c r="F44" s="108">
        <v>702.06399999999996</v>
      </c>
      <c r="G44" s="109"/>
      <c r="H44" s="108">
        <v>1210.0211148915148</v>
      </c>
      <c r="I44" s="109"/>
      <c r="J44" s="108">
        <v>369.03491999999994</v>
      </c>
      <c r="K44" s="109"/>
      <c r="L44" s="108">
        <v>1027.7960369123487</v>
      </c>
      <c r="M44" s="109"/>
    </row>
    <row r="45" spans="1:14" ht="15.95" customHeight="1" x14ac:dyDescent="0.25">
      <c r="A45" s="82"/>
      <c r="B45" s="82"/>
      <c r="C45" s="19" t="s">
        <v>54</v>
      </c>
      <c r="D45" s="110">
        <v>0.57837870660189816</v>
      </c>
      <c r="E45" s="111"/>
      <c r="F45" s="110">
        <v>0.57600294406943475</v>
      </c>
      <c r="G45" s="111"/>
      <c r="H45" s="110">
        <v>0.576997889029494</v>
      </c>
      <c r="I45" s="111"/>
      <c r="J45" s="110">
        <v>0.48249564102882464</v>
      </c>
      <c r="K45" s="111"/>
      <c r="L45" s="110">
        <v>0.72131913664818892</v>
      </c>
      <c r="M45" s="111"/>
    </row>
    <row r="46" spans="1:14" ht="15.95" customHeight="1" x14ac:dyDescent="0.25">
      <c r="A46" s="82"/>
      <c r="B46" s="82"/>
      <c r="C46" s="19" t="s">
        <v>55</v>
      </c>
      <c r="D46" s="112">
        <v>0.11047663783574574</v>
      </c>
      <c r="E46" s="46">
        <f>1/D46</f>
        <v>9.0516874842514508</v>
      </c>
      <c r="F46" s="112">
        <v>0.10261779743195319</v>
      </c>
      <c r="G46" s="46">
        <f>1/F46</f>
        <v>9.7448983024909417</v>
      </c>
      <c r="H46" s="112">
        <v>0.1173778395407535</v>
      </c>
      <c r="I46" s="46">
        <f>1/H46</f>
        <v>8.5194957064514778</v>
      </c>
      <c r="J46" s="9">
        <v>7.5203577099289251E-2</v>
      </c>
      <c r="K46" s="46">
        <f>1/J46</f>
        <v>13.29723981985228</v>
      </c>
      <c r="L46" s="112">
        <v>7.2646448252699752E-2</v>
      </c>
      <c r="M46" s="46">
        <f>1/L46</f>
        <v>13.765297878314886</v>
      </c>
    </row>
    <row r="47" spans="1:14" ht="15.95" customHeight="1" x14ac:dyDescent="0.25">
      <c r="A47" s="82"/>
      <c r="B47" s="82"/>
      <c r="C47" s="19" t="s">
        <v>56</v>
      </c>
      <c r="D47" s="112">
        <v>0.10591863180713351</v>
      </c>
      <c r="E47" s="46">
        <f>1/D47</f>
        <v>9.44120956755647</v>
      </c>
      <c r="F47" s="112">
        <v>8.6259583176758539E-2</v>
      </c>
      <c r="G47" s="46">
        <f>1/F47</f>
        <v>11.592914817949598</v>
      </c>
      <c r="H47" s="112">
        <v>0.1044885682377371</v>
      </c>
      <c r="I47" s="46">
        <f>1/H47</f>
        <v>9.5704249456720945</v>
      </c>
      <c r="J47" s="9">
        <v>7.723430541649183E-2</v>
      </c>
      <c r="K47" s="46">
        <f>1/J47</f>
        <v>12.947614335461742</v>
      </c>
      <c r="L47" s="112">
        <v>7.2448819400699332E-2</v>
      </c>
      <c r="M47" s="46">
        <f>1/L47</f>
        <v>13.802847420731707</v>
      </c>
    </row>
    <row r="48" spans="1:14" ht="15.95" customHeight="1" x14ac:dyDescent="0.25">
      <c r="A48" s="82"/>
      <c r="B48" s="82"/>
      <c r="C48" s="19" t="s">
        <v>57</v>
      </c>
      <c r="D48" s="112">
        <v>0.12244802814664511</v>
      </c>
      <c r="E48" s="46">
        <f>1/D48</f>
        <v>8.1667301232682075</v>
      </c>
      <c r="F48" s="112">
        <v>9.524224356396141E-2</v>
      </c>
      <c r="G48" s="46">
        <f>1/F48</f>
        <v>10.4995426669935</v>
      </c>
      <c r="H48" s="112">
        <v>0.11782238545700649</v>
      </c>
      <c r="I48" s="46">
        <f>1/H48</f>
        <v>8.487351500491398</v>
      </c>
      <c r="J48" s="47">
        <v>9.475976785928418E-2</v>
      </c>
      <c r="K48" s="46">
        <f>1/J48</f>
        <v>10.553001791698923</v>
      </c>
      <c r="L48" s="112">
        <v>7.5521234992282041E-2</v>
      </c>
      <c r="M48" s="46">
        <f>1/L48</f>
        <v>13.241308886198642</v>
      </c>
    </row>
    <row r="49" spans="1:13" ht="15.95" customHeight="1" outlineLevel="1" x14ac:dyDescent="0.25">
      <c r="A49" s="82" t="s">
        <v>39</v>
      </c>
      <c r="B49" s="82" t="s">
        <v>40</v>
      </c>
      <c r="C49" s="19" t="s">
        <v>44</v>
      </c>
      <c r="D49" s="112">
        <v>9.7653933637377718E-2</v>
      </c>
      <c r="E49" s="46">
        <f>1/D49</f>
        <v>10.24024289398664</v>
      </c>
      <c r="F49" s="112">
        <v>7.2962057301756492E-2</v>
      </c>
      <c r="G49" s="46">
        <f>1/F49</f>
        <v>13.705753880598511</v>
      </c>
      <c r="H49" s="112">
        <v>9.1977319140297026E-2</v>
      </c>
      <c r="I49" s="46">
        <f>1/H49</f>
        <v>10.872245563872722</v>
      </c>
      <c r="J49" s="9">
        <v>6.7045083066031172E-2</v>
      </c>
      <c r="K49" s="46">
        <f>1/J49</f>
        <v>14.915336878844982</v>
      </c>
      <c r="L49" s="112">
        <v>5.9726099896186276E-2</v>
      </c>
      <c r="M49" s="46">
        <f>1/L49</f>
        <v>16.743098942307693</v>
      </c>
    </row>
    <row r="50" spans="1:13" ht="15.95" customHeight="1" outlineLevel="1" x14ac:dyDescent="0.25">
      <c r="A50" s="82" t="s">
        <v>39</v>
      </c>
      <c r="B50" s="82" t="s">
        <v>42</v>
      </c>
      <c r="C50" s="20" t="s">
        <v>46</v>
      </c>
      <c r="D50" s="113">
        <v>0.1152707902623835</v>
      </c>
      <c r="E50" s="49">
        <f>1/D50</f>
        <v>8.6752246403773601</v>
      </c>
      <c r="F50" s="113">
        <v>7.9660400761774552E-2</v>
      </c>
      <c r="G50" s="49">
        <f>1/F50</f>
        <v>12.553288590532111</v>
      </c>
      <c r="H50" s="113">
        <v>0.10428014515897341</v>
      </c>
      <c r="I50" s="49">
        <f>1/H50</f>
        <v>9.5895532028222252</v>
      </c>
      <c r="J50" s="3">
        <v>9.2925707836201257E-2</v>
      </c>
      <c r="K50" s="49">
        <f>1/J50</f>
        <v>10.761284721798244</v>
      </c>
      <c r="L50" s="113">
        <v>7.0823138575122666E-2</v>
      </c>
      <c r="M50" s="49">
        <f>1/L50</f>
        <v>14.11967924775449</v>
      </c>
    </row>
    <row r="51" spans="1:13" ht="15.95" customHeight="1" x14ac:dyDescent="0.25">
      <c r="A51" s="79"/>
      <c r="B51" s="79"/>
      <c r="F51" s="42"/>
    </row>
    <row r="52" spans="1:13" ht="15.95" hidden="1" customHeight="1" x14ac:dyDescent="0.25">
      <c r="A52" s="79"/>
      <c r="B52" s="79"/>
      <c r="C52" s="52" t="s">
        <v>11</v>
      </c>
      <c r="D52" s="53">
        <v>44834</v>
      </c>
      <c r="E52" s="54"/>
      <c r="F52" s="53">
        <v>44834</v>
      </c>
      <c r="G52" s="54"/>
      <c r="H52" s="53">
        <v>44834</v>
      </c>
      <c r="I52" s="54"/>
      <c r="J52" s="53">
        <v>44834</v>
      </c>
      <c r="K52" s="54"/>
      <c r="L52" s="83">
        <v>44834</v>
      </c>
    </row>
    <row r="53" spans="1:13" ht="15.95" hidden="1" customHeight="1" x14ac:dyDescent="0.25">
      <c r="C53" s="55"/>
      <c r="D53" s="84" t="s">
        <v>2</v>
      </c>
      <c r="E53" s="56"/>
      <c r="F53" s="84" t="s">
        <v>3</v>
      </c>
      <c r="G53" s="56"/>
      <c r="H53" s="84" t="s">
        <v>89</v>
      </c>
      <c r="I53" s="56"/>
      <c r="J53" s="84" t="s">
        <v>5</v>
      </c>
      <c r="K53" s="56"/>
      <c r="L53" s="85" t="s">
        <v>6</v>
      </c>
    </row>
    <row r="54" spans="1:13" ht="15.95" hidden="1" customHeight="1" x14ac:dyDescent="0.25">
      <c r="B54" s="38"/>
      <c r="C54" s="43" t="s">
        <v>34</v>
      </c>
      <c r="D54" s="104"/>
      <c r="E54" s="105"/>
      <c r="F54" s="104"/>
      <c r="G54" s="105"/>
      <c r="H54" s="104"/>
      <c r="I54" s="106"/>
      <c r="J54" s="44"/>
      <c r="K54" s="44"/>
      <c r="L54" s="44"/>
    </row>
    <row r="55" spans="1:13" ht="15.95" hidden="1" customHeight="1" x14ac:dyDescent="0.25">
      <c r="C55" s="19" t="s">
        <v>35</v>
      </c>
      <c r="D55" s="86">
        <v>878.24311146562491</v>
      </c>
      <c r="E55" s="57"/>
      <c r="F55" s="86">
        <v>1218.8548812614561</v>
      </c>
      <c r="G55" s="57"/>
      <c r="H55" s="86">
        <v>2097.097992727081</v>
      </c>
      <c r="I55" s="57"/>
      <c r="J55" s="86">
        <v>764.84612216000005</v>
      </c>
      <c r="K55" s="57"/>
      <c r="L55" s="87">
        <v>1424.8839171081615</v>
      </c>
    </row>
    <row r="56" spans="1:13" ht="15.95" hidden="1" customHeight="1" x14ac:dyDescent="0.25">
      <c r="C56" s="19" t="s">
        <v>45</v>
      </c>
      <c r="D56" s="86">
        <v>770.98751138788828</v>
      </c>
      <c r="E56" s="57"/>
      <c r="F56" s="86">
        <v>1048.7291399199999</v>
      </c>
      <c r="G56" s="57"/>
      <c r="H56" s="86">
        <v>1819.7166513078882</v>
      </c>
      <c r="I56" s="57"/>
      <c r="J56" s="86">
        <v>707.38400000000001</v>
      </c>
      <c r="K56" s="57"/>
      <c r="L56" s="87">
        <v>1282.3798696599802</v>
      </c>
    </row>
    <row r="57" spans="1:13" ht="15.95" hidden="1" customHeight="1" x14ac:dyDescent="0.25">
      <c r="C57" s="19" t="s">
        <v>53</v>
      </c>
      <c r="D57" s="86">
        <v>507.95711489151483</v>
      </c>
      <c r="E57" s="57"/>
      <c r="F57" s="86">
        <v>702.06399999999996</v>
      </c>
      <c r="G57" s="57"/>
      <c r="H57" s="86">
        <v>1210.0211148915148</v>
      </c>
      <c r="I57" s="57"/>
      <c r="J57" s="86">
        <v>369.03491999999994</v>
      </c>
      <c r="K57" s="57"/>
      <c r="L57" s="87">
        <v>1027.7960369123487</v>
      </c>
    </row>
    <row r="58" spans="1:13" ht="15.95" hidden="1" customHeight="1" x14ac:dyDescent="0.25">
      <c r="C58" s="58" t="s">
        <v>35</v>
      </c>
      <c r="D58" s="59"/>
      <c r="E58" s="60" t="s">
        <v>58</v>
      </c>
      <c r="F58" s="61"/>
      <c r="G58" s="60" t="s">
        <v>58</v>
      </c>
      <c r="H58" s="59"/>
      <c r="I58" s="60" t="s">
        <v>58</v>
      </c>
      <c r="J58" s="59"/>
      <c r="K58" s="60" t="s">
        <v>58</v>
      </c>
      <c r="L58" s="88"/>
    </row>
    <row r="59" spans="1:13" ht="15.95" hidden="1" customHeight="1" x14ac:dyDescent="0.25">
      <c r="B59" s="24"/>
      <c r="C59" s="19">
        <v>2019</v>
      </c>
      <c r="D59" s="89">
        <v>736.64567974736087</v>
      </c>
      <c r="E59" s="14">
        <v>0.83877194153909829</v>
      </c>
      <c r="F59" s="89">
        <v>1070.9010000000001</v>
      </c>
      <c r="G59" s="14">
        <v>0.87861238976347134</v>
      </c>
      <c r="H59" s="90"/>
      <c r="I59" s="62"/>
      <c r="J59" s="89">
        <v>554.04887473999997</v>
      </c>
      <c r="K59" s="14">
        <v>0.7243926048488184</v>
      </c>
      <c r="L59" s="12">
        <v>1060.4699390200001</v>
      </c>
    </row>
    <row r="60" spans="1:13" ht="15.95" hidden="1" customHeight="1" x14ac:dyDescent="0.25">
      <c r="B60" s="24"/>
      <c r="C60" s="19">
        <v>2020</v>
      </c>
      <c r="D60" s="89">
        <v>421.92274743236675</v>
      </c>
      <c r="E60" s="14">
        <v>0.48041680250501018</v>
      </c>
      <c r="F60" s="89">
        <v>601.41399999999999</v>
      </c>
      <c r="G60" s="14">
        <v>0.49342543500959318</v>
      </c>
      <c r="H60" s="90"/>
      <c r="I60" s="62"/>
      <c r="J60" s="89">
        <v>352.36608485000005</v>
      </c>
      <c r="K60" s="14">
        <v>0.46070193028485762</v>
      </c>
      <c r="L60" s="12">
        <v>641.7025437436389</v>
      </c>
    </row>
    <row r="61" spans="1:13" ht="15.95" hidden="1" customHeight="1" x14ac:dyDescent="0.25">
      <c r="C61" s="19">
        <v>2021</v>
      </c>
      <c r="D61" s="89">
        <v>644.94321393433881</v>
      </c>
      <c r="E61" s="14">
        <v>0.73435613159327628</v>
      </c>
      <c r="F61" s="89">
        <v>998.39547390999996</v>
      </c>
      <c r="G61" s="14">
        <v>0.81912579525194074</v>
      </c>
      <c r="H61" s="90"/>
      <c r="I61" s="62"/>
      <c r="J61" s="89">
        <v>491.75287787000002</v>
      </c>
      <c r="K61" s="14">
        <v>0.64294354592691394</v>
      </c>
      <c r="L61" s="12">
        <v>1071.8656427966966</v>
      </c>
    </row>
    <row r="62" spans="1:13" ht="15.95" hidden="1" customHeight="1" x14ac:dyDescent="0.25">
      <c r="C62" s="19" t="s">
        <v>40</v>
      </c>
      <c r="D62" s="89">
        <v>852.54441833128124</v>
      </c>
      <c r="E62" s="14">
        <v>0.97073852012177209</v>
      </c>
      <c r="F62" s="89">
        <v>1147.0148359870918</v>
      </c>
      <c r="G62" s="14">
        <v>0.94105939404368366</v>
      </c>
      <c r="H62" s="89">
        <v>1999.559254318373</v>
      </c>
      <c r="I62" s="14">
        <v>0.95348870737229219</v>
      </c>
      <c r="J62" s="89">
        <v>780</v>
      </c>
      <c r="K62" s="14">
        <v>1.0198129759711718</v>
      </c>
      <c r="L62" s="12">
        <v>1443.326866666667</v>
      </c>
    </row>
    <row r="63" spans="1:13" ht="15.95" hidden="1" customHeight="1" x14ac:dyDescent="0.25">
      <c r="C63" s="19" t="s">
        <v>42</v>
      </c>
      <c r="D63" s="89">
        <v>908.20802694116139</v>
      </c>
      <c r="E63" s="14">
        <v>1.0341191579920628</v>
      </c>
      <c r="F63" s="89">
        <v>1232.4651095393083</v>
      </c>
      <c r="G63" s="14">
        <v>1.011166405851176</v>
      </c>
      <c r="H63" s="89">
        <v>2140.6731364804696</v>
      </c>
      <c r="I63" s="14">
        <v>1.02077878282489</v>
      </c>
      <c r="J63" s="89">
        <v>840</v>
      </c>
      <c r="K63" s="14">
        <v>1.0982601279689541</v>
      </c>
      <c r="L63" s="12">
        <v>1587.5716499999999</v>
      </c>
    </row>
    <row r="64" spans="1:13" ht="15.95" hidden="1" customHeight="1" x14ac:dyDescent="0.25">
      <c r="C64" s="58" t="s">
        <v>45</v>
      </c>
      <c r="D64" s="59"/>
      <c r="E64" s="60" t="s">
        <v>58</v>
      </c>
      <c r="F64" s="61"/>
      <c r="G64" s="60" t="s">
        <v>58</v>
      </c>
      <c r="H64" s="61"/>
      <c r="I64" s="60" t="s">
        <v>58</v>
      </c>
      <c r="J64" s="61"/>
      <c r="K64" s="60" t="s">
        <v>58</v>
      </c>
      <c r="L64" s="60"/>
    </row>
    <row r="65" spans="2:12" ht="15.95" hidden="1" customHeight="1" x14ac:dyDescent="0.25">
      <c r="C65" s="19">
        <v>2019</v>
      </c>
      <c r="D65" s="89">
        <v>674.18473872254299</v>
      </c>
      <c r="E65" s="14">
        <v>0.87444313787769867</v>
      </c>
      <c r="F65" s="89">
        <v>987.04899999999998</v>
      </c>
      <c r="G65" s="14">
        <v>0.94118582427803521</v>
      </c>
      <c r="H65" s="90"/>
      <c r="I65" s="14"/>
      <c r="J65" s="89">
        <v>550.09699999999998</v>
      </c>
      <c r="K65" s="14">
        <v>0.77764976307069422</v>
      </c>
      <c r="L65" s="12">
        <v>939.08506121836672</v>
      </c>
    </row>
    <row r="66" spans="2:12" ht="15.95" hidden="1" customHeight="1" x14ac:dyDescent="0.25">
      <c r="C66" s="19">
        <v>2020</v>
      </c>
      <c r="D66" s="89">
        <v>351.66639919787133</v>
      </c>
      <c r="E66" s="14">
        <v>0.45612463756361149</v>
      </c>
      <c r="F66" s="89">
        <v>429.428</v>
      </c>
      <c r="G66" s="14">
        <v>0.40947465237092395</v>
      </c>
      <c r="H66" s="90"/>
      <c r="I66" s="14"/>
      <c r="J66" s="89">
        <v>327.33499999999998</v>
      </c>
      <c r="K66" s="14">
        <v>0.46274018072221024</v>
      </c>
      <c r="L66" s="12">
        <v>575.15121690748231</v>
      </c>
    </row>
    <row r="67" spans="2:12" ht="15.95" hidden="1" customHeight="1" x14ac:dyDescent="0.25">
      <c r="C67" s="19">
        <v>2021</v>
      </c>
      <c r="D67" s="89">
        <v>596.23902733919795</v>
      </c>
      <c r="E67" s="14">
        <v>0.77334459836564928</v>
      </c>
      <c r="F67" s="89">
        <v>805.99917696</v>
      </c>
      <c r="G67" s="14">
        <v>0.76854847098220613</v>
      </c>
      <c r="H67" s="90"/>
      <c r="I67" s="14"/>
      <c r="J67" s="89">
        <v>450.97187254000005</v>
      </c>
      <c r="K67" s="14">
        <v>0.63752060060730809</v>
      </c>
      <c r="L67" s="12">
        <v>905.98537964705304</v>
      </c>
    </row>
    <row r="68" spans="2:12" ht="15.95" hidden="1" customHeight="1" x14ac:dyDescent="0.25">
      <c r="C68" s="19" t="s">
        <v>40</v>
      </c>
      <c r="D68" s="89">
        <v>790</v>
      </c>
      <c r="E68" s="14">
        <v>1.0246599177435267</v>
      </c>
      <c r="F68" s="89">
        <v>1058.0540976380832</v>
      </c>
      <c r="G68" s="14">
        <v>1.0088916740873575</v>
      </c>
      <c r="H68" s="89">
        <v>1848.0540976380832</v>
      </c>
      <c r="I68" s="14">
        <v>1.0155724498700542</v>
      </c>
      <c r="J68" s="89">
        <v>700</v>
      </c>
      <c r="K68" s="14">
        <v>0.98956153941847702</v>
      </c>
      <c r="L68" s="12">
        <v>1341.4922857142858</v>
      </c>
    </row>
    <row r="69" spans="2:12" ht="15.95" hidden="1" customHeight="1" x14ac:dyDescent="0.25">
      <c r="C69" s="19" t="s">
        <v>42</v>
      </c>
      <c r="D69" s="89">
        <v>816.78948916310003</v>
      </c>
      <c r="E69" s="14">
        <v>1.0594068997210624</v>
      </c>
      <c r="F69" s="89">
        <v>1097.5765033985333</v>
      </c>
      <c r="G69" s="14">
        <v>1.0465776735089669</v>
      </c>
      <c r="H69" s="89">
        <v>1914.3659925616334</v>
      </c>
      <c r="I69" s="14">
        <v>1.0520132302936931</v>
      </c>
      <c r="J69" s="89">
        <v>780</v>
      </c>
      <c r="K69" s="14">
        <v>1.1026542867805886</v>
      </c>
      <c r="L69" s="12">
        <v>1505.2450000000001</v>
      </c>
    </row>
    <row r="70" spans="2:12" ht="15.95" hidden="1" customHeight="1" x14ac:dyDescent="0.25">
      <c r="C70" s="58" t="s">
        <v>53</v>
      </c>
      <c r="D70" s="59"/>
      <c r="E70" s="60" t="s">
        <v>58</v>
      </c>
      <c r="F70" s="61"/>
      <c r="G70" s="60" t="s">
        <v>58</v>
      </c>
      <c r="H70" s="61"/>
      <c r="I70" s="60" t="s">
        <v>58</v>
      </c>
      <c r="J70" s="61"/>
      <c r="K70" s="60" t="s">
        <v>58</v>
      </c>
      <c r="L70" s="60"/>
    </row>
    <row r="71" spans="2:12" ht="15.95" hidden="1" customHeight="1" x14ac:dyDescent="0.25">
      <c r="C71" s="19">
        <v>2019</v>
      </c>
      <c r="D71" s="89">
        <v>454.0565488589375</v>
      </c>
      <c r="E71" s="14">
        <v>0.89388756559874361</v>
      </c>
      <c r="F71" s="89">
        <v>700.78</v>
      </c>
      <c r="G71" s="14">
        <v>0.99817110690763233</v>
      </c>
      <c r="H71" s="90"/>
      <c r="I71" s="14"/>
      <c r="J71" s="89">
        <v>384.76799999999997</v>
      </c>
      <c r="K71" s="14">
        <v>1.0426330386295151</v>
      </c>
      <c r="L71" s="12">
        <v>775.45110050454116</v>
      </c>
    </row>
    <row r="72" spans="2:12" ht="15.95" hidden="1" customHeight="1" x14ac:dyDescent="0.25">
      <c r="C72" s="19">
        <v>2020</v>
      </c>
      <c r="D72" s="89">
        <v>249.27312654726222</v>
      </c>
      <c r="E72" s="14">
        <v>0.49073655873586858</v>
      </c>
      <c r="F72" s="89">
        <v>119.461</v>
      </c>
      <c r="G72" s="14">
        <v>0.17015685179698717</v>
      </c>
      <c r="H72" s="90"/>
      <c r="I72" s="12"/>
      <c r="J72" s="89">
        <v>193.85400000000001</v>
      </c>
      <c r="K72" s="14">
        <v>0.52529988219001078</v>
      </c>
      <c r="L72" s="12">
        <v>477.89174473731782</v>
      </c>
    </row>
    <row r="73" spans="2:12" ht="15.95" hidden="1" customHeight="1" x14ac:dyDescent="0.25">
      <c r="B73" s="40"/>
      <c r="C73" s="19">
        <v>2021</v>
      </c>
      <c r="D73" s="89">
        <v>410.36284041849939</v>
      </c>
      <c r="E73" s="14">
        <v>0.80786906687219295</v>
      </c>
      <c r="F73" s="89">
        <v>369.55838</v>
      </c>
      <c r="G73" s="14">
        <v>0.52638844891633818</v>
      </c>
      <c r="H73" s="90"/>
      <c r="I73" s="12"/>
      <c r="J73" s="89">
        <v>261.41500000000002</v>
      </c>
      <c r="K73" s="14">
        <v>0.70837469798251085</v>
      </c>
      <c r="L73" s="12">
        <v>753.62390833864185</v>
      </c>
    </row>
    <row r="74" spans="2:12" ht="15.95" hidden="1" customHeight="1" x14ac:dyDescent="0.25">
      <c r="C74" s="19" t="s">
        <v>40</v>
      </c>
      <c r="D74" s="89">
        <v>487</v>
      </c>
      <c r="E74" s="14">
        <v>0.95874235387766804</v>
      </c>
      <c r="F74" s="89">
        <v>590.14858551768793</v>
      </c>
      <c r="G74" s="14">
        <v>0.84059086567277053</v>
      </c>
      <c r="H74" s="89">
        <v>1077.1485855176879</v>
      </c>
      <c r="I74" s="14">
        <v>0.89018990847466362</v>
      </c>
      <c r="J74" s="89">
        <v>379</v>
      </c>
      <c r="K74" s="14">
        <v>1.0270030814428077</v>
      </c>
      <c r="L74" s="12">
        <v>1025</v>
      </c>
    </row>
    <row r="75" spans="2:12" ht="15.95" hidden="1" customHeight="1" x14ac:dyDescent="0.25">
      <c r="C75" s="20" t="s">
        <v>42</v>
      </c>
      <c r="D75" s="50">
        <v>563</v>
      </c>
      <c r="E75" s="63">
        <v>1.1083612838462569</v>
      </c>
      <c r="F75" s="50">
        <v>651.60383636014558</v>
      </c>
      <c r="G75" s="63">
        <v>0.92812597763187632</v>
      </c>
      <c r="H75" s="50">
        <v>1214.6038363601456</v>
      </c>
      <c r="I75" s="63">
        <v>1.0037873070248378</v>
      </c>
      <c r="J75" s="50">
        <v>465</v>
      </c>
      <c r="K75" s="63">
        <v>1.2600433584984316</v>
      </c>
      <c r="L75" s="51">
        <v>1068.4682857142857</v>
      </c>
    </row>
    <row r="76" spans="2:12" ht="15.95" hidden="1" customHeight="1" x14ac:dyDescent="0.25"/>
    <row r="77" spans="2:12" ht="15.95" customHeight="1" x14ac:dyDescent="0.25">
      <c r="C77" s="127" t="s">
        <v>59</v>
      </c>
      <c r="D77" s="132" t="s">
        <v>2</v>
      </c>
      <c r="E77" s="133"/>
      <c r="F77" s="132" t="s">
        <v>3</v>
      </c>
      <c r="G77" s="133"/>
      <c r="H77" s="132" t="s">
        <v>89</v>
      </c>
      <c r="I77" s="133"/>
      <c r="J77" s="132" t="s">
        <v>5</v>
      </c>
      <c r="K77" s="133"/>
      <c r="L77" s="134" t="s">
        <v>6</v>
      </c>
    </row>
    <row r="78" spans="2:12" ht="15.95" customHeight="1" x14ac:dyDescent="0.25">
      <c r="C78" s="18" t="s">
        <v>60</v>
      </c>
      <c r="D78" s="91"/>
      <c r="E78" s="15"/>
      <c r="F78" s="91"/>
      <c r="G78" s="15"/>
      <c r="H78" s="91"/>
      <c r="I78" s="15"/>
      <c r="J78" s="91"/>
      <c r="K78" s="15"/>
      <c r="L78" s="15"/>
    </row>
    <row r="79" spans="2:12" ht="15.95" customHeight="1" x14ac:dyDescent="0.25">
      <c r="C79" s="19" t="s">
        <v>61</v>
      </c>
      <c r="D79" s="86">
        <v>728453.30678099988</v>
      </c>
      <c r="E79" s="57"/>
      <c r="F79" s="86">
        <v>797209.06</v>
      </c>
      <c r="G79" s="57"/>
      <c r="H79" s="86">
        <v>1525662.366781</v>
      </c>
      <c r="I79" s="57"/>
      <c r="J79" s="86">
        <v>448153.79401728016</v>
      </c>
      <c r="K79" s="57"/>
      <c r="L79" s="87">
        <v>688127.51186636288</v>
      </c>
    </row>
    <row r="80" spans="2:12" ht="15.95" customHeight="1" x14ac:dyDescent="0.25">
      <c r="C80" s="19" t="s">
        <v>62</v>
      </c>
      <c r="D80" s="92">
        <v>0.97002915596886574</v>
      </c>
      <c r="E80" s="57"/>
      <c r="F80" s="92">
        <v>0.96836867562181494</v>
      </c>
      <c r="G80" s="57"/>
      <c r="H80" s="92">
        <v>0.96916150005400303</v>
      </c>
      <c r="I80" s="57"/>
      <c r="J80" s="92">
        <v>0.93200000000000005</v>
      </c>
      <c r="K80" s="57"/>
      <c r="L80" s="93">
        <v>0.95320015394645652</v>
      </c>
    </row>
    <row r="81" spans="2:13" ht="15.95" customHeight="1" x14ac:dyDescent="0.25">
      <c r="C81" s="18" t="s">
        <v>83</v>
      </c>
      <c r="D81" s="94"/>
      <c r="E81" s="64"/>
      <c r="F81" s="94"/>
      <c r="G81" s="64"/>
      <c r="H81" s="94"/>
      <c r="I81" s="64"/>
      <c r="J81" s="94"/>
      <c r="K81" s="64"/>
      <c r="L81" s="64"/>
    </row>
    <row r="82" spans="2:13" ht="15.95" customHeight="1" x14ac:dyDescent="0.25">
      <c r="C82" s="19" t="s">
        <v>79</v>
      </c>
      <c r="D82" s="86">
        <v>2794.0610000000001</v>
      </c>
      <c r="E82" s="57"/>
      <c r="F82" s="86">
        <v>3459.71177229472</v>
      </c>
      <c r="G82" s="57"/>
      <c r="H82" s="86">
        <v>6253.7727722947202</v>
      </c>
      <c r="I82" s="57"/>
      <c r="J82" s="86">
        <v>2658.5118857085417</v>
      </c>
      <c r="K82" s="57"/>
      <c r="L82" s="87">
        <v>3787.8235143538805</v>
      </c>
    </row>
    <row r="83" spans="2:13" ht="15.95" customHeight="1" x14ac:dyDescent="0.25">
      <c r="B83" s="42"/>
      <c r="C83" s="19" t="s">
        <v>63</v>
      </c>
      <c r="D83" s="86">
        <v>1495</v>
      </c>
      <c r="E83" s="57"/>
      <c r="F83" s="86">
        <v>1446.5932655501599</v>
      </c>
      <c r="G83" s="57"/>
      <c r="H83" s="86">
        <v>1366.3514087304422</v>
      </c>
      <c r="I83" s="57"/>
      <c r="J83" s="86">
        <v>1977.3806233476726</v>
      </c>
      <c r="K83" s="57"/>
      <c r="L83" s="87">
        <v>1834.8457463842308</v>
      </c>
    </row>
    <row r="84" spans="2:13" ht="15.95" customHeight="1" x14ac:dyDescent="0.25">
      <c r="C84" s="18" t="s">
        <v>81</v>
      </c>
      <c r="D84" s="94"/>
      <c r="E84" s="64"/>
      <c r="F84" s="94"/>
      <c r="G84" s="64"/>
      <c r="H84" s="94"/>
      <c r="I84" s="64"/>
      <c r="J84" s="94"/>
      <c r="K84" s="64"/>
      <c r="L84" s="64"/>
    </row>
    <row r="85" spans="2:13" ht="15.95" customHeight="1" x14ac:dyDescent="0.25">
      <c r="C85" s="19" t="s">
        <v>80</v>
      </c>
      <c r="D85" s="86">
        <v>216.49595100087808</v>
      </c>
      <c r="E85" s="57"/>
      <c r="F85" s="86">
        <v>268.32</v>
      </c>
      <c r="G85" s="57"/>
      <c r="H85" s="86">
        <v>484.81595100087804</v>
      </c>
      <c r="I85" s="57"/>
      <c r="J85" s="86">
        <v>199.83465978533198</v>
      </c>
      <c r="K85" s="57"/>
      <c r="L85" s="87">
        <v>358.41271282766598</v>
      </c>
      <c r="M85" s="42"/>
    </row>
    <row r="86" spans="2:13" ht="15.95" customHeight="1" x14ac:dyDescent="0.25">
      <c r="C86" s="19" t="s">
        <v>64</v>
      </c>
      <c r="D86" s="86">
        <v>99.066496546206579</v>
      </c>
      <c r="E86" s="57"/>
      <c r="F86" s="86">
        <v>112.19139933005778</v>
      </c>
      <c r="G86" s="57"/>
      <c r="H86" s="86">
        <v>105.92469246079935</v>
      </c>
      <c r="I86" s="57"/>
      <c r="J86" s="86">
        <v>148.63547771104862</v>
      </c>
      <c r="K86" s="57"/>
      <c r="L86" s="87">
        <v>173.61739243916526</v>
      </c>
    </row>
    <row r="87" spans="2:13" ht="15.95" customHeight="1" x14ac:dyDescent="0.25">
      <c r="C87" s="19" t="s">
        <v>78</v>
      </c>
      <c r="D87" s="92">
        <v>7.7484332303724965E-2</v>
      </c>
      <c r="E87" s="57"/>
      <c r="F87" s="92">
        <v>7.7555593546462284E-2</v>
      </c>
      <c r="G87" s="57"/>
      <c r="H87" s="92">
        <v>7.7523755443865083E-2</v>
      </c>
      <c r="I87" s="57"/>
      <c r="J87" s="92">
        <v>7.5167863969158977E-2</v>
      </c>
      <c r="K87" s="57"/>
      <c r="L87" s="93">
        <v>9.462233693556954E-2</v>
      </c>
    </row>
    <row r="88" spans="2:13" ht="15.95" customHeight="1" x14ac:dyDescent="0.25">
      <c r="C88" s="18" t="s">
        <v>82</v>
      </c>
      <c r="D88" s="95"/>
      <c r="E88" s="65"/>
      <c r="F88" s="95"/>
      <c r="G88" s="65"/>
      <c r="H88" s="95"/>
      <c r="I88" s="65"/>
      <c r="J88" s="95"/>
      <c r="K88" s="65"/>
      <c r="L88" s="65"/>
    </row>
    <row r="89" spans="2:13" ht="15.95" customHeight="1" x14ac:dyDescent="0.25">
      <c r="C89" s="19" t="s">
        <v>65</v>
      </c>
      <c r="D89" s="86">
        <v>219.56077786640623</v>
      </c>
      <c r="E89" s="57"/>
      <c r="F89" s="86">
        <v>304.71372031536401</v>
      </c>
      <c r="G89" s="57"/>
      <c r="H89" s="86">
        <v>524.27449818177024</v>
      </c>
      <c r="I89" s="57"/>
      <c r="J89" s="86">
        <v>184.82008101274258</v>
      </c>
      <c r="K89" s="57"/>
      <c r="L89" s="87">
        <v>342.30692569104036</v>
      </c>
    </row>
    <row r="90" spans="2:13" ht="15.95" customHeight="1" x14ac:dyDescent="0.25">
      <c r="C90" s="19" t="s">
        <v>66</v>
      </c>
      <c r="D90" s="86">
        <v>100.46893229008494</v>
      </c>
      <c r="E90" s="57"/>
      <c r="F90" s="86">
        <v>127.40853710960249</v>
      </c>
      <c r="G90" s="57"/>
      <c r="H90" s="86">
        <v>114.54576704891326</v>
      </c>
      <c r="I90" s="57"/>
      <c r="J90" s="86">
        <v>137.46774989600721</v>
      </c>
      <c r="K90" s="57"/>
      <c r="L90" s="87">
        <v>165.81564694922304</v>
      </c>
    </row>
    <row r="91" spans="2:13" ht="15.95" customHeight="1" x14ac:dyDescent="0.25">
      <c r="C91" s="19" t="s">
        <v>67</v>
      </c>
      <c r="D91" s="92">
        <v>7.8581239946588929E-2</v>
      </c>
      <c r="E91" s="57"/>
      <c r="F91" s="92">
        <v>8.8074886109156078E-2</v>
      </c>
      <c r="G91" s="57"/>
      <c r="H91" s="92">
        <v>8.3833314268211931E-2</v>
      </c>
      <c r="I91" s="57"/>
      <c r="J91" s="92">
        <v>6.9520125904377769E-2</v>
      </c>
      <c r="K91" s="57"/>
      <c r="L91" s="93">
        <v>9.0370347085569111E-2</v>
      </c>
    </row>
    <row r="92" spans="2:13" ht="15.95" customHeight="1" x14ac:dyDescent="0.25">
      <c r="C92" s="19" t="s">
        <v>68</v>
      </c>
      <c r="D92" s="96">
        <v>1.0141565089386624</v>
      </c>
      <c r="E92" s="57"/>
      <c r="F92" s="96">
        <v>1.1356355110143264</v>
      </c>
      <c r="G92" s="57"/>
      <c r="H92" s="96">
        <v>1.0813887148296832</v>
      </c>
      <c r="I92" s="57"/>
      <c r="J92" s="96">
        <v>0.92486499194524874</v>
      </c>
      <c r="K92" s="57"/>
      <c r="L92" s="48">
        <v>0.9550635717981083</v>
      </c>
    </row>
    <row r="93" spans="2:13" ht="15.95" customHeight="1" x14ac:dyDescent="0.25">
      <c r="C93" s="18" t="s">
        <v>69</v>
      </c>
      <c r="D93" s="94"/>
      <c r="E93" s="64"/>
      <c r="F93" s="94"/>
      <c r="G93" s="64"/>
      <c r="H93" s="94"/>
      <c r="I93" s="64"/>
      <c r="J93" s="94"/>
      <c r="K93" s="64"/>
      <c r="L93" s="64"/>
    </row>
    <row r="94" spans="2:13" ht="15.95" customHeight="1" x14ac:dyDescent="0.25">
      <c r="C94" s="19" t="s">
        <v>70</v>
      </c>
      <c r="D94" s="92">
        <v>8.9799431282942863E-2</v>
      </c>
      <c r="E94" s="57"/>
      <c r="F94" s="92">
        <v>0.26170597236303034</v>
      </c>
      <c r="G94" s="57"/>
      <c r="H94" s="92">
        <v>0.29052140470427712</v>
      </c>
      <c r="I94" s="57"/>
      <c r="J94" s="92">
        <v>0.17304446819018107</v>
      </c>
      <c r="K94" s="57"/>
      <c r="L94" s="93">
        <v>0.12667666645539763</v>
      </c>
    </row>
    <row r="95" spans="2:13" ht="15.95" customHeight="1" x14ac:dyDescent="0.25">
      <c r="C95" s="19" t="s">
        <v>87</v>
      </c>
      <c r="D95" s="97">
        <v>0.51650952006101258</v>
      </c>
      <c r="E95" s="57"/>
      <c r="F95" s="98">
        <v>2.0252607902305995</v>
      </c>
      <c r="G95" s="57"/>
      <c r="H95" s="98">
        <v>2.0368019112638716</v>
      </c>
      <c r="I95" s="57"/>
      <c r="J95" s="98">
        <v>1.5315342080729728</v>
      </c>
      <c r="K95" s="57"/>
      <c r="L95" s="99">
        <v>1.4402560224274179</v>
      </c>
    </row>
    <row r="96" spans="2:13" ht="15.95" customHeight="1" x14ac:dyDescent="0.25">
      <c r="C96" s="19" t="s">
        <v>88</v>
      </c>
      <c r="D96" s="97">
        <v>0.5883635224952185</v>
      </c>
      <c r="E96" s="57"/>
      <c r="F96" s="98">
        <v>2.3538003341723717</v>
      </c>
      <c r="G96" s="57"/>
      <c r="H96" s="98">
        <v>2.3472737893694466</v>
      </c>
      <c r="I96" s="57"/>
      <c r="J96" s="98">
        <v>1.6559435893376155</v>
      </c>
      <c r="K96" s="57"/>
      <c r="L96" s="99">
        <v>1.600304006190564</v>
      </c>
      <c r="M96" s="41"/>
    </row>
    <row r="97" spans="3:12" ht="15.95" customHeight="1" x14ac:dyDescent="0.25">
      <c r="C97" s="18" t="s">
        <v>71</v>
      </c>
      <c r="D97" s="94"/>
      <c r="E97" s="64"/>
      <c r="F97" s="94"/>
      <c r="G97" s="64"/>
      <c r="H97" s="94"/>
      <c r="I97" s="64"/>
      <c r="J97" s="94"/>
      <c r="K97" s="64"/>
      <c r="L97" s="64"/>
    </row>
    <row r="98" spans="3:12" ht="15.95" customHeight="1" x14ac:dyDescent="0.25">
      <c r="C98" s="19" t="s">
        <v>72</v>
      </c>
      <c r="D98" s="92">
        <v>0.12180597748889067</v>
      </c>
      <c r="E98" s="57"/>
      <c r="F98" s="92">
        <v>0.12567802459499211</v>
      </c>
      <c r="G98" s="57"/>
      <c r="H98" s="92">
        <v>0.12406876163597148</v>
      </c>
      <c r="I98" s="57"/>
      <c r="J98" s="92">
        <v>0.15058605713227749</v>
      </c>
      <c r="K98" s="57"/>
      <c r="L98" s="93">
        <v>0.12952596702421107</v>
      </c>
    </row>
    <row r="99" spans="3:12" ht="15.95" customHeight="1" x14ac:dyDescent="0.25">
      <c r="C99" s="19" t="s">
        <v>73</v>
      </c>
      <c r="D99" s="100">
        <v>2.3539720902624688</v>
      </c>
      <c r="E99" s="57"/>
      <c r="F99" s="100">
        <v>2.1730775975741712</v>
      </c>
      <c r="G99" s="57"/>
      <c r="H99" s="100">
        <v>2.2468880524577508</v>
      </c>
      <c r="I99" s="57"/>
      <c r="J99" s="100">
        <v>1.615568541649357</v>
      </c>
      <c r="K99" s="57"/>
      <c r="L99" s="99">
        <v>3.2264504402182692</v>
      </c>
    </row>
    <row r="100" spans="3:12" ht="15.95" customHeight="1" x14ac:dyDescent="0.25">
      <c r="C100" s="18" t="s">
        <v>74</v>
      </c>
      <c r="D100" s="94"/>
      <c r="E100" s="64"/>
      <c r="F100" s="94"/>
      <c r="G100" s="64"/>
      <c r="H100" s="94"/>
      <c r="I100" s="64"/>
      <c r="J100" s="94"/>
      <c r="K100" s="64"/>
      <c r="L100" s="64"/>
    </row>
    <row r="101" spans="3:12" ht="15.95" customHeight="1" x14ac:dyDescent="0.25">
      <c r="C101" s="19" t="s">
        <v>84</v>
      </c>
      <c r="D101" s="86">
        <v>6934.541912812906</v>
      </c>
      <c r="E101" s="57"/>
      <c r="F101" s="86">
        <v>11554.676449439574</v>
      </c>
      <c r="G101" s="57"/>
      <c r="H101" s="86">
        <v>9636.7579176438376</v>
      </c>
      <c r="I101" s="57"/>
      <c r="J101" s="86">
        <v>14163.9237892857</v>
      </c>
      <c r="K101" s="57"/>
      <c r="L101" s="87">
        <v>21633.080337259646</v>
      </c>
    </row>
    <row r="102" spans="3:12" ht="15.95" customHeight="1" x14ac:dyDescent="0.25">
      <c r="C102" s="19" t="s">
        <v>75</v>
      </c>
      <c r="D102" s="101">
        <v>0.45198458331797348</v>
      </c>
      <c r="E102" s="57"/>
      <c r="F102" s="101">
        <v>0.68158403811076884</v>
      </c>
      <c r="G102" s="57"/>
      <c r="H102" s="101">
        <v>0.58774276856773366</v>
      </c>
      <c r="I102" s="57"/>
      <c r="J102" s="101">
        <v>0.59691440712218624</v>
      </c>
      <c r="K102" s="57"/>
      <c r="L102" s="102">
        <v>0.98251130827982203</v>
      </c>
    </row>
    <row r="103" spans="3:12" ht="15.95" customHeight="1" x14ac:dyDescent="0.25">
      <c r="C103" s="19" t="s">
        <v>76</v>
      </c>
      <c r="D103" s="98">
        <v>5.8332384093635001</v>
      </c>
      <c r="E103" s="57"/>
      <c r="F103" s="98">
        <v>8.7883285646243294</v>
      </c>
      <c r="G103" s="57"/>
      <c r="H103" s="98">
        <v>7.5814537776529409</v>
      </c>
      <c r="I103" s="57"/>
      <c r="J103" s="98">
        <v>8.0072766578995598</v>
      </c>
      <c r="K103" s="57"/>
      <c r="L103" s="99">
        <v>10.484133970031127</v>
      </c>
    </row>
    <row r="104" spans="3:12" ht="15.95" customHeight="1" x14ac:dyDescent="0.25">
      <c r="C104" s="19" t="s">
        <v>77</v>
      </c>
      <c r="D104" s="98">
        <v>4.9127950955647233</v>
      </c>
      <c r="E104" s="57"/>
      <c r="F104" s="98">
        <v>6.7037119851147668</v>
      </c>
      <c r="G104" s="57"/>
      <c r="H104" s="98">
        <v>6.0373096102113033</v>
      </c>
      <c r="I104" s="57"/>
      <c r="J104" s="98">
        <v>6.4045549226335661</v>
      </c>
      <c r="K104" s="57"/>
      <c r="L104" s="99">
        <v>8.755115208424078</v>
      </c>
    </row>
    <row r="105" spans="3:12" ht="15.95" customHeight="1" x14ac:dyDescent="0.25">
      <c r="C105" s="19" t="s">
        <v>85</v>
      </c>
      <c r="D105" s="98">
        <v>5.7518128197669558</v>
      </c>
      <c r="E105" s="57"/>
      <c r="F105" s="98">
        <v>7.7386877033941772</v>
      </c>
      <c r="G105" s="57"/>
      <c r="H105" s="98">
        <v>7.0108497283948497</v>
      </c>
      <c r="I105" s="57"/>
      <c r="J105" s="98">
        <v>8.3691437516050868</v>
      </c>
      <c r="K105" s="57"/>
      <c r="L105" s="99">
        <v>10.550415094850679</v>
      </c>
    </row>
    <row r="106" spans="3:12" ht="15.95" customHeight="1" x14ac:dyDescent="0.25">
      <c r="C106" s="20" t="s">
        <v>86</v>
      </c>
      <c r="D106" s="66">
        <v>6.5519738164196637</v>
      </c>
      <c r="E106" s="67"/>
      <c r="F106" s="66">
        <v>8.9940642657831802</v>
      </c>
      <c r="G106" s="67"/>
      <c r="H106" s="66">
        <v>8.0795209969425343</v>
      </c>
      <c r="I106" s="67"/>
      <c r="J106" s="66">
        <v>9.05518351095062</v>
      </c>
      <c r="K106" s="67"/>
      <c r="L106" s="103">
        <v>11.735686967551208</v>
      </c>
    </row>
    <row r="107" spans="3:12" x14ac:dyDescent="0.25">
      <c r="J107" s="37"/>
      <c r="L107" s="37"/>
    </row>
  </sheetData>
  <mergeCells count="37">
    <mergeCell ref="L31:M31"/>
    <mergeCell ref="L29:M29"/>
    <mergeCell ref="L37:M37"/>
    <mergeCell ref="L44:M44"/>
    <mergeCell ref="L45:M45"/>
    <mergeCell ref="L38:M38"/>
    <mergeCell ref="L30:M30"/>
    <mergeCell ref="J29:K29"/>
    <mergeCell ref="J38:K38"/>
    <mergeCell ref="J45:K45"/>
    <mergeCell ref="J37:K37"/>
    <mergeCell ref="J44:K44"/>
    <mergeCell ref="J31:K31"/>
    <mergeCell ref="D54:E54"/>
    <mergeCell ref="F54:G54"/>
    <mergeCell ref="H54:I54"/>
    <mergeCell ref="H45:I45"/>
    <mergeCell ref="H38:I38"/>
    <mergeCell ref="H37:I37"/>
    <mergeCell ref="H44:I44"/>
    <mergeCell ref="H29:I29"/>
    <mergeCell ref="H31:I31"/>
    <mergeCell ref="H30:I30"/>
    <mergeCell ref="D38:E38"/>
    <mergeCell ref="F44:G44"/>
    <mergeCell ref="F45:G45"/>
    <mergeCell ref="D44:E44"/>
    <mergeCell ref="D45:E45"/>
    <mergeCell ref="F37:G37"/>
    <mergeCell ref="D37:E37"/>
    <mergeCell ref="D29:E29"/>
    <mergeCell ref="D30:E30"/>
    <mergeCell ref="D31:E31"/>
    <mergeCell ref="F29:G29"/>
    <mergeCell ref="F30:G30"/>
    <mergeCell ref="F38:G38"/>
    <mergeCell ref="F31:G31"/>
  </mergeCells>
  <conditionalFormatting sqref="D6:H10">
    <cfRule type="cellIs" dxfId="1" priority="1" operator="lessThan">
      <formula>0</formula>
    </cfRule>
    <cfRule type="cellIs" dxfId="0" priority="2" operator="greaterThan">
      <formula>0</formula>
    </cfRule>
  </conditionalFormatting>
  <printOptions horizontalCentered="1" verticalCentered="1"/>
  <pageMargins left="0.11811023622047245" right="0.11811023622047245" top="0.35433070866141736" bottom="0.35433070866141736" header="0.31496062992125984" footer="0.31496062992125984"/>
  <pageSetup paperSize="9" scale="5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371918A5D75054C8E52DD31ABD9617D" ma:contentTypeVersion="16" ma:contentTypeDescription="Crie um novo documento." ma:contentTypeScope="" ma:versionID="a6502667a5b56ed5f2575bf2a750a60e">
  <xsd:schema xmlns:xsd="http://www.w3.org/2001/XMLSchema" xmlns:xs="http://www.w3.org/2001/XMLSchema" xmlns:p="http://schemas.microsoft.com/office/2006/metadata/properties" xmlns:ns2="cbcfd2bc-3015-4963-8616-7afab85b5280" xmlns:ns3="cfe56a02-cc89-4c33-bc2c-1bf3280fe09b" targetNamespace="http://schemas.microsoft.com/office/2006/metadata/properties" ma:root="true" ma:fieldsID="3b739c79d9355405b153e1c701423138" ns2:_="" ns3:_="">
    <xsd:import namespace="cbcfd2bc-3015-4963-8616-7afab85b5280"/>
    <xsd:import namespace="cfe56a02-cc89-4c33-bc2c-1bf3280fe0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cfd2bc-3015-4963-8616-7afab85b52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Marcações de imagem" ma:readOnly="false" ma:fieldId="{5cf76f15-5ced-4ddc-b409-7134ff3c332f}" ma:taxonomyMulti="true" ma:sspId="3ed6d1ef-19b5-4121-ba0f-c3570a51c21e" ma:termSetId="09814cd3-568e-fe90-9814-8d621ff8fb84" ma:anchorId="fba54fb3-c3e1-fe81-a776-ca4b69148c4d" ma:open="true" ma:isKeyword="false">
      <xsd:complexType>
        <xsd:sequence>
          <xsd:element ref="pc:Terms" minOccurs="0" maxOccurs="1"/>
        </xsd:sequence>
      </xsd:complex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e56a02-cc89-4c33-bc2c-1bf3280fe09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1724f4c9-8c12-49bf-8f15-717813340007}" ma:internalName="TaxCatchAll" ma:showField="CatchAllData" ma:web="cfe56a02-cc89-4c33-bc2c-1bf3280fe09b">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fe56a02-cc89-4c33-bc2c-1bf3280fe09b" xsi:nil="true"/>
    <lcf76f155ced4ddcb4097134ff3c332f xmlns="cbcfd2bc-3015-4963-8616-7afab85b528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B7634DB-4085-4DDB-9CAC-F32FFA3BEA4A}">
  <ds:schemaRefs>
    <ds:schemaRef ds:uri="http://schemas.microsoft.com/sharepoint/v3/contenttype/forms"/>
  </ds:schemaRefs>
</ds:datastoreItem>
</file>

<file path=customXml/itemProps2.xml><?xml version="1.0" encoding="utf-8"?>
<ds:datastoreItem xmlns:ds="http://schemas.openxmlformats.org/officeDocument/2006/customXml" ds:itemID="{D0AB1CAD-ED08-42BC-9B81-70A7C84169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cfd2bc-3015-4963-8616-7afab85b5280"/>
    <ds:schemaRef ds:uri="cfe56a02-cc89-4c33-bc2c-1bf3280fe0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9879A1-40D1-48F2-B057-A750C79251F1}">
  <ds:schemaRefs>
    <ds:schemaRef ds:uri="http://schemas.microsoft.com/office/2006/metadata/properties"/>
    <ds:schemaRef ds:uri="http://schemas.microsoft.com/office/infopath/2007/PartnerControls"/>
    <ds:schemaRef ds:uri="cfe56a02-cc89-4c33-bc2c-1bf3280fe09b"/>
    <ds:schemaRef ds:uri="cbcfd2bc-3015-4963-8616-7afab85b52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Multiplos_EmpresasShoppings</vt:lpstr>
      <vt:lpstr>Multiplos_EmpresasShoppings!Area_de_impressao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Marques</dc:creator>
  <cp:keywords/>
  <dc:description/>
  <cp:lastModifiedBy>Felipe Vaz</cp:lastModifiedBy>
  <cp:revision/>
  <cp:lastPrinted>2023-02-15T16:14:13Z</cp:lastPrinted>
  <dcterms:created xsi:type="dcterms:W3CDTF">2022-09-12T21:57:19Z</dcterms:created>
  <dcterms:modified xsi:type="dcterms:W3CDTF">2023-02-15T16:41:30Z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0x0101006371918A5D75054C8E52DD31ABD9617D</vt:lpwstr>
  </property>
  <property fmtid="{D5CDD505-2E9C-101B-9397-08002B2CF9AE}" pid="3" name="MediaServiceImageTags">
    <vt:lpwstr/>
  </property>
</Properties>
</file>