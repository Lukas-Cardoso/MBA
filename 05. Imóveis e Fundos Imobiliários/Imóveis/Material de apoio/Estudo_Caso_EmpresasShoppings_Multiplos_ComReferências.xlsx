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defaultThemeVersion="166925"/>
  <mc:AlternateContent xmlns:mc="http://schemas.openxmlformats.org/markup-compatibility/2006">
    <mc:Choice Requires="x15">
      <x15ac:absPath xmlns:x15ac="http://schemas.microsoft.com/office/spreadsheetml/2010/11/ac" url="C:\Users\FelipeVaz\Desktop\Pessoal\Cursos\Primo Rico\MBA_Value_Investing_Barsi\"/>
    </mc:Choice>
  </mc:AlternateContent>
  <xr:revisionPtr revIDLastSave="0" documentId="13_ncr:1_{062FDFB4-2BA4-4403-8565-C5AE65F7E5E1}" xr6:coauthVersionLast="47" xr6:coauthVersionMax="47" xr10:uidLastSave="{00000000-0000-0000-0000-000000000000}"/>
  <bookViews>
    <workbookView xWindow="-110" yWindow="-110" windowWidth="19420" windowHeight="10300" tabRatio="642" xr2:uid="{DDBE46DD-4D57-47B8-9FE3-01B0E9EAC36C}"/>
  </bookViews>
  <sheets>
    <sheet name="Multiplos_EmpresasShoppings" sheetId="8" r:id="rId1"/>
  </sheets>
  <definedNames>
    <definedName name="_Regression_Int">1</definedName>
    <definedName name="_xlnm.Print_Area" localSheetId="0">Multiplos_EmpresasShoppings!$C$2:$L$106</definedName>
    <definedName name="AS2DocOpenMode">"AS2DocumentEdit"</definedName>
    <definedName name="Caixa_equivalentes">#REF!</definedName>
    <definedName name="CIQWBGuid">"f21cbaa1-9147-4f87-a771-8140be45a2cb"</definedName>
    <definedName name="Custo_Fundo_DCF">#REF!</definedName>
    <definedName name="Dívida">#REF!</definedName>
    <definedName name="Equity_Value_DCF">#REF!</definedName>
    <definedName name="Feriados_BR">#REF!</definedName>
    <definedName name="Investimentos">#REF!</definedName>
    <definedName name="IQ_ADDIN">"AUTO"</definedName>
    <definedName name="IQ_CH">110000</definedName>
    <definedName name="IQ_CQ">5000</definedName>
    <definedName name="IQ_CY">10000</definedName>
    <definedName name="IQ_DAILY">500000</definedName>
    <definedName name="IQ_DNTM">700000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"04/14/2015 23:18:01"</definedName>
    <definedName name="IQ_NTM">6000</definedName>
    <definedName name="IQ_QTD">750000</definedName>
    <definedName name="IQ_TODAY">0</definedName>
    <definedName name="IQ_WEEK">50000</definedName>
    <definedName name="IQ_YTD">3000</definedName>
    <definedName name="IQ_YTDMONTH">130000</definedName>
    <definedName name="Outros_Passivos">#REF!</definedName>
    <definedName name="Part_Minoritárias">#REF!</definedName>
    <definedName name="Patrimônio_Líquido">#REF!</definedName>
    <definedName name="Propriedades">#REF!</definedName>
    <definedName name="Rec_Financeira_DCF">#REF!</definedName>
    <definedName name="Recebiveis">#REF!</definedName>
    <definedName name="Recebíveis">#REF!</definedName>
    <definedName name="TOTAL_Ativos">#REF!</definedName>
    <definedName name="TOTAL_PassivoPL">#REF!</definedName>
    <definedName name="Valor_do_Ativo_DCF">#REF!</definedName>
    <definedName name="ValordoAtivo_DCF">#REF!</definedName>
  </definedNames>
  <calcPr calcId="191028"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tc={F4FDA13C-908D-4110-8389-080F2CC49FA3}</author>
    <author>tc={14C12601-4BBD-4AE2-8971-D4D4527226DD}</author>
    <author>tc={373F0079-9060-4F4B-B77B-76A00F53D986}</author>
    <author>tc={A3A1CF15-0608-486B-A3F3-83B4F88BA44C}</author>
    <author>tc={A8D86ED7-9629-440B-9ECF-0C42153BEC4A}</author>
    <author>tc={541DAE7A-E740-4675-AB86-FA43BBE7931A}</author>
    <author>tc={8F1EA316-EDC2-4F4B-A7DE-04386078E0F4}</author>
    <author>tc={BC12209A-7B17-415E-B86C-31BB8CDB9908}</author>
    <author>tc={0156D49B-CF9B-43B2-AD27-1BD3CA4F1DFA}</author>
    <author>tc={ED80B9A2-DC7D-4066-905D-06F6BBD01214}</author>
    <author>tc={84CA8420-495E-4146-8F36-8AB208CB59E8}</author>
    <author>tc={42E95006-AB4C-4215-A821-DCDCC0C7E71A}</author>
    <author>tc={F97C814A-E886-4417-B411-1B1B44186F77}</author>
    <author>tc={B9C34820-E078-4E5F-85A7-E6BA43558159}</author>
    <author>tc={BAE95F22-827E-47CE-BCDC-9C5A5364CDA9}</author>
    <author>tc={F408B04D-4253-4A6A-A1E6-16E5CF20D0A9}</author>
    <author>tc={6C40B9E3-95EC-4D64-ADC3-51AF4B54E6CB}</author>
    <author>tc={29C0E19E-FFB7-4789-B03E-2B957AF5F29E}</author>
    <author>tc={3E293D22-C0F0-449D-9A59-4209944F4B33}</author>
    <author>tc={B596E1E4-CC86-4754-8DDD-83A0E812B088}</author>
    <author>tc={9D43D2BC-AC58-4921-B2D7-4BA1F070B23C}</author>
    <author>tc={D63E951B-E6A7-4D3A-8ED3-3902C421D651}</author>
    <author>tc={F531EC53-206E-46AB-85E1-E697053380ED}</author>
    <author>tc={8C318E50-BD8E-4240-9226-C37ED5A44BDA}</author>
    <author>tc={1D1889EF-E54A-4008-A9D1-230D7CB20CEA}</author>
    <author>tc={FFDEE99C-DAC1-4977-8F5B-13D323EE2A8F}</author>
    <author>tc={C7D215E3-67D3-4476-9FAB-7B6BFD5E900C}</author>
    <author>tc={EE556382-291A-489F-AEC5-6580E5DCA5FB}</author>
    <author>tc={AFC90C22-DACB-421E-B47A-59899C2A2DFB}</author>
    <author>tc={0C1474FC-8A2E-41D2-A324-360DA66BED58}</author>
    <author>tc={EB1EC30A-EB70-4D3D-BC6F-613AE99D6D12}</author>
    <author>tc={27047D99-3B59-4976-BF99-6C1750E388A1}</author>
    <author>tc={13127DEA-945F-42CE-BE56-B89005B1E9A8}</author>
    <author>tc={1E5C2A61-A44F-4DC8-970E-1A3A00C78970}</author>
    <author>tc={DE95A028-C6DA-40EA-AF7E-F9185F88FDEA}</author>
    <author>tc={7E73BD51-B185-44A8-BCEC-39B43355D83B}</author>
    <author>tc={D8D2ABBF-BD3E-4E75-9491-04B9BBEE7568}</author>
    <author>tc={0567CFE7-4250-45F3-AC1A-8F3685449588}</author>
    <author>tc={0BD1121F-C510-4C4A-95C5-F3A14B6073D4}</author>
    <author>tc={9BA435D7-AD7F-4750-B8B1-4DA88DC5BBCC}</author>
    <author>tc={27181016-6C02-4948-8B75-394C22EEA08C}</author>
    <author>tc={0B6DE671-6DA6-4C76-B37C-84D83720D1C3}</author>
    <author>tc={F40C0EFD-1544-4BB3-9968-60FF46E5AA0B}</author>
    <author>tc={BFE155EB-183E-4F02-A56A-D05CA651AD88}</author>
    <author>tc={FA9C10B9-AB4A-4C3D-8980-450F8A79E5F3}</author>
    <author>tc={01C76EA7-C18D-4D5A-9736-6068EA31950D}</author>
    <author>tc={F938F529-C3B9-434A-8AD9-F7265AEC25DA}</author>
    <author>tc={6B30353C-7F84-4FF6-B5D9-F7C7BE8CC5DE}</author>
    <author>tc={0E2495BE-A196-490E-843A-563D71F94124}</author>
    <author>tc={E041FB27-4002-4737-BC3A-99B04016EA21}</author>
    <author>tc={235F3CC2-7849-4080-9C47-5B478DDC3C4E}</author>
    <author>tc={F5D1FA22-C9DD-4C5F-A8CE-61E059614192}</author>
    <author>tc={DCA41748-0BF1-4BFB-9511-7919E0F290F6}</author>
    <author>tc={B6FEA88B-F41F-4718-BAAB-ADB665A88C76}</author>
    <author>tc={85D90611-F890-4484-8038-B8C68831BB81}</author>
    <author>tc={C413E43D-CDD8-4D39-9957-A7F150D85BFD}</author>
    <author>tc={1F02E426-5963-4362-9556-20C886406F5E}</author>
    <author>tc={C95BE700-CAE0-4FBD-A599-011D9C26E875}</author>
    <author>tc={2DEBD0EF-807E-4CEB-BBF0-50895E39295E}</author>
    <author>tc={913556F4-5237-4FB5-B478-901CDF9F0ADE}</author>
    <author>tc={8B2608BF-7352-4C55-8CE0-5EF5C1F6BE0F}</author>
    <author>tc={7B2B2C55-335B-4719-8020-7C5261C10405}</author>
    <author>tc={CE71235F-9D4D-4585-A44F-3B17B1194F4D}</author>
    <author>tc={3906EF5C-9A35-4ECE-BCA9-B57D087CC8DC}</author>
  </authors>
  <commentList>
    <comment ref="F4" authorId="0" shapeId="0" xr:uid="{F4FDA13C-908D-4110-8389-080F2CC49FA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de mercado da ação. Buscar no Google, B3, Yahoo ou por meio de App ou Homebroker de uma Corretora
</t>
      </text>
    </comment>
    <comment ref="G4" authorId="1" shapeId="0" xr:uid="{14C12601-4BBD-4AE2-8971-D4D4527226D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de mercado da ação. Buscar no Google, B3, Yahoo ou por meio de App ou Homebroker de uma Corretora
</t>
      </text>
    </comment>
    <comment ref="H4" authorId="2" shapeId="0" xr:uid="{373F0079-9060-4F4B-B77B-76A00F53D98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de mercado da ação. Buscar no Google, B3, Yahoo ou por meio de App ou Homebroker de uma Corretora
</t>
      </text>
    </comment>
    <comment ref="C5" authorId="3" shapeId="0" xr:uid="{A3A1CF15-0608-486B-A3F3-83B4F88BA44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Performance da ação no mercado secundário de Bolsa. Buscar no Google, B3, Yahoo ou por meio de App ou Homebroker de uma Corretora
</t>
      </text>
    </comment>
    <comment ref="C14" authorId="4" shapeId="0" xr:uid="{A8D86ED7-9629-440B-9ECF-0C42153BEC4A}">
      <text>
        <t>[Comentário encadeado]
Sua versão do Excel permite que você leia este comentário encadeado, no entanto, as edições serão removidas se o arquivo for aberto em uma versão mais recente do Excel. Saiba mais: https://go.microsoft.com/fwlink/?linkid=870924
Comentário:
    Buscar número atualizado no site de relações com investidores das empresas</t>
      </text>
    </comment>
    <comment ref="C15" authorId="5" shapeId="0" xr:uid="{541DAE7A-E740-4675-AB86-FA43BBE7931A}">
      <text>
        <t>[Comentário encadeado]
Sua versão do Excel permite que você leia este comentário encadeado, no entanto, as edições serão removidas se o arquivo for aberto em uma versão mais recente do Excel. Saiba mais: https://go.microsoft.com/fwlink/?linkid=870924
Comentário:
    Valor de mercado da ação. Buscar no Google, B3, Yahoo ou por meio de App ou Homebroker de uma Corretora</t>
      </text>
    </comment>
    <comment ref="C16" authorId="6" shapeId="0" xr:uid="{8F1EA316-EDC2-4F4B-A7DE-04386078E0F4}">
      <text>
        <t>[Comentário encadeado]
Sua versão do Excel permite que você leia este comentário encadeado, no entanto, as edições serão removidas se o arquivo for aberto em uma versão mais recente do Excel. Saiba mais: https://go.microsoft.com/fwlink/?linkid=870924
Comentário:
    Multiplicar: Número de Ações x Valor de Mercado por Ação</t>
      </text>
    </comment>
    <comment ref="C17" authorId="7" shapeId="0" xr:uid="{BC12209A-7B17-415E-B86C-31BB8CDB990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Buscar informação na Planilha de Fundamentos disponível no site de Relações com Investidores das empresas
</t>
      </text>
    </comment>
    <comment ref="C18" authorId="8" shapeId="0" xr:uid="{0156D49B-CF9B-43B2-AD27-1BD3CA4F1DF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Buscar informação na Planilha de Fundamentos disponível no site de Relações com Investidores das empresas
</t>
      </text>
    </comment>
    <comment ref="C19" authorId="9" shapeId="0" xr:uid="{ED80B9A2-DC7D-4066-905D-06F6BBD0121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Buscar informação na Planilha de Fundamentos disponível no site de Relações com Investidores das empresas
</t>
      </text>
    </comment>
    <comment ref="C20" authorId="10" shapeId="0" xr:uid="{84CA8420-495E-4146-8F36-8AB208CB59E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Buscar informação na Planilha de Fundamentos disponível no site de Relações com Investidores das empresas
</t>
      </text>
    </comment>
    <comment ref="C21" authorId="11" shapeId="0" xr:uid="{42E95006-AB4C-4215-A821-DCDCC0C7E71A}">
      <text>
        <t>[Comentário encadeado]
Sua versão do Excel permite que você leia este comentário encadeado, no entanto, as edições serão removidas se o arquivo for aberto em uma versão mais recente do Excel. Saiba mais: https://go.microsoft.com/fwlink/?linkid=870924
Comentário:
    Dívida Líquida: Dívida Bruta - Caixa</t>
      </text>
    </comment>
    <comment ref="C22" authorId="12" shapeId="0" xr:uid="{F97C814A-E886-4417-B411-1B1B44186F7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Buscar informação na Planilha de Fundamentos disponível no site de Relações com Investidores das empresas
</t>
      </text>
    </comment>
    <comment ref="C23" authorId="13" shapeId="0" xr:uid="{B9C34820-E078-4E5F-85A7-E6BA43558159}">
      <text>
        <t>[Comentário encadeado]
Sua versão do Excel permite que você leia este comentário encadeado, no entanto, as edições serão removidas se o arquivo for aberto em uma versão mais recente do Excel. Saiba mais: https://go.microsoft.com/fwlink/?linkid=870924
Comentário:
    Enterprise Value (valor de mercado + dívidas) dos Shoppings</t>
      </text>
    </comment>
    <comment ref="C24" authorId="14" shapeId="0" xr:uid="{BAE95F22-827E-47CE-BCDC-9C5A5364CDA9}">
      <text>
        <t>[Comentário encadeado]
Sua versão do Excel permite que você leia este comentário encadeado, no entanto, as edições serão removidas se o arquivo for aberto em uma versão mais recente do Excel. Saiba mais: https://go.microsoft.com/fwlink/?linkid=870924
Comentário:
    Ex. Valor dos Escritórios, que devem ser misturados com Shoppings</t>
      </text>
    </comment>
    <comment ref="C25" authorId="15" shapeId="0" xr:uid="{F408B04D-4253-4A6A-A1E6-16E5CF20D0A9}">
      <text>
        <t>[Comentário encadeado]
Sua versão do Excel permite que você leia este comentário encadeado, no entanto, as edições serão removidas se o arquivo for aberto em uma versão mais recente do Excel. Saiba mais: https://go.microsoft.com/fwlink/?linkid=870924
Comentário:
    Ex. Valor dos Escritórios, que devem ser misturados com Shoppings</t>
      </text>
    </comment>
    <comment ref="C26" authorId="16" shapeId="0" xr:uid="{6C40B9E3-95EC-4D64-ADC3-51AF4B54E6CB}">
      <text>
        <t>[Comentário encadeado]
Sua versão do Excel permite que você leia este comentário encadeado, no entanto, as edições serão removidas se o arquivo for aberto em uma versão mais recente do Excel. Saiba mais: https://go.microsoft.com/fwlink/?linkid=870924
Comentário:
    Enterprise Value (valor de mercado + dívidas) da empresa como um todo</t>
      </text>
    </comment>
    <comment ref="C31" authorId="17" shapeId="0" xr:uid="{29C0E19E-FFB7-4789-B03E-2B957AF5F29E}">
      <text>
        <t>[Comentário encadeado]
Sua versão do Excel permite que você leia este comentário encadeado, no entanto, as edições serão removidas se o arquivo for aberto em uma versão mais recente do Excel. Saiba mais: https://go.microsoft.com/fwlink/?linkid=870924
Comentário:
    NOI (Net Operating Income) - Receita Operacional Líquida dos Shoppings. Informação disponível na Planilha de Fundamentos das empresas no site de Relações com Investidores</t>
      </text>
    </comment>
    <comment ref="C32" authorId="18" shapeId="0" xr:uid="{3E293D22-C0F0-449D-9A59-4209944F4B33}">
      <text>
        <t>[Comentário encadeado]
Sua versão do Excel permite que você leia este comentário encadeado, no entanto, as edições serão removidas se o arquivo for aberto em uma versão mais recente do Excel. Saiba mais: https://go.microsoft.com/fwlink/?linkid=870924
Comentário:
    NOI Yield: NOI (células linha 31) / Enterprise Value (células linha 26); P/NOI: Valor de Mercado (células linha 16) / NOI (células linha 31)</t>
      </text>
    </comment>
    <comment ref="C33" authorId="19" shapeId="0" xr:uid="{B596E1E4-CC86-4754-8DDD-83A0E812B088}">
      <text>
        <t>[Comentário encadeado]
Sua versão do Excel permite que você leia este comentário encadeado, no entanto, as edições serão removidas se o arquivo for aberto em uma versão mais recente do Excel. Saiba mais: https://go.microsoft.com/fwlink/?linkid=870924
Comentário:
    NOI estimado (projeções analistas ou própria) / Enterprise Value (células linha 26)</t>
      </text>
    </comment>
    <comment ref="C34" authorId="20" shapeId="0" xr:uid="{9D43D2BC-AC58-4921-B2D7-4BA1F070B23C}">
      <text>
        <t>[Comentário encadeado]
Sua versão do Excel permite que você leia este comentário encadeado, no entanto, as edições serão removidas se o arquivo for aberto em uma versão mais recente do Excel. Saiba mais: https://go.microsoft.com/fwlink/?linkid=870924
Comentário:
    NOI estimado (projeções analistas ou própria) / Enterprise Value (células linha 26)</t>
      </text>
    </comment>
    <comment ref="C35" authorId="21" shapeId="0" xr:uid="{D63E951B-E6A7-4D3A-8ED3-3902C421D651}">
      <text>
        <t>[Comentário encadeado]
Sua versão do Excel permite que você leia este comentário encadeado, no entanto, as edições serão removidas se o arquivo for aberto em uma versão mais recente do Excel. Saiba mais: https://go.microsoft.com/fwlink/?linkid=870924
Comentário:
    NOI estimado (projeções analistas ou própria) / Enterprise Value (células linha 26)</t>
      </text>
    </comment>
    <comment ref="C36" authorId="22" shapeId="0" xr:uid="{F531EC53-206E-46AB-85E1-E697053380ED}">
      <text>
        <t>[Comentário encadeado]
Sua versão do Excel permite que você leia este comentário encadeado, no entanto, as edições serão removidas se o arquivo for aberto em uma versão mais recente do Excel. Saiba mais: https://go.microsoft.com/fwlink/?linkid=870924
Comentário:
    NOI estimado (projeções analistas ou própria) / Enterprise Value (células linha 26)</t>
      </text>
    </comment>
    <comment ref="C38" authorId="23" shapeId="0" xr:uid="{8C318E50-BD8E-4240-9226-C37ED5A44BDA}">
      <text>
        <t>[Comentário encadeado]
Sua versão do Excel permite que você leia este comentário encadeado, no entanto, as edições serão removidas se o arquivo for aberto em uma versão mais recente do Excel. Saiba mais: https://go.microsoft.com/fwlink/?linkid=870924
Comentário:
    EBITDA (células linha 37) / NOI (células linha 31)</t>
      </text>
    </comment>
    <comment ref="C39" authorId="24" shapeId="0" xr:uid="{1D1889EF-E54A-4008-A9D1-230D7CB20CEA}">
      <text>
        <t>[Comentário encadeado]
Sua versão do Excel permite que você leia este comentário encadeado, no entanto, as edições serão removidas se o arquivo for aberto em uma versão mais recente do Excel. Saiba mais: https://go.microsoft.com/fwlink/?linkid=870924
Comentário:
    EBITDA Yield: EBITDA (células linha 37) / Enterprise Value (células linha 26); P/EBITDA: Valor de Mercado (células linha 16) / EBITDA (células linha 37)</t>
      </text>
    </comment>
    <comment ref="C40" authorId="25" shapeId="0" xr:uid="{FFDEE99C-DAC1-4977-8F5B-13D323EE2A8F}">
      <text>
        <t>[Comentário encadeado]
Sua versão do Excel permite que você leia este comentário encadeado, no entanto, as edições serão removidas se o arquivo for aberto em uma versão mais recente do Excel. Saiba mais: https://go.microsoft.com/fwlink/?linkid=870924
Comentário:
    EBITDA yield estimado (projeções analistas ou própria) / Enterprise Value (células linha 26)</t>
      </text>
    </comment>
    <comment ref="C41" authorId="26" shapeId="0" xr:uid="{C7D215E3-67D3-4476-9FAB-7B6BFD5E900C}">
      <text>
        <t>[Comentário encadeado]
Sua versão do Excel permite que você leia este comentário encadeado, no entanto, as edições serão removidas se o arquivo for aberto em uma versão mais recente do Excel. Saiba mais: https://go.microsoft.com/fwlink/?linkid=870924
Comentário:
    EBITDA yield estimado (projeções analistas ou própria) / Enterprise Value (células linha 26)</t>
      </text>
    </comment>
    <comment ref="C42" authorId="27" shapeId="0" xr:uid="{EE556382-291A-489F-AEC5-6580E5DCA5FB}">
      <text>
        <t>[Comentário encadeado]
Sua versão do Excel permite que você leia este comentário encadeado, no entanto, as edições serão removidas se o arquivo for aberto em uma versão mais recente do Excel. Saiba mais: https://go.microsoft.com/fwlink/?linkid=870924
Comentário:
    EBITDA yield estimado (projeções analistas ou própria) / Enterprise Value (células linha 26)</t>
      </text>
    </comment>
    <comment ref="C43" authorId="28" shapeId="0" xr:uid="{AFC90C22-DACB-421E-B47A-59899C2A2DFB}">
      <text>
        <t>[Comentário encadeado]
Sua versão do Excel permite que você leia este comentário encadeado, no entanto, as edições serão removidas se o arquivo for aberto em uma versão mais recente do Excel. Saiba mais: https://go.microsoft.com/fwlink/?linkid=870924
Comentário:
    EBITDA yield estimado (projeções analistas ou própria) / Enterprise Value (células linha 26)</t>
      </text>
    </comment>
    <comment ref="C44" authorId="29" shapeId="0" xr:uid="{0C1474FC-8A2E-41D2-A324-360DA66BED5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Ajusted Funds From Operations (AFFO) dos Shoppings. Informação disponível na Planilha de Fundamentos das empresas no site de Relações com Investidores
</t>
      </text>
    </comment>
    <comment ref="C45" authorId="30" shapeId="0" xr:uid="{EB1EC30A-EB70-4D3D-BC6F-613AE99D6D1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AFFO (células linha 44) / NOI (células linha 31)
</t>
      </text>
    </comment>
    <comment ref="C46" authorId="31" shapeId="0" xr:uid="{27047D99-3B59-4976-BF99-6C1750E388A1}">
      <text>
        <t>[Comentário encadeado]
Sua versão do Excel permite que você leia este comentário encadeado, no entanto, as edições serão removidas se o arquivo for aberto em uma versão mais recente do Excel. Saiba mais: https://go.microsoft.com/fwlink/?linkid=870924
Comentário:
    AFFO Yield: AFFO (células linha 44/ Enterprise Value (células linha 26); Valor de Mercado (células linha 16) / EBITDA (células linha 37)</t>
      </text>
    </comment>
    <comment ref="C47" authorId="32" shapeId="0" xr:uid="{13127DEA-945F-42CE-BE56-B89005B1E9A8}">
      <text>
        <t>[Comentário encadeado]
Sua versão do Excel permite que você leia este comentário encadeado, no entanto, as edições serão removidas se o arquivo for aberto em uma versão mais recente do Excel. Saiba mais: https://go.microsoft.com/fwlink/?linkid=870924
Comentário:
    AFFO yield estimado (projeções analistas ou própria) / Enterprise Value (células linha 26)</t>
      </text>
    </comment>
    <comment ref="C48" authorId="33" shapeId="0" xr:uid="{1E5C2A61-A44F-4DC8-970E-1A3A00C78970}">
      <text>
        <t>[Comentário encadeado]
Sua versão do Excel permite que você leia este comentário encadeado, no entanto, as edições serão removidas se o arquivo for aberto em uma versão mais recente do Excel. Saiba mais: https://go.microsoft.com/fwlink/?linkid=870924
Comentário:
    AFFO yield estimado (projeções analistas ou própria) / Enterprise Value (células linha 26)</t>
      </text>
    </comment>
    <comment ref="C49" authorId="34" shapeId="0" xr:uid="{DE95A028-C6DA-40EA-AF7E-F9185F88FDEA}">
      <text>
        <t>[Comentário encadeado]
Sua versão do Excel permite que você leia este comentário encadeado, no entanto, as edições serão removidas se o arquivo for aberto em uma versão mais recente do Excel. Saiba mais: https://go.microsoft.com/fwlink/?linkid=870924
Comentário:
    AFFO yield estimado (projeções analistas ou própria) / Enterprise Value (células linha 26)</t>
      </text>
    </comment>
    <comment ref="C50" authorId="35" shapeId="0" xr:uid="{7E73BD51-B185-44A8-BCEC-39B43355D83B}">
      <text>
        <t>[Comentário encadeado]
Sua versão do Excel permite que você leia este comentário encadeado, no entanto, as edições serão removidas se o arquivo for aberto em uma versão mais recente do Excel. Saiba mais: https://go.microsoft.com/fwlink/?linkid=870924
Comentário:
    AFFO yield estimado (projeções analistas ou própria) / Enterprise Value (células linha 26)</t>
      </text>
    </comment>
    <comment ref="C55" authorId="36" shapeId="0" xr:uid="{D8D2ABBF-BD3E-4E75-9491-04B9BBEE7568}">
      <text>
        <t>[Comentário encadeado]
Sua versão do Excel permite que você leia este comentário encadeado, no entanto, as edições serão removidas se o arquivo for aberto em uma versão mais recente do Excel. Saiba mais: https://go.microsoft.com/fwlink/?linkid=870924
Comentário:
    NOI (Net Operating Income) - Receita Operacional Líquida dos Shoppings. Informação disponível na Planilha de Fundamentos das empresas no site de Relações com Investidores</t>
      </text>
    </comment>
    <comment ref="C56" authorId="37" shapeId="0" xr:uid="{0567CFE7-4250-45F3-AC1A-8F3685449588}">
      <text>
        <t>[Comentário encadeado]
Sua versão do Excel permite que você leia este comentário encadeado, no entanto, as edições serão removidas se o arquivo for aberto em uma versão mais recente do Excel. Saiba mais: https://go.microsoft.com/fwlink/?linkid=870924
Comentário:
    EBITDA (Earnings Before Interest Taxes Depreciation &amp; Amortization) dos Shoppings. Informação disponível na Planilha de Fundamentos das empresas no site de Relações com Investidores</t>
      </text>
    </comment>
    <comment ref="C57" authorId="38" shapeId="0" xr:uid="{0BD1121F-C510-4C4A-95C5-F3A14B6073D4}">
      <text>
        <t>[Comentário encadeado]
Sua versão do Excel permite que você leia este comentário encadeado, no entanto, as edições serão removidas se o arquivo for aberto em uma versão mais recente do Excel. Saiba mais: https://go.microsoft.com/fwlink/?linkid=870924
Comentário:
    Ajusted Funds From Operations (AFFO) dos Shoppings. Informação disponível na Planilha de Fundamentos das empresas no site de Relações com Investidores</t>
      </text>
    </comment>
    <comment ref="C58" authorId="39" shapeId="0" xr:uid="{9BA435D7-AD7F-4750-B8B1-4DA88DC5BBC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NOI (Net Operating Income) - Receita Operacional Líquida dos Shoppings. Informação disponível na Planilha de Fundamentos das empresas no site de Relações com Investidores
</t>
      </text>
    </comment>
    <comment ref="C64" authorId="40" shapeId="0" xr:uid="{27181016-6C02-4948-8B75-394C22EEA08C}">
      <text>
        <t>[Comentário encadeado]
Sua versão do Excel permite que você leia este comentário encadeado, no entanto, as edições serão removidas se o arquivo for aberto em uma versão mais recente do Excel. Saiba mais: https://go.microsoft.com/fwlink/?linkid=870924
Comentário:
    EBITDA (Earnings Before Interest Taxes Depreciation &amp; Amortization) dos Shoppings. Informação disponível na Planilha de Fundamentos das empresas no site de Relações com Investidores</t>
      </text>
    </comment>
    <comment ref="C70" authorId="41" shapeId="0" xr:uid="{0B6DE671-6DA6-4C76-B37C-84D83720D1C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Ajusted Funds From Operations (AFFO) dos Shoppings. Informação disponível na Planilha de Fundamentos das empresas no site de Relações com Investidores
</t>
      </text>
    </comment>
    <comment ref="C79" authorId="42" shapeId="0" xr:uid="{F40C0EFD-1544-4BB3-9968-60FF46E5AA0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Buscar informação na Planilha de Fundamentos disponível no site de Relações com Investidores das empresas
</t>
      </text>
    </comment>
    <comment ref="C80" authorId="43" shapeId="0" xr:uid="{BFE155EB-183E-4F02-A56A-D05CA651AD8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Buscar informação na Planilha de Fundamentos disponível no site de Relações com Investidores das empresas
</t>
      </text>
    </comment>
    <comment ref="C82" authorId="44" shapeId="0" xr:uid="{FA9C10B9-AB4A-4C3D-8980-450F8A79E5F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Buscar informação na Planilha de Fundamentos disponível no site de Relações com Investidores das empresas
</t>
      </text>
    </comment>
    <comment ref="C83" authorId="45" shapeId="0" xr:uid="{01C76EA7-C18D-4D5A-9736-6068EA31950D}">
      <text>
        <t>[Comentário encadeado]
Sua versão do Excel permite que você leia este comentário encadeado, no entanto, as edições serão removidas se o arquivo for aberto em uma versão mais recente do Excel. Saiba mais: https://go.microsoft.com/fwlink/?linkid=870924
Comentário:
    Dividir Vendas (células linha 82) pela área do Portfólio de Shoppings (células linha 79) e pelo número de meses (ex. se informação trimestral, por 3)</t>
      </text>
    </comment>
    <comment ref="C85" authorId="46" shapeId="0" xr:uid="{F938F529-C3B9-434A-8AD9-F7265AEC25D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Buscar informação na Planilha de Fundamentos disponível no site de Relações com Investidores das empresas
</t>
      </text>
    </comment>
    <comment ref="C86" authorId="47" shapeId="0" xr:uid="{6B30353C-7F84-4FF6-B5D9-F7C7BE8CC5DE}">
      <text>
        <t>[Comentário encadeado]
Sua versão do Excel permite que você leia este comentário encadeado, no entanto, as edições serão removidas se o arquivo for aberto em uma versão mais recente do Excel. Saiba mais: https://go.microsoft.com/fwlink/?linkid=870924
Comentário:
    Dividir Receita de Aluguel (células linha 85) pela área do Portfólio de Shoppings (células linha 79) e pelo número de meses (ex. se informação trimestral, por 3)</t>
      </text>
    </comment>
    <comment ref="C87" authorId="48" shapeId="0" xr:uid="{0E2495BE-A196-490E-843A-563D71F94124}">
      <text>
        <t>[Comentário encadeado]
Sua versão do Excel permite que você leia este comentário encadeado, no entanto, as edições serão removidas se o arquivo for aberto em uma versão mais recente do Excel. Saiba mais: https://go.microsoft.com/fwlink/?linkid=870924
Comentário:
    Dividir Receita de Aluguel (células linha 85) por Vendas Totais (células linha 82)</t>
      </text>
    </comment>
    <comment ref="C89" authorId="49" shapeId="0" xr:uid="{E041FB27-4002-4737-BC3A-99B04016EA2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NOI (Net Operating Income) - Receita Operacional Líquida dos Shoppings. Informação disponível na Planilha de Fundamentos das empresas no site de Relações com Investidores
</t>
      </text>
    </comment>
    <comment ref="C90" authorId="50" shapeId="0" xr:uid="{235F3CC2-7849-4080-9C47-5B478DDC3C4E}">
      <text>
        <t>[Comentário encadeado]
Sua versão do Excel permite que você leia este comentário encadeado, no entanto, as edições serão removidas se o arquivo for aberto em uma versão mais recente do Excel. Saiba mais: https://go.microsoft.com/fwlink/?linkid=870924
Comentário:
    Dividir NOI (células linha 89) pela área do Portfólio de Shoppings (células linha 79) e pelo número de meses (ex. se informação trimestral, por 3)</t>
      </text>
    </comment>
    <comment ref="C91" authorId="51" shapeId="0" xr:uid="{F5D1FA22-C9DD-4C5F-A8CE-61E059614192}">
      <text>
        <t>[Comentário encadeado]
Sua versão do Excel permite que você leia este comentário encadeado, no entanto, as edições serão removidas se o arquivo for aberto em uma versão mais recente do Excel. Saiba mais: https://go.microsoft.com/fwlink/?linkid=870924
Comentário:
    Dividir NOI (células linha 89) pelas Vendas Totais (células linha 82).</t>
      </text>
    </comment>
    <comment ref="C92" authorId="52" shapeId="0" xr:uid="{DCA41748-0BF1-4BFB-9511-7919E0F290F6}">
      <text>
        <t>[Comentário encadeado]
Sua versão do Excel permite que você leia este comentário encadeado, no entanto, as edições serão removidas se o arquivo for aberto em uma versão mais recente do Excel. Saiba mais: https://go.microsoft.com/fwlink/?linkid=870924
Comentário:
    Dividir NOI (células linha 89) pelas Receitas Shoppings (células linha 85).</t>
      </text>
    </comment>
    <comment ref="C94" authorId="53" shapeId="0" xr:uid="{B6FEA88B-F41F-4718-BAAB-ADB665A88C76}">
      <text>
        <t>[Comentário encadeado]
Sua versão do Excel permite que você leia este comentário encadeado, no entanto, as edições serão removidas se o arquivo for aberto em uma versão mais recente do Excel. Saiba mais: https://go.microsoft.com/fwlink/?linkid=870924
Comentário:
    Dívida Líquida (células linha 21) / Enterprise Value (células linhas 26)</t>
      </text>
    </comment>
    <comment ref="C95" authorId="54" shapeId="0" xr:uid="{85D90611-F890-4484-8038-B8C68831BB81}">
      <text>
        <t>[Comentário encadeado]
Sua versão do Excel permite que você leia este comentário encadeado, no entanto, as edições serão removidas se o arquivo for aberto em uma versão mais recente do Excel. Saiba mais: https://go.microsoft.com/fwlink/?linkid=870924
Comentário:
    Dívida Líquida (células linha 21) / NOI (células linhas 31)</t>
      </text>
    </comment>
    <comment ref="C96" authorId="55" shapeId="0" xr:uid="{C413E43D-CDD8-4D39-9957-A7F150D85BFD}">
      <text>
        <t>[Comentário encadeado]
Sua versão do Excel permite que você leia este comentário encadeado, no entanto, as edições serão removidas se o arquivo for aberto em uma versão mais recente do Excel. Saiba mais: https://go.microsoft.com/fwlink/?linkid=870924
Comentário:
    Dívida Líquida (células linha 21) / EBITDA (células linhas 37)</t>
      </text>
    </comment>
    <comment ref="C98" authorId="56" shapeId="0" xr:uid="{1F02E426-5963-4362-9556-20C886406F5E}">
      <text>
        <t>[Comentário encadeado]
Sua versão do Excel permite que você leia este comentário encadeado, no entanto, as edições serão removidas se o arquivo for aberto em uma versão mais recente do Excel. Saiba mais: https://go.microsoft.com/fwlink/?linkid=870924
Comentário:
    Juros pagos no trimestre / Dívida Bruta. Informações disponíveis na Planilha de Fundamentos das empresas disponíveis no site de Relações com Investidores.</t>
      </text>
    </comment>
    <comment ref="C99" authorId="57" shapeId="0" xr:uid="{C95BE700-CAE0-4FBD-A599-011D9C26E87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ICR = EBITDA / Juros. Informações disponíveis na Planilha de Fundamentos das empresas disponíveis no site de Relações com Investidores.
</t>
      </text>
    </comment>
    <comment ref="C101" authorId="58" shapeId="0" xr:uid="{2DEBD0EF-807E-4CEB-BBF0-50895E39295E}">
      <text>
        <t>[Comentário encadeado]
Sua versão do Excel permite que você leia este comentário encadeado, no entanto, as edições serão removidas se o arquivo for aberto em uma versão mais recente do Excel. Saiba mais: https://go.microsoft.com/fwlink/?linkid=870924
Comentário:
    EV Shoppings (células linha 23) / Área Bruta Locável (ABL) dos Shoppings (células linha 79)</t>
      </text>
    </comment>
    <comment ref="C102" authorId="59" shapeId="0" xr:uid="{913556F4-5237-4FB5-B478-901CDF9F0ADE}">
      <text>
        <t>[Comentário encadeado]
Sua versão do Excel permite que você leia este comentário encadeado, no entanto, as edições serão removidas se o arquivo for aberto em uma versão mais recente do Excel. Saiba mais: https://go.microsoft.com/fwlink/?linkid=870924
Comentário:
    EV Shoppings (células linha 23) / Vendas Totais (células linha 82)</t>
      </text>
    </comment>
    <comment ref="C103" authorId="60" shapeId="0" xr:uid="{8B2608BF-7352-4C55-8CE0-5EF5C1F6BE0F}">
      <text>
        <t>[Comentário encadeado]
Sua versão do Excel permite que você leia este comentário encadeado, no entanto, as edições serão removidas se o arquivo for aberto em uma versão mais recente do Excel. Saiba mais: https://go.microsoft.com/fwlink/?linkid=870924
Comentário:
    EV Shoppings (células linha 23) / Receita de Aluguel (células linha 85)</t>
      </text>
    </comment>
    <comment ref="C104" authorId="61" shapeId="0" xr:uid="{7B2B2C55-335B-4719-8020-7C5261C1040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EV Shoppings (células linha 23) / Receita de Aluguel (células linha 85) + Estacionamento (buscar info na Planilha de Fundamentos das Empresas - site de Relações com Investidores)
</t>
      </text>
    </comment>
    <comment ref="C105" authorId="62" shapeId="0" xr:uid="{CE71235F-9D4D-4585-A44F-3B17B1194F4D}">
      <text>
        <t>[Comentário encadeado]
Sua versão do Excel permite que você leia este comentário encadeado, no entanto, as edições serão removidas se o arquivo for aberto em uma versão mais recente do Excel. Saiba mais: https://go.microsoft.com/fwlink/?linkid=870924
Comentário:
    EV Shoppings (células linha 23) / NOI Shoppings (células linha 31)</t>
      </text>
    </comment>
    <comment ref="C106" authorId="63" shapeId="0" xr:uid="{3906EF5C-9A35-4ECE-BCA9-B57D087CC8DC}">
      <text>
        <t>[Comentário encadeado]
Sua versão do Excel permite que você leia este comentário encadeado, no entanto, as edições serão removidas se o arquivo for aberto em uma versão mais recente do Excel. Saiba mais: https://go.microsoft.com/fwlink/?linkid=870924
Comentário:
    EV Shoppings (células linha 23) / EBITDA Shoppings (células linha 37)</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2"/>
        </ext>
      </extLst>
    </bk>
    <bk>
      <extLst>
        <ext uri="{3e2802c4-a4d2-4d8b-9148-e3be6c30e623}">
          <xlrd:rvb i="5"/>
        </ext>
      </extLst>
    </bk>
    <bk>
      <extLst>
        <ext uri="{3e2802c4-a4d2-4d8b-9148-e3be6c30e623}">
          <xlrd:rvb i="8"/>
        </ext>
      </extLst>
    </bk>
  </futureMetadata>
  <valueMetadata count="3">
    <bk>
      <rc t="1" v="0"/>
    </bk>
    <bk>
      <rc t="1" v="1"/>
    </bk>
    <bk>
      <rc t="1" v="2"/>
    </bk>
  </valueMetadata>
</metadata>
</file>

<file path=xl/sharedStrings.xml><?xml version="1.0" encoding="utf-8"?>
<sst xmlns="http://schemas.openxmlformats.org/spreadsheetml/2006/main" count="129" uniqueCount="89">
  <si>
    <t>Data base</t>
  </si>
  <si>
    <t>Variação do preço da ação</t>
  </si>
  <si>
    <t>ALSO3</t>
  </si>
  <si>
    <t>BRML3</t>
  </si>
  <si>
    <t>ALSO+BRML</t>
  </si>
  <si>
    <t>IGTI11</t>
  </si>
  <si>
    <t>MULT3</t>
  </si>
  <si>
    <t>1A</t>
  </si>
  <si>
    <t>YTD</t>
  </si>
  <si>
    <t>MTD</t>
  </si>
  <si>
    <t>WTD</t>
  </si>
  <si>
    <t>Mês de referência</t>
  </si>
  <si>
    <t>Empresa</t>
  </si>
  <si>
    <t>considerar aqui: (FR 19/12/22)</t>
  </si>
  <si>
    <t>Número de Ações (MM)</t>
  </si>
  <si>
    <t>qtd/ação</t>
  </si>
  <si>
    <t>Valor de mercado (R$/ação)</t>
  </si>
  <si>
    <t>qtd ações brmalls</t>
  </si>
  <si>
    <t>Valor de mercado (R$ MM)</t>
  </si>
  <si>
    <t>qtd ações novas emitidas</t>
  </si>
  <si>
    <t>Caixa (R$ MM)</t>
  </si>
  <si>
    <t>Dívida Bruta (R$ MM)</t>
  </si>
  <si>
    <t>Outros valores a pagar (R$ MM)</t>
  </si>
  <si>
    <t>novas ações</t>
  </si>
  <si>
    <t>Financiamentos (R$ MM)</t>
  </si>
  <si>
    <t>ações pré deal</t>
  </si>
  <si>
    <t>Dívida Líquida (R$ MM)</t>
  </si>
  <si>
    <t>total ações</t>
  </si>
  <si>
    <t>Participação minoritários (R$ MM)</t>
  </si>
  <si>
    <t>mkt cap NewCo</t>
  </si>
  <si>
    <t>Enterprise Value Shoppings (R$ MM)</t>
  </si>
  <si>
    <t>Outros ativos operacionais (R$ MM)</t>
  </si>
  <si>
    <t>Lajes Corporativas (R$ MM)</t>
  </si>
  <si>
    <t>Enterprise Value Total (R$ MM)</t>
  </si>
  <si>
    <t>3T22 Anualizado</t>
  </si>
  <si>
    <t>NOI</t>
  </si>
  <si>
    <t>NOI yield e P/NOI</t>
  </si>
  <si>
    <t>NOI yield 2022E - Média</t>
  </si>
  <si>
    <t>NOI yield 2023E - Média</t>
  </si>
  <si>
    <t>2022E</t>
  </si>
  <si>
    <t>NOI yield 2022E - Mínimo</t>
  </si>
  <si>
    <t>2023E</t>
  </si>
  <si>
    <t>NOI yield 2023E - Mínimo</t>
  </si>
  <si>
    <t>AFFO yield 2022E - Mínimo</t>
  </si>
  <si>
    <t>EBITDA</t>
  </si>
  <si>
    <t>AFFO yield 2023E - Mínimo</t>
  </si>
  <si>
    <t>EBITDA (% NOI)</t>
  </si>
  <si>
    <t>EBITDA yield e P/EBITDA</t>
  </si>
  <si>
    <t>EBITDA yield 2022E - Média</t>
  </si>
  <si>
    <t>EBITDA yield 2023E - Média</t>
  </si>
  <si>
    <t>EBITDA yield 2022E - Mínimo</t>
  </si>
  <si>
    <t>EBITDA yield 2023E - Mínimo</t>
  </si>
  <si>
    <t>AFFO</t>
  </si>
  <si>
    <t>AFFO (% NOI)</t>
  </si>
  <si>
    <t>AFFO yield e P/AFFO</t>
  </si>
  <si>
    <t>AFFO yield 2022E - Média</t>
  </si>
  <si>
    <t>AFFO yield 2023E - Média</t>
  </si>
  <si>
    <t>% vs 3T22</t>
  </si>
  <si>
    <t>Indicadores</t>
  </si>
  <si>
    <t>Área</t>
  </si>
  <si>
    <t>Portfólio Shoppings (m²)</t>
  </si>
  <si>
    <t>Ocupação (%)</t>
  </si>
  <si>
    <t>Vendas Totais/m²/mês</t>
  </si>
  <si>
    <t>Receita de Aluguel/m²/mês</t>
  </si>
  <si>
    <t>NOI (R$ MM)</t>
  </si>
  <si>
    <t>NOI/m²/mês</t>
  </si>
  <si>
    <t>NOI/Vendas</t>
  </si>
  <si>
    <t>NOI/Receitas</t>
  </si>
  <si>
    <t>Endividamento</t>
  </si>
  <si>
    <t>Dívida Líquida / EV</t>
  </si>
  <si>
    <t>Juros</t>
  </si>
  <si>
    <t>Juros 3T22 anual. / Dívida Bruta</t>
  </si>
  <si>
    <t>ICR (EBITDA 2022E/Juros 3T22 anual.)</t>
  </si>
  <si>
    <t>Valor da Empresa</t>
  </si>
  <si>
    <t>EV Shoppings / Vendas Totais</t>
  </si>
  <si>
    <t>EV Shoppings / Receita de Aluguel</t>
  </si>
  <si>
    <t>EV Shoppings / (Aluguel + Estac.)</t>
  </si>
  <si>
    <t>Receita de Aluguel/Vendas</t>
  </si>
  <si>
    <t>Vendas Totais (R$ MM) - 3T22</t>
  </si>
  <si>
    <t>Receita de Aluguel (R$ MM) - 3T22</t>
  </si>
  <si>
    <t>Receita Shoppings</t>
  </si>
  <si>
    <t>NOI Shoppings</t>
  </si>
  <si>
    <t>Vendas Shoppings</t>
  </si>
  <si>
    <t>EV Shoppings / ABL Shoppings (R$/m²)</t>
  </si>
  <si>
    <t>EV Shoppings / NOI Shoppings</t>
  </si>
  <si>
    <t>EV Shoppings / EBITDA Shoppings</t>
  </si>
  <si>
    <t>Dívida Líquida / NOI 3T22 anual.</t>
  </si>
  <si>
    <t>Dívida Líquida / EBITDA 3T22 anual.</t>
  </si>
  <si>
    <t>ALSO3+BRML3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</si>
</sst>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R$-416]\ * #,##0.00_-;\-[$R$-416]\ * #,##0.00_-;_-[$R$-416]\ * &quot;-&quot;??_-;_-@_-"/>
    <numFmt numFmtId="165" formatCode="0.0%"/>
    <numFmt numFmtId="166" formatCode="0.000"/>
    <numFmt numFmtId="167" formatCode="#,###.0\x"/>
    <numFmt numFmtId="168" formatCode="#,##0.000"/>
    <numFmt numFmtId="169" formatCode="#,##0.0\x"/>
    <numFmt numFmtId="170" formatCode="#,##0.00\x"/>
    <numFmt numFmtId="171" formatCode="0.##,,"/>
    <numFmt numFmtId="172" formatCode="##,##0.0\x"/>
  </numFmts>
  <fonts count="12" x14ac:knownFonts="1">
    <font>
      <sz val="11"/>
      <color theme="1"/>
      <name val="Calibri"/>
      <family val="2"/>
      <scheme val="minor"/>
    </font>
    <font>
      <sz val="11"/>
      <color theme="0"/>
      <name val="Calibri"/>
      <family val="2"/>
      <scheme val="minor"/>
    </font>
    <font>
      <sz val="11"/>
      <color theme="1"/>
      <name val="Calibri"/>
      <family val="2"/>
      <scheme val="minor"/>
    </font>
    <font>
      <sz val="10"/>
      <color indexed="8"/>
      <name val="Arial"/>
      <family val="2"/>
    </font>
    <font>
      <b/>
      <sz val="11"/>
      <color theme="0"/>
      <name val="Clan Pro"/>
    </font>
    <font>
      <sz val="11"/>
      <color theme="1"/>
      <name val="Clan Pro"/>
    </font>
    <font>
      <b/>
      <sz val="11"/>
      <color theme="1"/>
      <name val="Clan Pro"/>
    </font>
    <font>
      <sz val="11"/>
      <name val="Clan Pro"/>
    </font>
    <font>
      <b/>
      <sz val="11"/>
      <name val="Clan Pro"/>
    </font>
    <font>
      <sz val="11"/>
      <color theme="0"/>
      <name val="Clan Pro"/>
    </font>
    <font>
      <sz val="9"/>
      <color indexed="81"/>
      <name val="Segoe UI"/>
      <charset val="1"/>
    </font>
    <font>
      <sz val="9"/>
      <color indexed="81"/>
      <name val="Segoe UI"/>
      <family val="2"/>
    </font>
  </fonts>
  <fills count="5">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s>
  <borders count="16">
    <border>
      <left/>
      <right/>
      <top/>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9" fontId="2" fillId="0" borderId="0" applyFont="0" applyFill="0" applyBorder="0" applyAlignment="0" applyProtection="0"/>
    <xf numFmtId="0" fontId="3" fillId="0" borderId="0"/>
    <xf numFmtId="9" fontId="3" fillId="0" borderId="0" applyFont="0" applyFill="0" applyBorder="0" applyAlignment="0" applyProtection="0"/>
    <xf numFmtId="0" fontId="3" fillId="0" borderId="0"/>
  </cellStyleXfs>
  <cellXfs count="139">
    <xf numFmtId="0" fontId="0" fillId="0" borderId="0" xfId="0"/>
    <xf numFmtId="0" fontId="1" fillId="0" borderId="0" xfId="0" applyFont="1"/>
    <xf numFmtId="3" fontId="5" fillId="3" borderId="0" xfId="0" applyNumberFormat="1" applyFont="1" applyFill="1" applyAlignment="1">
      <alignment horizontal="center"/>
    </xf>
    <xf numFmtId="165" fontId="5" fillId="0" borderId="8" xfId="1" applyNumberFormat="1" applyFont="1" applyBorder="1" applyAlignment="1">
      <alignment horizontal="center"/>
    </xf>
    <xf numFmtId="3" fontId="5" fillId="0" borderId="0" xfId="0" applyNumberFormat="1" applyFont="1" applyAlignment="1">
      <alignment horizontal="center"/>
    </xf>
    <xf numFmtId="3" fontId="5" fillId="3" borderId="8" xfId="0" applyNumberFormat="1" applyFont="1" applyFill="1" applyBorder="1" applyAlignment="1">
      <alignment horizontal="center"/>
    </xf>
    <xf numFmtId="0" fontId="5" fillId="3" borderId="1" xfId="0" applyFont="1" applyFill="1" applyBorder="1" applyAlignment="1">
      <alignment horizontal="center"/>
    </xf>
    <xf numFmtId="0" fontId="5" fillId="0" borderId="1" xfId="0" applyFont="1" applyBorder="1" applyAlignment="1">
      <alignment horizontal="center"/>
    </xf>
    <xf numFmtId="0" fontId="5" fillId="3" borderId="7" xfId="0" applyFont="1" applyFill="1" applyBorder="1" applyAlignment="1">
      <alignment horizontal="center"/>
    </xf>
    <xf numFmtId="165" fontId="5" fillId="0" borderId="0" xfId="1" applyNumberFormat="1" applyFont="1" applyAlignment="1">
      <alignment horizontal="center"/>
    </xf>
    <xf numFmtId="3" fontId="5" fillId="3" borderId="9" xfId="0" applyNumberFormat="1" applyFont="1" applyFill="1" applyBorder="1" applyAlignment="1">
      <alignment horizontal="center"/>
    </xf>
    <xf numFmtId="4" fontId="5" fillId="0" borderId="9" xfId="0" applyNumberFormat="1" applyFont="1" applyBorder="1" applyAlignment="1">
      <alignment horizontal="center"/>
    </xf>
    <xf numFmtId="3" fontId="5" fillId="0" borderId="9" xfId="0" applyNumberFormat="1" applyFont="1" applyBorder="1" applyAlignment="1">
      <alignment horizontal="center"/>
    </xf>
    <xf numFmtId="3" fontId="5" fillId="3" borderId="10" xfId="0" applyNumberFormat="1" applyFont="1" applyFill="1" applyBorder="1" applyAlignment="1">
      <alignment horizontal="center"/>
    </xf>
    <xf numFmtId="9" fontId="5" fillId="0" borderId="9" xfId="1" applyFont="1" applyBorder="1" applyAlignment="1">
      <alignment horizontal="center"/>
    </xf>
    <xf numFmtId="0" fontId="7" fillId="3" borderId="9" xfId="0" applyFont="1" applyFill="1" applyBorder="1"/>
    <xf numFmtId="165" fontId="5" fillId="0" borderId="9" xfId="1" applyNumberFormat="1" applyFont="1" applyBorder="1" applyAlignment="1">
      <alignment horizontal="center"/>
    </xf>
    <xf numFmtId="0" fontId="5" fillId="0" borderId="7" xfId="0" applyFont="1" applyBorder="1" applyAlignment="1">
      <alignment horizontal="center"/>
    </xf>
    <xf numFmtId="0" fontId="4" fillId="2" borderId="2" xfId="0" applyFont="1" applyFill="1" applyBorder="1" applyAlignment="1">
      <alignment horizontal="center" vertical="center"/>
    </xf>
    <xf numFmtId="14" fontId="4" fillId="2" borderId="0" xfId="0" applyNumberFormat="1" applyFont="1" applyFill="1" applyAlignment="1">
      <alignment horizontal="center" vertical="center"/>
    </xf>
    <xf numFmtId="0" fontId="4" fillId="2" borderId="9" xfId="0" applyFont="1" applyFill="1" applyBorder="1" applyAlignment="1">
      <alignment horizontal="center" vertical="center"/>
    </xf>
    <xf numFmtId="0" fontId="4" fillId="2" borderId="4" xfId="0" applyFont="1" applyFill="1" applyBorder="1" applyAlignment="1">
      <alignment horizontal="center" vertical="center"/>
    </xf>
    <xf numFmtId="0" fontId="8" fillId="3" borderId="14" xfId="0" applyFont="1" applyFill="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6" fillId="0" borderId="3" xfId="0" applyFont="1" applyBorder="1" applyAlignment="1">
      <alignment horizontal="center"/>
    </xf>
    <xf numFmtId="14" fontId="6" fillId="0" borderId="6" xfId="0" applyNumberFormat="1" applyFont="1" applyBorder="1"/>
    <xf numFmtId="0" fontId="5" fillId="0" borderId="0" xfId="0" applyFont="1"/>
    <xf numFmtId="14" fontId="5" fillId="0" borderId="0" xfId="0" applyNumberFormat="1" applyFont="1"/>
    <xf numFmtId="14" fontId="6" fillId="0" borderId="4" xfId="0" applyNumberFormat="1" applyFont="1" applyBorder="1" applyAlignment="1">
      <alignment horizontal="center"/>
    </xf>
    <xf numFmtId="4" fontId="6" fillId="0" borderId="5" xfId="0" applyNumberFormat="1" applyFont="1" applyBorder="1" applyAlignment="1">
      <alignment horizontal="center"/>
    </xf>
    <xf numFmtId="4" fontId="6" fillId="0" borderId="6" xfId="0" applyNumberFormat="1" applyFont="1" applyBorder="1" applyAlignment="1">
      <alignment horizontal="center"/>
    </xf>
    <xf numFmtId="0" fontId="4" fillId="2" borderId="0" xfId="0" applyFont="1" applyFill="1" applyAlignment="1">
      <alignment horizontal="center" vertical="center"/>
    </xf>
    <xf numFmtId="165" fontId="5" fillId="3" borderId="0" xfId="1" applyNumberFormat="1" applyFont="1" applyFill="1" applyAlignment="1">
      <alignment horizontal="center"/>
    </xf>
    <xf numFmtId="0" fontId="6" fillId="0" borderId="2" xfId="0" applyFont="1" applyBorder="1" applyAlignment="1">
      <alignment horizontal="center"/>
    </xf>
    <xf numFmtId="17" fontId="6" fillId="0" borderId="11" xfId="0" applyNumberFormat="1" applyFont="1" applyBorder="1" applyAlignment="1">
      <alignment horizontal="center"/>
    </xf>
    <xf numFmtId="17" fontId="6" fillId="0" borderId="12" xfId="0" applyNumberFormat="1" applyFont="1" applyBorder="1" applyAlignment="1">
      <alignment horizontal="center"/>
    </xf>
    <xf numFmtId="0" fontId="4" fillId="2" borderId="5" xfId="0" applyFont="1" applyFill="1" applyBorder="1" applyAlignment="1">
      <alignment horizontal="center" vertical="center"/>
    </xf>
    <xf numFmtId="14" fontId="4" fillId="2" borderId="5" xfId="0" applyNumberFormat="1" applyFont="1" applyFill="1" applyBorder="1" applyAlignment="1">
      <alignment horizontal="center" vertical="center"/>
    </xf>
    <xf numFmtId="0" fontId="4" fillId="2" borderId="6" xfId="0" applyFont="1" applyFill="1" applyBorder="1" applyAlignment="1">
      <alignment horizontal="center" vertical="center"/>
    </xf>
    <xf numFmtId="171" fontId="5" fillId="3" borderId="0" xfId="0" applyNumberFormat="1" applyFont="1" applyFill="1" applyAlignment="1">
      <alignment horizontal="center"/>
    </xf>
    <xf numFmtId="171" fontId="5" fillId="3" borderId="9" xfId="0" applyNumberFormat="1" applyFont="1" applyFill="1" applyBorder="1" applyAlignment="1">
      <alignment horizontal="center"/>
    </xf>
    <xf numFmtId="4" fontId="5" fillId="0" borderId="0" xfId="0" applyNumberFormat="1" applyFont="1" applyAlignment="1">
      <alignment horizontal="center"/>
    </xf>
    <xf numFmtId="0" fontId="9" fillId="0" borderId="0" xfId="0" applyFont="1"/>
    <xf numFmtId="164" fontId="9" fillId="0" borderId="0" xfId="0" applyNumberFormat="1" applyFont="1"/>
    <xf numFmtId="4" fontId="5" fillId="0" borderId="0" xfId="0" applyNumberFormat="1" applyFont="1"/>
    <xf numFmtId="165" fontId="5" fillId="0" borderId="0" xfId="1" applyNumberFormat="1" applyFont="1"/>
    <xf numFmtId="168" fontId="5" fillId="0" borderId="0" xfId="0" applyNumberFormat="1" applyFont="1"/>
    <xf numFmtId="3" fontId="5" fillId="0" borderId="0" xfId="0" applyNumberFormat="1" applyFont="1"/>
    <xf numFmtId="0" fontId="9" fillId="2" borderId="6" xfId="0" applyFont="1" applyFill="1" applyBorder="1" applyAlignment="1">
      <alignment horizontal="centerContinuous"/>
    </xf>
    <xf numFmtId="0" fontId="4" fillId="2" borderId="5" xfId="0" applyFont="1" applyFill="1" applyBorder="1" applyAlignment="1">
      <alignment horizontal="centerContinuous"/>
    </xf>
    <xf numFmtId="0" fontId="4" fillId="2" borderId="3" xfId="0" applyFont="1" applyFill="1" applyBorder="1" applyAlignment="1">
      <alignment horizontal="center"/>
    </xf>
    <xf numFmtId="0" fontId="4" fillId="2" borderId="5" xfId="0" applyFont="1" applyFill="1" applyBorder="1" applyAlignment="1">
      <alignment horizontal="center"/>
    </xf>
    <xf numFmtId="0" fontId="6" fillId="3" borderId="3" xfId="0" applyFont="1" applyFill="1" applyBorder="1" applyAlignment="1">
      <alignment horizontal="center"/>
    </xf>
    <xf numFmtId="3" fontId="6" fillId="3" borderId="5" xfId="0" applyNumberFormat="1" applyFont="1" applyFill="1" applyBorder="1" applyAlignment="1">
      <alignment horizontal="center"/>
    </xf>
    <xf numFmtId="165" fontId="5" fillId="0" borderId="0" xfId="1" applyNumberFormat="1" applyFont="1" applyBorder="1" applyAlignment="1">
      <alignment horizontal="center"/>
    </xf>
    <xf numFmtId="9" fontId="5" fillId="0" borderId="0" xfId="1" applyFont="1" applyAlignment="1">
      <alignment horizontal="centerContinuous"/>
    </xf>
    <xf numFmtId="9" fontId="5" fillId="0" borderId="9" xfId="1" applyFont="1" applyBorder="1" applyAlignment="1">
      <alignment horizontal="centerContinuous"/>
    </xf>
    <xf numFmtId="3" fontId="5" fillId="0" borderId="8" xfId="0" applyNumberFormat="1" applyFont="1" applyBorder="1" applyAlignment="1">
      <alignment horizontal="center"/>
    </xf>
    <xf numFmtId="3" fontId="5" fillId="0" borderId="10" xfId="0" applyNumberFormat="1" applyFont="1" applyBorder="1" applyAlignment="1">
      <alignment horizontal="center"/>
    </xf>
    <xf numFmtId="0" fontId="6" fillId="0" borderId="13" xfId="0" applyFont="1" applyBorder="1" applyAlignment="1">
      <alignment horizontal="center"/>
    </xf>
    <xf numFmtId="17" fontId="6" fillId="0" borderId="11" xfId="0" applyNumberFormat="1" applyFont="1" applyBorder="1" applyAlignment="1">
      <alignment horizontal="centerContinuous"/>
    </xf>
    <xf numFmtId="0" fontId="6" fillId="0" borderId="12" xfId="0" applyFont="1" applyBorder="1" applyAlignment="1">
      <alignment horizontal="centerContinuous"/>
    </xf>
    <xf numFmtId="0" fontId="5" fillId="2" borderId="9" xfId="0" applyFont="1" applyFill="1" applyBorder="1"/>
    <xf numFmtId="0" fontId="9" fillId="2" borderId="9" xfId="0" applyFont="1" applyFill="1" applyBorder="1" applyAlignment="1">
      <alignment horizontal="centerContinuous"/>
    </xf>
    <xf numFmtId="0" fontId="5" fillId="0" borderId="9" xfId="0" applyFont="1" applyBorder="1" applyAlignment="1">
      <alignment horizontal="centerContinuous"/>
    </xf>
    <xf numFmtId="0" fontId="8" fillId="3" borderId="3" xfId="0" applyFont="1" applyFill="1" applyBorder="1" applyAlignment="1">
      <alignment horizontal="center" vertical="center"/>
    </xf>
    <xf numFmtId="0" fontId="8"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5" xfId="0" applyFont="1" applyFill="1" applyBorder="1" applyAlignment="1">
      <alignment horizontal="center" vertical="center"/>
    </xf>
    <xf numFmtId="9" fontId="5" fillId="0" borderId="9" xfId="1" applyFont="1" applyBorder="1"/>
    <xf numFmtId="9" fontId="5" fillId="0" borderId="10" xfId="1" applyFont="1" applyBorder="1" applyAlignment="1">
      <alignment horizontal="center"/>
    </xf>
    <xf numFmtId="0" fontId="7" fillId="3" borderId="9" xfId="0" applyFont="1" applyFill="1" applyBorder="1" applyAlignment="1">
      <alignment horizontal="centerContinuous"/>
    </xf>
    <xf numFmtId="0" fontId="5" fillId="3" borderId="9" xfId="0" applyFont="1" applyFill="1" applyBorder="1" applyAlignment="1">
      <alignment horizontal="centerContinuous"/>
    </xf>
    <xf numFmtId="167" fontId="5" fillId="0" borderId="8" xfId="0" applyNumberFormat="1" applyFont="1" applyBorder="1" applyAlignment="1">
      <alignment horizontal="centerContinuous"/>
    </xf>
    <xf numFmtId="0" fontId="5" fillId="0" borderId="10" xfId="0" applyFont="1" applyBorder="1" applyAlignment="1">
      <alignment horizontal="centerContinuous"/>
    </xf>
    <xf numFmtId="165" fontId="5" fillId="3" borderId="9" xfId="1" applyNumberFormat="1" applyFont="1" applyFill="1" applyBorder="1" applyAlignment="1">
      <alignment horizontal="center"/>
    </xf>
    <xf numFmtId="10" fontId="5" fillId="0" borderId="0" xfId="1" applyNumberFormat="1" applyFont="1" applyAlignment="1">
      <alignment horizontal="center"/>
    </xf>
    <xf numFmtId="9" fontId="5" fillId="0" borderId="0" xfId="0" applyNumberFormat="1" applyFont="1" applyAlignment="1">
      <alignment horizontal="center"/>
    </xf>
    <xf numFmtId="3" fontId="9" fillId="0" borderId="0" xfId="0" applyNumberFormat="1" applyFont="1"/>
    <xf numFmtId="4" fontId="9" fillId="0" borderId="0" xfId="0" applyNumberFormat="1" applyFont="1"/>
    <xf numFmtId="0" fontId="4" fillId="0" borderId="0" xfId="0" applyFont="1"/>
    <xf numFmtId="3" fontId="1" fillId="0" borderId="0" xfId="0" applyNumberFormat="1" applyFont="1"/>
    <xf numFmtId="9" fontId="9" fillId="0" borderId="0" xfId="1" applyFont="1"/>
    <xf numFmtId="0" fontId="7" fillId="0" borderId="0" xfId="0" applyFont="1"/>
    <xf numFmtId="4" fontId="9" fillId="0" borderId="0" xfId="1" applyNumberFormat="1" applyFont="1"/>
    <xf numFmtId="165" fontId="5" fillId="0" borderId="10" xfId="1" applyNumberFormat="1" applyFont="1" applyBorder="1" applyAlignment="1">
      <alignment horizontal="center"/>
    </xf>
    <xf numFmtId="3" fontId="6" fillId="3" borderId="3" xfId="0" applyNumberFormat="1" applyFont="1" applyFill="1" applyBorder="1" applyAlignment="1">
      <alignment horizontal="center"/>
    </xf>
    <xf numFmtId="165" fontId="5" fillId="0" borderId="14" xfId="1" applyNumberFormat="1" applyFont="1" applyBorder="1" applyAlignment="1">
      <alignment horizontal="center"/>
    </xf>
    <xf numFmtId="9" fontId="5" fillId="0" borderId="14" xfId="1" applyFont="1" applyBorder="1" applyAlignment="1">
      <alignment horizontal="centerContinuous"/>
    </xf>
    <xf numFmtId="165" fontId="5" fillId="0" borderId="15" xfId="1" applyNumberFormat="1" applyFont="1" applyBorder="1" applyAlignment="1">
      <alignment horizontal="center"/>
    </xf>
    <xf numFmtId="0" fontId="9" fillId="4" borderId="0" xfId="0" applyFont="1" applyFill="1"/>
    <xf numFmtId="14" fontId="9" fillId="4" borderId="0" xfId="0" applyNumberFormat="1" applyFont="1" applyFill="1"/>
    <xf numFmtId="165" fontId="9" fillId="4" borderId="0" xfId="1" applyNumberFormat="1" applyFont="1" applyFill="1"/>
    <xf numFmtId="0" fontId="9" fillId="4" borderId="0" xfId="0" applyFont="1" applyFill="1" applyAlignment="1">
      <alignment horizontal="right"/>
    </xf>
    <xf numFmtId="17" fontId="6" fillId="0" borderId="12" xfId="0" applyNumberFormat="1" applyFont="1" applyBorder="1" applyAlignment="1">
      <alignment horizontal="centerContinuous"/>
    </xf>
    <xf numFmtId="0" fontId="4" fillId="2" borderId="0" xfId="0" applyFont="1" applyFill="1" applyAlignment="1">
      <alignment horizontal="centerContinuous"/>
    </xf>
    <xf numFmtId="0" fontId="4" fillId="2" borderId="9" xfId="0" applyFont="1" applyFill="1" applyBorder="1" applyAlignment="1">
      <alignment horizontal="centerContinuous"/>
    </xf>
    <xf numFmtId="3" fontId="5" fillId="0" borderId="0" xfId="0" applyNumberFormat="1" applyFont="1" applyAlignment="1">
      <alignment horizontal="centerContinuous"/>
    </xf>
    <xf numFmtId="3" fontId="5" fillId="0" borderId="9" xfId="0" applyNumberFormat="1" applyFont="1" applyBorder="1" applyAlignment="1">
      <alignment horizontal="centerContinuous"/>
    </xf>
    <xf numFmtId="0" fontId="8" fillId="3" borderId="6" xfId="0" applyFont="1" applyFill="1" applyBorder="1" applyAlignment="1">
      <alignment horizontal="center" vertical="center"/>
    </xf>
    <xf numFmtId="0" fontId="4" fillId="2" borderId="6" xfId="0" applyFont="1" applyFill="1" applyBorder="1" applyAlignment="1">
      <alignment horizontal="centerContinuous"/>
    </xf>
    <xf numFmtId="0" fontId="7" fillId="3" borderId="0" xfId="0" applyFont="1" applyFill="1"/>
    <xf numFmtId="165" fontId="5" fillId="0" borderId="0" xfId="1" applyNumberFormat="1" applyFont="1" applyBorder="1" applyAlignment="1">
      <alignment horizontal="centerContinuous"/>
    </xf>
    <xf numFmtId="165" fontId="5" fillId="0" borderId="9" xfId="1" applyNumberFormat="1" applyFont="1" applyBorder="1" applyAlignment="1">
      <alignment horizontal="centerContinuous"/>
    </xf>
    <xf numFmtId="0" fontId="7" fillId="3" borderId="0" xfId="0" applyFont="1" applyFill="1" applyAlignment="1">
      <alignment horizontal="centerContinuous"/>
    </xf>
    <xf numFmtId="0" fontId="5" fillId="3" borderId="0" xfId="0" applyFont="1" applyFill="1" applyAlignment="1">
      <alignment horizontal="centerContinuous"/>
    </xf>
    <xf numFmtId="9" fontId="5" fillId="0" borderId="0" xfId="1" applyFont="1" applyBorder="1" applyAlignment="1">
      <alignment horizontal="centerContinuous"/>
    </xf>
    <xf numFmtId="172" fontId="5" fillId="0" borderId="0" xfId="0" applyNumberFormat="1" applyFont="1" applyAlignment="1">
      <alignment horizontal="centerContinuous"/>
    </xf>
    <xf numFmtId="167" fontId="5" fillId="0" borderId="0" xfId="0" applyNumberFormat="1" applyFont="1" applyAlignment="1">
      <alignment horizontal="centerContinuous"/>
    </xf>
    <xf numFmtId="167" fontId="5" fillId="0" borderId="9" xfId="0" applyNumberFormat="1" applyFont="1" applyBorder="1" applyAlignment="1">
      <alignment horizontal="centerContinuous"/>
    </xf>
    <xf numFmtId="169" fontId="5" fillId="0" borderId="0" xfId="0" applyNumberFormat="1" applyFont="1" applyAlignment="1">
      <alignment horizontal="centerContinuous"/>
    </xf>
    <xf numFmtId="170" fontId="5" fillId="0" borderId="0" xfId="0" applyNumberFormat="1" applyFont="1" applyAlignment="1">
      <alignment horizontal="centerContinuous"/>
    </xf>
    <xf numFmtId="170" fontId="5" fillId="0" borderId="9" xfId="0" applyNumberFormat="1" applyFont="1" applyBorder="1" applyAlignment="1">
      <alignment horizontal="centerContinuous"/>
    </xf>
    <xf numFmtId="167" fontId="5" fillId="0" borderId="10" xfId="0" applyNumberFormat="1" applyFont="1" applyBorder="1" applyAlignment="1">
      <alignment horizontal="centerContinuous"/>
    </xf>
    <xf numFmtId="3" fontId="6" fillId="3" borderId="4" xfId="0" applyNumberFormat="1" applyFont="1" applyFill="1" applyBorder="1" applyAlignment="1">
      <alignment horizontal="center"/>
    </xf>
    <xf numFmtId="165" fontId="5" fillId="0" borderId="1" xfId="1" applyNumberFormat="1" applyFont="1" applyBorder="1" applyAlignment="1">
      <alignment horizontal="center"/>
    </xf>
    <xf numFmtId="165" fontId="5" fillId="0" borderId="7" xfId="1" applyNumberFormat="1" applyFont="1" applyBorder="1" applyAlignment="1">
      <alignment horizontal="center"/>
    </xf>
    <xf numFmtId="9" fontId="5" fillId="0" borderId="1" xfId="1" applyFont="1" applyBorder="1" applyAlignment="1">
      <alignment horizontal="centerContinuous"/>
    </xf>
    <xf numFmtId="165" fontId="5" fillId="0" borderId="1" xfId="1" applyNumberFormat="1" applyFont="1" applyBorder="1" applyAlignment="1">
      <alignment horizontal="center"/>
    </xf>
    <xf numFmtId="165" fontId="5" fillId="0" borderId="9" xfId="1" applyNumberFormat="1" applyFont="1" applyBorder="1" applyAlignment="1">
      <alignment horizontal="center"/>
    </xf>
    <xf numFmtId="165" fontId="5" fillId="0" borderId="7" xfId="1" applyNumberFormat="1" applyFont="1" applyBorder="1" applyAlignment="1">
      <alignment horizontal="center"/>
    </xf>
    <xf numFmtId="165" fontId="5" fillId="0" borderId="10" xfId="1" applyNumberFormat="1" applyFont="1" applyBorder="1" applyAlignment="1">
      <alignment horizontal="center"/>
    </xf>
    <xf numFmtId="0" fontId="4" fillId="2" borderId="4" xfId="0" applyFont="1" applyFill="1" applyBorder="1" applyAlignment="1">
      <alignment horizontal="center"/>
    </xf>
    <xf numFmtId="0" fontId="4" fillId="2" borderId="6" xfId="0" applyFont="1" applyFill="1" applyBorder="1" applyAlignment="1">
      <alignment horizontal="center"/>
    </xf>
    <xf numFmtId="0" fontId="4" fillId="2" borderId="5" xfId="0" applyFont="1" applyFill="1" applyBorder="1" applyAlignment="1">
      <alignment horizontal="center"/>
    </xf>
    <xf numFmtId="9" fontId="5" fillId="0" borderId="2" xfId="1" applyFont="1" applyBorder="1" applyAlignment="1">
      <alignment horizontal="center"/>
    </xf>
    <xf numFmtId="9" fontId="5" fillId="0" borderId="12" xfId="1" applyFont="1" applyBorder="1" applyAlignment="1">
      <alignment horizontal="center"/>
    </xf>
    <xf numFmtId="3" fontId="6" fillId="3" borderId="4" xfId="0" applyNumberFormat="1" applyFont="1" applyFill="1" applyBorder="1" applyAlignment="1">
      <alignment horizontal="center"/>
    </xf>
    <xf numFmtId="3" fontId="6" fillId="3" borderId="6" xfId="0" applyNumberFormat="1" applyFont="1" applyFill="1" applyBorder="1" applyAlignment="1">
      <alignment horizontal="center"/>
    </xf>
    <xf numFmtId="3" fontId="6" fillId="3" borderId="5" xfId="0" applyNumberFormat="1" applyFont="1" applyFill="1" applyBorder="1" applyAlignment="1">
      <alignment horizontal="center"/>
    </xf>
    <xf numFmtId="165" fontId="5" fillId="0" borderId="2" xfId="1" applyNumberFormat="1" applyFont="1" applyBorder="1" applyAlignment="1">
      <alignment horizontal="center"/>
    </xf>
    <xf numFmtId="165" fontId="5" fillId="0" borderId="12" xfId="1" applyNumberFormat="1" applyFont="1" applyBorder="1" applyAlignment="1">
      <alignment horizontal="center"/>
    </xf>
    <xf numFmtId="0" fontId="5" fillId="4" borderId="0" xfId="0" applyFont="1" applyFill="1"/>
    <xf numFmtId="4" fontId="5" fillId="4" borderId="0" xfId="0" applyNumberFormat="1" applyFont="1" applyFill="1"/>
    <xf numFmtId="17" fontId="5" fillId="4" borderId="0" xfId="0" applyNumberFormat="1" applyFont="1" applyFill="1"/>
    <xf numFmtId="14" fontId="5" fillId="4" borderId="0" xfId="0" applyNumberFormat="1" applyFont="1" applyFill="1"/>
    <xf numFmtId="3" fontId="5" fillId="4" borderId="0" xfId="0" applyNumberFormat="1" applyFont="1" applyFill="1"/>
    <xf numFmtId="166" fontId="5" fillId="4" borderId="0" xfId="0" applyNumberFormat="1" applyFont="1" applyFill="1"/>
  </cellXfs>
  <cellStyles count="5">
    <cellStyle name="Normal" xfId="0" builtinId="0"/>
    <cellStyle name="Normal 2 2" xfId="4" xr:uid="{536EA749-2C3F-40A2-AC61-95ACF92F7872}"/>
    <cellStyle name="Normal 3" xfId="2" xr:uid="{E07A5318-D22D-4CDC-BDDA-C5008E38D61C}"/>
    <cellStyle name="Percent 2" xfId="3" xr:uid="{DA0C4909-443F-4B2A-9F98-02B1B7F8C6F0}"/>
    <cellStyle name="Porcentagem" xfId="1" builtinId="5"/>
  </cellStyles>
  <dxfs count="2">
    <dxf>
      <font>
        <color rgb="FF00B05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13" Type="http://schemas.openxmlformats.org/officeDocument/2006/relationships/customXml" Target="../customXml/item1.xml"/><Relationship Id="rId3" Type="http://schemas.openxmlformats.org/officeDocument/2006/relationships/styles" Target="styles.xml"/><Relationship Id="rId7" Type="http://schemas.microsoft.com/office/2017/06/relationships/rdRichValueStructure" Target="richData/rdrichvaluestructure.xml"/><Relationship Id="rId12"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5" Type="http://schemas.openxmlformats.org/officeDocument/2006/relationships/customXml" Target="../customXml/item3.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Felipe Vaz" id="{DFB1D814-DE38-459A-B3EA-DA6A47F40D4B}" userId="S::felipe.vaz@canumacapital.com.br::eb1f5e2e-6a16-447c-9e8b-e0b9f4e1b55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9">
  <rv s="0">
    <v>https://www.bing.com/financeapi/forcetrigger?t=br6c3m&amp;q=BVMF%3aALSO3&amp;form=skydnc</v>
    <v>Learn more on Bing</v>
  </rv>
  <rv s="1">
    <v>en-US</v>
    <v>br6c3m</v>
    <v>268435456</v>
    <v>1</v>
    <v>Powered by Refinitiv</v>
    <v>0</v>
    <v>Aliansce Sonae Shopping Centers SA (BVMF:ALSO3)</v>
    <v>2</v>
    <v>3</v>
    <v>Finance</v>
    <v>4</v>
    <v>22.76</v>
    <v>15.35</v>
    <v>1.19</v>
    <v>0.39</v>
    <v>2.1476000000000002E-2</v>
    <v>BRL</v>
    <v>Aliansce Sonae Shopping Centers SA, formerly known as Sonae Sierra Brasil SA, is a Brazil-based company principally engaged in the development and operating of shopping centers in Brazil. Through its subsidiaries, the Company is active in the shopping center project development, commercial building construction, management of commercial real estate properties, brokerage services, leasing of space to retailers, rental of commercial spaces for advertising and promotion, and operating parking lots. The Company has such subsidiaries as Sierra Investimentos Brasil Ltda and Unishopping Administradora Ltda, through which it operates a number of shopping centers in Brazil, including Parque D Pedro, Metropole, Manauara, Penha, Tivoli, Campo Limpo and Franca, among others. It is a subsidiary of Sierra Brazil 1 BV.</v>
    <v>440</v>
    <v>B3 - Brazil Stock Exchange</v>
    <v>BVMF</v>
    <v>BVMF</v>
    <v>R Dias Ferreira 00190 Sal 301, Leblon, RIO DE JANEIRO, RIO DE JANEIRO, 22.431-050 BR</v>
    <v>18.690000000000001</v>
    <v>Real Estate Operations</v>
    <v>Stock</v>
    <v>45045</v>
    <v>0</v>
    <v>18.16</v>
    <v>11064570000</v>
    <v>Aliansce Sonae Shopping Centers SA</v>
    <v>Aliansce Sonae Shopping Centers SA</v>
    <v>18.16</v>
    <v>18.16</v>
    <v>18.55</v>
    <v>592473700</v>
    <v>ALSO3</v>
    <v>Aliansce Sonae Shopping Centers SA (BVMF:ALSO3)</v>
    <v>10056200</v>
    <v>5000080</v>
    <v>2003</v>
  </rv>
  <rv s="2">
    <v>1</v>
  </rv>
  <rv s="0">
    <v>https://www.bing.com/financeapi/forcetrigger?t=c47wcw&amp;q=BVMF%3aIGTI11&amp;form=skydnc</v>
    <v>Learn more on Bing</v>
  </rv>
  <rv s="3">
    <v>en-US</v>
    <v>c47wcw</v>
    <v>268435456</v>
    <v>1</v>
    <v>Powered by Refinitiv</v>
    <v>5</v>
    <v>JEREISSATI PARTICIPACOES UNT (BVMF:IGTI11)</v>
    <v>6</v>
    <v>7</v>
    <v>Finance</v>
    <v>4</v>
    <v>22.44</v>
    <v>16.13</v>
    <v>0.51</v>
    <v>2.5783999999999998E-2</v>
    <v>BRL</v>
    <v>B3 - Brazil Stock Exchange</v>
    <v>BVMF</v>
    <v>20.53</v>
    <v>ETF</v>
    <v>45045</v>
    <v>3</v>
    <v>19.829999999999998</v>
    <v>JEREISSATI PARTICIPACOES UNT</v>
    <v>19.829999999999998</v>
    <v>19.78</v>
    <v>20.29</v>
    <v>IGTI11</v>
    <v>JEREISSATI PARTICIPACOES UNT (BVMF:IGTI11)</v>
    <v>4737300</v>
  </rv>
  <rv s="2">
    <v>4</v>
  </rv>
  <rv s="0">
    <v>https://www.bing.com/financeapi/forcetrigger?t=apmzxm&amp;q=BVMF%3aMULT3&amp;form=skydnc</v>
    <v>Learn more on Bing</v>
  </rv>
  <rv s="1">
    <v>en-US</v>
    <v>apmzxm</v>
    <v>268435456</v>
    <v>1</v>
    <v>Powered by Refinitiv</v>
    <v>0</v>
    <v>Multiplan Empreendimentos Imobiliarios SA (BVMF:MULT3)</v>
    <v>2</v>
    <v>3</v>
    <v>Finance</v>
    <v>4</v>
    <v>27.31</v>
    <v>19.100000000000001</v>
    <v>1.0761000000000001</v>
    <v>0.67</v>
    <v>2.664E-2</v>
    <v>BRL</v>
    <v>Multiplan Empreendimentos Imobiliarios SA is a Brazil-based company primarily engaged in the real estate sector. The Company's activities are divided into four business segments: Rental, Real estate, Projects and Management. The Rental division focuses on leasing of shopping malls and their parking lots. The Real estate division includes sale of properties, such as multifamily homes, built in the surroundings of shopping malls. The Projects division specializes in the planning, development and construction of commercial centers for lease. The Management division primarily offers management services to storeowners. The Company holds and administers numerous shopping malls in Brazil, such as BH Shopping, BarraShopping, RibeiraoShopping, MorumbiShopping, ParkShopping, DiamondMall, Shopping Analia Franco, BarraShopping Sul, New York City Center and Shopping Santa Ursula.</v>
    <v>8500</v>
    <v>B3 - Brazil Stock Exchange</v>
    <v>BVMF</v>
    <v>BVMF</v>
    <v>Av Das Americas 04200 Bloco 2 Salas 101 A 104 112 A 116 401 A 416 E 501 E Bloco 9 Ala B Salas 212 A 216, Barra Da Tijuca, RIO DE JANEIRO, RIO DE JANEIRO, 22.640-102 BR</v>
    <v>26.34</v>
    <v>Real Estate Operations</v>
    <v>Stock</v>
    <v>45045</v>
    <v>6</v>
    <v>25.42</v>
    <v>14665960000</v>
    <v>Multiplan Empreendimentos Imobiliarios SA</v>
    <v>Multiplan Empreendimentos Imobiliarios SA</v>
    <v>25.5</v>
    <v>25.15</v>
    <v>25.82</v>
    <v>565185900</v>
    <v>MULT3</v>
    <v>Multiplan Empreendimentos Imobiliarios SA (BVMF:MULT3)</v>
    <v>6596400</v>
    <v>2996080</v>
    <v>2005</v>
  </rv>
  <rv s="2">
    <v>7</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High"/>
    <k n="Instrument type" t="s"/>
    <k n="Last trade time"/>
    <k n="LearnMoreOnLink" t="r"/>
    <k n="Low"/>
    <k n="Name" t="s"/>
    <k n="Open"/>
    <k n="Previous close"/>
    <k n="Price"/>
    <k n="Ticker symbol" t="s"/>
    <k n="UniqueName" t="s"/>
    <k n="Volume"/>
  </s>
</rvStructures>
</file>

<file path=xl/richData/rdsupportingpropertybag.xml><?xml version="1.0" encoding="utf-8"?>
<supportingPropertyBags xmlns="http://schemas.microsoft.com/office/spreadsheetml/2017/richdata2">
  <spbArrays count="2">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30">
      <v t="s">%EntityServiceId</v>
      <v t="s">_Format</v>
      <v t="s">%IsRefreshable</v>
      <v t="s">%EntityCulture</v>
      <v t="s">%EntityId</v>
      <v t="s">_Icon</v>
      <v t="s">_Display</v>
      <v t="s">Name</v>
      <v t="s">_SubLabel</v>
      <v t="s">Price</v>
      <v t="s">Exchange</v>
      <v t="s">Last trade time</v>
      <v t="s">Ticker symbol</v>
      <v t="s">Exchange abbreviation</v>
      <v t="s">Change</v>
      <v t="s">Change (%)</v>
      <v t="s">Currency</v>
      <v t="s">Previous close</v>
      <v t="s">Open</v>
      <v t="s">High</v>
      <v t="s">Low</v>
      <v t="s">52 week high</v>
      <v t="s">52 week low</v>
      <v t="s">Volume</v>
      <v t="s">Instrument type</v>
      <v t="s">_Flags</v>
      <v t="s">UniqueName</v>
      <v t="s">_DisplayString</v>
      <v t="s">LearnMoreOnLink</v>
      <v t="s">%ProviderInfo</v>
    </a>
  </spbArrays>
  <spbData count="8">
    <spb s="0">
      <v>0</v>
      <v>Name</v>
      <v>LearnMoreOnLink</v>
    </spb>
    <spb s="1">
      <v>0</v>
      <v>0</v>
      <v>0</v>
    </spb>
    <spb s="2">
      <v>1</v>
      <v>1</v>
      <v>1</v>
      <v>1</v>
    </spb>
    <spb s="3">
      <v>1</v>
      <v>2</v>
      <v>1</v>
      <v>3</v>
      <v>1</v>
      <v>1</v>
      <v>1</v>
      <v>4</v>
      <v>4</v>
      <v>5</v>
      <v>6</v>
      <v>1</v>
      <v>1</v>
      <v>1</v>
      <v>4</v>
      <v>7</v>
      <v>8</v>
      <v>9</v>
      <v>4</v>
    </spb>
    <spb s="4">
      <v>Delayed 30 minutes</v>
      <v>from previous close</v>
      <v>from previous close</v>
      <v>GMT</v>
    </spb>
    <spb s="0">
      <v>1</v>
      <v>Name</v>
      <v>LearnMoreOnLink</v>
    </spb>
    <spb s="5">
      <v>1</v>
      <v>1</v>
      <v>1</v>
    </spb>
    <spb s="6">
      <v>1</v>
      <v>1</v>
      <v>3</v>
      <v>1</v>
      <v>1</v>
      <v>1</v>
      <v>4</v>
      <v>5</v>
      <v>1</v>
      <v>1</v>
      <v>1</v>
      <v>7</v>
      <v>9</v>
    </spb>
  </spbData>
</supportingPropertyBags>
</file>

<file path=xl/richData/rdsupportingpropertybagstructure.xml><?xml version="1.0" encoding="utf-8"?>
<spbStructures xmlns="http://schemas.microsoft.com/office/spreadsheetml/2017/richdata2" count="7">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UniqueName" t="spb"/>
    <k n="`%ProviderInfo" t="spb"/>
    <k n="LearnMoreOnLink" t="spb"/>
  </s>
  <s>
    <k n="Low" t="i"/>
    <k n="High" t="i"/>
    <k n="Name" t="i"/>
    <k n="Open" t="i"/>
    <k n="Price" t="i"/>
    <k n="Change" t="i"/>
    <k n="Volume" t="i"/>
    <k n="Change (%)" t="i"/>
    <k n="52 week low" t="i"/>
    <k n="52 week high" t="i"/>
    <k n="Previous close" t="i"/>
    <k n="Last trade time" t="i"/>
    <k n="`%EntityServiceId"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14" formatCode="0.00%"/>
    </x:dxf>
    <x:dxf>
      <x:numFmt numFmtId="3" formatCode="#,##0"/>
    </x:dxf>
    <x:dxf>
      <x:numFmt numFmtId="4" formatCode="#,##0.00"/>
    </x:dxf>
    <x:dxf>
      <x:numFmt numFmtId="1" formatCode="0"/>
    </x:dxf>
    <x:dxf>
      <x:numFmt numFmtId="19" formatCode="dd/mm/yyyy"/>
    </x:dxf>
  </dxfs>
  <richProperties>
    <rPr n="NumberFormat" t="s"/>
    <rPr n="IsTitleField" t="b"/>
  </richProperties>
  <richStyles>
    <rSty dxfid="1">
      <rpv i="0">_-[$R$-pt-BR] * #,##0.00_-;-[$R$-pt-BR] * #,##0.00_-;_-[$R$-pt-BR] * "-"??_-;_-@_-</rpv>
    </rSty>
    <rSty dxfid="4">
      <rpv i="0">#,##0.00</rpv>
    </rSty>
    <rSty>
      <rpv i="1">1</rpv>
    </rSty>
    <rSty dxfid="3">
      <rpv i="0">#,##0</rpv>
    </rSty>
    <rSty dxfid="2"/>
    <rSty dxfid="1">
      <rpv i="0">_-[$R$-pt-BR] * #,##0_-;-[$R$-pt-BR] * #,##0_-;_-[$R$-pt-BR] * "-"_-;_-@_-</rpv>
    </rSty>
    <rSty dxfid="6"/>
    <rSty dxfid="5">
      <rpv i="0">0</rpv>
    </rSty>
    <rSty dxfid="0">
      <rpv i="0">0.00</rpv>
    </rSty>
  </richStyles>
</richStyleSheet>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4" dT="2023-05-01T22:10:23.14" personId="{DFB1D814-DE38-459A-B3EA-DA6A47F40D4B}" id="{F4FDA13C-908D-4110-8389-080F2CC49FA3}">
    <text xml:space="preserve">Valor de mercado da ação. Buscar no Google, B3, Yahoo ou por meio de App ou Homebroker de uma Corretora
</text>
  </threadedComment>
  <threadedComment ref="G4" dT="2023-05-01T22:10:27.90" personId="{DFB1D814-DE38-459A-B3EA-DA6A47F40D4B}" id="{14C12601-4BBD-4AE2-8971-D4D4527226DD}">
    <text xml:space="preserve">Valor de mercado da ação. Buscar no Google, B3, Yahoo ou por meio de App ou Homebroker de uma Corretora
</text>
  </threadedComment>
  <threadedComment ref="H4" dT="2023-05-01T22:10:34.48" personId="{DFB1D814-DE38-459A-B3EA-DA6A47F40D4B}" id="{373F0079-9060-4F4B-B77B-76A00F53D986}">
    <text xml:space="preserve">Valor de mercado da ação. Buscar no Google, B3, Yahoo ou por meio de App ou Homebroker de uma Corretora
</text>
  </threadedComment>
  <threadedComment ref="C5" dT="2023-05-01T22:09:50.72" personId="{DFB1D814-DE38-459A-B3EA-DA6A47F40D4B}" id="{A3A1CF15-0608-486B-A3F3-83B4F88BA44C}">
    <text xml:space="preserve">Performance da ação no mercado secundário de Bolsa. Buscar no Google, B3, Yahoo ou por meio de App ou Homebroker de uma Corretora
</text>
  </threadedComment>
  <threadedComment ref="C14" dT="2023-05-01T21:04:39.75" personId="{DFB1D814-DE38-459A-B3EA-DA6A47F40D4B}" id="{A8D86ED7-9629-440B-9ECF-0C42153BEC4A}">
    <text>Buscar número atualizado no site de relações com investidores das empresas</text>
  </threadedComment>
  <threadedComment ref="C15" dT="2023-05-01T21:05:52.94" personId="{DFB1D814-DE38-459A-B3EA-DA6A47F40D4B}" id="{541DAE7A-E740-4675-AB86-FA43BBE7931A}">
    <text>Valor de mercado da ação. Buscar no Google, B3, Yahoo ou por meio de App ou Homebroker de uma Corretora</text>
  </threadedComment>
  <threadedComment ref="C16" dT="2023-05-01T21:06:28.34" personId="{DFB1D814-DE38-459A-B3EA-DA6A47F40D4B}" id="{8F1EA316-EDC2-4F4B-A7DE-04386078E0F4}">
    <text>Multiplicar: Número de Ações x Valor de Mercado por Ação</text>
  </threadedComment>
  <threadedComment ref="C17" dT="2023-05-01T21:09:53.09" personId="{DFB1D814-DE38-459A-B3EA-DA6A47F40D4B}" id="{BC12209A-7B17-415E-B86C-31BB8CDB9908}">
    <text xml:space="preserve">Buscar informação na Planilha de Fundamentos disponível no site de Relações com Investidores das empresas
</text>
  </threadedComment>
  <threadedComment ref="C18" dT="2023-05-01T21:09:48.12" personId="{DFB1D814-DE38-459A-B3EA-DA6A47F40D4B}" id="{0156D49B-CF9B-43B2-AD27-1BD3CA4F1DFA}">
    <text xml:space="preserve">Buscar informação na Planilha de Fundamentos disponível no site de Relações com Investidores das empresas
</text>
  </threadedComment>
  <threadedComment ref="C19" dT="2023-05-01T21:09:42.80" personId="{DFB1D814-DE38-459A-B3EA-DA6A47F40D4B}" id="{ED80B9A2-DC7D-4066-905D-06F6BBD01214}">
    <text xml:space="preserve">Buscar informação na Planilha de Fundamentos disponível no site de Relações com Investidores das empresas
</text>
  </threadedComment>
  <threadedComment ref="C20" dT="2023-05-01T21:09:30.90" personId="{DFB1D814-DE38-459A-B3EA-DA6A47F40D4B}" id="{84CA8420-495E-4146-8F36-8AB208CB59E8}">
    <text xml:space="preserve">Buscar informação na Planilha de Fundamentos disponível no site de Relações com Investidores das empresas
</text>
  </threadedComment>
  <threadedComment ref="C21" dT="2023-05-01T21:08:24.02" personId="{DFB1D814-DE38-459A-B3EA-DA6A47F40D4B}" id="{42E95006-AB4C-4215-A821-DCDCC0C7E71A}">
    <text>Dívida Líquida: Dívida Bruta - Caixa</text>
  </threadedComment>
  <threadedComment ref="C22" dT="2023-05-01T21:09:22.83" personId="{DFB1D814-DE38-459A-B3EA-DA6A47F40D4B}" id="{F97C814A-E886-4417-B411-1B1B44186F77}">
    <text xml:space="preserve">Buscar informação na Planilha de Fundamentos disponível no site de Relações com Investidores das empresas
</text>
  </threadedComment>
  <threadedComment ref="C23" dT="2023-05-01T21:10:45.04" personId="{DFB1D814-DE38-459A-B3EA-DA6A47F40D4B}" id="{B9C34820-E078-4E5F-85A7-E6BA43558159}">
    <text>Enterprise Value (valor de mercado + dívidas) dos Shoppings</text>
  </threadedComment>
  <threadedComment ref="C24" dT="2023-05-01T21:11:30.83" personId="{DFB1D814-DE38-459A-B3EA-DA6A47F40D4B}" id="{BAE95F22-827E-47CE-BCDC-9C5A5364CDA9}">
    <text>Ex. Valor dos Escritórios, que devem ser misturados com Shoppings</text>
  </threadedComment>
  <threadedComment ref="C25" dT="2023-05-01T21:11:47.58" personId="{DFB1D814-DE38-459A-B3EA-DA6A47F40D4B}" id="{F408B04D-4253-4A6A-A1E6-16E5CF20D0A9}">
    <text>Ex. Valor dos Escritórios, que devem ser misturados com Shoppings</text>
  </threadedComment>
  <threadedComment ref="C26" dT="2023-05-01T21:12:09.66" personId="{DFB1D814-DE38-459A-B3EA-DA6A47F40D4B}" id="{6C40B9E3-95EC-4D64-ADC3-51AF4B54E6CB}">
    <text>Enterprise Value (valor de mercado + dívidas) da empresa como um todo</text>
  </threadedComment>
  <threadedComment ref="C31" dT="2023-05-01T21:13:36.03" personId="{DFB1D814-DE38-459A-B3EA-DA6A47F40D4B}" id="{29C0E19E-FFB7-4789-B03E-2B957AF5F29E}">
    <text>NOI (Net Operating Income) - Receita Operacional Líquida dos Shoppings. Informação disponível na Planilha de Fundamentos das empresas no site de Relações com Investidores</text>
  </threadedComment>
  <threadedComment ref="C32" dT="2023-05-01T21:15:25.67" personId="{DFB1D814-DE38-459A-B3EA-DA6A47F40D4B}" id="{3E293D22-C0F0-449D-9A59-4209944F4B33}">
    <text>NOI Yield: NOI (células linha 31) / Enterprise Value (células linha 26); P/NOI: Valor de Mercado (células linha 16) / NOI (células linha 31)</text>
  </threadedComment>
  <threadedComment ref="C33" dT="2023-05-01T21:16:01.66" personId="{DFB1D814-DE38-459A-B3EA-DA6A47F40D4B}" id="{B596E1E4-CC86-4754-8DDD-83A0E812B088}">
    <text>NOI estimado (projeções analistas ou própria) / Enterprise Value (células linha 26)</text>
  </threadedComment>
  <threadedComment ref="C34" dT="2023-05-01T21:16:08.52" personId="{DFB1D814-DE38-459A-B3EA-DA6A47F40D4B}" id="{9D43D2BC-AC58-4921-B2D7-4BA1F070B23C}">
    <text>NOI estimado (projeções analistas ou própria) / Enterprise Value (células linha 26)</text>
  </threadedComment>
  <threadedComment ref="C35" dT="2023-05-01T21:16:25.77" personId="{DFB1D814-DE38-459A-B3EA-DA6A47F40D4B}" id="{D63E951B-E6A7-4D3A-8ED3-3902C421D651}">
    <text>NOI estimado (projeções analistas ou própria) / Enterprise Value (células linha 26)</text>
  </threadedComment>
  <threadedComment ref="C36" dT="2023-05-01T21:16:35.12" personId="{DFB1D814-DE38-459A-B3EA-DA6A47F40D4B}" id="{F531EC53-206E-46AB-85E1-E697053380ED}">
    <text>NOI estimado (projeções analistas ou própria) / Enterprise Value (células linha 26)</text>
  </threadedComment>
  <threadedComment ref="C38" dT="2023-05-01T22:13:58.26" personId="{DFB1D814-DE38-459A-B3EA-DA6A47F40D4B}" id="{8C318E50-BD8E-4240-9226-C37ED5A44BDA}">
    <text>EBITDA (células linha 37) / NOI (células linha 31)</text>
  </threadedComment>
  <threadedComment ref="C39" dT="2023-05-01T22:12:06.62" personId="{DFB1D814-DE38-459A-B3EA-DA6A47F40D4B}" id="{1D1889EF-E54A-4008-A9D1-230D7CB20CEA}">
    <text>EBITDA Yield: EBITDA (células linha 37) / Enterprise Value (células linha 26); P/EBITDA: Valor de Mercado (células linha 16) / EBITDA (células linha 37)</text>
  </threadedComment>
  <threadedComment ref="C40" dT="2023-05-01T22:12:29.43" personId="{DFB1D814-DE38-459A-B3EA-DA6A47F40D4B}" id="{FFDEE99C-DAC1-4977-8F5B-13D323EE2A8F}">
    <text>EBITDA yield estimado (projeções analistas ou própria) / Enterprise Value (células linha 26)</text>
  </threadedComment>
  <threadedComment ref="C41" dT="2023-05-01T22:12:56.58" personId="{DFB1D814-DE38-459A-B3EA-DA6A47F40D4B}" id="{C7D215E3-67D3-4476-9FAB-7B6BFD5E900C}">
    <text>EBITDA yield estimado (projeções analistas ou própria) / Enterprise Value (células linha 26)</text>
  </threadedComment>
  <threadedComment ref="C42" dT="2023-05-01T22:13:01.37" personId="{DFB1D814-DE38-459A-B3EA-DA6A47F40D4B}" id="{EE556382-291A-489F-AEC5-6580E5DCA5FB}">
    <text>EBITDA yield estimado (projeções analistas ou própria) / Enterprise Value (células linha 26)</text>
  </threadedComment>
  <threadedComment ref="C43" dT="2023-05-01T22:13:06.30" personId="{DFB1D814-DE38-459A-B3EA-DA6A47F40D4B}" id="{AFC90C22-DACB-421E-B47A-59899C2A2DFB}">
    <text>EBITDA yield estimado (projeções analistas ou própria) / Enterprise Value (células linha 26)</text>
  </threadedComment>
  <threadedComment ref="C44" dT="2023-05-01T22:15:13.86" personId="{DFB1D814-DE38-459A-B3EA-DA6A47F40D4B}" id="{0C1474FC-8A2E-41D2-A324-360DA66BED58}">
    <text xml:space="preserve">Ajusted Funds From Operations (AFFO) dos Shoppings. Informação disponível na Planilha de Fundamentos das empresas no site de Relações com Investidores
</text>
  </threadedComment>
  <threadedComment ref="C45" dT="2023-05-01T22:15:44.73" personId="{DFB1D814-DE38-459A-B3EA-DA6A47F40D4B}" id="{EB1EC30A-EB70-4D3D-BC6F-613AE99D6D12}">
    <text xml:space="preserve">AFFO (células linha 44) / NOI (células linha 31)
</text>
  </threadedComment>
  <threadedComment ref="C46" dT="2023-05-01T22:16:53.87" personId="{DFB1D814-DE38-459A-B3EA-DA6A47F40D4B}" id="{27047D99-3B59-4976-BF99-6C1750E388A1}">
    <text>AFFO Yield: AFFO (células linha 44/ Enterprise Value (células linha 26); Valor de Mercado (células linha 16) / EBITDA (células linha 37)</text>
  </threadedComment>
  <threadedComment ref="C47" dT="2023-05-01T22:36:34.48" personId="{DFB1D814-DE38-459A-B3EA-DA6A47F40D4B}" id="{13127DEA-945F-42CE-BE56-B89005B1E9A8}">
    <text>AFFO yield estimado (projeções analistas ou própria) / Enterprise Value (células linha 26)</text>
  </threadedComment>
  <threadedComment ref="C48" dT="2023-05-01T22:37:09.20" personId="{DFB1D814-DE38-459A-B3EA-DA6A47F40D4B}" id="{1E5C2A61-A44F-4DC8-970E-1A3A00C78970}">
    <text>AFFO yield estimado (projeções analistas ou própria) / Enterprise Value (células linha 26)</text>
  </threadedComment>
  <threadedComment ref="C49" dT="2023-05-01T22:37:19.01" personId="{DFB1D814-DE38-459A-B3EA-DA6A47F40D4B}" id="{DE95A028-C6DA-40EA-AF7E-F9185F88FDEA}">
    <text>AFFO yield estimado (projeções analistas ou própria) / Enterprise Value (células linha 26)</text>
  </threadedComment>
  <threadedComment ref="C50" dT="2023-05-01T22:37:31.52" personId="{DFB1D814-DE38-459A-B3EA-DA6A47F40D4B}" id="{7E73BD51-B185-44A8-BCEC-39B43355D83B}">
    <text>AFFO yield estimado (projeções analistas ou própria) / Enterprise Value (células linha 26)</text>
  </threadedComment>
  <threadedComment ref="C55" dT="2023-05-01T22:04:25.12" personId="{DFB1D814-DE38-459A-B3EA-DA6A47F40D4B}" id="{D8D2ABBF-BD3E-4E75-9491-04B9BBEE7568}">
    <text>NOI (Net Operating Income) - Receita Operacional Líquida dos Shoppings. Informação disponível na Planilha de Fundamentos das empresas no site de Relações com Investidores</text>
  </threadedComment>
  <threadedComment ref="C56" dT="2023-05-01T22:05:20.83" personId="{DFB1D814-DE38-459A-B3EA-DA6A47F40D4B}" id="{0567CFE7-4250-45F3-AC1A-8F3685449588}">
    <text>EBITDA (Earnings Before Interest Taxes Depreciation &amp; Amortization) dos Shoppings. Informação disponível na Planilha de Fundamentos das empresas no site de Relações com Investidores</text>
  </threadedComment>
  <threadedComment ref="C57" dT="2023-05-01T22:06:20.44" personId="{DFB1D814-DE38-459A-B3EA-DA6A47F40D4B}" id="{0BD1121F-C510-4C4A-95C5-F3A14B6073D4}">
    <text>Ajusted Funds From Operations (AFFO) dos Shoppings. Informação disponível na Planilha de Fundamentos das empresas no site de Relações com Investidores</text>
  </threadedComment>
  <threadedComment ref="C58" dT="2023-05-01T22:06:42.97" personId="{DFB1D814-DE38-459A-B3EA-DA6A47F40D4B}" id="{9BA435D7-AD7F-4750-B8B1-4DA88DC5BBCC}">
    <text xml:space="preserve">NOI (Net Operating Income) - Receita Operacional Líquida dos Shoppings. Informação disponível na Planilha de Fundamentos das empresas no site de Relações com Investidores
</text>
  </threadedComment>
  <threadedComment ref="C64" dT="2023-05-01T22:06:56.74" personId="{DFB1D814-DE38-459A-B3EA-DA6A47F40D4B}" id="{27181016-6C02-4948-8B75-394C22EEA08C}">
    <text>EBITDA (Earnings Before Interest Taxes Depreciation &amp; Amortization) dos Shoppings. Informação disponível na Planilha de Fundamentos das empresas no site de Relações com Investidores</text>
  </threadedComment>
  <threadedComment ref="C70" dT="2023-05-01T22:07:12.50" personId="{DFB1D814-DE38-459A-B3EA-DA6A47F40D4B}" id="{0B6DE671-6DA6-4C76-B37C-84D83720D1C3}">
    <text xml:space="preserve">Ajusted Funds From Operations (AFFO) dos Shoppings. Informação disponível na Planilha de Fundamentos das empresas no site de Relações com Investidores
</text>
  </threadedComment>
  <threadedComment ref="C79" dT="2023-05-01T22:31:55.51" personId="{DFB1D814-DE38-459A-B3EA-DA6A47F40D4B}" id="{F40C0EFD-1544-4BB3-9968-60FF46E5AA0B}">
    <text xml:space="preserve">Buscar informação na Planilha de Fundamentos disponível no site de Relações com Investidores das empresas
</text>
  </threadedComment>
  <threadedComment ref="C80" dT="2023-05-01T22:32:00.49" personId="{DFB1D814-DE38-459A-B3EA-DA6A47F40D4B}" id="{BFE155EB-183E-4F02-A56A-D05CA651AD88}">
    <text xml:space="preserve">Buscar informação na Planilha de Fundamentos disponível no site de Relações com Investidores das empresas
</text>
  </threadedComment>
  <threadedComment ref="C82" dT="2023-05-01T22:32:09.34" personId="{DFB1D814-DE38-459A-B3EA-DA6A47F40D4B}" id="{FA9C10B9-AB4A-4C3D-8980-450F8A79E5F3}">
    <text xml:space="preserve">Buscar informação na Planilha de Fundamentos disponível no site de Relações com Investidores das empresas
</text>
  </threadedComment>
  <threadedComment ref="C83" dT="2023-05-01T22:33:58.76" personId="{DFB1D814-DE38-459A-B3EA-DA6A47F40D4B}" id="{01C76EA7-C18D-4D5A-9736-6068EA31950D}">
    <text>Dividir Vendas (células linha 82) pela área do Portfólio de Shoppings (células linha 79) e pelo número de meses (ex. se informação trimestral, por 3)</text>
  </threadedComment>
  <threadedComment ref="C85" dT="2023-05-01T22:32:18.77" personId="{DFB1D814-DE38-459A-B3EA-DA6A47F40D4B}" id="{F938F529-C3B9-434A-8AD9-F7265AEC25DA}">
    <text xml:space="preserve">Buscar informação na Planilha de Fundamentos disponível no site de Relações com Investidores das empresas
</text>
  </threadedComment>
  <threadedComment ref="C86" dT="2023-05-01T22:34:45.24" personId="{DFB1D814-DE38-459A-B3EA-DA6A47F40D4B}" id="{6B30353C-7F84-4FF6-B5D9-F7C7BE8CC5DE}">
    <text>Dividir Receita de Aluguel (células linha 85) pela área do Portfólio de Shoppings (células linha 79) e pelo número de meses (ex. se informação trimestral, por 3)</text>
  </threadedComment>
  <threadedComment ref="C87" dT="2023-05-01T22:35:33.88" personId="{DFB1D814-DE38-459A-B3EA-DA6A47F40D4B}" id="{0E2495BE-A196-490E-843A-563D71F94124}">
    <text>Dividir Receita de Aluguel (células linha 85) por Vendas Totais (células linha 82)</text>
  </threadedComment>
  <threadedComment ref="C89" dT="2023-05-01T22:39:15.61" personId="{DFB1D814-DE38-459A-B3EA-DA6A47F40D4B}" id="{E041FB27-4002-4737-BC3A-99B04016EA21}">
    <text xml:space="preserve">NOI (Net Operating Income) - Receita Operacional Líquida dos Shoppings. Informação disponível na Planilha de Fundamentos das empresas no site de Relações com Investidores
</text>
  </threadedComment>
  <threadedComment ref="C90" dT="2023-05-01T22:40:54.33" personId="{DFB1D814-DE38-459A-B3EA-DA6A47F40D4B}" id="{235F3CC2-7849-4080-9C47-5B478DDC3C4E}">
    <text>Dividir NOI (células linha 89) pela área do Portfólio de Shoppings (células linha 79) e pelo número de meses (ex. se informação trimestral, por 3)</text>
  </threadedComment>
  <threadedComment ref="C91" dT="2023-05-01T22:42:40.14" personId="{DFB1D814-DE38-459A-B3EA-DA6A47F40D4B}" id="{F5D1FA22-C9DD-4C5F-A8CE-61E059614192}">
    <text>Dividir NOI (células linha 89) pelas Vendas Totais (células linha 82).</text>
  </threadedComment>
  <threadedComment ref="C92" dT="2023-05-01T22:43:35.70" personId="{DFB1D814-DE38-459A-B3EA-DA6A47F40D4B}" id="{DCA41748-0BF1-4BFB-9511-7919E0F290F6}">
    <text>Dividir NOI (células linha 89) pelas Receitas Shoppings (células linha 85).</text>
  </threadedComment>
  <threadedComment ref="C94" dT="2023-05-01T22:44:43.25" personId="{DFB1D814-DE38-459A-B3EA-DA6A47F40D4B}" id="{B6FEA88B-F41F-4718-BAAB-ADB665A88C76}">
    <text>Dívida Líquida (células linha 21) / Enterprise Value (células linhas 26)</text>
  </threadedComment>
  <threadedComment ref="C95" dT="2023-05-01T22:46:25.58" personId="{DFB1D814-DE38-459A-B3EA-DA6A47F40D4B}" id="{85D90611-F890-4484-8038-B8C68831BB81}">
    <text>Dívida Líquida (células linha 21) / NOI (células linhas 31)</text>
  </threadedComment>
  <threadedComment ref="C96" dT="2023-05-01T22:47:25.18" personId="{DFB1D814-DE38-459A-B3EA-DA6A47F40D4B}" id="{C413E43D-CDD8-4D39-9957-A7F150D85BFD}">
    <text>Dívida Líquida (células linha 21) / EBITDA (células linhas 37)</text>
  </threadedComment>
  <threadedComment ref="C98" dT="2023-05-01T22:50:26.71" personId="{DFB1D814-DE38-459A-B3EA-DA6A47F40D4B}" id="{1F02E426-5963-4362-9556-20C886406F5E}">
    <text>Juros pagos no trimestre / Dívida Bruta. Informações disponíveis na Planilha de Fundamentos das empresas disponíveis no site de Relações com Investidores.</text>
  </threadedComment>
  <threadedComment ref="C99" dT="2023-05-01T22:51:50.61" personId="{DFB1D814-DE38-459A-B3EA-DA6A47F40D4B}" id="{C95BE700-CAE0-4FBD-A599-011D9C26E875}">
    <text xml:space="preserve">ICR = EBITDA / Juros. Informações disponíveis na Planilha de Fundamentos das empresas disponíveis no site de Relações com Investidores.
</text>
  </threadedComment>
  <threadedComment ref="C101" dT="2023-05-01T22:53:58.52" personId="{DFB1D814-DE38-459A-B3EA-DA6A47F40D4B}" id="{2DEBD0EF-807E-4CEB-BBF0-50895E39295E}">
    <text>EV Shoppings (células linha 23) / Área Bruta Locável (ABL) dos Shoppings (células linha 79)</text>
  </threadedComment>
  <threadedComment ref="C102" dT="2023-05-01T22:55:07.80" personId="{DFB1D814-DE38-459A-B3EA-DA6A47F40D4B}" id="{913556F4-5237-4FB5-B478-901CDF9F0ADE}">
    <text>EV Shoppings (células linha 23) / Vendas Totais (células linha 82)</text>
  </threadedComment>
  <threadedComment ref="C103" dT="2023-05-01T22:56:03.88" personId="{DFB1D814-DE38-459A-B3EA-DA6A47F40D4B}" id="{8B2608BF-7352-4C55-8CE0-5EF5C1F6BE0F}">
    <text>EV Shoppings (células linha 23) / Receita de Aluguel (células linha 85)</text>
  </threadedComment>
  <threadedComment ref="C104" dT="2023-05-01T22:57:24.15" personId="{DFB1D814-DE38-459A-B3EA-DA6A47F40D4B}" id="{7B2B2C55-335B-4719-8020-7C5261C10405}">
    <text xml:space="preserve">EV Shoppings (células linha 23) / Receita de Aluguel (células linha 85) + Estacionamento (buscar info na Planilha de Fundamentos das Empresas - site de Relações com Investidores)
</text>
  </threadedComment>
  <threadedComment ref="C105" dT="2023-05-01T22:58:12.28" personId="{DFB1D814-DE38-459A-B3EA-DA6A47F40D4B}" id="{CE71235F-9D4D-4585-A44F-3B17B1194F4D}">
    <text>EV Shoppings (células linha 23) / NOI Shoppings (células linha 31)</text>
  </threadedComment>
  <threadedComment ref="C106" dT="2023-05-01T22:58:46.88" personId="{DFB1D814-DE38-459A-B3EA-DA6A47F40D4B}" id="{3906EF5C-9A35-4ECE-BCA9-B57D087CC8DC}">
    <text>EV Shoppings (células linha 23) / EBITDA Shoppings (células linha 37)</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35F8C-D748-40AB-AED9-76AD9CB4AE77}">
  <sheetPr codeName="Sheet1">
    <tabColor rgb="FFFFFF00"/>
    <pageSetUpPr fitToPage="1"/>
  </sheetPr>
  <dimension ref="A1:O108"/>
  <sheetViews>
    <sheetView showGridLines="0" tabSelected="1" zoomScale="85" zoomScaleNormal="85" workbookViewId="0">
      <selection activeCell="J109" sqref="J109"/>
    </sheetView>
  </sheetViews>
  <sheetFormatPr defaultColWidth="8.7265625" defaultRowHeight="14.5" outlineLevelRow="1" x14ac:dyDescent="0.35"/>
  <cols>
    <col min="1" max="1" width="6" style="27" customWidth="1"/>
    <col min="2" max="2" width="2.81640625" style="27" customWidth="1"/>
    <col min="3" max="3" width="41.54296875" style="27" customWidth="1"/>
    <col min="4" max="4" width="14.81640625" style="27" bestFit="1" customWidth="1"/>
    <col min="5" max="5" width="10.54296875" style="27" customWidth="1"/>
    <col min="6" max="6" width="12.1796875" style="27" bestFit="1" customWidth="1"/>
    <col min="7" max="7" width="13.453125" style="27" customWidth="1"/>
    <col min="8" max="8" width="13.7265625" style="27" bestFit="1" customWidth="1"/>
    <col min="9" max="9" width="13.54296875" style="27" customWidth="1"/>
    <col min="10" max="10" width="11.453125" style="27" customWidth="1"/>
    <col min="11" max="11" width="19.26953125" style="27" customWidth="1"/>
    <col min="12" max="12" width="19.1796875" style="27" bestFit="1" customWidth="1"/>
    <col min="13" max="13" width="15.54296875" style="27" bestFit="1" customWidth="1"/>
    <col min="14" max="14" width="26" style="27" bestFit="1" customWidth="1"/>
    <col min="15" max="15" width="17" style="27" bestFit="1" customWidth="1"/>
    <col min="16" max="16384" width="8.7265625" style="27"/>
  </cols>
  <sheetData>
    <row r="1" spans="1:15" x14ac:dyDescent="0.35">
      <c r="A1" s="133"/>
      <c r="B1" s="133"/>
      <c r="C1" s="43" t="e" vm="1">
        <v>#VALUE!</v>
      </c>
      <c r="D1" s="44">
        <v>17.3</v>
      </c>
      <c r="E1" s="43"/>
      <c r="F1" s="43"/>
      <c r="G1" s="43"/>
      <c r="H1" s="44">
        <v>8.26</v>
      </c>
      <c r="I1" s="43" t="e" vm="2">
        <v>#VALUE!</v>
      </c>
      <c r="J1" s="44">
        <v>18.579999999999998</v>
      </c>
      <c r="K1" s="43" t="e" vm="3">
        <v>#VALUE!</v>
      </c>
      <c r="L1" s="44">
        <v>23.55</v>
      </c>
    </row>
    <row r="2" spans="1:15" ht="16" customHeight="1" x14ac:dyDescent="0.35">
      <c r="A2" s="133"/>
      <c r="B2" s="133"/>
      <c r="C2" s="25" t="s">
        <v>0</v>
      </c>
      <c r="D2" s="26">
        <v>44971</v>
      </c>
    </row>
    <row r="3" spans="1:15" ht="16" customHeight="1" x14ac:dyDescent="0.35">
      <c r="A3" s="133"/>
      <c r="B3" s="133"/>
      <c r="D3" s="28"/>
      <c r="N3" s="28"/>
    </row>
    <row r="4" spans="1:15" ht="16" customHeight="1" x14ac:dyDescent="0.35">
      <c r="A4" s="133"/>
      <c r="B4" s="134"/>
      <c r="C4" s="29">
        <v>44971</v>
      </c>
      <c r="D4" s="30"/>
      <c r="E4" s="30"/>
      <c r="F4" s="30">
        <v>17.3</v>
      </c>
      <c r="G4" s="30">
        <v>18.579999999999998</v>
      </c>
      <c r="H4" s="31">
        <v>23.55</v>
      </c>
      <c r="I4" s="84"/>
      <c r="J4" s="84"/>
      <c r="K4" s="84"/>
      <c r="L4" s="84"/>
      <c r="M4" s="84"/>
      <c r="O4" s="78"/>
    </row>
    <row r="5" spans="1:15" ht="16" customHeight="1" x14ac:dyDescent="0.35">
      <c r="A5" s="133"/>
      <c r="B5" s="133"/>
      <c r="C5" s="18" t="s">
        <v>1</v>
      </c>
      <c r="D5" s="19"/>
      <c r="E5" s="32"/>
      <c r="F5" s="19" t="s">
        <v>2</v>
      </c>
      <c r="G5" s="32" t="s">
        <v>5</v>
      </c>
      <c r="H5" s="20" t="s">
        <v>6</v>
      </c>
      <c r="I5" s="84"/>
      <c r="J5" s="84"/>
      <c r="K5" s="84"/>
      <c r="L5" s="84"/>
      <c r="M5" s="84"/>
      <c r="O5" s="4"/>
    </row>
    <row r="6" spans="1:15" ht="16" customHeight="1" x14ac:dyDescent="0.35">
      <c r="A6" s="133"/>
      <c r="B6" s="133"/>
      <c r="C6" s="7">
        <v>2022</v>
      </c>
      <c r="D6" s="9"/>
      <c r="E6" s="9"/>
      <c r="F6" s="9">
        <v>-0.19952941176470584</v>
      </c>
      <c r="G6" s="9">
        <v>4.0494938132733305E-2</v>
      </c>
      <c r="H6" s="16">
        <v>0.18827997829625609</v>
      </c>
      <c r="I6" s="43"/>
      <c r="J6" s="43"/>
      <c r="K6" s="43"/>
      <c r="L6" s="43"/>
      <c r="M6" s="43"/>
      <c r="O6" s="77"/>
    </row>
    <row r="7" spans="1:15" ht="16" customHeight="1" x14ac:dyDescent="0.35">
      <c r="A7" s="133"/>
      <c r="B7" s="133"/>
      <c r="C7" s="6" t="s">
        <v>7</v>
      </c>
      <c r="D7" s="33"/>
      <c r="E7" s="33"/>
      <c r="F7" s="33">
        <v>-0.2104</v>
      </c>
      <c r="G7" s="33">
        <v>-6.5000000000000002E-2</v>
      </c>
      <c r="H7" s="76">
        <v>6.6799999999999998E-2</v>
      </c>
      <c r="I7" s="43"/>
      <c r="J7" s="43"/>
      <c r="K7" s="43"/>
      <c r="L7" s="43"/>
      <c r="M7" s="43"/>
      <c r="O7" s="4"/>
    </row>
    <row r="8" spans="1:15" ht="16" customHeight="1" x14ac:dyDescent="0.35">
      <c r="A8" s="133"/>
      <c r="B8" s="133"/>
      <c r="C8" s="7" t="s">
        <v>8</v>
      </c>
      <c r="D8" s="9"/>
      <c r="E8" s="9"/>
      <c r="F8" s="9">
        <v>1.7000000000000001E-2</v>
      </c>
      <c r="G8" s="9">
        <v>-4.8999999999999998E-3</v>
      </c>
      <c r="H8" s="16">
        <v>7.2099999999999997E-2</v>
      </c>
      <c r="I8" s="43"/>
      <c r="J8" s="43"/>
      <c r="K8" s="43"/>
      <c r="L8" s="1">
        <v>1.509163</v>
      </c>
      <c r="M8" s="43"/>
    </row>
    <row r="9" spans="1:15" ht="16" customHeight="1" x14ac:dyDescent="0.35">
      <c r="A9" s="133"/>
      <c r="B9" s="133"/>
      <c r="C9" s="6" t="s">
        <v>9</v>
      </c>
      <c r="D9" s="33"/>
      <c r="E9" s="33"/>
      <c r="F9" s="33">
        <v>-3.9399999999999998E-2</v>
      </c>
      <c r="G9" s="33">
        <v>-6.0199999999999997E-2</v>
      </c>
      <c r="H9" s="76">
        <v>-1.3000000000000001E-2</v>
      </c>
      <c r="I9" s="43"/>
      <c r="J9" s="43"/>
      <c r="K9" s="43"/>
      <c r="L9" s="80">
        <v>1250000299.599092</v>
      </c>
      <c r="M9" s="43"/>
      <c r="O9" s="4"/>
    </row>
    <row r="10" spans="1:15" ht="16" customHeight="1" x14ac:dyDescent="0.35">
      <c r="A10" s="133"/>
      <c r="B10" s="133"/>
      <c r="C10" s="17" t="s">
        <v>10</v>
      </c>
      <c r="D10" s="3"/>
      <c r="E10" s="3"/>
      <c r="F10" s="3">
        <v>-9.7000000000000003E-3</v>
      </c>
      <c r="G10" s="3">
        <v>-2.9500000000000002E-2</v>
      </c>
      <c r="H10" s="86">
        <v>-7.6E-3</v>
      </c>
      <c r="I10" s="43"/>
      <c r="J10" s="43">
        <v>0.39400000000000002</v>
      </c>
      <c r="K10" s="43"/>
      <c r="L10" s="43"/>
      <c r="M10" s="43"/>
      <c r="O10" s="4"/>
    </row>
    <row r="11" spans="1:15" ht="16" customHeight="1" x14ac:dyDescent="0.35">
      <c r="A11" s="133"/>
      <c r="B11" s="135"/>
      <c r="D11" s="28"/>
      <c r="G11" s="79">
        <v>300585033</v>
      </c>
      <c r="H11" s="79">
        <v>264109033</v>
      </c>
      <c r="I11" s="43"/>
      <c r="J11" s="80">
        <v>326339910.296</v>
      </c>
      <c r="K11" s="43"/>
      <c r="L11" s="43"/>
      <c r="M11" s="43"/>
    </row>
    <row r="12" spans="1:15" ht="16" customHeight="1" x14ac:dyDescent="0.35">
      <c r="A12" s="133"/>
      <c r="B12" s="136"/>
      <c r="C12" s="34" t="s">
        <v>11</v>
      </c>
      <c r="D12" s="35">
        <v>44834</v>
      </c>
      <c r="E12" s="35">
        <v>44834</v>
      </c>
      <c r="F12" s="35">
        <v>44834</v>
      </c>
      <c r="G12" s="35">
        <v>44834</v>
      </c>
      <c r="H12" s="36">
        <v>44834</v>
      </c>
      <c r="I12" s="43"/>
      <c r="J12" s="43"/>
      <c r="K12" s="43"/>
      <c r="L12" s="43"/>
      <c r="M12" s="43"/>
    </row>
    <row r="13" spans="1:15" ht="16" customHeight="1" x14ac:dyDescent="0.35">
      <c r="A13" s="133"/>
      <c r="B13" s="136"/>
      <c r="C13" s="21" t="s">
        <v>12</v>
      </c>
      <c r="D13" s="37" t="s">
        <v>2</v>
      </c>
      <c r="E13" s="37" t="s">
        <v>3</v>
      </c>
      <c r="F13" s="38" t="s">
        <v>4</v>
      </c>
      <c r="G13" s="37" t="s">
        <v>5</v>
      </c>
      <c r="H13" s="39" t="s">
        <v>6</v>
      </c>
      <c r="I13" s="43"/>
      <c r="J13" s="81" t="s">
        <v>13</v>
      </c>
      <c r="K13" s="43"/>
      <c r="L13" s="43"/>
      <c r="M13" s="43"/>
      <c r="O13" s="4"/>
    </row>
    <row r="14" spans="1:15" ht="16" customHeight="1" x14ac:dyDescent="0.35">
      <c r="A14" s="133"/>
      <c r="B14" s="133"/>
      <c r="C14" s="6" t="s">
        <v>14</v>
      </c>
      <c r="D14" s="40">
        <v>265772778</v>
      </c>
      <c r="E14" s="40">
        <v>828273884</v>
      </c>
      <c r="F14" s="40">
        <v>595882641.21583188</v>
      </c>
      <c r="G14" s="40">
        <v>300585033</v>
      </c>
      <c r="H14" s="41">
        <v>600760875</v>
      </c>
      <c r="I14" s="43"/>
      <c r="J14" s="1">
        <v>0.39855157767576299</v>
      </c>
      <c r="K14" s="43" t="s">
        <v>15</v>
      </c>
      <c r="L14" s="1">
        <v>1.6289941017796801</v>
      </c>
      <c r="M14" s="43"/>
      <c r="O14" s="4"/>
    </row>
    <row r="15" spans="1:15" ht="16" customHeight="1" x14ac:dyDescent="0.35">
      <c r="A15" s="133"/>
      <c r="B15" s="133"/>
      <c r="C15" s="7" t="s">
        <v>16</v>
      </c>
      <c r="D15" s="42">
        <v>17.3</v>
      </c>
      <c r="E15" s="42">
        <v>8.26</v>
      </c>
      <c r="F15" s="42">
        <v>17.3</v>
      </c>
      <c r="G15" s="42">
        <v>18.579999999999998</v>
      </c>
      <c r="H15" s="11">
        <v>23.55</v>
      </c>
      <c r="I15" s="43"/>
      <c r="J15" s="82">
        <v>828273884</v>
      </c>
      <c r="K15" s="43" t="s">
        <v>17</v>
      </c>
      <c r="L15" s="82">
        <v>828273884</v>
      </c>
      <c r="M15" s="43"/>
    </row>
    <row r="16" spans="1:15" ht="16" customHeight="1" x14ac:dyDescent="0.35">
      <c r="A16" s="133"/>
      <c r="B16" s="133"/>
      <c r="C16" s="6" t="s">
        <v>18</v>
      </c>
      <c r="D16" s="2">
        <v>4597.8690594000009</v>
      </c>
      <c r="E16" s="2">
        <v>6841.5422818400002</v>
      </c>
      <c r="F16" s="2">
        <v>10308.769693033892</v>
      </c>
      <c r="G16" s="2">
        <v>5584.869913139999</v>
      </c>
      <c r="H16" s="10">
        <v>14147.918606249999</v>
      </c>
      <c r="I16" s="43"/>
      <c r="J16" s="82">
        <v>330109863.21583188</v>
      </c>
      <c r="K16" s="43" t="s">
        <v>19</v>
      </c>
      <c r="L16" s="82">
        <v>1349253271.6941469</v>
      </c>
      <c r="M16" s="43"/>
    </row>
    <row r="17" spans="1:14" ht="16" customHeight="1" x14ac:dyDescent="0.35">
      <c r="A17" s="133"/>
      <c r="B17" s="133"/>
      <c r="C17" s="7" t="s">
        <v>20</v>
      </c>
      <c r="D17" s="4">
        <v>2697.7138989999999</v>
      </c>
      <c r="E17" s="4">
        <v>1405.623</v>
      </c>
      <c r="F17" s="4">
        <v>2754.083627305853</v>
      </c>
      <c r="G17" s="4">
        <v>2069.337</v>
      </c>
      <c r="H17" s="12">
        <v>1157.8120050150003</v>
      </c>
      <c r="I17" s="43"/>
      <c r="J17" s="82"/>
      <c r="K17" s="43"/>
      <c r="L17" s="79"/>
      <c r="M17" s="43"/>
    </row>
    <row r="18" spans="1:14" ht="16" customHeight="1" x14ac:dyDescent="0.35">
      <c r="A18" s="137"/>
      <c r="B18" s="137"/>
      <c r="C18" s="6" t="s">
        <v>21</v>
      </c>
      <c r="D18" s="2">
        <v>3151.3348270000001</v>
      </c>
      <c r="E18" s="2">
        <v>3874.1219999999998</v>
      </c>
      <c r="F18" s="2">
        <v>7025.456827</v>
      </c>
      <c r="G18" s="2">
        <v>3240.7249999999999</v>
      </c>
      <c r="H18" s="10">
        <v>3210.0096478899995</v>
      </c>
      <c r="I18" s="43"/>
      <c r="J18" s="43"/>
      <c r="K18" s="43"/>
      <c r="L18" s="43"/>
      <c r="M18" s="43"/>
    </row>
    <row r="19" spans="1:14" ht="16" customHeight="1" x14ac:dyDescent="0.35">
      <c r="A19" s="133"/>
      <c r="B19" s="133"/>
      <c r="C19" s="7" t="s">
        <v>22</v>
      </c>
      <c r="D19" s="4">
        <v>0.11169</v>
      </c>
      <c r="E19" s="4">
        <v>493.851</v>
      </c>
      <c r="F19" s="4">
        <v>493.96269000000001</v>
      </c>
      <c r="G19" s="4">
        <v>0</v>
      </c>
      <c r="H19" s="12">
        <v>172.75404335000002</v>
      </c>
      <c r="I19" s="83">
        <v>0.55398469494308411</v>
      </c>
      <c r="J19" s="79">
        <v>330109863.21583188</v>
      </c>
      <c r="K19" s="43" t="s">
        <v>23</v>
      </c>
      <c r="L19" s="43"/>
      <c r="M19" s="43"/>
    </row>
    <row r="20" spans="1:14" ht="16" customHeight="1" x14ac:dyDescent="0.35">
      <c r="A20" s="133"/>
      <c r="B20" s="133"/>
      <c r="C20" s="6" t="s">
        <v>24</v>
      </c>
      <c r="D20" s="2">
        <v>3151.223137</v>
      </c>
      <c r="E20" s="2">
        <v>3380.2710000000002</v>
      </c>
      <c r="F20" s="2">
        <v>6531.4941369999997</v>
      </c>
      <c r="G20" s="2">
        <v>3240.7249999999999</v>
      </c>
      <c r="H20" s="10">
        <v>3037.2556045399997</v>
      </c>
      <c r="I20" s="83">
        <v>0.44601530505691589</v>
      </c>
      <c r="J20" s="79">
        <v>265772778</v>
      </c>
      <c r="K20" s="43" t="s">
        <v>25</v>
      </c>
      <c r="L20" s="43"/>
      <c r="M20" s="43"/>
    </row>
    <row r="21" spans="1:14" ht="16" customHeight="1" x14ac:dyDescent="0.35">
      <c r="A21" s="133"/>
      <c r="B21" s="133"/>
      <c r="C21" s="7" t="s">
        <v>26</v>
      </c>
      <c r="D21" s="4">
        <v>453.62092800000033</v>
      </c>
      <c r="E21" s="4">
        <v>2468.4989999999998</v>
      </c>
      <c r="F21" s="4">
        <v>4271.3731996941469</v>
      </c>
      <c r="G21" s="4">
        <v>1171.3879999999999</v>
      </c>
      <c r="H21" s="12">
        <v>2052.1976428749995</v>
      </c>
      <c r="I21" s="43"/>
      <c r="J21" s="79">
        <v>595882641.21583188</v>
      </c>
      <c r="K21" s="43" t="s">
        <v>27</v>
      </c>
      <c r="L21" s="43"/>
      <c r="M21" s="43"/>
    </row>
    <row r="22" spans="1:14" ht="16" customHeight="1" x14ac:dyDescent="0.35">
      <c r="A22" s="133"/>
      <c r="B22" s="133"/>
      <c r="C22" s="6" t="s">
        <v>28</v>
      </c>
      <c r="D22" s="2">
        <v>0</v>
      </c>
      <c r="E22" s="2">
        <v>122.29600000000001</v>
      </c>
      <c r="F22" s="2">
        <v>122.29600000000001</v>
      </c>
      <c r="G22" s="2">
        <v>13.031000000000001</v>
      </c>
      <c r="H22" s="10">
        <v>0.16514679861806439</v>
      </c>
      <c r="I22" s="43"/>
      <c r="J22" s="79">
        <v>10308769693.033892</v>
      </c>
      <c r="K22" s="43" t="s">
        <v>29</v>
      </c>
      <c r="L22" s="43"/>
      <c r="M22" s="43"/>
    </row>
    <row r="23" spans="1:14" ht="16" customHeight="1" x14ac:dyDescent="0.35">
      <c r="A23" s="91"/>
      <c r="B23" s="91"/>
      <c r="C23" s="7" t="s">
        <v>30</v>
      </c>
      <c r="D23" s="4">
        <v>5051.4899874000012</v>
      </c>
      <c r="E23" s="4">
        <v>9432.3372818400003</v>
      </c>
      <c r="F23" s="4">
        <v>14702.43889272804</v>
      </c>
      <c r="G23" s="4">
        <v>6347.6161843399987</v>
      </c>
      <c r="H23" s="12">
        <v>14886.317746483617</v>
      </c>
      <c r="I23" s="43"/>
      <c r="J23" s="43"/>
      <c r="K23" s="43"/>
      <c r="L23" s="43"/>
      <c r="M23" s="43"/>
    </row>
    <row r="24" spans="1:14" ht="16" customHeight="1" x14ac:dyDescent="0.35">
      <c r="A24" s="91"/>
      <c r="B24" s="91"/>
      <c r="C24" s="6" t="s">
        <v>31</v>
      </c>
      <c r="D24" s="2">
        <v>0</v>
      </c>
      <c r="E24" s="2">
        <v>0</v>
      </c>
      <c r="F24" s="2">
        <v>0</v>
      </c>
      <c r="G24" s="2">
        <v>0</v>
      </c>
      <c r="H24" s="10">
        <v>549.80964943999993</v>
      </c>
      <c r="I24" s="43"/>
      <c r="J24" s="85">
        <v>5710900633.6338921</v>
      </c>
      <c r="K24" s="43"/>
      <c r="L24" s="43"/>
      <c r="M24" s="43"/>
    </row>
    <row r="25" spans="1:14" ht="16" customHeight="1" x14ac:dyDescent="0.35">
      <c r="A25" s="91"/>
      <c r="B25" s="91"/>
      <c r="C25" s="7" t="s">
        <v>32</v>
      </c>
      <c r="D25" s="4">
        <v>0</v>
      </c>
      <c r="E25" s="4">
        <v>0</v>
      </c>
      <c r="F25" s="4">
        <v>0</v>
      </c>
      <c r="G25" s="4">
        <v>421.67272880000002</v>
      </c>
      <c r="H25" s="12">
        <v>764.154</v>
      </c>
      <c r="I25" s="43"/>
      <c r="J25" s="80">
        <v>7060153905.3280392</v>
      </c>
      <c r="K25" s="43"/>
      <c r="L25" s="43"/>
      <c r="M25" s="43"/>
    </row>
    <row r="26" spans="1:14" ht="16" customHeight="1" x14ac:dyDescent="0.35">
      <c r="A26" s="91"/>
      <c r="B26" s="91"/>
      <c r="C26" s="8" t="s">
        <v>33</v>
      </c>
      <c r="D26" s="5">
        <v>5051.4899874000012</v>
      </c>
      <c r="E26" s="5">
        <v>9432.3372818400003</v>
      </c>
      <c r="F26" s="5">
        <v>14702.43889272804</v>
      </c>
      <c r="G26" s="5">
        <v>6769.2889131399988</v>
      </c>
      <c r="H26" s="13">
        <v>16200.281395923617</v>
      </c>
      <c r="I26" s="43"/>
      <c r="J26" s="43"/>
      <c r="K26" s="43"/>
      <c r="L26" s="43"/>
      <c r="M26" s="43"/>
    </row>
    <row r="27" spans="1:14" x14ac:dyDescent="0.35">
      <c r="A27" s="91"/>
      <c r="B27" s="91"/>
      <c r="I27" s="84"/>
      <c r="J27" s="84"/>
      <c r="K27" s="84"/>
      <c r="L27" s="84"/>
      <c r="M27" s="84"/>
    </row>
    <row r="28" spans="1:14" x14ac:dyDescent="0.35">
      <c r="A28" s="91"/>
      <c r="B28" s="91"/>
      <c r="I28" s="84"/>
      <c r="J28" s="84"/>
      <c r="K28" s="84"/>
      <c r="L28" s="84"/>
      <c r="M28" s="84"/>
    </row>
    <row r="29" spans="1:14" ht="16" customHeight="1" x14ac:dyDescent="0.35">
      <c r="A29" s="91"/>
      <c r="B29" s="91"/>
      <c r="D29" s="123" t="s">
        <v>2</v>
      </c>
      <c r="E29" s="124"/>
      <c r="F29" s="123" t="s">
        <v>3</v>
      </c>
      <c r="G29" s="124"/>
      <c r="H29" s="123" t="s">
        <v>88</v>
      </c>
      <c r="I29" s="124"/>
      <c r="J29" s="50"/>
      <c r="K29" s="50" t="s">
        <v>5</v>
      </c>
      <c r="L29" s="50" t="s">
        <v>6</v>
      </c>
    </row>
    <row r="30" spans="1:14" ht="16" customHeight="1" x14ac:dyDescent="0.35">
      <c r="A30" s="92"/>
      <c r="B30" s="92"/>
      <c r="C30" s="51" t="s">
        <v>34</v>
      </c>
      <c r="D30" s="123"/>
      <c r="E30" s="124"/>
      <c r="F30" s="123"/>
      <c r="G30" s="124"/>
      <c r="H30" s="123"/>
      <c r="I30" s="125"/>
      <c r="J30" s="52"/>
      <c r="K30" s="52"/>
      <c r="L30" s="52"/>
      <c r="N30" s="45"/>
    </row>
    <row r="31" spans="1:14" ht="16" customHeight="1" x14ac:dyDescent="0.35">
      <c r="A31" s="91"/>
      <c r="B31" s="93"/>
      <c r="C31" s="53" t="s">
        <v>35</v>
      </c>
      <c r="D31" s="128">
        <v>878.24311146562491</v>
      </c>
      <c r="E31" s="129"/>
      <c r="F31" s="128">
        <v>1218.8548812614561</v>
      </c>
      <c r="G31" s="129"/>
      <c r="H31" s="128">
        <v>2097.097992727081</v>
      </c>
      <c r="I31" s="130"/>
      <c r="J31" s="115"/>
      <c r="K31" s="54">
        <v>764.84612216000005</v>
      </c>
      <c r="L31" s="87">
        <v>1424.8839171081615</v>
      </c>
      <c r="N31" s="45"/>
    </row>
    <row r="32" spans="1:14" ht="16" customHeight="1" x14ac:dyDescent="0.35">
      <c r="A32" s="91"/>
      <c r="B32" s="91"/>
      <c r="C32" s="23" t="s">
        <v>36</v>
      </c>
      <c r="D32" s="131">
        <v>0.1738582306717896</v>
      </c>
      <c r="E32" s="132"/>
      <c r="F32" s="131">
        <v>0.12922087546721925</v>
      </c>
      <c r="G32" s="132"/>
      <c r="H32" s="131">
        <v>0.144788939673479</v>
      </c>
      <c r="I32" s="132"/>
      <c r="J32" s="116"/>
      <c r="K32" s="9">
        <v>0.11298766118186244</v>
      </c>
      <c r="L32" s="88">
        <v>9.1044151268367207E-2</v>
      </c>
    </row>
    <row r="33" spans="1:14" ht="16" customHeight="1" x14ac:dyDescent="0.35">
      <c r="A33" s="91"/>
      <c r="B33" s="91"/>
      <c r="C33" s="23" t="s">
        <v>37</v>
      </c>
      <c r="D33" s="119">
        <v>0.1687708815533227</v>
      </c>
      <c r="E33" s="120"/>
      <c r="F33" s="119">
        <v>0.12160451876497566</v>
      </c>
      <c r="G33" s="120"/>
      <c r="H33" s="119">
        <v>0.13805461893107029</v>
      </c>
      <c r="I33" s="120"/>
      <c r="J33" s="116"/>
      <c r="K33" s="9">
        <v>0.11522628299789757</v>
      </c>
      <c r="L33" s="88">
        <v>9.2222578976953642E-2</v>
      </c>
      <c r="N33" s="46"/>
    </row>
    <row r="34" spans="1:14" ht="16" customHeight="1" x14ac:dyDescent="0.35">
      <c r="A34" s="91"/>
      <c r="B34" s="91"/>
      <c r="C34" s="23" t="s">
        <v>38</v>
      </c>
      <c r="D34" s="119">
        <v>0.17979012711230088</v>
      </c>
      <c r="E34" s="120"/>
      <c r="F34" s="119">
        <v>0.13066380820713047</v>
      </c>
      <c r="G34" s="120"/>
      <c r="H34" s="119">
        <v>0.14779747760640033</v>
      </c>
      <c r="I34" s="120"/>
      <c r="J34" s="116"/>
      <c r="K34" s="55">
        <v>0.12408984322850508</v>
      </c>
      <c r="L34" s="88">
        <v>0.10143922021754385</v>
      </c>
      <c r="N34" s="46"/>
    </row>
    <row r="35" spans="1:14" ht="16" customHeight="1" outlineLevel="1" x14ac:dyDescent="0.35">
      <c r="A35" s="94"/>
      <c r="B35" s="94"/>
      <c r="C35" s="23" t="s">
        <v>40</v>
      </c>
      <c r="D35" s="119">
        <v>0.15832510315174747</v>
      </c>
      <c r="E35" s="120"/>
      <c r="F35" s="119">
        <v>0.11182689766123258</v>
      </c>
      <c r="G35" s="120"/>
      <c r="H35" s="119">
        <v>0.12804396619575181</v>
      </c>
      <c r="I35" s="120"/>
      <c r="J35" s="116"/>
      <c r="K35" s="9">
        <v>9.6671896915159206E-2</v>
      </c>
      <c r="L35" s="88">
        <v>8.8789655833359696E-2</v>
      </c>
      <c r="N35" s="46"/>
    </row>
    <row r="36" spans="1:14" ht="16" customHeight="1" outlineLevel="1" x14ac:dyDescent="0.35">
      <c r="A36" s="94"/>
      <c r="B36" s="94"/>
      <c r="C36" s="23" t="s">
        <v>42</v>
      </c>
      <c r="D36" s="121">
        <v>0.16450591846619006</v>
      </c>
      <c r="E36" s="122"/>
      <c r="F36" s="121">
        <v>0.12160294587941733</v>
      </c>
      <c r="G36" s="122"/>
      <c r="H36" s="121">
        <v>0.13656611358523815</v>
      </c>
      <c r="I36" s="122"/>
      <c r="J36" s="116"/>
      <c r="K36" s="9">
        <v>0.10848997722263588</v>
      </c>
      <c r="L36" s="88">
        <v>9.7185568884959758E-2</v>
      </c>
      <c r="N36" s="46"/>
    </row>
    <row r="37" spans="1:14" ht="16" customHeight="1" x14ac:dyDescent="0.35">
      <c r="A37" s="94"/>
      <c r="B37" s="94"/>
      <c r="C37" s="53" t="s">
        <v>44</v>
      </c>
      <c r="D37" s="128">
        <v>770.98751138788828</v>
      </c>
      <c r="E37" s="129"/>
      <c r="F37" s="128">
        <v>1048.7291399199999</v>
      </c>
      <c r="G37" s="129"/>
      <c r="H37" s="128">
        <v>1819.7166513078882</v>
      </c>
      <c r="I37" s="129"/>
      <c r="J37" s="115"/>
      <c r="K37" s="54">
        <v>707.38400000000001</v>
      </c>
      <c r="L37" s="87">
        <v>1282.3798696599802</v>
      </c>
      <c r="N37" s="46"/>
    </row>
    <row r="38" spans="1:14" ht="16" customHeight="1" x14ac:dyDescent="0.35">
      <c r="A38" s="94"/>
      <c r="B38" s="94"/>
      <c r="C38" s="23" t="s">
        <v>46</v>
      </c>
      <c r="D38" s="56">
        <v>0.87787481771562437</v>
      </c>
      <c r="E38" s="57"/>
      <c r="F38" s="126">
        <v>0.86042165974231133</v>
      </c>
      <c r="G38" s="127"/>
      <c r="H38" s="126">
        <v>0.86773086313506786</v>
      </c>
      <c r="I38" s="127"/>
      <c r="J38" s="118"/>
      <c r="K38" s="56">
        <v>0.92487100281332224</v>
      </c>
      <c r="L38" s="89">
        <v>0.89998901262258824</v>
      </c>
    </row>
    <row r="39" spans="1:14" ht="16" customHeight="1" x14ac:dyDescent="0.35">
      <c r="A39" s="94"/>
      <c r="B39" s="94"/>
      <c r="C39" s="23" t="s">
        <v>47</v>
      </c>
      <c r="D39" s="119">
        <v>0.15262576255935828</v>
      </c>
      <c r="E39" s="120"/>
      <c r="F39" s="119">
        <v>0.11118444014285932</v>
      </c>
      <c r="G39" s="120"/>
      <c r="H39" s="119">
        <v>0.12376971362267906</v>
      </c>
      <c r="I39" s="120"/>
      <c r="J39" s="116"/>
      <c r="K39" s="9">
        <v>0.104499011502801</v>
      </c>
      <c r="L39" s="88">
        <v>8.1938735805079363E-2</v>
      </c>
    </row>
    <row r="40" spans="1:14" ht="16" customHeight="1" x14ac:dyDescent="0.35">
      <c r="A40" s="94"/>
      <c r="B40" s="94"/>
      <c r="C40" s="23" t="s">
        <v>48</v>
      </c>
      <c r="D40" s="119">
        <v>0.1563895013096151</v>
      </c>
      <c r="E40" s="120"/>
      <c r="F40" s="119">
        <v>0.11217305594819493</v>
      </c>
      <c r="G40" s="120"/>
      <c r="H40" s="119">
        <v>0.12759432042957902</v>
      </c>
      <c r="I40" s="120"/>
      <c r="J40" s="116"/>
      <c r="K40" s="9">
        <v>0.10340820269042091</v>
      </c>
      <c r="L40" s="88">
        <v>8.5715773137362158E-2</v>
      </c>
      <c r="N40" s="48"/>
    </row>
    <row r="41" spans="1:14" ht="16" customHeight="1" x14ac:dyDescent="0.35">
      <c r="A41" s="94"/>
      <c r="B41" s="94"/>
      <c r="C41" s="23" t="s">
        <v>49</v>
      </c>
      <c r="D41" s="119">
        <v>0.16169278593057276</v>
      </c>
      <c r="E41" s="120"/>
      <c r="F41" s="119">
        <v>0.11636315269511069</v>
      </c>
      <c r="G41" s="120"/>
      <c r="H41" s="119">
        <v>0.1321726610636447</v>
      </c>
      <c r="I41" s="120"/>
      <c r="J41" s="116"/>
      <c r="K41" s="55">
        <v>0.11522628299789757</v>
      </c>
      <c r="L41" s="88">
        <v>9.6178889964655664E-2</v>
      </c>
      <c r="N41" s="45"/>
    </row>
    <row r="42" spans="1:14" ht="16" customHeight="1" outlineLevel="1" x14ac:dyDescent="0.35">
      <c r="A42" s="94"/>
      <c r="B42" s="94"/>
      <c r="C42" s="23" t="s">
        <v>50</v>
      </c>
      <c r="D42" s="119">
        <v>0.14766994684761153</v>
      </c>
      <c r="E42" s="120"/>
      <c r="F42" s="119">
        <v>9.8419358647807847E-2</v>
      </c>
      <c r="G42" s="120"/>
      <c r="H42" s="119">
        <v>0.11559636915339663</v>
      </c>
      <c r="I42" s="120"/>
      <c r="J42" s="116"/>
      <c r="K42" s="9">
        <v>9.5430998482874146E-2</v>
      </c>
      <c r="L42" s="88">
        <v>7.9039151026098098E-2</v>
      </c>
    </row>
    <row r="43" spans="1:14" ht="16" customHeight="1" outlineLevel="1" x14ac:dyDescent="0.35">
      <c r="A43" s="94"/>
      <c r="B43" s="94"/>
      <c r="C43" s="23" t="s">
        <v>51</v>
      </c>
      <c r="D43" s="121">
        <v>0.14946085251741695</v>
      </c>
      <c r="E43" s="122"/>
      <c r="F43" s="121">
        <v>0.10400391447925755</v>
      </c>
      <c r="G43" s="122"/>
      <c r="H43" s="121">
        <v>0.11985782264103814</v>
      </c>
      <c r="I43" s="122"/>
      <c r="J43" s="116"/>
      <c r="K43" s="9">
        <v>0.11433992697483683</v>
      </c>
      <c r="L43" s="88">
        <v>9.2840651932837956E-2</v>
      </c>
      <c r="N43" s="45"/>
    </row>
    <row r="44" spans="1:14" ht="16" customHeight="1" x14ac:dyDescent="0.35">
      <c r="A44" s="94"/>
      <c r="B44" s="94"/>
      <c r="C44" s="53" t="s">
        <v>52</v>
      </c>
      <c r="D44" s="128">
        <v>507.95711489151483</v>
      </c>
      <c r="E44" s="129"/>
      <c r="F44" s="128">
        <v>702.06399999999996</v>
      </c>
      <c r="G44" s="129"/>
      <c r="H44" s="128">
        <v>1210.0211148915148</v>
      </c>
      <c r="I44" s="129"/>
      <c r="J44" s="115"/>
      <c r="K44" s="54">
        <v>369.03491999999994</v>
      </c>
      <c r="L44" s="87">
        <v>1027.7960369123487</v>
      </c>
    </row>
    <row r="45" spans="1:14" ht="16" customHeight="1" x14ac:dyDescent="0.35">
      <c r="A45" s="94"/>
      <c r="B45" s="94"/>
      <c r="C45" s="23" t="s">
        <v>53</v>
      </c>
      <c r="D45" s="126">
        <v>0.57837870660189816</v>
      </c>
      <c r="E45" s="127"/>
      <c r="F45" s="126">
        <v>0.57600294406943475</v>
      </c>
      <c r="G45" s="127"/>
      <c r="H45" s="126">
        <v>0.576997889029494</v>
      </c>
      <c r="I45" s="127"/>
      <c r="J45" s="118"/>
      <c r="K45" s="56">
        <v>0.48249564102882464</v>
      </c>
      <c r="L45" s="89">
        <v>0.72131913664818892</v>
      </c>
    </row>
    <row r="46" spans="1:14" ht="16" customHeight="1" x14ac:dyDescent="0.35">
      <c r="A46" s="94"/>
      <c r="B46" s="94"/>
      <c r="C46" s="23" t="s">
        <v>54</v>
      </c>
      <c r="D46" s="119">
        <v>0.11047663783574574</v>
      </c>
      <c r="E46" s="120"/>
      <c r="F46" s="119">
        <v>0.10261779743195319</v>
      </c>
      <c r="G46" s="120"/>
      <c r="H46" s="119">
        <v>0.1173778395407535</v>
      </c>
      <c r="I46" s="120"/>
      <c r="J46" s="116"/>
      <c r="K46" s="9">
        <v>7.5203577099289251E-2</v>
      </c>
      <c r="L46" s="88">
        <v>7.2646448252699752E-2</v>
      </c>
    </row>
    <row r="47" spans="1:14" ht="16" customHeight="1" x14ac:dyDescent="0.35">
      <c r="A47" s="94"/>
      <c r="B47" s="94"/>
      <c r="C47" s="23" t="s">
        <v>55</v>
      </c>
      <c r="D47" s="119">
        <v>0.10591863180713351</v>
      </c>
      <c r="E47" s="120"/>
      <c r="F47" s="119">
        <v>8.6259583176758539E-2</v>
      </c>
      <c r="G47" s="120"/>
      <c r="H47" s="119">
        <v>0.1044885682377371</v>
      </c>
      <c r="I47" s="120"/>
      <c r="J47" s="116"/>
      <c r="K47" s="9">
        <v>7.723430541649183E-2</v>
      </c>
      <c r="L47" s="88">
        <v>7.2448819400699332E-2</v>
      </c>
    </row>
    <row r="48" spans="1:14" ht="16" customHeight="1" x14ac:dyDescent="0.35">
      <c r="A48" s="94"/>
      <c r="B48" s="94"/>
      <c r="C48" s="23" t="s">
        <v>56</v>
      </c>
      <c r="D48" s="119">
        <v>0.12244802814664511</v>
      </c>
      <c r="E48" s="120"/>
      <c r="F48" s="119">
        <v>9.524224356396141E-2</v>
      </c>
      <c r="G48" s="120"/>
      <c r="H48" s="119">
        <v>0.11782238545700649</v>
      </c>
      <c r="I48" s="120"/>
      <c r="J48" s="116"/>
      <c r="K48" s="55">
        <v>9.475976785928418E-2</v>
      </c>
      <c r="L48" s="88">
        <v>7.5521234992282041E-2</v>
      </c>
    </row>
    <row r="49" spans="1:12" ht="16" customHeight="1" outlineLevel="1" x14ac:dyDescent="0.35">
      <c r="A49" s="94"/>
      <c r="B49" s="94"/>
      <c r="C49" s="23" t="s">
        <v>43</v>
      </c>
      <c r="D49" s="119">
        <v>9.7653933637377718E-2</v>
      </c>
      <c r="E49" s="120"/>
      <c r="F49" s="119">
        <v>7.2962057301756492E-2</v>
      </c>
      <c r="G49" s="120"/>
      <c r="H49" s="119">
        <v>9.1977319140297026E-2</v>
      </c>
      <c r="I49" s="120"/>
      <c r="J49" s="116"/>
      <c r="K49" s="9">
        <v>6.7045083066031172E-2</v>
      </c>
      <c r="L49" s="88">
        <v>5.9726099896186276E-2</v>
      </c>
    </row>
    <row r="50" spans="1:12" ht="16" customHeight="1" outlineLevel="1" x14ac:dyDescent="0.35">
      <c r="A50" s="94"/>
      <c r="B50" s="94"/>
      <c r="C50" s="24" t="s">
        <v>45</v>
      </c>
      <c r="D50" s="121">
        <v>0.1152707902623835</v>
      </c>
      <c r="E50" s="122"/>
      <c r="F50" s="121">
        <v>7.9660400761774552E-2</v>
      </c>
      <c r="G50" s="122"/>
      <c r="H50" s="121">
        <v>0.10428014515897341</v>
      </c>
      <c r="I50" s="122"/>
      <c r="J50" s="117"/>
      <c r="K50" s="3">
        <v>9.2925707836201257E-2</v>
      </c>
      <c r="L50" s="90">
        <v>7.0823138575122666E-2</v>
      </c>
    </row>
    <row r="51" spans="1:12" ht="16" customHeight="1" x14ac:dyDescent="0.35">
      <c r="A51" s="91"/>
      <c r="B51" s="91"/>
      <c r="F51" s="48"/>
    </row>
    <row r="52" spans="1:12" ht="16" hidden="1" customHeight="1" x14ac:dyDescent="0.35">
      <c r="A52" s="91"/>
      <c r="B52" s="91"/>
      <c r="C52" s="60" t="s">
        <v>11</v>
      </c>
      <c r="D52" s="61">
        <v>44834</v>
      </c>
      <c r="E52" s="62"/>
      <c r="F52" s="61">
        <v>44834</v>
      </c>
      <c r="G52" s="62"/>
      <c r="H52" s="61">
        <v>44834</v>
      </c>
      <c r="I52" s="62"/>
      <c r="J52" s="61">
        <v>44834</v>
      </c>
      <c r="K52" s="62"/>
      <c r="L52" s="95">
        <v>44834</v>
      </c>
    </row>
    <row r="53" spans="1:12" ht="16" customHeight="1" x14ac:dyDescent="0.35">
      <c r="A53" s="133"/>
      <c r="B53" s="133"/>
      <c r="C53" s="63"/>
      <c r="D53" s="96" t="s">
        <v>2</v>
      </c>
      <c r="E53" s="64"/>
      <c r="F53" s="96" t="s">
        <v>3</v>
      </c>
      <c r="G53" s="64"/>
      <c r="H53" s="96" t="s">
        <v>88</v>
      </c>
      <c r="I53" s="64"/>
      <c r="J53" s="96" t="s">
        <v>5</v>
      </c>
      <c r="K53" s="64"/>
      <c r="L53" s="97" t="s">
        <v>6</v>
      </c>
    </row>
    <row r="54" spans="1:12" ht="16" customHeight="1" x14ac:dyDescent="0.35">
      <c r="A54" s="133"/>
      <c r="B54" s="135"/>
      <c r="C54" s="51" t="s">
        <v>34</v>
      </c>
      <c r="D54" s="123"/>
      <c r="E54" s="124"/>
      <c r="F54" s="123"/>
      <c r="G54" s="124"/>
      <c r="H54" s="123"/>
      <c r="I54" s="125"/>
      <c r="J54" s="52"/>
      <c r="K54" s="52"/>
      <c r="L54" s="52"/>
    </row>
    <row r="55" spans="1:12" ht="16" customHeight="1" x14ac:dyDescent="0.35">
      <c r="A55" s="133"/>
      <c r="B55" s="133"/>
      <c r="C55" s="23" t="s">
        <v>35</v>
      </c>
      <c r="D55" s="98">
        <v>878.24311146562491</v>
      </c>
      <c r="E55" s="65"/>
      <c r="F55" s="98">
        <v>1218.8548812614561</v>
      </c>
      <c r="G55" s="65"/>
      <c r="H55" s="98">
        <v>2097.097992727081</v>
      </c>
      <c r="I55" s="65"/>
      <c r="J55" s="98">
        <v>764.84612216000005</v>
      </c>
      <c r="K55" s="65"/>
      <c r="L55" s="99">
        <v>1424.8839171081615</v>
      </c>
    </row>
    <row r="56" spans="1:12" ht="16" customHeight="1" x14ac:dyDescent="0.35">
      <c r="A56" s="133"/>
      <c r="B56" s="133"/>
      <c r="C56" s="23" t="s">
        <v>44</v>
      </c>
      <c r="D56" s="98">
        <v>770.98751138788828</v>
      </c>
      <c r="E56" s="65"/>
      <c r="F56" s="98">
        <v>1048.7291399199999</v>
      </c>
      <c r="G56" s="65"/>
      <c r="H56" s="98">
        <v>1819.7166513078882</v>
      </c>
      <c r="I56" s="65"/>
      <c r="J56" s="98">
        <v>707.38400000000001</v>
      </c>
      <c r="K56" s="65"/>
      <c r="L56" s="99">
        <v>1282.3798696599802</v>
      </c>
    </row>
    <row r="57" spans="1:12" ht="16" customHeight="1" x14ac:dyDescent="0.35">
      <c r="A57" s="133"/>
      <c r="B57" s="133"/>
      <c r="C57" s="23" t="s">
        <v>52</v>
      </c>
      <c r="D57" s="98">
        <v>507.95711489151483</v>
      </c>
      <c r="E57" s="65"/>
      <c r="F57" s="98">
        <v>702.06399999999996</v>
      </c>
      <c r="G57" s="65"/>
      <c r="H57" s="98">
        <v>1210.0211148915148</v>
      </c>
      <c r="I57" s="65"/>
      <c r="J57" s="98">
        <v>369.03491999999994</v>
      </c>
      <c r="K57" s="65"/>
      <c r="L57" s="99">
        <v>1027.7960369123487</v>
      </c>
    </row>
    <row r="58" spans="1:12" ht="16" customHeight="1" x14ac:dyDescent="0.35">
      <c r="A58" s="133"/>
      <c r="B58" s="133"/>
      <c r="C58" s="66" t="s">
        <v>35</v>
      </c>
      <c r="D58" s="67"/>
      <c r="E58" s="68" t="s">
        <v>57</v>
      </c>
      <c r="F58" s="69"/>
      <c r="G58" s="68" t="s">
        <v>57</v>
      </c>
      <c r="H58" s="67"/>
      <c r="I58" s="68" t="s">
        <v>57</v>
      </c>
      <c r="J58" s="67"/>
      <c r="K58" s="68" t="s">
        <v>57</v>
      </c>
      <c r="L58" s="100"/>
    </row>
    <row r="59" spans="1:12" ht="16" customHeight="1" x14ac:dyDescent="0.35">
      <c r="A59" s="133"/>
      <c r="B59" s="136"/>
      <c r="C59" s="23">
        <v>2019</v>
      </c>
      <c r="D59" s="4">
        <v>736.64567974736087</v>
      </c>
      <c r="E59" s="14">
        <v>0.83877194153909829</v>
      </c>
      <c r="F59" s="4">
        <v>1070.9010000000001</v>
      </c>
      <c r="G59" s="14">
        <v>0.87861238976347134</v>
      </c>
      <c r="H59" s="48"/>
      <c r="I59" s="70"/>
      <c r="J59" s="4">
        <v>554.04887473999997</v>
      </c>
      <c r="K59" s="14">
        <v>0.7243926048488184</v>
      </c>
      <c r="L59" s="12">
        <v>1060.4699390200001</v>
      </c>
    </row>
    <row r="60" spans="1:12" ht="16" customHeight="1" x14ac:dyDescent="0.35">
      <c r="A60" s="133"/>
      <c r="B60" s="136"/>
      <c r="C60" s="23">
        <v>2020</v>
      </c>
      <c r="D60" s="4">
        <v>421.92274743236675</v>
      </c>
      <c r="E60" s="14">
        <v>0.48041680250501018</v>
      </c>
      <c r="F60" s="4">
        <v>601.41399999999999</v>
      </c>
      <c r="G60" s="14">
        <v>0.49342543500959318</v>
      </c>
      <c r="H60" s="48"/>
      <c r="I60" s="70"/>
      <c r="J60" s="4">
        <v>352.36608485000005</v>
      </c>
      <c r="K60" s="14">
        <v>0.46070193028485762</v>
      </c>
      <c r="L60" s="12">
        <v>641.7025437436389</v>
      </c>
    </row>
    <row r="61" spans="1:12" ht="16" customHeight="1" x14ac:dyDescent="0.35">
      <c r="A61" s="133"/>
      <c r="B61" s="133"/>
      <c r="C61" s="23">
        <v>2021</v>
      </c>
      <c r="D61" s="4">
        <v>644.94321393433881</v>
      </c>
      <c r="E61" s="14">
        <v>0.73435613159327628</v>
      </c>
      <c r="F61" s="4">
        <v>998.39547390999996</v>
      </c>
      <c r="G61" s="14">
        <v>0.81912579525194074</v>
      </c>
      <c r="H61" s="48"/>
      <c r="I61" s="70"/>
      <c r="J61" s="4">
        <v>491.75287787000002</v>
      </c>
      <c r="K61" s="14">
        <v>0.64294354592691394</v>
      </c>
      <c r="L61" s="12">
        <v>1071.8656427966966</v>
      </c>
    </row>
    <row r="62" spans="1:12" ht="16" customHeight="1" x14ac:dyDescent="0.35">
      <c r="A62" s="133"/>
      <c r="B62" s="133"/>
      <c r="C62" s="23" t="s">
        <v>39</v>
      </c>
      <c r="D62" s="4">
        <v>852.54441833128124</v>
      </c>
      <c r="E62" s="14">
        <v>0.97073852012177209</v>
      </c>
      <c r="F62" s="4">
        <v>1147.0148359870918</v>
      </c>
      <c r="G62" s="14">
        <v>0.94105939404368366</v>
      </c>
      <c r="H62" s="4">
        <v>1999.559254318373</v>
      </c>
      <c r="I62" s="14">
        <v>0.95348870737229219</v>
      </c>
      <c r="J62" s="4">
        <v>780</v>
      </c>
      <c r="K62" s="14">
        <v>1.0198129759711718</v>
      </c>
      <c r="L62" s="12">
        <v>1443.326866666667</v>
      </c>
    </row>
    <row r="63" spans="1:12" ht="16" customHeight="1" x14ac:dyDescent="0.35">
      <c r="A63" s="133"/>
      <c r="B63" s="133"/>
      <c r="C63" s="23" t="s">
        <v>41</v>
      </c>
      <c r="D63" s="4">
        <v>908.20802694116139</v>
      </c>
      <c r="E63" s="14">
        <v>1.0341191579920628</v>
      </c>
      <c r="F63" s="4">
        <v>1232.4651095393083</v>
      </c>
      <c r="G63" s="14">
        <v>1.011166405851176</v>
      </c>
      <c r="H63" s="4">
        <v>2140.6731364804696</v>
      </c>
      <c r="I63" s="14">
        <v>1.02077878282489</v>
      </c>
      <c r="J63" s="4">
        <v>840</v>
      </c>
      <c r="K63" s="14">
        <v>1.0982601279689541</v>
      </c>
      <c r="L63" s="12">
        <v>1587.5716499999999</v>
      </c>
    </row>
    <row r="64" spans="1:12" ht="16" customHeight="1" x14ac:dyDescent="0.35">
      <c r="A64" s="133"/>
      <c r="B64" s="133"/>
      <c r="C64" s="66" t="s">
        <v>44</v>
      </c>
      <c r="D64" s="67"/>
      <c r="E64" s="68" t="s">
        <v>57</v>
      </c>
      <c r="F64" s="69"/>
      <c r="G64" s="68" t="s">
        <v>57</v>
      </c>
      <c r="H64" s="69"/>
      <c r="I64" s="68" t="s">
        <v>57</v>
      </c>
      <c r="J64" s="69"/>
      <c r="K64" s="68" t="s">
        <v>57</v>
      </c>
      <c r="L64" s="68"/>
    </row>
    <row r="65" spans="1:12" ht="16" customHeight="1" x14ac:dyDescent="0.35">
      <c r="A65" s="133"/>
      <c r="B65" s="133"/>
      <c r="C65" s="23">
        <v>2019</v>
      </c>
      <c r="D65" s="4">
        <v>674.18473872254299</v>
      </c>
      <c r="E65" s="14">
        <v>0.87444313787769867</v>
      </c>
      <c r="F65" s="4">
        <v>987.04899999999998</v>
      </c>
      <c r="G65" s="14">
        <v>0.94118582427803521</v>
      </c>
      <c r="H65" s="48"/>
      <c r="I65" s="14"/>
      <c r="J65" s="4">
        <v>550.09699999999998</v>
      </c>
      <c r="K65" s="14">
        <v>0.77764976307069422</v>
      </c>
      <c r="L65" s="12">
        <v>939.08506121836672</v>
      </c>
    </row>
    <row r="66" spans="1:12" ht="16" customHeight="1" x14ac:dyDescent="0.35">
      <c r="A66" s="133"/>
      <c r="B66" s="133"/>
      <c r="C66" s="23">
        <v>2020</v>
      </c>
      <c r="D66" s="4">
        <v>351.66639919787133</v>
      </c>
      <c r="E66" s="14">
        <v>0.45612463756361149</v>
      </c>
      <c r="F66" s="4">
        <v>429.428</v>
      </c>
      <c r="G66" s="14">
        <v>0.40947465237092395</v>
      </c>
      <c r="H66" s="48"/>
      <c r="I66" s="14"/>
      <c r="J66" s="4">
        <v>327.33499999999998</v>
      </c>
      <c r="K66" s="14">
        <v>0.46274018072221024</v>
      </c>
      <c r="L66" s="12">
        <v>575.15121690748231</v>
      </c>
    </row>
    <row r="67" spans="1:12" ht="16" customHeight="1" x14ac:dyDescent="0.35">
      <c r="A67" s="133"/>
      <c r="B67" s="133"/>
      <c r="C67" s="23">
        <v>2021</v>
      </c>
      <c r="D67" s="4">
        <v>596.23902733919795</v>
      </c>
      <c r="E67" s="14">
        <v>0.77334459836564928</v>
      </c>
      <c r="F67" s="4">
        <v>805.99917696</v>
      </c>
      <c r="G67" s="14">
        <v>0.76854847098220613</v>
      </c>
      <c r="H67" s="48"/>
      <c r="I67" s="14"/>
      <c r="J67" s="4">
        <v>450.97187254000005</v>
      </c>
      <c r="K67" s="14">
        <v>0.63752060060730809</v>
      </c>
      <c r="L67" s="12">
        <v>905.98537964705304</v>
      </c>
    </row>
    <row r="68" spans="1:12" ht="16" customHeight="1" x14ac:dyDescent="0.35">
      <c r="A68" s="133"/>
      <c r="B68" s="133"/>
      <c r="C68" s="23" t="s">
        <v>39</v>
      </c>
      <c r="D68" s="4">
        <v>790</v>
      </c>
      <c r="E68" s="14">
        <v>1.0246599177435267</v>
      </c>
      <c r="F68" s="4">
        <v>1058.0540976380832</v>
      </c>
      <c r="G68" s="14">
        <v>1.0088916740873575</v>
      </c>
      <c r="H68" s="4">
        <v>1848.0540976380832</v>
      </c>
      <c r="I68" s="14">
        <v>1.0155724498700542</v>
      </c>
      <c r="J68" s="4">
        <v>700</v>
      </c>
      <c r="K68" s="14">
        <v>0.98956153941847702</v>
      </c>
      <c r="L68" s="12">
        <v>1341.4922857142858</v>
      </c>
    </row>
    <row r="69" spans="1:12" ht="16" customHeight="1" x14ac:dyDescent="0.35">
      <c r="A69" s="133"/>
      <c r="B69" s="133"/>
      <c r="C69" s="23" t="s">
        <v>41</v>
      </c>
      <c r="D69" s="4">
        <v>816.78948916310003</v>
      </c>
      <c r="E69" s="14">
        <v>1.0594068997210624</v>
      </c>
      <c r="F69" s="4">
        <v>1097.5765033985333</v>
      </c>
      <c r="G69" s="14">
        <v>1.0465776735089669</v>
      </c>
      <c r="H69" s="4">
        <v>1914.3659925616334</v>
      </c>
      <c r="I69" s="14">
        <v>1.0520132302936931</v>
      </c>
      <c r="J69" s="4">
        <v>780</v>
      </c>
      <c r="K69" s="14">
        <v>1.1026542867805886</v>
      </c>
      <c r="L69" s="12">
        <v>1505.2450000000001</v>
      </c>
    </row>
    <row r="70" spans="1:12" ht="16" customHeight="1" x14ac:dyDescent="0.35">
      <c r="A70" s="133"/>
      <c r="B70" s="133"/>
      <c r="C70" s="66" t="s">
        <v>52</v>
      </c>
      <c r="D70" s="67"/>
      <c r="E70" s="68" t="s">
        <v>57</v>
      </c>
      <c r="F70" s="69"/>
      <c r="G70" s="68" t="s">
        <v>57</v>
      </c>
      <c r="H70" s="69"/>
      <c r="I70" s="68" t="s">
        <v>57</v>
      </c>
      <c r="J70" s="69"/>
      <c r="K70" s="68" t="s">
        <v>57</v>
      </c>
      <c r="L70" s="68"/>
    </row>
    <row r="71" spans="1:12" ht="16" customHeight="1" x14ac:dyDescent="0.35">
      <c r="A71" s="133"/>
      <c r="B71" s="133"/>
      <c r="C71" s="23">
        <v>2019</v>
      </c>
      <c r="D71" s="4">
        <v>454.0565488589375</v>
      </c>
      <c r="E71" s="14">
        <v>0.89388756559874361</v>
      </c>
      <c r="F71" s="4">
        <v>700.78</v>
      </c>
      <c r="G71" s="14">
        <v>0.99817110690763233</v>
      </c>
      <c r="H71" s="48"/>
      <c r="I71" s="14"/>
      <c r="J71" s="4">
        <v>384.76799999999997</v>
      </c>
      <c r="K71" s="14">
        <v>1.0426330386295151</v>
      </c>
      <c r="L71" s="12">
        <v>775.45110050454116</v>
      </c>
    </row>
    <row r="72" spans="1:12" ht="16" customHeight="1" x14ac:dyDescent="0.35">
      <c r="A72" s="133"/>
      <c r="B72" s="133"/>
      <c r="C72" s="23">
        <v>2020</v>
      </c>
      <c r="D72" s="4">
        <v>249.27312654726222</v>
      </c>
      <c r="E72" s="14">
        <v>0.49073655873586858</v>
      </c>
      <c r="F72" s="4">
        <v>119.461</v>
      </c>
      <c r="G72" s="14">
        <v>0.17015685179698717</v>
      </c>
      <c r="H72" s="48"/>
      <c r="I72" s="12"/>
      <c r="J72" s="4">
        <v>193.85400000000001</v>
      </c>
      <c r="K72" s="14">
        <v>0.52529988219001078</v>
      </c>
      <c r="L72" s="12">
        <v>477.89174473731782</v>
      </c>
    </row>
    <row r="73" spans="1:12" ht="16" customHeight="1" x14ac:dyDescent="0.35">
      <c r="A73" s="133"/>
      <c r="B73" s="138"/>
      <c r="C73" s="23">
        <v>2021</v>
      </c>
      <c r="D73" s="4">
        <v>410.36284041849939</v>
      </c>
      <c r="E73" s="14">
        <v>0.80786906687219295</v>
      </c>
      <c r="F73" s="4">
        <v>369.55838</v>
      </c>
      <c r="G73" s="14">
        <v>0.52638844891633818</v>
      </c>
      <c r="H73" s="48"/>
      <c r="I73" s="12"/>
      <c r="J73" s="4">
        <v>261.41500000000002</v>
      </c>
      <c r="K73" s="14">
        <v>0.70837469798251085</v>
      </c>
      <c r="L73" s="12">
        <v>753.62390833864185</v>
      </c>
    </row>
    <row r="74" spans="1:12" ht="16" customHeight="1" x14ac:dyDescent="0.35">
      <c r="A74" s="133"/>
      <c r="B74" s="133"/>
      <c r="C74" s="23" t="s">
        <v>39</v>
      </c>
      <c r="D74" s="4">
        <v>487</v>
      </c>
      <c r="E74" s="14">
        <v>0.95874235387766804</v>
      </c>
      <c r="F74" s="4">
        <v>590.14858551768793</v>
      </c>
      <c r="G74" s="14">
        <v>0.84059086567277053</v>
      </c>
      <c r="H74" s="4">
        <v>1077.1485855176879</v>
      </c>
      <c r="I74" s="14">
        <v>0.89018990847466362</v>
      </c>
      <c r="J74" s="4">
        <v>379</v>
      </c>
      <c r="K74" s="14">
        <v>1.0270030814428077</v>
      </c>
      <c r="L74" s="12">
        <v>1025</v>
      </c>
    </row>
    <row r="75" spans="1:12" ht="16" customHeight="1" x14ac:dyDescent="0.35">
      <c r="A75" s="133"/>
      <c r="B75" s="133"/>
      <c r="C75" s="24" t="s">
        <v>41</v>
      </c>
      <c r="D75" s="58">
        <v>563</v>
      </c>
      <c r="E75" s="71">
        <v>1.1083612838462569</v>
      </c>
      <c r="F75" s="58">
        <v>651.60383636014558</v>
      </c>
      <c r="G75" s="71">
        <v>0.92812597763187632</v>
      </c>
      <c r="H75" s="58">
        <v>1214.6038363601456</v>
      </c>
      <c r="I75" s="71">
        <v>1.0037873070248378</v>
      </c>
      <c r="J75" s="58">
        <v>465</v>
      </c>
      <c r="K75" s="71">
        <v>1.2600433584984316</v>
      </c>
      <c r="L75" s="59">
        <v>1068.4682857142857</v>
      </c>
    </row>
    <row r="76" spans="1:12" ht="16" customHeight="1" x14ac:dyDescent="0.35">
      <c r="A76" s="133"/>
      <c r="B76" s="133"/>
    </row>
    <row r="77" spans="1:12" ht="16" customHeight="1" x14ac:dyDescent="0.35">
      <c r="A77" s="133"/>
      <c r="B77" s="133"/>
      <c r="C77" s="51" t="s">
        <v>58</v>
      </c>
      <c r="D77" s="50" t="s">
        <v>2</v>
      </c>
      <c r="E77" s="49"/>
      <c r="F77" s="50" t="s">
        <v>3</v>
      </c>
      <c r="G77" s="49"/>
      <c r="H77" s="50" t="s">
        <v>88</v>
      </c>
      <c r="I77" s="49"/>
      <c r="J77" s="50" t="s">
        <v>5</v>
      </c>
      <c r="K77" s="49"/>
      <c r="L77" s="101" t="s">
        <v>6</v>
      </c>
    </row>
    <row r="78" spans="1:12" ht="16" customHeight="1" x14ac:dyDescent="0.35">
      <c r="A78" s="133"/>
      <c r="B78" s="133"/>
      <c r="C78" s="22" t="s">
        <v>59</v>
      </c>
      <c r="D78" s="102"/>
      <c r="E78" s="15"/>
      <c r="F78" s="102"/>
      <c r="G78" s="15"/>
      <c r="H78" s="102"/>
      <c r="I78" s="15"/>
      <c r="J78" s="102"/>
      <c r="K78" s="15"/>
      <c r="L78" s="15"/>
    </row>
    <row r="79" spans="1:12" ht="16" customHeight="1" x14ac:dyDescent="0.35">
      <c r="A79" s="133"/>
      <c r="B79" s="133"/>
      <c r="C79" s="23" t="s">
        <v>60</v>
      </c>
      <c r="D79" s="98">
        <v>728453.30678099988</v>
      </c>
      <c r="E79" s="65"/>
      <c r="F79" s="98">
        <v>797209.06</v>
      </c>
      <c r="G79" s="65"/>
      <c r="H79" s="98">
        <v>1525662.366781</v>
      </c>
      <c r="I79" s="65"/>
      <c r="J79" s="98">
        <v>448153.79401728016</v>
      </c>
      <c r="K79" s="65"/>
      <c r="L79" s="99">
        <v>688127.51186636288</v>
      </c>
    </row>
    <row r="80" spans="1:12" ht="16" customHeight="1" x14ac:dyDescent="0.35">
      <c r="A80" s="133"/>
      <c r="B80" s="133"/>
      <c r="C80" s="23" t="s">
        <v>61</v>
      </c>
      <c r="D80" s="103">
        <v>0.97002915596886574</v>
      </c>
      <c r="E80" s="65"/>
      <c r="F80" s="103">
        <v>0.96836867562181494</v>
      </c>
      <c r="G80" s="65"/>
      <c r="H80" s="103">
        <v>0.96916150005400303</v>
      </c>
      <c r="I80" s="65"/>
      <c r="J80" s="103">
        <v>0.93200000000000005</v>
      </c>
      <c r="K80" s="65"/>
      <c r="L80" s="104">
        <v>0.95320015394645652</v>
      </c>
    </row>
    <row r="81" spans="1:13" ht="16" customHeight="1" x14ac:dyDescent="0.35">
      <c r="A81" s="133"/>
      <c r="B81" s="133"/>
      <c r="C81" s="22" t="s">
        <v>82</v>
      </c>
      <c r="D81" s="105"/>
      <c r="E81" s="72"/>
      <c r="F81" s="105"/>
      <c r="G81" s="72"/>
      <c r="H81" s="105"/>
      <c r="I81" s="72"/>
      <c r="J81" s="105"/>
      <c r="K81" s="72"/>
      <c r="L81" s="72"/>
    </row>
    <row r="82" spans="1:13" ht="16" customHeight="1" x14ac:dyDescent="0.35">
      <c r="A82" s="133"/>
      <c r="B82" s="133"/>
      <c r="C82" s="23" t="s">
        <v>78</v>
      </c>
      <c r="D82" s="98">
        <v>2794.0610000000001</v>
      </c>
      <c r="E82" s="65"/>
      <c r="F82" s="98">
        <v>3459.71177229472</v>
      </c>
      <c r="G82" s="65"/>
      <c r="H82" s="98">
        <v>6253.7727722947202</v>
      </c>
      <c r="I82" s="65"/>
      <c r="J82" s="98">
        <v>2658.5118857085417</v>
      </c>
      <c r="K82" s="65"/>
      <c r="L82" s="99">
        <v>3787.8235143538805</v>
      </c>
    </row>
    <row r="83" spans="1:13" ht="16" customHeight="1" x14ac:dyDescent="0.35">
      <c r="A83" s="133"/>
      <c r="B83" s="137"/>
      <c r="C83" s="23" t="s">
        <v>62</v>
      </c>
      <c r="D83" s="98">
        <v>1495</v>
      </c>
      <c r="E83" s="65"/>
      <c r="F83" s="98">
        <v>1446.5932655501599</v>
      </c>
      <c r="G83" s="65"/>
      <c r="H83" s="98">
        <v>1366.3514087304422</v>
      </c>
      <c r="I83" s="65"/>
      <c r="J83" s="98">
        <v>1977.3806233476726</v>
      </c>
      <c r="K83" s="65"/>
      <c r="L83" s="99">
        <v>1834.8457463842308</v>
      </c>
    </row>
    <row r="84" spans="1:13" ht="16" customHeight="1" x14ac:dyDescent="0.35">
      <c r="A84" s="133"/>
      <c r="B84" s="133"/>
      <c r="C84" s="22" t="s">
        <v>80</v>
      </c>
      <c r="D84" s="105"/>
      <c r="E84" s="72"/>
      <c r="F84" s="105"/>
      <c r="G84" s="72"/>
      <c r="H84" s="105"/>
      <c r="I84" s="72"/>
      <c r="J84" s="105"/>
      <c r="K84" s="72"/>
      <c r="L84" s="72"/>
    </row>
    <row r="85" spans="1:13" ht="16" customHeight="1" x14ac:dyDescent="0.35">
      <c r="A85" s="133"/>
      <c r="B85" s="133"/>
      <c r="C85" s="23" t="s">
        <v>79</v>
      </c>
      <c r="D85" s="98">
        <v>216.49595100087808</v>
      </c>
      <c r="E85" s="65"/>
      <c r="F85" s="98">
        <v>268.32</v>
      </c>
      <c r="G85" s="65"/>
      <c r="H85" s="98">
        <v>484.81595100087804</v>
      </c>
      <c r="I85" s="65"/>
      <c r="J85" s="98">
        <v>199.83465978533198</v>
      </c>
      <c r="K85" s="65"/>
      <c r="L85" s="99">
        <v>358.41271282766598</v>
      </c>
      <c r="M85" s="48"/>
    </row>
    <row r="86" spans="1:13" ht="16" customHeight="1" x14ac:dyDescent="0.35">
      <c r="A86" s="133"/>
      <c r="B86" s="133"/>
      <c r="C86" s="23" t="s">
        <v>63</v>
      </c>
      <c r="D86" s="98">
        <v>99.066496546206579</v>
      </c>
      <c r="E86" s="65"/>
      <c r="F86" s="98">
        <v>112.19139933005778</v>
      </c>
      <c r="G86" s="65"/>
      <c r="H86" s="98">
        <v>105.92469246079935</v>
      </c>
      <c r="I86" s="65"/>
      <c r="J86" s="98">
        <v>148.63547771104862</v>
      </c>
      <c r="K86" s="65"/>
      <c r="L86" s="99">
        <v>173.61739243916526</v>
      </c>
    </row>
    <row r="87" spans="1:13" ht="16" customHeight="1" x14ac:dyDescent="0.35">
      <c r="A87" s="133"/>
      <c r="B87" s="133"/>
      <c r="C87" s="23" t="s">
        <v>77</v>
      </c>
      <c r="D87" s="103">
        <v>7.7484332303724965E-2</v>
      </c>
      <c r="E87" s="65"/>
      <c r="F87" s="103">
        <v>7.7555593546462284E-2</v>
      </c>
      <c r="G87" s="65"/>
      <c r="H87" s="103">
        <v>7.7523755443865083E-2</v>
      </c>
      <c r="I87" s="65"/>
      <c r="J87" s="103">
        <v>7.5167863969158977E-2</v>
      </c>
      <c r="K87" s="65"/>
      <c r="L87" s="104">
        <v>9.462233693556954E-2</v>
      </c>
    </row>
    <row r="88" spans="1:13" ht="16" customHeight="1" x14ac:dyDescent="0.35">
      <c r="A88" s="133"/>
      <c r="B88" s="133"/>
      <c r="C88" s="22" t="s">
        <v>81</v>
      </c>
      <c r="D88" s="106"/>
      <c r="E88" s="73"/>
      <c r="F88" s="106"/>
      <c r="G88" s="73"/>
      <c r="H88" s="106"/>
      <c r="I88" s="73"/>
      <c r="J88" s="106"/>
      <c r="K88" s="73"/>
      <c r="L88" s="73"/>
    </row>
    <row r="89" spans="1:13" ht="16" customHeight="1" x14ac:dyDescent="0.35">
      <c r="A89" s="133"/>
      <c r="B89" s="133"/>
      <c r="C89" s="23" t="s">
        <v>64</v>
      </c>
      <c r="D89" s="98">
        <v>219.56077786640623</v>
      </c>
      <c r="E89" s="65"/>
      <c r="F89" s="98">
        <v>304.71372031536401</v>
      </c>
      <c r="G89" s="65"/>
      <c r="H89" s="98">
        <v>524.27449818177024</v>
      </c>
      <c r="I89" s="65"/>
      <c r="J89" s="98">
        <v>184.82008101274258</v>
      </c>
      <c r="K89" s="65"/>
      <c r="L89" s="99">
        <v>342.30692569104036</v>
      </c>
      <c r="M89" s="48"/>
    </row>
    <row r="90" spans="1:13" ht="16" customHeight="1" x14ac:dyDescent="0.35">
      <c r="A90" s="133"/>
      <c r="B90" s="133"/>
      <c r="C90" s="23" t="s">
        <v>65</v>
      </c>
      <c r="D90" s="98">
        <v>100.46893229008494</v>
      </c>
      <c r="E90" s="65"/>
      <c r="F90" s="98">
        <v>127.40853710960249</v>
      </c>
      <c r="G90" s="65"/>
      <c r="H90" s="98">
        <v>114.54576704891326</v>
      </c>
      <c r="I90" s="65"/>
      <c r="J90" s="98">
        <v>137.46774989600721</v>
      </c>
      <c r="K90" s="65"/>
      <c r="L90" s="99">
        <v>165.81564694922304</v>
      </c>
    </row>
    <row r="91" spans="1:13" ht="16" customHeight="1" x14ac:dyDescent="0.35">
      <c r="A91" s="133"/>
      <c r="B91" s="133"/>
      <c r="C91" s="23" t="s">
        <v>66</v>
      </c>
      <c r="D91" s="103">
        <v>7.8581239946588929E-2</v>
      </c>
      <c r="E91" s="65"/>
      <c r="F91" s="103">
        <v>8.8074886109156078E-2</v>
      </c>
      <c r="G91" s="65"/>
      <c r="H91" s="103">
        <v>8.3833314268211931E-2</v>
      </c>
      <c r="I91" s="65"/>
      <c r="J91" s="103">
        <v>6.9520125904377769E-2</v>
      </c>
      <c r="K91" s="65"/>
      <c r="L91" s="104">
        <v>9.0370347085569111E-2</v>
      </c>
    </row>
    <row r="92" spans="1:13" ht="16" customHeight="1" x14ac:dyDescent="0.35">
      <c r="A92" s="133"/>
      <c r="B92" s="133"/>
      <c r="C92" s="23" t="s">
        <v>67</v>
      </c>
      <c r="D92" s="107">
        <v>1.0141565089386624</v>
      </c>
      <c r="E92" s="65"/>
      <c r="F92" s="107">
        <v>1.1356355110143264</v>
      </c>
      <c r="G92" s="65"/>
      <c r="H92" s="107">
        <v>1.0813887148296832</v>
      </c>
      <c r="I92" s="65"/>
      <c r="J92" s="107">
        <v>0.92486499194524874</v>
      </c>
      <c r="K92" s="65"/>
      <c r="L92" s="57">
        <v>0.9550635717981083</v>
      </c>
    </row>
    <row r="93" spans="1:13" ht="16" customHeight="1" x14ac:dyDescent="0.35">
      <c r="A93" s="133"/>
      <c r="B93" s="133"/>
      <c r="C93" s="22" t="s">
        <v>68</v>
      </c>
      <c r="D93" s="105"/>
      <c r="E93" s="72"/>
      <c r="F93" s="105"/>
      <c r="G93" s="72"/>
      <c r="H93" s="105"/>
      <c r="I93" s="72"/>
      <c r="J93" s="105"/>
      <c r="K93" s="72"/>
      <c r="L93" s="72"/>
    </row>
    <row r="94" spans="1:13" ht="16" customHeight="1" x14ac:dyDescent="0.35">
      <c r="A94" s="133"/>
      <c r="B94" s="133"/>
      <c r="C94" s="23" t="s">
        <v>69</v>
      </c>
      <c r="D94" s="103">
        <v>8.9799431282942863E-2</v>
      </c>
      <c r="E94" s="65"/>
      <c r="F94" s="103">
        <v>0.26170597236303034</v>
      </c>
      <c r="G94" s="65"/>
      <c r="H94" s="103">
        <v>0.29052140470427712</v>
      </c>
      <c r="I94" s="65"/>
      <c r="J94" s="103">
        <v>0.17304446819018107</v>
      </c>
      <c r="K94" s="65"/>
      <c r="L94" s="104">
        <v>0.12667666645539763</v>
      </c>
    </row>
    <row r="95" spans="1:13" ht="16" customHeight="1" x14ac:dyDescent="0.35">
      <c r="A95" s="133"/>
      <c r="B95" s="133"/>
      <c r="C95" s="23" t="s">
        <v>86</v>
      </c>
      <c r="D95" s="108">
        <v>0.51650952006101258</v>
      </c>
      <c r="E95" s="65"/>
      <c r="F95" s="109">
        <v>2.0252607902305995</v>
      </c>
      <c r="G95" s="65"/>
      <c r="H95" s="109">
        <v>2.0368019112638716</v>
      </c>
      <c r="I95" s="65"/>
      <c r="J95" s="109">
        <v>1.5315342080729728</v>
      </c>
      <c r="K95" s="65"/>
      <c r="L95" s="110">
        <v>1.4402560224274179</v>
      </c>
    </row>
    <row r="96" spans="1:13" ht="16" customHeight="1" x14ac:dyDescent="0.35">
      <c r="A96" s="133"/>
      <c r="B96" s="133"/>
      <c r="C96" s="23" t="s">
        <v>87</v>
      </c>
      <c r="D96" s="108">
        <v>0.5883635224952185</v>
      </c>
      <c r="E96" s="65"/>
      <c r="F96" s="109">
        <v>2.3538003341723717</v>
      </c>
      <c r="G96" s="65"/>
      <c r="H96" s="109">
        <v>2.3472737893694466</v>
      </c>
      <c r="I96" s="65"/>
      <c r="J96" s="109">
        <v>1.6559435893376155</v>
      </c>
      <c r="K96" s="65"/>
      <c r="L96" s="110">
        <v>1.600304006190564</v>
      </c>
      <c r="M96" s="47"/>
    </row>
    <row r="97" spans="1:12" ht="16" customHeight="1" x14ac:dyDescent="0.35">
      <c r="A97" s="133"/>
      <c r="B97" s="133"/>
      <c r="C97" s="22" t="s">
        <v>70</v>
      </c>
      <c r="D97" s="105"/>
      <c r="E97" s="72"/>
      <c r="F97" s="105"/>
      <c r="G97" s="72"/>
      <c r="H97" s="105"/>
      <c r="I97" s="72"/>
      <c r="J97" s="105"/>
      <c r="K97" s="72"/>
      <c r="L97" s="72"/>
    </row>
    <row r="98" spans="1:12" ht="16" customHeight="1" x14ac:dyDescent="0.35">
      <c r="A98" s="133"/>
      <c r="B98" s="133"/>
      <c r="C98" s="23" t="s">
        <v>71</v>
      </c>
      <c r="D98" s="103">
        <v>0.12180597748889067</v>
      </c>
      <c r="E98" s="65"/>
      <c r="F98" s="103">
        <v>0.12567802459499211</v>
      </c>
      <c r="G98" s="65"/>
      <c r="H98" s="103">
        <v>0.12406876163597148</v>
      </c>
      <c r="I98" s="65"/>
      <c r="J98" s="103">
        <v>0.15058605713227749</v>
      </c>
      <c r="K98" s="65"/>
      <c r="L98" s="104">
        <v>0.12952596702421107</v>
      </c>
    </row>
    <row r="99" spans="1:12" ht="16" customHeight="1" x14ac:dyDescent="0.35">
      <c r="A99" s="133"/>
      <c r="B99" s="133"/>
      <c r="C99" s="23" t="s">
        <v>72</v>
      </c>
      <c r="D99" s="111">
        <v>2.3539720902624688</v>
      </c>
      <c r="E99" s="65"/>
      <c r="F99" s="111">
        <v>2.1730775975741712</v>
      </c>
      <c r="G99" s="65"/>
      <c r="H99" s="111">
        <v>2.2468880524577508</v>
      </c>
      <c r="I99" s="65"/>
      <c r="J99" s="111">
        <v>1.615568541649357</v>
      </c>
      <c r="K99" s="65"/>
      <c r="L99" s="110">
        <v>3.2264504402182692</v>
      </c>
    </row>
    <row r="100" spans="1:12" ht="16" customHeight="1" x14ac:dyDescent="0.35">
      <c r="A100" s="133"/>
      <c r="B100" s="133"/>
      <c r="C100" s="22" t="s">
        <v>73</v>
      </c>
      <c r="D100" s="105"/>
      <c r="E100" s="72"/>
      <c r="F100" s="105"/>
      <c r="G100" s="72"/>
      <c r="H100" s="105"/>
      <c r="I100" s="72"/>
      <c r="J100" s="105"/>
      <c r="K100" s="72"/>
      <c r="L100" s="72"/>
    </row>
    <row r="101" spans="1:12" ht="16" customHeight="1" x14ac:dyDescent="0.35">
      <c r="A101" s="133"/>
      <c r="B101" s="133"/>
      <c r="C101" s="23" t="s">
        <v>83</v>
      </c>
      <c r="D101" s="98">
        <v>6934.541912812906</v>
      </c>
      <c r="E101" s="65"/>
      <c r="F101" s="98">
        <v>11554.676449439574</v>
      </c>
      <c r="G101" s="65"/>
      <c r="H101" s="98">
        <v>9636.7579176438376</v>
      </c>
      <c r="I101" s="65"/>
      <c r="J101" s="98">
        <v>14163.9237892857</v>
      </c>
      <c r="K101" s="65"/>
      <c r="L101" s="99">
        <v>21633.080337259646</v>
      </c>
    </row>
    <row r="102" spans="1:12" ht="16" customHeight="1" x14ac:dyDescent="0.35">
      <c r="A102" s="133"/>
      <c r="B102" s="133"/>
      <c r="C102" s="23" t="s">
        <v>74</v>
      </c>
      <c r="D102" s="112">
        <v>0.45198458331797348</v>
      </c>
      <c r="E102" s="65"/>
      <c r="F102" s="112">
        <v>0.68158403811076884</v>
      </c>
      <c r="G102" s="65"/>
      <c r="H102" s="112">
        <v>0.58774276856773366</v>
      </c>
      <c r="I102" s="65"/>
      <c r="J102" s="112">
        <v>0.59691440712218624</v>
      </c>
      <c r="K102" s="65"/>
      <c r="L102" s="113">
        <v>0.98251130827982203</v>
      </c>
    </row>
    <row r="103" spans="1:12" ht="16" customHeight="1" x14ac:dyDescent="0.35">
      <c r="A103" s="133"/>
      <c r="B103" s="133"/>
      <c r="C103" s="23" t="s">
        <v>75</v>
      </c>
      <c r="D103" s="109">
        <v>5.8332384093635001</v>
      </c>
      <c r="E103" s="65"/>
      <c r="F103" s="109">
        <v>8.7883285646243294</v>
      </c>
      <c r="G103" s="65"/>
      <c r="H103" s="109">
        <v>7.5814537776529409</v>
      </c>
      <c r="I103" s="65"/>
      <c r="J103" s="109">
        <v>8.0072766578995598</v>
      </c>
      <c r="K103" s="65"/>
      <c r="L103" s="110">
        <v>10.484133970031127</v>
      </c>
    </row>
    <row r="104" spans="1:12" ht="16" customHeight="1" x14ac:dyDescent="0.35">
      <c r="A104" s="133"/>
      <c r="B104" s="133"/>
      <c r="C104" s="23" t="s">
        <v>76</v>
      </c>
      <c r="D104" s="109">
        <v>4.9127950955647233</v>
      </c>
      <c r="E104" s="65"/>
      <c r="F104" s="109">
        <v>6.7037119851147668</v>
      </c>
      <c r="G104" s="65"/>
      <c r="H104" s="109">
        <v>6.0373096102113033</v>
      </c>
      <c r="I104" s="65"/>
      <c r="J104" s="109">
        <v>6.4045549226335661</v>
      </c>
      <c r="K104" s="65"/>
      <c r="L104" s="110">
        <v>8.755115208424078</v>
      </c>
    </row>
    <row r="105" spans="1:12" ht="16" customHeight="1" x14ac:dyDescent="0.35">
      <c r="A105" s="133"/>
      <c r="B105" s="133"/>
      <c r="C105" s="23" t="s">
        <v>84</v>
      </c>
      <c r="D105" s="109">
        <v>5.7518128197669558</v>
      </c>
      <c r="E105" s="65"/>
      <c r="F105" s="109">
        <v>7.7386877033941772</v>
      </c>
      <c r="G105" s="65"/>
      <c r="H105" s="109">
        <v>7.0108497283948497</v>
      </c>
      <c r="I105" s="65"/>
      <c r="J105" s="109">
        <v>8.3691437516050868</v>
      </c>
      <c r="K105" s="65"/>
      <c r="L105" s="110">
        <v>10.550415094850679</v>
      </c>
    </row>
    <row r="106" spans="1:12" ht="16" customHeight="1" x14ac:dyDescent="0.35">
      <c r="A106" s="133"/>
      <c r="B106" s="133"/>
      <c r="C106" s="24" t="s">
        <v>85</v>
      </c>
      <c r="D106" s="74">
        <v>6.5519738164196637</v>
      </c>
      <c r="E106" s="75"/>
      <c r="F106" s="74">
        <v>8.9940642657831802</v>
      </c>
      <c r="G106" s="75"/>
      <c r="H106" s="74">
        <v>8.0795209969425343</v>
      </c>
      <c r="I106" s="75"/>
      <c r="J106" s="74">
        <v>9.05518351095062</v>
      </c>
      <c r="K106" s="75"/>
      <c r="L106" s="114">
        <v>11.735686967551208</v>
      </c>
    </row>
    <row r="107" spans="1:12" x14ac:dyDescent="0.35">
      <c r="A107" s="133"/>
      <c r="B107" s="133"/>
      <c r="J107" s="45"/>
      <c r="L107" s="45"/>
    </row>
    <row r="108" spans="1:12" x14ac:dyDescent="0.35">
      <c r="A108" s="133"/>
      <c r="B108" s="133"/>
    </row>
  </sheetData>
  <mergeCells count="68">
    <mergeCell ref="F29:G29"/>
    <mergeCell ref="F30:G30"/>
    <mergeCell ref="F38:G38"/>
    <mergeCell ref="F31:G31"/>
    <mergeCell ref="F32:G32"/>
    <mergeCell ref="F33:G33"/>
    <mergeCell ref="F34:G34"/>
    <mergeCell ref="D39:E39"/>
    <mergeCell ref="D40:E40"/>
    <mergeCell ref="D37:E37"/>
    <mergeCell ref="D29:E29"/>
    <mergeCell ref="D30:E30"/>
    <mergeCell ref="D31:E31"/>
    <mergeCell ref="F35:G35"/>
    <mergeCell ref="F36:G36"/>
    <mergeCell ref="F37:G37"/>
    <mergeCell ref="F39:G39"/>
    <mergeCell ref="F40:G40"/>
    <mergeCell ref="D41:E41"/>
    <mergeCell ref="D42:E42"/>
    <mergeCell ref="D43:E43"/>
    <mergeCell ref="D44:E44"/>
    <mergeCell ref="D45:E45"/>
    <mergeCell ref="F41:G41"/>
    <mergeCell ref="F42:G42"/>
    <mergeCell ref="F44:G44"/>
    <mergeCell ref="F45:G45"/>
    <mergeCell ref="F46:G46"/>
    <mergeCell ref="F43:G43"/>
    <mergeCell ref="D47:E47"/>
    <mergeCell ref="D48:E48"/>
    <mergeCell ref="D49:E49"/>
    <mergeCell ref="D50:E50"/>
    <mergeCell ref="F47:G47"/>
    <mergeCell ref="D46:E46"/>
    <mergeCell ref="D32:E32"/>
    <mergeCell ref="D33:E33"/>
    <mergeCell ref="D34:E34"/>
    <mergeCell ref="D35:E35"/>
    <mergeCell ref="D36:E36"/>
    <mergeCell ref="H42:I42"/>
    <mergeCell ref="H43:I43"/>
    <mergeCell ref="H37:I37"/>
    <mergeCell ref="H44:I44"/>
    <mergeCell ref="H29:I29"/>
    <mergeCell ref="H31:I31"/>
    <mergeCell ref="H32:I32"/>
    <mergeCell ref="H33:I33"/>
    <mergeCell ref="H34:I34"/>
    <mergeCell ref="H35:I35"/>
    <mergeCell ref="H30:I30"/>
    <mergeCell ref="H36:I36"/>
    <mergeCell ref="H38:I38"/>
    <mergeCell ref="H39:I39"/>
    <mergeCell ref="H40:I40"/>
    <mergeCell ref="H41:I41"/>
    <mergeCell ref="H54:I54"/>
    <mergeCell ref="H45:I45"/>
    <mergeCell ref="H46:I46"/>
    <mergeCell ref="H47:I47"/>
    <mergeCell ref="H48:I48"/>
    <mergeCell ref="H49:I49"/>
    <mergeCell ref="H50:I50"/>
    <mergeCell ref="F48:G48"/>
    <mergeCell ref="F49:G49"/>
    <mergeCell ref="F50:G50"/>
    <mergeCell ref="D54:E54"/>
    <mergeCell ref="F54:G54"/>
  </mergeCells>
  <conditionalFormatting sqref="D6:H10">
    <cfRule type="cellIs" dxfId="1" priority="1" operator="lessThan">
      <formula>0</formula>
    </cfRule>
    <cfRule type="cellIs" dxfId="0" priority="2" operator="greaterThan">
      <formula>0</formula>
    </cfRule>
  </conditionalFormatting>
  <printOptions horizontalCentered="1" verticalCentered="1"/>
  <pageMargins left="0.11811023622047245" right="0.11811023622047245" top="0.35433070866141736" bottom="0.35433070866141736" header="0.31496062992125984" footer="0.31496062992125984"/>
  <pageSetup paperSize="9" scale="4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fe56a02-cc89-4c33-bc2c-1bf3280fe09b" xsi:nil="true"/>
    <lcf76f155ced4ddcb4097134ff3c332f xmlns="cbcfd2bc-3015-4963-8616-7afab85b528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6371918A5D75054C8E52DD31ABD9617D" ma:contentTypeVersion="16" ma:contentTypeDescription="Crie um novo documento." ma:contentTypeScope="" ma:versionID="a6502667a5b56ed5f2575bf2a750a60e">
  <xsd:schema xmlns:xsd="http://www.w3.org/2001/XMLSchema" xmlns:xs="http://www.w3.org/2001/XMLSchema" xmlns:p="http://schemas.microsoft.com/office/2006/metadata/properties" xmlns:ns2="cbcfd2bc-3015-4963-8616-7afab85b5280" xmlns:ns3="cfe56a02-cc89-4c33-bc2c-1bf3280fe09b" targetNamespace="http://schemas.microsoft.com/office/2006/metadata/properties" ma:root="true" ma:fieldsID="3b739c79d9355405b153e1c701423138" ns2:_="" ns3:_="">
    <xsd:import namespace="cbcfd2bc-3015-4963-8616-7afab85b5280"/>
    <xsd:import namespace="cfe56a02-cc89-4c33-bc2c-1bf3280fe0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cfd2bc-3015-4963-8616-7afab85b52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Marcações de imagem" ma:readOnly="false" ma:fieldId="{5cf76f15-5ced-4ddc-b409-7134ff3c332f}" ma:taxonomyMulti="true" ma:sspId="3ed6d1ef-19b5-4121-ba0f-c3570a51c21e" ma:termSetId="09814cd3-568e-fe90-9814-8d621ff8fb84" ma:anchorId="fba54fb3-c3e1-fe81-a776-ca4b69148c4d" ma:open="true" ma:isKeyword="false">
      <xsd:complexType>
        <xsd:sequence>
          <xsd:element ref="pc:Terms" minOccurs="0" maxOccurs="1"/>
        </xsd:sequence>
      </xsd:complex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e56a02-cc89-4c33-bc2c-1bf3280fe09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1724f4c9-8c12-49bf-8f15-717813340007}" ma:internalName="TaxCatchAll" ma:showField="CatchAllData" ma:web="cfe56a02-cc89-4c33-bc2c-1bf3280fe09b">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9879A1-40D1-48F2-B057-A750C79251F1}">
  <ds:schemaRefs>
    <ds:schemaRef ds:uri="http://schemas.microsoft.com/office/2006/metadata/properties"/>
    <ds:schemaRef ds:uri="http://schemas.microsoft.com/office/infopath/2007/PartnerControls"/>
    <ds:schemaRef ds:uri="cfe56a02-cc89-4c33-bc2c-1bf3280fe09b"/>
    <ds:schemaRef ds:uri="cbcfd2bc-3015-4963-8616-7afab85b5280"/>
  </ds:schemaRefs>
</ds:datastoreItem>
</file>

<file path=customXml/itemProps2.xml><?xml version="1.0" encoding="utf-8"?>
<ds:datastoreItem xmlns:ds="http://schemas.openxmlformats.org/officeDocument/2006/customXml" ds:itemID="{D0AB1CAD-ED08-42BC-9B81-70A7C84169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cfd2bc-3015-4963-8616-7afab85b5280"/>
    <ds:schemaRef ds:uri="cfe56a02-cc89-4c33-bc2c-1bf3280fe0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B7634DB-4085-4DDB-9CAC-F32FFA3BEA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Multiplos_EmpresasShoppings</vt:lpstr>
      <vt:lpstr>Multiplos_EmpresasShoppings!Area_de_impressao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Marques</dc:creator>
  <cp:keywords/>
  <dc:description/>
  <cp:lastModifiedBy>Felipe Vaz</cp:lastModifiedBy>
  <cp:revision/>
  <cp:lastPrinted>2023-02-15T13:24:48Z</cp:lastPrinted>
  <dcterms:created xsi:type="dcterms:W3CDTF">2022-09-12T21:57:19Z</dcterms:created>
  <dcterms:modified xsi:type="dcterms:W3CDTF">2023-05-01T23:02:21Z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0x0101006371918A5D75054C8E52DD31ABD9617D</vt:lpwstr>
  </property>
  <property fmtid="{D5CDD505-2E9C-101B-9397-08002B2CF9AE}" pid="3" name="MediaServiceImageTags">
    <vt:lpwstr/>
  </property>
</Properties>
</file>