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FelipeVaz\Desktop\Pessoal\Cursos\Primo Rico\MBA_Value_Investing_Barsi\Estudos de Caso_Valuation\"/>
    </mc:Choice>
  </mc:AlternateContent>
  <xr:revisionPtr revIDLastSave="0" documentId="13_ncr:1_{6C1D1961-99A3-4DAB-862C-5C84D68E79AC}" xr6:coauthVersionLast="47" xr6:coauthVersionMax="47" xr10:uidLastSave="{00000000-0000-0000-0000-000000000000}"/>
  <bookViews>
    <workbookView xWindow="-120" yWindow="-120" windowWidth="29040" windowHeight="15720" tabRatio="929" xr2:uid="{00000000-000D-0000-FFFF-FFFF00000000}"/>
  </bookViews>
  <sheets>
    <sheet name="PROJETO 1" sheetId="1" r:id="rId1"/>
    <sheet name="PROJETO 2" sheetId="2" r:id="rId2"/>
    <sheet name="PROJETO 3" sheetId="3" r:id="rId3"/>
    <sheet name="PROJETO 4" sheetId="5" r:id="rId4"/>
    <sheet name="A CONTRATAR" sheetId="4" r:id="rId5"/>
    <sheet name="ESTOQUE PRONTO" sheetId="7" r:id="rId6"/>
    <sheet name="JA LANÇADOS" sheetId="6" r:id="rId7"/>
    <sheet name="ESTRUT. ADM (G&amp;A)" sheetId="8" r:id="rId8"/>
    <sheet name="CONSOLIDADO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9" i="6" l="1"/>
  <c r="C18" i="6"/>
  <c r="D18" i="6" s="1"/>
  <c r="F80" i="6"/>
  <c r="G124" i="3"/>
  <c r="F123" i="3"/>
  <c r="D20" i="9"/>
  <c r="D15" i="1"/>
  <c r="E41" i="8"/>
  <c r="F41" i="8" s="1"/>
  <c r="F77" i="8" s="1"/>
  <c r="F23" i="8"/>
  <c r="G23" i="8" s="1"/>
  <c r="E59" i="8"/>
  <c r="F59" i="8"/>
  <c r="G59" i="8"/>
  <c r="H59" i="8"/>
  <c r="I59" i="8"/>
  <c r="J59" i="8"/>
  <c r="K59" i="8"/>
  <c r="L59" i="8"/>
  <c r="M59" i="8"/>
  <c r="D77" i="8"/>
  <c r="E40" i="8"/>
  <c r="F40" i="8" s="1"/>
  <c r="E58" i="8"/>
  <c r="F58" i="8"/>
  <c r="G58" i="8"/>
  <c r="H58" i="8"/>
  <c r="I58" i="8"/>
  <c r="J58" i="8"/>
  <c r="K58" i="8"/>
  <c r="L58" i="8"/>
  <c r="M58" i="8"/>
  <c r="D76" i="8"/>
  <c r="E39" i="8"/>
  <c r="F39" i="8" s="1"/>
  <c r="E57" i="8"/>
  <c r="F57" i="8"/>
  <c r="G57" i="8"/>
  <c r="H57" i="8"/>
  <c r="I57" i="8"/>
  <c r="J57" i="8"/>
  <c r="K57" i="8"/>
  <c r="L57" i="8"/>
  <c r="M57" i="8"/>
  <c r="D75" i="8"/>
  <c r="E38" i="8"/>
  <c r="E74" i="8" s="1"/>
  <c r="F38" i="8"/>
  <c r="E56" i="8"/>
  <c r="F56" i="8"/>
  <c r="G56" i="8"/>
  <c r="H56" i="8"/>
  <c r="I56" i="8"/>
  <c r="J56" i="8"/>
  <c r="K56" i="8"/>
  <c r="L56" i="8"/>
  <c r="M56" i="8"/>
  <c r="D74" i="8"/>
  <c r="E37" i="8"/>
  <c r="F37" i="8" s="1"/>
  <c r="E55" i="8"/>
  <c r="F55" i="8"/>
  <c r="G55" i="8"/>
  <c r="H55" i="8"/>
  <c r="I55" i="8"/>
  <c r="J55" i="8"/>
  <c r="K55" i="8"/>
  <c r="L55" i="8"/>
  <c r="M55" i="8"/>
  <c r="D73" i="8"/>
  <c r="E36" i="8"/>
  <c r="F36" i="8"/>
  <c r="F72" i="8" s="1"/>
  <c r="E54" i="8"/>
  <c r="F54" i="8"/>
  <c r="G54" i="8"/>
  <c r="H54" i="8"/>
  <c r="I54" i="8"/>
  <c r="J54" i="8"/>
  <c r="K54" i="8"/>
  <c r="L54" i="8"/>
  <c r="M54" i="8"/>
  <c r="E72" i="8"/>
  <c r="D72" i="8"/>
  <c r="E35" i="8"/>
  <c r="F35" i="8" s="1"/>
  <c r="E53" i="8"/>
  <c r="F53" i="8"/>
  <c r="G53" i="8"/>
  <c r="H53" i="8"/>
  <c r="I53" i="8"/>
  <c r="J53" i="8"/>
  <c r="K53" i="8"/>
  <c r="L53" i="8"/>
  <c r="M53" i="8"/>
  <c r="D71" i="8"/>
  <c r="E34" i="8"/>
  <c r="F34" i="8" s="1"/>
  <c r="E52" i="8"/>
  <c r="F52" i="8"/>
  <c r="G52" i="8"/>
  <c r="H52" i="8"/>
  <c r="I52" i="8"/>
  <c r="J52" i="8"/>
  <c r="K52" i="8"/>
  <c r="L52" i="8"/>
  <c r="M52" i="8"/>
  <c r="E70" i="8"/>
  <c r="D70" i="8"/>
  <c r="E33" i="8"/>
  <c r="F33" i="8" s="1"/>
  <c r="E51" i="8"/>
  <c r="F51" i="8"/>
  <c r="G51" i="8"/>
  <c r="H51" i="8"/>
  <c r="I51" i="8"/>
  <c r="J51" i="8"/>
  <c r="K51" i="8"/>
  <c r="L51" i="8"/>
  <c r="M51" i="8"/>
  <c r="D69" i="8"/>
  <c r="E32" i="8"/>
  <c r="F32" i="8" s="1"/>
  <c r="E50" i="8"/>
  <c r="F50" i="8"/>
  <c r="G50" i="8"/>
  <c r="H50" i="8"/>
  <c r="I50" i="8"/>
  <c r="J50" i="8"/>
  <c r="K50" i="8"/>
  <c r="L50" i="8"/>
  <c r="M50" i="8"/>
  <c r="E68" i="8"/>
  <c r="D68" i="8"/>
  <c r="E31" i="8"/>
  <c r="F31" i="8" s="1"/>
  <c r="E49" i="8"/>
  <c r="F49" i="8"/>
  <c r="G49" i="8"/>
  <c r="H49" i="8"/>
  <c r="I49" i="8"/>
  <c r="J49" i="8"/>
  <c r="K49" i="8"/>
  <c r="L49" i="8"/>
  <c r="M49" i="8"/>
  <c r="D67" i="8"/>
  <c r="E30" i="8"/>
  <c r="F30" i="8" s="1"/>
  <c r="E48" i="8"/>
  <c r="D66" i="8"/>
  <c r="E29" i="8"/>
  <c r="E65" i="8" s="1"/>
  <c r="E47" i="8"/>
  <c r="D65" i="8"/>
  <c r="E28" i="8"/>
  <c r="E64" i="8" s="1"/>
  <c r="E46" i="8"/>
  <c r="F46" i="8"/>
  <c r="E27" i="8"/>
  <c r="E45" i="8"/>
  <c r="E63" i="8"/>
  <c r="D64" i="8"/>
  <c r="F27" i="8"/>
  <c r="F63" i="8" s="1"/>
  <c r="F45" i="8"/>
  <c r="G45" i="8"/>
  <c r="H45" i="8"/>
  <c r="I45" i="8"/>
  <c r="J45" i="8"/>
  <c r="K45" i="8"/>
  <c r="L45" i="8"/>
  <c r="M45" i="8"/>
  <c r="D63" i="8"/>
  <c r="E22" i="9"/>
  <c r="F22" i="9"/>
  <c r="G22" i="9"/>
  <c r="H22" i="9"/>
  <c r="I22" i="9"/>
  <c r="J22" i="9"/>
  <c r="K22" i="9"/>
  <c r="L22" i="9"/>
  <c r="M22" i="9"/>
  <c r="D21" i="9"/>
  <c r="D18" i="9"/>
  <c r="E18" i="9"/>
  <c r="F19" i="9"/>
  <c r="F18" i="9"/>
  <c r="G19" i="9"/>
  <c r="G18" i="9"/>
  <c r="H19" i="9"/>
  <c r="H18" i="9"/>
  <c r="I19" i="9"/>
  <c r="I18" i="9"/>
  <c r="J19" i="9"/>
  <c r="J18" i="9"/>
  <c r="K19" i="9"/>
  <c r="K18" i="9"/>
  <c r="L19" i="9"/>
  <c r="L18" i="9"/>
  <c r="M19" i="9"/>
  <c r="M18" i="9"/>
  <c r="E20" i="9"/>
  <c r="F20" i="9"/>
  <c r="G20" i="9"/>
  <c r="H20" i="9"/>
  <c r="I20" i="9"/>
  <c r="J20" i="9"/>
  <c r="K20" i="9"/>
  <c r="L20" i="9"/>
  <c r="M20" i="9"/>
  <c r="E23" i="9"/>
  <c r="F23" i="9"/>
  <c r="G23" i="9"/>
  <c r="H23" i="9"/>
  <c r="I23" i="9"/>
  <c r="J23" i="9"/>
  <c r="K23" i="9"/>
  <c r="L23" i="9"/>
  <c r="M23" i="9"/>
  <c r="E21" i="9"/>
  <c r="F21" i="9"/>
  <c r="G21" i="9"/>
  <c r="H21" i="9"/>
  <c r="I21" i="9"/>
  <c r="J21" i="9"/>
  <c r="K21" i="9"/>
  <c r="L21" i="9"/>
  <c r="M21" i="9"/>
  <c r="F48" i="8"/>
  <c r="G48" i="8"/>
  <c r="H48" i="8"/>
  <c r="I48" i="8"/>
  <c r="J48" i="8"/>
  <c r="K48" i="8"/>
  <c r="L48" i="8"/>
  <c r="M48" i="8"/>
  <c r="F47" i="8"/>
  <c r="G47" i="8"/>
  <c r="H47" i="8"/>
  <c r="I47" i="8"/>
  <c r="J47" i="8"/>
  <c r="K47" i="8"/>
  <c r="L47" i="8"/>
  <c r="M47" i="8"/>
  <c r="G46" i="8"/>
  <c r="H46" i="8"/>
  <c r="I46" i="8"/>
  <c r="J46" i="8"/>
  <c r="K46" i="8"/>
  <c r="L46" i="8"/>
  <c r="M46" i="8"/>
  <c r="E70" i="6"/>
  <c r="F70" i="6"/>
  <c r="E69" i="6"/>
  <c r="E72" i="6" s="1"/>
  <c r="D69" i="6"/>
  <c r="D72" i="6" s="1"/>
  <c r="M38" i="6"/>
  <c r="M48" i="6"/>
  <c r="L38" i="6"/>
  <c r="L48" i="6"/>
  <c r="K38" i="6"/>
  <c r="K47" i="6"/>
  <c r="J38" i="6"/>
  <c r="J47" i="6"/>
  <c r="I38" i="6"/>
  <c r="I48" i="6"/>
  <c r="H38" i="6"/>
  <c r="H48" i="6"/>
  <c r="G38" i="6"/>
  <c r="G47" i="6"/>
  <c r="D19" i="6"/>
  <c r="E36" i="6" s="1"/>
  <c r="C26" i="7"/>
  <c r="I26" i="7"/>
  <c r="I44" i="7"/>
  <c r="E26" i="7"/>
  <c r="E44" i="7"/>
  <c r="C44" i="7" s="1"/>
  <c r="J26" i="7"/>
  <c r="J44" i="7"/>
  <c r="C29" i="7"/>
  <c r="L29" i="7"/>
  <c r="L47" i="7"/>
  <c r="C30" i="7"/>
  <c r="F30" i="7"/>
  <c r="F48" i="7"/>
  <c r="J30" i="7"/>
  <c r="J48" i="7"/>
  <c r="C32" i="7"/>
  <c r="D32" i="7"/>
  <c r="D50" i="7"/>
  <c r="C31" i="7"/>
  <c r="F31" i="7" s="1"/>
  <c r="D30" i="7"/>
  <c r="D48" i="7"/>
  <c r="F29" i="7"/>
  <c r="F47" i="7"/>
  <c r="C28" i="7"/>
  <c r="D28" i="7"/>
  <c r="D46" i="7"/>
  <c r="C27" i="7"/>
  <c r="F27" i="7"/>
  <c r="F45" i="7"/>
  <c r="D26" i="7"/>
  <c r="D44" i="7"/>
  <c r="C25" i="7"/>
  <c r="F25" i="7"/>
  <c r="F43" i="7"/>
  <c r="C24" i="7"/>
  <c r="D24" i="7"/>
  <c r="D42" i="7" s="1"/>
  <c r="C23" i="7"/>
  <c r="F23" i="7"/>
  <c r="F41" i="7" s="1"/>
  <c r="N18" i="7"/>
  <c r="N17" i="7"/>
  <c r="N16" i="7"/>
  <c r="N15" i="7"/>
  <c r="N14" i="7"/>
  <c r="N13" i="7"/>
  <c r="N12" i="7"/>
  <c r="N11" i="7"/>
  <c r="N10" i="7"/>
  <c r="N9" i="7"/>
  <c r="E91" i="6"/>
  <c r="E88" i="6"/>
  <c r="E80" i="6"/>
  <c r="E98" i="6"/>
  <c r="D88" i="6"/>
  <c r="D80" i="6"/>
  <c r="D98" i="6"/>
  <c r="M88" i="6"/>
  <c r="M80" i="6"/>
  <c r="M98" i="6"/>
  <c r="E53" i="6"/>
  <c r="F53" i="6" s="1"/>
  <c r="G53" i="6" s="1"/>
  <c r="N27" i="6"/>
  <c r="G26" i="6"/>
  <c r="F26" i="6"/>
  <c r="G25" i="6"/>
  <c r="F25" i="6"/>
  <c r="E25" i="6"/>
  <c r="G24" i="6"/>
  <c r="F32" i="6"/>
  <c r="F24" i="6"/>
  <c r="D35" i="6"/>
  <c r="E24" i="6"/>
  <c r="D32" i="6"/>
  <c r="D24" i="6"/>
  <c r="D171" i="5"/>
  <c r="D170" i="5"/>
  <c r="D169" i="5"/>
  <c r="E164" i="5"/>
  <c r="F164" i="5"/>
  <c r="G164" i="5"/>
  <c r="H164" i="5"/>
  <c r="E161" i="5"/>
  <c r="F161" i="5"/>
  <c r="F158" i="5"/>
  <c r="F142" i="5"/>
  <c r="F171" i="5"/>
  <c r="E158" i="5"/>
  <c r="E142" i="5"/>
  <c r="E171" i="5"/>
  <c r="D158" i="5"/>
  <c r="D134" i="5"/>
  <c r="K22" i="5"/>
  <c r="L130" i="5" s="1"/>
  <c r="N154" i="5" s="1"/>
  <c r="E107" i="5"/>
  <c r="F107" i="5"/>
  <c r="G107" i="5"/>
  <c r="H107" i="5"/>
  <c r="N47" i="5"/>
  <c r="G46" i="5"/>
  <c r="F46" i="5"/>
  <c r="G45" i="5"/>
  <c r="F45" i="5"/>
  <c r="E45" i="5"/>
  <c r="G44" i="5"/>
  <c r="F44" i="5"/>
  <c r="E44" i="5"/>
  <c r="D44" i="5"/>
  <c r="M24" i="5"/>
  <c r="N88" i="5" s="1"/>
  <c r="Q88" i="5" s="1"/>
  <c r="L23" i="5"/>
  <c r="J21" i="5"/>
  <c r="M78" i="5" s="1"/>
  <c r="I20" i="5"/>
  <c r="J128" i="5" s="1"/>
  <c r="L152" i="5" s="1"/>
  <c r="L158" i="5" s="1"/>
  <c r="L142" i="5" s="1"/>
  <c r="L171" i="5" s="1"/>
  <c r="H19" i="5"/>
  <c r="J127" i="5" s="1"/>
  <c r="G18" i="5"/>
  <c r="I126" i="5" s="1"/>
  <c r="F17" i="5"/>
  <c r="E16" i="5"/>
  <c r="F124" i="5" s="1"/>
  <c r="D15" i="5"/>
  <c r="F123" i="5"/>
  <c r="D171" i="4"/>
  <c r="D170" i="4"/>
  <c r="D169" i="4"/>
  <c r="E164" i="4"/>
  <c r="E161" i="4"/>
  <c r="F161" i="4"/>
  <c r="F158" i="4"/>
  <c r="F142" i="4"/>
  <c r="F171" i="4"/>
  <c r="E158" i="4"/>
  <c r="E142" i="4"/>
  <c r="E171" i="4"/>
  <c r="D158" i="4"/>
  <c r="D134" i="4"/>
  <c r="E107" i="4"/>
  <c r="N47" i="4"/>
  <c r="G46" i="4"/>
  <c r="F46" i="4"/>
  <c r="G58" i="4" s="1"/>
  <c r="G45" i="4"/>
  <c r="F45" i="4"/>
  <c r="E45" i="4"/>
  <c r="N89" i="4" s="1"/>
  <c r="Q89" i="4" s="1"/>
  <c r="N45" i="4"/>
  <c r="G44" i="4"/>
  <c r="F44" i="4"/>
  <c r="E44" i="4"/>
  <c r="D44" i="4"/>
  <c r="M24" i="4"/>
  <c r="L23" i="4"/>
  <c r="O87" i="4"/>
  <c r="Q87" i="4"/>
  <c r="K22" i="4"/>
  <c r="J21" i="4"/>
  <c r="J25" i="4"/>
  <c r="J102" i="4"/>
  <c r="I20" i="4"/>
  <c r="H19" i="4"/>
  <c r="J68" i="4"/>
  <c r="G18" i="4"/>
  <c r="I66" i="4" s="1"/>
  <c r="F17" i="4"/>
  <c r="I62" i="4" s="1"/>
  <c r="E16" i="4"/>
  <c r="F124" i="4"/>
  <c r="D15" i="4"/>
  <c r="D171" i="3"/>
  <c r="D170" i="3"/>
  <c r="D169" i="3"/>
  <c r="E164" i="3"/>
  <c r="F164" i="3"/>
  <c r="E161" i="3"/>
  <c r="F158" i="3"/>
  <c r="F142" i="3"/>
  <c r="F171" i="3"/>
  <c r="E158" i="3"/>
  <c r="E142" i="3"/>
  <c r="E171" i="3"/>
  <c r="D158" i="3"/>
  <c r="D134" i="3"/>
  <c r="E107" i="3"/>
  <c r="F107" i="3"/>
  <c r="N47" i="3"/>
  <c r="G46" i="3"/>
  <c r="F46" i="3"/>
  <c r="G45" i="3"/>
  <c r="G18" i="3"/>
  <c r="J65" i="3" s="1"/>
  <c r="F45" i="3"/>
  <c r="E45" i="3"/>
  <c r="G44" i="3"/>
  <c r="F44" i="3"/>
  <c r="K22" i="3"/>
  <c r="K25" i="3" s="1"/>
  <c r="K102" i="3" s="1"/>
  <c r="E44" i="3"/>
  <c r="D44" i="3"/>
  <c r="M24" i="3"/>
  <c r="P89" i="3" s="1"/>
  <c r="L23" i="3"/>
  <c r="J21" i="3"/>
  <c r="I20" i="3"/>
  <c r="J128" i="3" s="1"/>
  <c r="H19" i="3"/>
  <c r="I69" i="3" s="1"/>
  <c r="I126" i="3"/>
  <c r="F17" i="3"/>
  <c r="H125" i="3" s="1"/>
  <c r="E16" i="3"/>
  <c r="F124" i="3" s="1"/>
  <c r="H148" i="3" s="1"/>
  <c r="H158" i="3" s="1"/>
  <c r="H142" i="3" s="1"/>
  <c r="H171" i="3" s="1"/>
  <c r="D15" i="3"/>
  <c r="D171" i="2"/>
  <c r="D170" i="2"/>
  <c r="E164" i="2"/>
  <c r="F164" i="2"/>
  <c r="E161" i="2"/>
  <c r="F158" i="2"/>
  <c r="F142" i="2"/>
  <c r="F171" i="2"/>
  <c r="E158" i="2"/>
  <c r="E142" i="2"/>
  <c r="E171" i="2"/>
  <c r="D158" i="2"/>
  <c r="D134" i="2"/>
  <c r="E107" i="2"/>
  <c r="F107" i="2"/>
  <c r="N47" i="2"/>
  <c r="G46" i="2"/>
  <c r="F46" i="2"/>
  <c r="N46" i="2"/>
  <c r="G45" i="2"/>
  <c r="F45" i="2"/>
  <c r="E45" i="2"/>
  <c r="G44" i="2"/>
  <c r="F44" i="2"/>
  <c r="E44" i="2"/>
  <c r="D44" i="2"/>
  <c r="M24" i="2"/>
  <c r="M25" i="2"/>
  <c r="M102" i="2"/>
  <c r="L23" i="2"/>
  <c r="N85" i="2"/>
  <c r="K22" i="2"/>
  <c r="J21" i="2"/>
  <c r="M79" i="2"/>
  <c r="Q79" i="2"/>
  <c r="I20" i="2"/>
  <c r="H19" i="2"/>
  <c r="J127" i="2"/>
  <c r="G18" i="2"/>
  <c r="G64" i="2"/>
  <c r="F17" i="2"/>
  <c r="H125" i="2"/>
  <c r="E16" i="2"/>
  <c r="D15" i="2"/>
  <c r="F123" i="2"/>
  <c r="G54" i="4"/>
  <c r="J72" i="4"/>
  <c r="Q72" i="4" s="1"/>
  <c r="O89" i="4"/>
  <c r="M25" i="4"/>
  <c r="M102" i="4"/>
  <c r="P88" i="4"/>
  <c r="F56" i="4"/>
  <c r="M78" i="3"/>
  <c r="N46" i="3"/>
  <c r="G25" i="2"/>
  <c r="G102" i="2"/>
  <c r="H29" i="7"/>
  <c r="H47" i="7"/>
  <c r="I30" i="7"/>
  <c r="I48" i="7"/>
  <c r="M26" i="7"/>
  <c r="M44" i="7"/>
  <c r="L25" i="7"/>
  <c r="L43" i="7"/>
  <c r="H31" i="7"/>
  <c r="H49" i="7" s="1"/>
  <c r="H51" i="7" s="1"/>
  <c r="H12" i="9" s="1"/>
  <c r="K27" i="7"/>
  <c r="K45" i="7"/>
  <c r="L23" i="7"/>
  <c r="L41" i="7"/>
  <c r="D23" i="7"/>
  <c r="D41" i="7" s="1"/>
  <c r="G31" i="7"/>
  <c r="G49" i="7"/>
  <c r="H27" i="7"/>
  <c r="H45" i="7"/>
  <c r="K23" i="7"/>
  <c r="K41" i="7"/>
  <c r="L31" i="7"/>
  <c r="L49" i="7"/>
  <c r="D31" i="7"/>
  <c r="D49" i="7"/>
  <c r="D29" i="7"/>
  <c r="D47" i="7"/>
  <c r="G27" i="7"/>
  <c r="G45" i="7"/>
  <c r="H25" i="7"/>
  <c r="H43" i="7"/>
  <c r="H23" i="7"/>
  <c r="H41" i="7"/>
  <c r="K31" i="7"/>
  <c r="K49" i="7"/>
  <c r="M30" i="7"/>
  <c r="M48" i="7"/>
  <c r="E30" i="7"/>
  <c r="E48" i="7"/>
  <c r="L27" i="7"/>
  <c r="L45" i="7"/>
  <c r="D27" i="7"/>
  <c r="D45" i="7"/>
  <c r="F26" i="7"/>
  <c r="F44" i="7"/>
  <c r="D25" i="7"/>
  <c r="D43" i="7"/>
  <c r="G23" i="7"/>
  <c r="G41" i="7"/>
  <c r="O90" i="4"/>
  <c r="H59" i="4"/>
  <c r="Q59" i="4"/>
  <c r="E25" i="4"/>
  <c r="E102" i="4"/>
  <c r="N88" i="4"/>
  <c r="Q88" i="4" s="1"/>
  <c r="L75" i="5"/>
  <c r="Q75" i="5"/>
  <c r="N46" i="5"/>
  <c r="O89" i="5"/>
  <c r="Q89" i="5" s="1"/>
  <c r="O86" i="5"/>
  <c r="J72" i="5"/>
  <c r="L84" i="3"/>
  <c r="I65" i="3"/>
  <c r="M80" i="2"/>
  <c r="G56" i="2"/>
  <c r="K72" i="2"/>
  <c r="O89" i="2"/>
  <c r="J128" i="2"/>
  <c r="J134" i="2" s="1"/>
  <c r="D136" i="4"/>
  <c r="D113" i="4"/>
  <c r="D136" i="2"/>
  <c r="D113" i="2"/>
  <c r="D136" i="5"/>
  <c r="D113" i="5"/>
  <c r="D136" i="3"/>
  <c r="D113" i="3"/>
  <c r="K73" i="4"/>
  <c r="K69" i="4"/>
  <c r="E52" i="4"/>
  <c r="D25" i="4"/>
  <c r="D102" i="4"/>
  <c r="E25" i="2"/>
  <c r="E102" i="2"/>
  <c r="H56" i="4"/>
  <c r="M85" i="4"/>
  <c r="I25" i="4"/>
  <c r="I102" i="4"/>
  <c r="L74" i="4"/>
  <c r="F53" i="4"/>
  <c r="J70" i="4"/>
  <c r="K74" i="4"/>
  <c r="Q74" i="4" s="1"/>
  <c r="O85" i="4"/>
  <c r="P89" i="4"/>
  <c r="K68" i="4"/>
  <c r="K129" i="4"/>
  <c r="O88" i="4"/>
  <c r="H57" i="4"/>
  <c r="G124" i="4"/>
  <c r="H148" i="4" s="1"/>
  <c r="H158" i="4" s="1"/>
  <c r="H142" i="4" s="1"/>
  <c r="H171" i="4" s="1"/>
  <c r="H25" i="5"/>
  <c r="H102" i="5" s="1"/>
  <c r="F53" i="5"/>
  <c r="I69" i="5"/>
  <c r="I25" i="5"/>
  <c r="I102" i="5" s="1"/>
  <c r="F54" i="5"/>
  <c r="J70" i="5"/>
  <c r="J73" i="5"/>
  <c r="L84" i="5"/>
  <c r="O90" i="5"/>
  <c r="D25" i="5"/>
  <c r="D102" i="5" s="1"/>
  <c r="L25" i="5"/>
  <c r="L102" i="5" s="1"/>
  <c r="O88" i="5"/>
  <c r="E52" i="5"/>
  <c r="K70" i="5"/>
  <c r="Q70" i="5" s="1"/>
  <c r="K74" i="5"/>
  <c r="P91" i="5"/>
  <c r="Q91" i="5"/>
  <c r="I127" i="5"/>
  <c r="M25" i="5"/>
  <c r="M102" i="5" s="1"/>
  <c r="E53" i="5"/>
  <c r="I68" i="5"/>
  <c r="I72" i="5"/>
  <c r="L74" i="5"/>
  <c r="D52" i="3"/>
  <c r="D92" i="3" s="1"/>
  <c r="D104" i="3" s="1"/>
  <c r="G25" i="3"/>
  <c r="G102" i="3" s="1"/>
  <c r="G55" i="3"/>
  <c r="Q55" i="3" s="1"/>
  <c r="J64" i="3"/>
  <c r="H25" i="3"/>
  <c r="H102" i="3" s="1"/>
  <c r="O87" i="3"/>
  <c r="Q87" i="3"/>
  <c r="G57" i="3"/>
  <c r="H57" i="3"/>
  <c r="L25" i="3"/>
  <c r="L102" i="3" s="1"/>
  <c r="E53" i="3"/>
  <c r="F53" i="2"/>
  <c r="G57" i="2"/>
  <c r="H61" i="2"/>
  <c r="I65" i="2"/>
  <c r="J69" i="2"/>
  <c r="J76" i="2"/>
  <c r="L84" i="2"/>
  <c r="Q84" i="2" s="1"/>
  <c r="J25" i="2"/>
  <c r="J102" i="2"/>
  <c r="G54" i="2"/>
  <c r="H58" i="2"/>
  <c r="I62" i="2"/>
  <c r="J66" i="2"/>
  <c r="K70" i="2"/>
  <c r="O87" i="2"/>
  <c r="Q87" i="2"/>
  <c r="D52" i="2"/>
  <c r="D92" i="2"/>
  <c r="D104" i="2"/>
  <c r="D163" i="2"/>
  <c r="G55" i="2"/>
  <c r="Q55" i="2"/>
  <c r="F60" i="2"/>
  <c r="F92" i="2" s="1"/>
  <c r="F104" i="2" s="1"/>
  <c r="I63" i="2"/>
  <c r="Q63" i="2" s="1"/>
  <c r="H68" i="2"/>
  <c r="K71" i="2"/>
  <c r="Q71" i="2"/>
  <c r="M81" i="2"/>
  <c r="F25" i="2"/>
  <c r="F102" i="2"/>
  <c r="F52" i="2"/>
  <c r="H60" i="2"/>
  <c r="I64" i="2"/>
  <c r="J68" i="2"/>
  <c r="N82" i="2"/>
  <c r="D169" i="2"/>
  <c r="I47" i="6"/>
  <c r="I58" i="6" s="1"/>
  <c r="I57" i="6" s="1"/>
  <c r="G86" i="6"/>
  <c r="G88" i="6" s="1"/>
  <c r="G80" i="6" s="1"/>
  <c r="G98" i="6" s="1"/>
  <c r="H47" i="6"/>
  <c r="E32" i="6"/>
  <c r="L47" i="6"/>
  <c r="M47" i="6"/>
  <c r="M58" i="6" s="1"/>
  <c r="M57" i="6" s="1"/>
  <c r="E35" i="6"/>
  <c r="J48" i="6"/>
  <c r="G48" i="6"/>
  <c r="K48" i="6"/>
  <c r="I88" i="6"/>
  <c r="N24" i="6"/>
  <c r="N26" i="6"/>
  <c r="F28" i="7"/>
  <c r="F46" i="7"/>
  <c r="F24" i="7"/>
  <c r="F42" i="7" s="1"/>
  <c r="I32" i="7"/>
  <c r="I50" i="7"/>
  <c r="K29" i="7"/>
  <c r="K47" i="7"/>
  <c r="M28" i="7"/>
  <c r="M46" i="7"/>
  <c r="E28" i="7"/>
  <c r="E46" i="7"/>
  <c r="G25" i="7"/>
  <c r="G43" i="7"/>
  <c r="M24" i="7"/>
  <c r="M42" i="7"/>
  <c r="I24" i="7"/>
  <c r="I42" i="7"/>
  <c r="E24" i="7"/>
  <c r="E42" i="7" s="1"/>
  <c r="K32" i="7"/>
  <c r="K50" i="7"/>
  <c r="G32" i="7"/>
  <c r="G50" i="7"/>
  <c r="M31" i="7"/>
  <c r="M49" i="7" s="1"/>
  <c r="I31" i="7"/>
  <c r="I49" i="7"/>
  <c r="E31" i="7"/>
  <c r="E49" i="7" s="1"/>
  <c r="K30" i="7"/>
  <c r="K48" i="7"/>
  <c r="G30" i="7"/>
  <c r="G48" i="7"/>
  <c r="M29" i="7"/>
  <c r="M47" i="7"/>
  <c r="I29" i="7"/>
  <c r="I47" i="7"/>
  <c r="E29" i="7"/>
  <c r="E47" i="7"/>
  <c r="K28" i="7"/>
  <c r="K46" i="7"/>
  <c r="G28" i="7"/>
  <c r="G46" i="7"/>
  <c r="M27" i="7"/>
  <c r="M45" i="7"/>
  <c r="I27" i="7"/>
  <c r="I45" i="7"/>
  <c r="E27" i="7"/>
  <c r="E45" i="7"/>
  <c r="K26" i="7"/>
  <c r="K44" i="7"/>
  <c r="G26" i="7"/>
  <c r="G44" i="7"/>
  <c r="M25" i="7"/>
  <c r="M43" i="7"/>
  <c r="I25" i="7"/>
  <c r="I43" i="7"/>
  <c r="E25" i="7"/>
  <c r="E43" i="7"/>
  <c r="K24" i="7"/>
  <c r="K42" i="7"/>
  <c r="K51" i="7" s="1"/>
  <c r="K12" i="9" s="1"/>
  <c r="G24" i="7"/>
  <c r="G42" i="7"/>
  <c r="M23" i="7"/>
  <c r="M41" i="7"/>
  <c r="I23" i="7"/>
  <c r="I41" i="7"/>
  <c r="I51" i="7" s="1"/>
  <c r="I12" i="9" s="1"/>
  <c r="E23" i="7"/>
  <c r="E41" i="7" s="1"/>
  <c r="J32" i="7"/>
  <c r="J50" i="7"/>
  <c r="F32" i="7"/>
  <c r="F50" i="7"/>
  <c r="J28" i="7"/>
  <c r="J46" i="7"/>
  <c r="J24" i="7"/>
  <c r="J42" i="7"/>
  <c r="M32" i="7"/>
  <c r="M50" i="7"/>
  <c r="E32" i="7"/>
  <c r="E50" i="7"/>
  <c r="G29" i="7"/>
  <c r="G47" i="7"/>
  <c r="I28" i="7"/>
  <c r="I46" i="7"/>
  <c r="K25" i="7"/>
  <c r="K43" i="7"/>
  <c r="L32" i="7"/>
  <c r="L50" i="7"/>
  <c r="H32" i="7"/>
  <c r="H50" i="7"/>
  <c r="J31" i="7"/>
  <c r="J49" i="7" s="1"/>
  <c r="L30" i="7"/>
  <c r="L48" i="7"/>
  <c r="H30" i="7"/>
  <c r="H48" i="7"/>
  <c r="J29" i="7"/>
  <c r="J47" i="7"/>
  <c r="L28" i="7"/>
  <c r="L46" i="7"/>
  <c r="H28" i="7"/>
  <c r="H46" i="7"/>
  <c r="J27" i="7"/>
  <c r="J45" i="7"/>
  <c r="L26" i="7"/>
  <c r="L44" i="7"/>
  <c r="H26" i="7"/>
  <c r="H44" i="7"/>
  <c r="J25" i="7"/>
  <c r="J43" i="7"/>
  <c r="L24" i="7"/>
  <c r="L42" i="7"/>
  <c r="H24" i="7"/>
  <c r="H42" i="7"/>
  <c r="J23" i="7"/>
  <c r="J41" i="7"/>
  <c r="C33" i="7"/>
  <c r="N25" i="6"/>
  <c r="K50" i="6"/>
  <c r="G72" i="6"/>
  <c r="K72" i="6"/>
  <c r="I50" i="6"/>
  <c r="H72" i="6"/>
  <c r="I72" i="6"/>
  <c r="M72" i="6"/>
  <c r="F91" i="6"/>
  <c r="I164" i="5"/>
  <c r="H125" i="5"/>
  <c r="I63" i="5"/>
  <c r="Q63" i="5"/>
  <c r="F60" i="5"/>
  <c r="G125" i="5"/>
  <c r="I61" i="5"/>
  <c r="I60" i="5"/>
  <c r="I92" i="5" s="1"/>
  <c r="I104" i="5" s="1"/>
  <c r="F25" i="5"/>
  <c r="F102" i="5"/>
  <c r="K76" i="5"/>
  <c r="G61" i="5"/>
  <c r="J65" i="5"/>
  <c r="M80" i="5"/>
  <c r="Q80" i="5" s="1"/>
  <c r="H126" i="5"/>
  <c r="J66" i="5"/>
  <c r="Q66" i="5" s="1"/>
  <c r="I65" i="5"/>
  <c r="I64" i="5"/>
  <c r="G25" i="5"/>
  <c r="G102" i="5"/>
  <c r="I66" i="5"/>
  <c r="H65" i="5"/>
  <c r="H64" i="5"/>
  <c r="Q64" i="5" s="1"/>
  <c r="N81" i="5"/>
  <c r="N80" i="5"/>
  <c r="N83" i="5"/>
  <c r="Q83" i="5"/>
  <c r="M81" i="5"/>
  <c r="L80" i="5"/>
  <c r="K25" i="5"/>
  <c r="K102" i="5"/>
  <c r="M130" i="5"/>
  <c r="N82" i="5"/>
  <c r="L81" i="5"/>
  <c r="K80" i="5"/>
  <c r="H61" i="5"/>
  <c r="G64" i="5"/>
  <c r="J68" i="5"/>
  <c r="M77" i="5"/>
  <c r="I107" i="5"/>
  <c r="N44" i="5"/>
  <c r="F52" i="5"/>
  <c r="G54" i="5"/>
  <c r="G60" i="5"/>
  <c r="H62" i="5"/>
  <c r="J64" i="5"/>
  <c r="G161" i="5"/>
  <c r="K73" i="5"/>
  <c r="N45" i="5"/>
  <c r="H60" i="5"/>
  <c r="I62" i="5"/>
  <c r="J67" i="5"/>
  <c r="Q67" i="5" s="1"/>
  <c r="J69" i="5"/>
  <c r="M82" i="5"/>
  <c r="N85" i="5"/>
  <c r="K129" i="5"/>
  <c r="K134" i="5" s="1"/>
  <c r="N86" i="5"/>
  <c r="M85" i="5"/>
  <c r="M84" i="5"/>
  <c r="G52" i="5"/>
  <c r="G53" i="5"/>
  <c r="K68" i="5"/>
  <c r="K69" i="5"/>
  <c r="N84" i="5"/>
  <c r="Q84" i="5" s="1"/>
  <c r="O85" i="5"/>
  <c r="O87" i="5"/>
  <c r="Q87" i="5" s="1"/>
  <c r="L73" i="5"/>
  <c r="L72" i="5"/>
  <c r="P89" i="5"/>
  <c r="P88" i="5"/>
  <c r="D52" i="5"/>
  <c r="Q52" i="5" s="1"/>
  <c r="G55" i="5"/>
  <c r="Q55" i="5"/>
  <c r="H68" i="5"/>
  <c r="Q68" i="5" s="1"/>
  <c r="K71" i="5"/>
  <c r="Q71" i="5"/>
  <c r="K72" i="5"/>
  <c r="O84" i="5"/>
  <c r="M88" i="5"/>
  <c r="N89" i="5"/>
  <c r="P90" i="5"/>
  <c r="E123" i="5"/>
  <c r="K128" i="5"/>
  <c r="M131" i="5"/>
  <c r="O155" i="5" s="1"/>
  <c r="L130" i="4"/>
  <c r="N83" i="4"/>
  <c r="Q83" i="4"/>
  <c r="K80" i="4"/>
  <c r="M81" i="4"/>
  <c r="L80" i="4"/>
  <c r="K25" i="4"/>
  <c r="K102" i="4"/>
  <c r="N82" i="4"/>
  <c r="N80" i="4"/>
  <c r="Q80" i="4" s="1"/>
  <c r="M130" i="4"/>
  <c r="M82" i="4"/>
  <c r="M80" i="4"/>
  <c r="N81" i="4"/>
  <c r="E56" i="4"/>
  <c r="L84" i="4"/>
  <c r="Q84" i="4" s="1"/>
  <c r="I72" i="4"/>
  <c r="N44" i="4"/>
  <c r="G161" i="4"/>
  <c r="H125" i="4"/>
  <c r="I63" i="4"/>
  <c r="Q63" i="4" s="1"/>
  <c r="F25" i="4"/>
  <c r="F102" i="4" s="1"/>
  <c r="M78" i="4"/>
  <c r="L77" i="4"/>
  <c r="L76" i="4"/>
  <c r="L78" i="4"/>
  <c r="M76" i="4"/>
  <c r="K76" i="4"/>
  <c r="L129" i="4"/>
  <c r="L134" i="4" s="1"/>
  <c r="M77" i="4"/>
  <c r="M92" i="4" s="1"/>
  <c r="M104" i="4" s="1"/>
  <c r="J76" i="4"/>
  <c r="M79" i="4"/>
  <c r="Q79" i="4"/>
  <c r="E123" i="4"/>
  <c r="G55" i="4"/>
  <c r="Q55" i="4"/>
  <c r="D52" i="4"/>
  <c r="Q52" i="4" s="1"/>
  <c r="K71" i="4"/>
  <c r="Q71" i="4"/>
  <c r="H68" i="4"/>
  <c r="O86" i="4"/>
  <c r="N85" i="4"/>
  <c r="N84" i="4"/>
  <c r="M131" i="4"/>
  <c r="O155" i="4" s="1"/>
  <c r="O84" i="4"/>
  <c r="L25" i="4"/>
  <c r="L102" i="4"/>
  <c r="F52" i="4"/>
  <c r="G53" i="4"/>
  <c r="K70" i="4"/>
  <c r="M84" i="4"/>
  <c r="N86" i="4"/>
  <c r="F107" i="4"/>
  <c r="G107" i="4" s="1"/>
  <c r="H107" i="4" s="1"/>
  <c r="I107" i="4" s="1"/>
  <c r="J107" i="4" s="1"/>
  <c r="K107" i="4" s="1"/>
  <c r="L107" i="4" s="1"/>
  <c r="M107" i="4" s="1"/>
  <c r="F123" i="4"/>
  <c r="F134" i="4" s="1"/>
  <c r="I127" i="4"/>
  <c r="H25" i="4"/>
  <c r="H102" i="4"/>
  <c r="N46" i="4"/>
  <c r="G52" i="4"/>
  <c r="F54" i="4"/>
  <c r="Q54" i="4"/>
  <c r="I68" i="4"/>
  <c r="J69" i="4"/>
  <c r="L72" i="4"/>
  <c r="J127" i="4"/>
  <c r="F164" i="4"/>
  <c r="J128" i="4"/>
  <c r="L152" i="4" s="1"/>
  <c r="L158" i="4" s="1"/>
  <c r="L142" i="4" s="1"/>
  <c r="L171" i="4" s="1"/>
  <c r="L75" i="4"/>
  <c r="Q75" i="4"/>
  <c r="P91" i="4"/>
  <c r="Q91" i="4"/>
  <c r="M88" i="4"/>
  <c r="G56" i="4"/>
  <c r="G57" i="4"/>
  <c r="H58" i="4"/>
  <c r="K72" i="4"/>
  <c r="L73" i="4"/>
  <c r="P90" i="4"/>
  <c r="K128" i="4"/>
  <c r="K134" i="4" s="1"/>
  <c r="I60" i="3"/>
  <c r="I62" i="3"/>
  <c r="M77" i="3"/>
  <c r="M76" i="3"/>
  <c r="L129" i="3"/>
  <c r="L78" i="3"/>
  <c r="Q78" i="3" s="1"/>
  <c r="K77" i="3"/>
  <c r="Q77" i="3" s="1"/>
  <c r="K76" i="3"/>
  <c r="L77" i="3"/>
  <c r="J25" i="3"/>
  <c r="J102" i="3" s="1"/>
  <c r="M79" i="3"/>
  <c r="Q79" i="3" s="1"/>
  <c r="K129" i="3"/>
  <c r="M153" i="3" s="1"/>
  <c r="M158" i="3" s="1"/>
  <c r="M142" i="3" s="1"/>
  <c r="M171" i="3" s="1"/>
  <c r="H56" i="3"/>
  <c r="L76" i="3"/>
  <c r="N85" i="3"/>
  <c r="N44" i="3"/>
  <c r="N45" i="3"/>
  <c r="I64" i="3"/>
  <c r="J66" i="3"/>
  <c r="G58" i="3"/>
  <c r="Q58" i="3" s="1"/>
  <c r="F57" i="3"/>
  <c r="F56" i="3"/>
  <c r="H59" i="3"/>
  <c r="Q59" i="3" s="1"/>
  <c r="E56" i="3"/>
  <c r="E25" i="3"/>
  <c r="E102" i="3" s="1"/>
  <c r="L72" i="3"/>
  <c r="J73" i="3"/>
  <c r="N88" i="3"/>
  <c r="P88" i="3"/>
  <c r="P91" i="3"/>
  <c r="Q91" i="3" s="1"/>
  <c r="P90" i="3"/>
  <c r="G56" i="3"/>
  <c r="H58" i="3"/>
  <c r="I63" i="3"/>
  <c r="Q63" i="3" s="1"/>
  <c r="J76" i="3"/>
  <c r="M130" i="3"/>
  <c r="L81" i="3"/>
  <c r="N81" i="3"/>
  <c r="N80" i="3"/>
  <c r="F53" i="3"/>
  <c r="G64" i="3"/>
  <c r="J67" i="3"/>
  <c r="Q67" i="3" s="1"/>
  <c r="J68" i="3"/>
  <c r="J69" i="3"/>
  <c r="M81" i="3"/>
  <c r="H126" i="3"/>
  <c r="J150" i="3" s="1"/>
  <c r="J158" i="3" s="1"/>
  <c r="J142" i="3" s="1"/>
  <c r="J171" i="3" s="1"/>
  <c r="L130" i="3"/>
  <c r="N154" i="3" s="1"/>
  <c r="G164" i="3"/>
  <c r="O85" i="3"/>
  <c r="O84" i="3"/>
  <c r="N86" i="3"/>
  <c r="M85" i="3"/>
  <c r="M84" i="3"/>
  <c r="G52" i="3"/>
  <c r="H64" i="3"/>
  <c r="Q64" i="3" s="1"/>
  <c r="H65" i="3"/>
  <c r="I66" i="3"/>
  <c r="K68" i="3"/>
  <c r="K69" i="3"/>
  <c r="N84" i="3"/>
  <c r="O86" i="3"/>
  <c r="G107" i="3"/>
  <c r="M131" i="3"/>
  <c r="O155" i="3" s="1"/>
  <c r="F161" i="3"/>
  <c r="D160" i="2"/>
  <c r="G124" i="2"/>
  <c r="G134" i="2" s="1"/>
  <c r="G58" i="2"/>
  <c r="F57" i="2"/>
  <c r="F56" i="2"/>
  <c r="H57" i="2"/>
  <c r="H56" i="2"/>
  <c r="K128" i="2"/>
  <c r="L73" i="2"/>
  <c r="L72" i="2"/>
  <c r="L75" i="2"/>
  <c r="K73" i="2"/>
  <c r="J72" i="2"/>
  <c r="K74" i="2"/>
  <c r="O90" i="2"/>
  <c r="N89" i="2"/>
  <c r="N88" i="2"/>
  <c r="P89" i="2"/>
  <c r="Q89" i="2" s="1"/>
  <c r="P88" i="2"/>
  <c r="P91" i="2"/>
  <c r="Q91" i="2"/>
  <c r="M88" i="2"/>
  <c r="Q88" i="2" s="1"/>
  <c r="I25" i="2"/>
  <c r="I102" i="2"/>
  <c r="N44" i="2"/>
  <c r="N45" i="2"/>
  <c r="H59" i="2"/>
  <c r="Q59" i="2"/>
  <c r="J73" i="2"/>
  <c r="P90" i="2"/>
  <c r="Q90" i="2" s="1"/>
  <c r="I126" i="2"/>
  <c r="I134" i="2" s="1"/>
  <c r="I66" i="2"/>
  <c r="Q66" i="2"/>
  <c r="H65" i="2"/>
  <c r="H64" i="2"/>
  <c r="H126" i="2"/>
  <c r="J65" i="2"/>
  <c r="J64" i="2"/>
  <c r="M130" i="2"/>
  <c r="N154" i="2" s="1"/>
  <c r="M82" i="2"/>
  <c r="L81" i="2"/>
  <c r="L80" i="2"/>
  <c r="N81" i="2"/>
  <c r="N80" i="2"/>
  <c r="K80" i="2"/>
  <c r="L130" i="2"/>
  <c r="N83" i="2"/>
  <c r="Q83" i="2" s="1"/>
  <c r="K25" i="2"/>
  <c r="K102" i="2"/>
  <c r="E56" i="2"/>
  <c r="J67" i="2"/>
  <c r="Q67" i="2"/>
  <c r="I72" i="2"/>
  <c r="I92" i="2" s="1"/>
  <c r="I104" i="2" s="1"/>
  <c r="L74" i="2"/>
  <c r="O88" i="2"/>
  <c r="F124" i="2"/>
  <c r="M77" i="2"/>
  <c r="M76" i="2"/>
  <c r="M92" i="2" s="1"/>
  <c r="M104" i="2" s="1"/>
  <c r="L129" i="2"/>
  <c r="L78" i="2"/>
  <c r="K77" i="2"/>
  <c r="K76" i="2"/>
  <c r="Q76" i="2" s="1"/>
  <c r="D25" i="2"/>
  <c r="D102" i="2"/>
  <c r="H25" i="2"/>
  <c r="H102" i="2"/>
  <c r="L25" i="2"/>
  <c r="L102" i="2"/>
  <c r="E52" i="2"/>
  <c r="E53" i="2"/>
  <c r="F54" i="2"/>
  <c r="G60" i="2"/>
  <c r="G92" i="2" s="1"/>
  <c r="G104" i="2" s="1"/>
  <c r="G61" i="2"/>
  <c r="Q61" i="2" s="1"/>
  <c r="H62" i="2"/>
  <c r="I68" i="2"/>
  <c r="I69" i="2"/>
  <c r="J70" i="2"/>
  <c r="L76" i="2"/>
  <c r="M78" i="2"/>
  <c r="G125" i="2"/>
  <c r="I149" i="2" s="1"/>
  <c r="I158" i="2" s="1"/>
  <c r="I142" i="2" s="1"/>
  <c r="I171" i="2" s="1"/>
  <c r="K129" i="2"/>
  <c r="G164" i="2"/>
  <c r="F134" i="2"/>
  <c r="F136" i="2" s="1"/>
  <c r="O85" i="2"/>
  <c r="O84" i="2"/>
  <c r="N86" i="2"/>
  <c r="Q86" i="2" s="1"/>
  <c r="M85" i="2"/>
  <c r="Q85" i="2" s="1"/>
  <c r="M84" i="2"/>
  <c r="G52" i="2"/>
  <c r="G53" i="2"/>
  <c r="I60" i="2"/>
  <c r="I61" i="2"/>
  <c r="K68" i="2"/>
  <c r="K69" i="2"/>
  <c r="Q69" i="2" s="1"/>
  <c r="L77" i="2"/>
  <c r="N84" i="2"/>
  <c r="O86" i="2"/>
  <c r="G107" i="2"/>
  <c r="E123" i="2"/>
  <c r="G147" i="2" s="1"/>
  <c r="G158" i="2" s="1"/>
  <c r="G142" i="2" s="1"/>
  <c r="G171" i="2" s="1"/>
  <c r="I127" i="2"/>
  <c r="K151" i="2"/>
  <c r="K158" i="2" s="1"/>
  <c r="K142" i="2" s="1"/>
  <c r="K171" i="2" s="1"/>
  <c r="M131" i="2"/>
  <c r="O155" i="2"/>
  <c r="F161" i="2"/>
  <c r="C47" i="7"/>
  <c r="Q90" i="4"/>
  <c r="Q85" i="4"/>
  <c r="Q69" i="5"/>
  <c r="Q74" i="5"/>
  <c r="Q82" i="2"/>
  <c r="I79" i="6"/>
  <c r="I97" i="6" s="1"/>
  <c r="I96" i="6" s="1"/>
  <c r="I59" i="6"/>
  <c r="G79" i="6"/>
  <c r="G97" i="6" s="1"/>
  <c r="G59" i="6"/>
  <c r="H79" i="6"/>
  <c r="H97" i="6" s="1"/>
  <c r="H96" i="6" s="1"/>
  <c r="H59" i="6"/>
  <c r="M79" i="6"/>
  <c r="M97" i="6" s="1"/>
  <c r="M96" i="6" s="1"/>
  <c r="M59" i="6"/>
  <c r="K79" i="6"/>
  <c r="K97" i="6" s="1"/>
  <c r="K96" i="6" s="1"/>
  <c r="K59" i="6"/>
  <c r="K151" i="4"/>
  <c r="K158" i="4" s="1"/>
  <c r="K142" i="4" s="1"/>
  <c r="K171" i="4" s="1"/>
  <c r="Q86" i="4"/>
  <c r="Q85" i="5"/>
  <c r="Q86" i="5"/>
  <c r="Q90" i="5"/>
  <c r="Q57" i="3"/>
  <c r="Q70" i="2"/>
  <c r="Q64" i="2"/>
  <c r="L134" i="2"/>
  <c r="L113" i="2" s="1"/>
  <c r="M153" i="2"/>
  <c r="M158" i="2" s="1"/>
  <c r="M142" i="2" s="1"/>
  <c r="M171" i="2" s="1"/>
  <c r="Q58" i="2"/>
  <c r="Q54" i="2"/>
  <c r="Q70" i="4"/>
  <c r="Q73" i="5"/>
  <c r="Q65" i="5"/>
  <c r="Q60" i="5"/>
  <c r="Q72" i="5"/>
  <c r="Q53" i="5"/>
  <c r="Q81" i="5"/>
  <c r="Q56" i="2"/>
  <c r="Q80" i="2"/>
  <c r="Q81" i="2"/>
  <c r="D101" i="2"/>
  <c r="D112" i="2" s="1"/>
  <c r="D111" i="2" s="1"/>
  <c r="D166" i="2" s="1"/>
  <c r="D173" i="2" s="1"/>
  <c r="D8" i="9" s="1"/>
  <c r="H134" i="2"/>
  <c r="H136" i="2" s="1"/>
  <c r="D106" i="2"/>
  <c r="D109" i="2"/>
  <c r="Q62" i="2"/>
  <c r="Q74" i="2"/>
  <c r="I80" i="6"/>
  <c r="I98" i="6"/>
  <c r="G50" i="6"/>
  <c r="H50" i="6"/>
  <c r="H88" i="6"/>
  <c r="F72" i="6"/>
  <c r="F59" i="6" s="1"/>
  <c r="L33" i="7"/>
  <c r="N24" i="7"/>
  <c r="N32" i="7"/>
  <c r="M33" i="7"/>
  <c r="N28" i="7"/>
  <c r="N47" i="7"/>
  <c r="N30" i="7"/>
  <c r="N27" i="7"/>
  <c r="K33" i="7"/>
  <c r="E33" i="7"/>
  <c r="H33" i="7"/>
  <c r="N26" i="7"/>
  <c r="I33" i="7"/>
  <c r="N25" i="7"/>
  <c r="N29" i="7"/>
  <c r="G33" i="7"/>
  <c r="G51" i="7"/>
  <c r="G12" i="9" s="1"/>
  <c r="K74" i="6"/>
  <c r="G91" i="6"/>
  <c r="M50" i="6"/>
  <c r="H74" i="6"/>
  <c r="L88" i="6"/>
  <c r="J72" i="6"/>
  <c r="M74" i="6"/>
  <c r="K88" i="6"/>
  <c r="I74" i="6"/>
  <c r="F85" i="6"/>
  <c r="F88" i="6" s="1"/>
  <c r="F98" i="6" s="1"/>
  <c r="J50" i="6"/>
  <c r="J51" i="6"/>
  <c r="J88" i="6"/>
  <c r="L50" i="6"/>
  <c r="L51" i="6"/>
  <c r="G74" i="6"/>
  <c r="L72" i="6"/>
  <c r="E134" i="5"/>
  <c r="E113" i="5" s="1"/>
  <c r="G147" i="5"/>
  <c r="G158" i="5" s="1"/>
  <c r="G142" i="5" s="1"/>
  <c r="G171" i="5" s="1"/>
  <c r="H161" i="5"/>
  <c r="J107" i="5"/>
  <c r="Q61" i="5"/>
  <c r="J164" i="5"/>
  <c r="Q62" i="5"/>
  <c r="H134" i="5"/>
  <c r="H113" i="5"/>
  <c r="Q82" i="5"/>
  <c r="I149" i="5"/>
  <c r="I158" i="5" s="1"/>
  <c r="I142" i="5" s="1"/>
  <c r="I171" i="5" s="1"/>
  <c r="E134" i="4"/>
  <c r="E141" i="4" s="1"/>
  <c r="E170" i="4" s="1"/>
  <c r="E169" i="4" s="1"/>
  <c r="G147" i="4"/>
  <c r="G158" i="4" s="1"/>
  <c r="G142" i="4" s="1"/>
  <c r="G171" i="4" s="1"/>
  <c r="Q76" i="4"/>
  <c r="H161" i="4"/>
  <c r="G164" i="4"/>
  <c r="Q78" i="4"/>
  <c r="Q82" i="4"/>
  <c r="J134" i="4"/>
  <c r="J113" i="4" s="1"/>
  <c r="N154" i="4"/>
  <c r="H107" i="3"/>
  <c r="G161" i="3"/>
  <c r="H164" i="3"/>
  <c r="L134" i="3"/>
  <c r="L113" i="3" s="1"/>
  <c r="M134" i="3"/>
  <c r="M136" i="3" s="1"/>
  <c r="H107" i="2"/>
  <c r="E92" i="2"/>
  <c r="E104" i="2"/>
  <c r="E105" i="2"/>
  <c r="Q52" i="2"/>
  <c r="H164" i="2"/>
  <c r="Q68" i="2"/>
  <c r="Q78" i="2"/>
  <c r="K134" i="2"/>
  <c r="K113" i="2" s="1"/>
  <c r="Q57" i="2"/>
  <c r="G161" i="2"/>
  <c r="E134" i="2"/>
  <c r="E113" i="2" s="1"/>
  <c r="Q53" i="2"/>
  <c r="H148" i="2"/>
  <c r="H158" i="2" s="1"/>
  <c r="H142" i="2" s="1"/>
  <c r="H171" i="2" s="1"/>
  <c r="Q65" i="2"/>
  <c r="Q73" i="2"/>
  <c r="H92" i="2"/>
  <c r="H104" i="2" s="1"/>
  <c r="Q60" i="2"/>
  <c r="Q77" i="2"/>
  <c r="L152" i="2"/>
  <c r="L158" i="2" s="1"/>
  <c r="L142" i="2" s="1"/>
  <c r="L171" i="2" s="1"/>
  <c r="D171" i="1"/>
  <c r="D170" i="1"/>
  <c r="E164" i="1"/>
  <c r="E161" i="1"/>
  <c r="M24" i="1"/>
  <c r="L23" i="1"/>
  <c r="M131" i="1"/>
  <c r="K22" i="1"/>
  <c r="L130" i="1"/>
  <c r="J21" i="1"/>
  <c r="J25" i="1"/>
  <c r="J102" i="1"/>
  <c r="I20" i="1"/>
  <c r="J128" i="1"/>
  <c r="H19" i="1"/>
  <c r="H25" i="1"/>
  <c r="H102" i="1"/>
  <c r="G18" i="1"/>
  <c r="H126" i="1"/>
  <c r="F17" i="1"/>
  <c r="E16" i="1"/>
  <c r="F124" i="1"/>
  <c r="F123" i="1"/>
  <c r="E158" i="1"/>
  <c r="E142" i="1"/>
  <c r="E171" i="1"/>
  <c r="D158" i="1"/>
  <c r="F158" i="1"/>
  <c r="F142" i="1"/>
  <c r="F171" i="1"/>
  <c r="D134" i="1"/>
  <c r="M130" i="1"/>
  <c r="E107" i="1"/>
  <c r="F107" i="1"/>
  <c r="G107" i="1"/>
  <c r="H107" i="1"/>
  <c r="I107" i="1"/>
  <c r="J107" i="1"/>
  <c r="K107" i="1"/>
  <c r="L107" i="1"/>
  <c r="M107" i="1"/>
  <c r="G46" i="1"/>
  <c r="O86" i="1" s="1"/>
  <c r="F46" i="1"/>
  <c r="F54" i="1" s="1"/>
  <c r="G45" i="1"/>
  <c r="G44" i="1"/>
  <c r="L72" i="1" s="1"/>
  <c r="F45" i="1"/>
  <c r="F53" i="1" s="1"/>
  <c r="E45" i="1"/>
  <c r="E53" i="1" s="1"/>
  <c r="D44" i="1"/>
  <c r="M88" i="1" s="1"/>
  <c r="F44" i="1"/>
  <c r="K72" i="1" s="1"/>
  <c r="E44" i="1"/>
  <c r="M84" i="1" s="1"/>
  <c r="N47" i="1"/>
  <c r="K128" i="1"/>
  <c r="K129" i="1"/>
  <c r="H51" i="6"/>
  <c r="J79" i="6"/>
  <c r="J97" i="6" s="1"/>
  <c r="J96" i="6" s="1"/>
  <c r="J59" i="6"/>
  <c r="I51" i="6"/>
  <c r="L79" i="6"/>
  <c r="L97" i="6" s="1"/>
  <c r="L96" i="6" s="1"/>
  <c r="L59" i="6"/>
  <c r="M51" i="6"/>
  <c r="K51" i="6"/>
  <c r="D136" i="1"/>
  <c r="D113" i="1"/>
  <c r="D169" i="1"/>
  <c r="F79" i="6"/>
  <c r="F97" i="6" s="1"/>
  <c r="K80" i="6"/>
  <c r="K98" i="6"/>
  <c r="L80" i="6"/>
  <c r="L98" i="6"/>
  <c r="J80" i="6"/>
  <c r="J98" i="6"/>
  <c r="H80" i="6"/>
  <c r="H98" i="6"/>
  <c r="F74" i="6"/>
  <c r="H58" i="6"/>
  <c r="H57" i="6" s="1"/>
  <c r="J74" i="6"/>
  <c r="H91" i="6"/>
  <c r="G90" i="6"/>
  <c r="J58" i="6"/>
  <c r="J57" i="6" s="1"/>
  <c r="L74" i="6"/>
  <c r="L58" i="6"/>
  <c r="L57" i="6" s="1"/>
  <c r="K164" i="5"/>
  <c r="I161" i="5"/>
  <c r="E141" i="5"/>
  <c r="E170" i="5" s="1"/>
  <c r="E169" i="5" s="1"/>
  <c r="E136" i="5"/>
  <c r="H136" i="5"/>
  <c r="H141" i="5"/>
  <c r="H170" i="5" s="1"/>
  <c r="K107" i="5"/>
  <c r="I161" i="4"/>
  <c r="H164" i="4"/>
  <c r="I164" i="3"/>
  <c r="H161" i="3"/>
  <c r="I107" i="3"/>
  <c r="E101" i="2"/>
  <c r="E112" i="2" s="1"/>
  <c r="E106" i="2"/>
  <c r="E109" i="2"/>
  <c r="E163" i="2"/>
  <c r="E160" i="2"/>
  <c r="E141" i="2"/>
  <c r="E170" i="2" s="1"/>
  <c r="E169" i="2" s="1"/>
  <c r="E136" i="2"/>
  <c r="I107" i="2"/>
  <c r="H161" i="2"/>
  <c r="I164" i="2"/>
  <c r="L25" i="1"/>
  <c r="L102" i="1"/>
  <c r="J66" i="1"/>
  <c r="N83" i="1"/>
  <c r="Q83" i="1"/>
  <c r="K134" i="1"/>
  <c r="K69" i="1"/>
  <c r="G124" i="1"/>
  <c r="H148" i="1"/>
  <c r="H158" i="1"/>
  <c r="H142" i="1"/>
  <c r="H171" i="1"/>
  <c r="K25" i="1"/>
  <c r="K102" i="1"/>
  <c r="F164" i="1"/>
  <c r="G164" i="1"/>
  <c r="H164" i="1"/>
  <c r="I164" i="1"/>
  <c r="J164" i="1"/>
  <c r="K164" i="1"/>
  <c r="L164" i="1"/>
  <c r="M164" i="1"/>
  <c r="G53" i="1"/>
  <c r="G55" i="1"/>
  <c r="Q55" i="1"/>
  <c r="P89" i="1"/>
  <c r="O85" i="1"/>
  <c r="D25" i="1"/>
  <c r="D102" i="1"/>
  <c r="E123" i="1"/>
  <c r="E134" i="1"/>
  <c r="E113" i="1"/>
  <c r="I127" i="1"/>
  <c r="I61" i="1"/>
  <c r="O87" i="1"/>
  <c r="Q87" i="1" s="1"/>
  <c r="J127" i="1"/>
  <c r="J134" i="1"/>
  <c r="N46" i="1"/>
  <c r="O90" i="1"/>
  <c r="M82" i="1"/>
  <c r="L78" i="1"/>
  <c r="F52" i="1"/>
  <c r="L152" i="1"/>
  <c r="L158" i="1"/>
  <c r="L142" i="1"/>
  <c r="L171" i="1"/>
  <c r="F56" i="1"/>
  <c r="H59" i="1"/>
  <c r="Q59" i="1"/>
  <c r="J64" i="1"/>
  <c r="N82" i="1"/>
  <c r="P91" i="1"/>
  <c r="Q91" i="1"/>
  <c r="G54" i="1"/>
  <c r="H57" i="1"/>
  <c r="K68" i="1"/>
  <c r="O89" i="1"/>
  <c r="P90" i="1"/>
  <c r="M25" i="1"/>
  <c r="M102" i="1"/>
  <c r="J65" i="1"/>
  <c r="N154" i="1"/>
  <c r="F161" i="1"/>
  <c r="G58" i="1"/>
  <c r="H62" i="1"/>
  <c r="I66" i="1"/>
  <c r="L73" i="1"/>
  <c r="M77" i="1"/>
  <c r="N81" i="1"/>
  <c r="E25" i="1"/>
  <c r="E102" i="1"/>
  <c r="M134" i="1"/>
  <c r="M113" i="1"/>
  <c r="O155" i="1"/>
  <c r="M78" i="1"/>
  <c r="L129" i="1"/>
  <c r="L77" i="1"/>
  <c r="M79" i="1"/>
  <c r="Q79" i="1"/>
  <c r="L74" i="1"/>
  <c r="K73" i="1"/>
  <c r="L75" i="1"/>
  <c r="Q75" i="1"/>
  <c r="I25" i="1"/>
  <c r="I102" i="1"/>
  <c r="K70" i="1"/>
  <c r="I68" i="1"/>
  <c r="J69" i="1"/>
  <c r="K71" i="1"/>
  <c r="Q71" i="1"/>
  <c r="J67" i="1"/>
  <c r="Q67" i="1" s="1"/>
  <c r="G25" i="1"/>
  <c r="G102" i="1"/>
  <c r="I126" i="1"/>
  <c r="H125" i="1"/>
  <c r="H134" i="1"/>
  <c r="G60" i="1"/>
  <c r="H61" i="1"/>
  <c r="I63" i="1"/>
  <c r="Q63" i="1" s="1"/>
  <c r="F25" i="1"/>
  <c r="F102" i="1"/>
  <c r="G125" i="1"/>
  <c r="I62" i="1"/>
  <c r="H60" i="1"/>
  <c r="F134" i="1"/>
  <c r="F113" i="1"/>
  <c r="H136" i="1"/>
  <c r="H113" i="1"/>
  <c r="J136" i="1"/>
  <c r="J113" i="1"/>
  <c r="K136" i="1"/>
  <c r="K113" i="1"/>
  <c r="H90" i="6"/>
  <c r="I91" i="6"/>
  <c r="J161" i="5"/>
  <c r="L107" i="5"/>
  <c r="L164" i="5"/>
  <c r="I164" i="4"/>
  <c r="J161" i="4"/>
  <c r="I161" i="3"/>
  <c r="J107" i="3"/>
  <c r="J164" i="3"/>
  <c r="J164" i="2"/>
  <c r="I161" i="2"/>
  <c r="J107" i="2"/>
  <c r="K141" i="1"/>
  <c r="K170" i="1"/>
  <c r="G134" i="1"/>
  <c r="E141" i="1"/>
  <c r="E170" i="1"/>
  <c r="E169" i="1"/>
  <c r="E136" i="1"/>
  <c r="F141" i="1"/>
  <c r="F170" i="1"/>
  <c r="F169" i="1"/>
  <c r="F136" i="1"/>
  <c r="M141" i="1"/>
  <c r="M170" i="1"/>
  <c r="M136" i="1"/>
  <c r="K151" i="1"/>
  <c r="K158" i="1"/>
  <c r="K142" i="1"/>
  <c r="K171" i="1"/>
  <c r="G147" i="1"/>
  <c r="G158" i="1"/>
  <c r="G142" i="1"/>
  <c r="G171" i="1"/>
  <c r="J141" i="1"/>
  <c r="J170" i="1"/>
  <c r="I134" i="1"/>
  <c r="J150" i="1"/>
  <c r="J158" i="1"/>
  <c r="J142" i="1"/>
  <c r="J171" i="1"/>
  <c r="G161" i="1"/>
  <c r="L134" i="1"/>
  <c r="M153" i="1"/>
  <c r="M158" i="1"/>
  <c r="M142" i="1"/>
  <c r="M171" i="1"/>
  <c r="H141" i="1"/>
  <c r="H170" i="1"/>
  <c r="H169" i="1"/>
  <c r="I149" i="1"/>
  <c r="I158" i="1"/>
  <c r="I142" i="1"/>
  <c r="I171" i="1"/>
  <c r="G141" i="1"/>
  <c r="G170" i="1"/>
  <c r="G169" i="1"/>
  <c r="G113" i="1"/>
  <c r="L136" i="1"/>
  <c r="L113" i="1"/>
  <c r="I136" i="1"/>
  <c r="I113" i="1"/>
  <c r="I90" i="6"/>
  <c r="J91" i="6"/>
  <c r="M107" i="5"/>
  <c r="K161" i="5"/>
  <c r="M164" i="5"/>
  <c r="J164" i="4"/>
  <c r="K161" i="4"/>
  <c r="J161" i="3"/>
  <c r="K164" i="3"/>
  <c r="K107" i="3"/>
  <c r="J161" i="2"/>
  <c r="K164" i="2"/>
  <c r="K107" i="2"/>
  <c r="K169" i="1"/>
  <c r="G136" i="1"/>
  <c r="J169" i="1"/>
  <c r="M169" i="1"/>
  <c r="I141" i="1"/>
  <c r="I170" i="1"/>
  <c r="I169" i="1"/>
  <c r="H161" i="1"/>
  <c r="L141" i="1"/>
  <c r="L170" i="1"/>
  <c r="L169" i="1"/>
  <c r="K91" i="6"/>
  <c r="J90" i="6"/>
  <c r="L161" i="5"/>
  <c r="K164" i="4"/>
  <c r="L161" i="4"/>
  <c r="L107" i="3"/>
  <c r="K161" i="3"/>
  <c r="L164" i="3"/>
  <c r="L107" i="2"/>
  <c r="K161" i="2"/>
  <c r="L164" i="2"/>
  <c r="I161" i="1"/>
  <c r="L91" i="6"/>
  <c r="M91" i="6" s="1"/>
  <c r="M90" i="6" s="1"/>
  <c r="K90" i="6"/>
  <c r="M161" i="5"/>
  <c r="L164" i="4"/>
  <c r="M161" i="4"/>
  <c r="L161" i="3"/>
  <c r="M164" i="3"/>
  <c r="M107" i="3"/>
  <c r="M164" i="2"/>
  <c r="M107" i="2"/>
  <c r="L161" i="2"/>
  <c r="J161" i="1"/>
  <c r="L90" i="6"/>
  <c r="M164" i="4"/>
  <c r="M161" i="3"/>
  <c r="M161" i="2"/>
  <c r="K161" i="1"/>
  <c r="L161" i="1"/>
  <c r="M161" i="1"/>
  <c r="F49" i="7" l="1"/>
  <c r="N31" i="7"/>
  <c r="F33" i="7"/>
  <c r="M51" i="7"/>
  <c r="M12" i="9" s="1"/>
  <c r="J33" i="7"/>
  <c r="H64" i="4"/>
  <c r="J67" i="4"/>
  <c r="Q67" i="4" s="1"/>
  <c r="I65" i="4"/>
  <c r="I64" i="4"/>
  <c r="Q56" i="4"/>
  <c r="J73" i="4"/>
  <c r="F57" i="4"/>
  <c r="Q57" i="4" s="1"/>
  <c r="I69" i="4"/>
  <c r="Q69" i="4" s="1"/>
  <c r="H65" i="4"/>
  <c r="Q58" i="4"/>
  <c r="Q53" i="4"/>
  <c r="L81" i="4"/>
  <c r="Q81" i="4" s="1"/>
  <c r="K77" i="4"/>
  <c r="D92" i="4"/>
  <c r="D104" i="4" s="1"/>
  <c r="Q68" i="4"/>
  <c r="Q77" i="4"/>
  <c r="E53" i="4"/>
  <c r="E92" i="4" s="1"/>
  <c r="E104" i="4" s="1"/>
  <c r="E160" i="4" s="1"/>
  <c r="Q73" i="4"/>
  <c r="J136" i="4"/>
  <c r="J141" i="4"/>
  <c r="J170" i="4" s="1"/>
  <c r="L113" i="4"/>
  <c r="L136" i="4"/>
  <c r="L141" i="4"/>
  <c r="L170" i="4" s="1"/>
  <c r="L169" i="4" s="1"/>
  <c r="M153" i="4"/>
  <c r="M158" i="4" s="1"/>
  <c r="M142" i="4" s="1"/>
  <c r="M171" i="4" s="1"/>
  <c r="K141" i="4"/>
  <c r="K170" i="4" s="1"/>
  <c r="K169" i="4" s="1"/>
  <c r="K113" i="4"/>
  <c r="K136" i="4"/>
  <c r="F141" i="4"/>
  <c r="F170" i="4" s="1"/>
  <c r="F169" i="4" s="1"/>
  <c r="F136" i="4"/>
  <c r="F113" i="4"/>
  <c r="M134" i="4"/>
  <c r="E136" i="4"/>
  <c r="E113" i="4"/>
  <c r="E163" i="4"/>
  <c r="E101" i="4"/>
  <c r="E112" i="4" s="1"/>
  <c r="M101" i="4"/>
  <c r="M112" i="4" s="1"/>
  <c r="M109" i="4"/>
  <c r="M163" i="4"/>
  <c r="M160" i="4"/>
  <c r="M106" i="4"/>
  <c r="L92" i="4"/>
  <c r="L104" i="4" s="1"/>
  <c r="K92" i="4"/>
  <c r="K104" i="4" s="1"/>
  <c r="C42" i="7"/>
  <c r="N42" i="7"/>
  <c r="L51" i="7"/>
  <c r="L12" i="9" s="1"/>
  <c r="J51" i="7"/>
  <c r="J12" i="9" s="1"/>
  <c r="N50" i="7"/>
  <c r="C43" i="7"/>
  <c r="C48" i="7"/>
  <c r="N49" i="7"/>
  <c r="C46" i="7"/>
  <c r="N44" i="7"/>
  <c r="N48" i="7"/>
  <c r="N43" i="7"/>
  <c r="N46" i="7"/>
  <c r="C49" i="7"/>
  <c r="N45" i="7"/>
  <c r="F51" i="7"/>
  <c r="F12" i="9" s="1"/>
  <c r="C45" i="7"/>
  <c r="E51" i="7"/>
  <c r="E12" i="9" s="1"/>
  <c r="C50" i="7"/>
  <c r="N23" i="7"/>
  <c r="N41" i="7"/>
  <c r="C41" i="7"/>
  <c r="D51" i="7"/>
  <c r="D33" i="7"/>
  <c r="N33" i="7" s="1"/>
  <c r="G30" i="8"/>
  <c r="F66" i="8"/>
  <c r="E66" i="8"/>
  <c r="F29" i="8"/>
  <c r="F65" i="8" s="1"/>
  <c r="E79" i="6"/>
  <c r="E97" i="6" s="1"/>
  <c r="E96" i="6" s="1"/>
  <c r="E59" i="6"/>
  <c r="E74" i="6"/>
  <c r="D36" i="6"/>
  <c r="F69" i="8"/>
  <c r="G33" i="8"/>
  <c r="F68" i="8"/>
  <c r="G32" i="8"/>
  <c r="F67" i="8"/>
  <c r="G31" i="8"/>
  <c r="H30" i="8"/>
  <c r="G66" i="8"/>
  <c r="F70" i="8"/>
  <c r="G34" i="8"/>
  <c r="H23" i="8"/>
  <c r="I23" i="8" s="1"/>
  <c r="J23" i="8" s="1"/>
  <c r="K23" i="8" s="1"/>
  <c r="L23" i="8" s="1"/>
  <c r="M23" i="8" s="1"/>
  <c r="G29" i="8"/>
  <c r="E75" i="8"/>
  <c r="G27" i="8"/>
  <c r="F28" i="8"/>
  <c r="G36" i="8"/>
  <c r="H36" i="8" s="1"/>
  <c r="G38" i="8"/>
  <c r="E67" i="8"/>
  <c r="E69" i="8"/>
  <c r="E71" i="8"/>
  <c r="D33" i="6"/>
  <c r="F33" i="6"/>
  <c r="F38" i="6" s="1"/>
  <c r="E33" i="6"/>
  <c r="E38" i="6" s="1"/>
  <c r="K151" i="5"/>
  <c r="K158" i="5" s="1"/>
  <c r="K142" i="5" s="1"/>
  <c r="K171" i="5" s="1"/>
  <c r="J134" i="5"/>
  <c r="K113" i="5"/>
  <c r="K141" i="5"/>
  <c r="K170" i="5" s="1"/>
  <c r="K136" i="5"/>
  <c r="I160" i="5"/>
  <c r="I106" i="5"/>
  <c r="I109" i="5"/>
  <c r="I163" i="5"/>
  <c r="I101" i="5"/>
  <c r="I112" i="5" s="1"/>
  <c r="F134" i="5"/>
  <c r="I134" i="5"/>
  <c r="J150" i="5"/>
  <c r="J158" i="5" s="1"/>
  <c r="J142" i="5" s="1"/>
  <c r="J171" i="5" s="1"/>
  <c r="L77" i="5"/>
  <c r="K77" i="5"/>
  <c r="Q77" i="5" s="1"/>
  <c r="F56" i="5"/>
  <c r="F92" i="5" s="1"/>
  <c r="F104" i="5" s="1"/>
  <c r="L78" i="5"/>
  <c r="Q78" i="5" s="1"/>
  <c r="H59" i="5"/>
  <c r="Q59" i="5" s="1"/>
  <c r="F57" i="5"/>
  <c r="Q54" i="5"/>
  <c r="H56" i="5"/>
  <c r="E56" i="5"/>
  <c r="G57" i="5"/>
  <c r="M79" i="5"/>
  <c r="Q79" i="5" s="1"/>
  <c r="M134" i="5"/>
  <c r="D92" i="5"/>
  <c r="D104" i="5" s="1"/>
  <c r="G56" i="5"/>
  <c r="L76" i="5"/>
  <c r="H58" i="5"/>
  <c r="J25" i="5"/>
  <c r="J102" i="5" s="1"/>
  <c r="L129" i="5"/>
  <c r="H57" i="5"/>
  <c r="G124" i="5"/>
  <c r="G134" i="5" s="1"/>
  <c r="M76" i="5"/>
  <c r="J76" i="5"/>
  <c r="J92" i="5" s="1"/>
  <c r="J104" i="5" s="1"/>
  <c r="E25" i="5"/>
  <c r="E102" i="5" s="1"/>
  <c r="G58" i="5"/>
  <c r="Q58" i="5" s="1"/>
  <c r="Q81" i="3"/>
  <c r="L73" i="3"/>
  <c r="K74" i="3"/>
  <c r="K128" i="3"/>
  <c r="K134" i="3" s="1"/>
  <c r="K141" i="3" s="1"/>
  <c r="K170" i="3" s="1"/>
  <c r="N83" i="3"/>
  <c r="Q83" i="3" s="1"/>
  <c r="F134" i="3"/>
  <c r="L152" i="3"/>
  <c r="L158" i="3" s="1"/>
  <c r="L142" i="3" s="1"/>
  <c r="L171" i="3" s="1"/>
  <c r="Q56" i="3"/>
  <c r="K72" i="3"/>
  <c r="I72" i="3"/>
  <c r="Q85" i="3"/>
  <c r="Q84" i="3"/>
  <c r="H134" i="3"/>
  <c r="E123" i="3"/>
  <c r="E134" i="3" s="1"/>
  <c r="L74" i="3"/>
  <c r="G96" i="6"/>
  <c r="F96" i="6"/>
  <c r="D74" i="6"/>
  <c r="D59" i="6"/>
  <c r="D79" i="6"/>
  <c r="D97" i="6" s="1"/>
  <c r="D96" i="6" s="1"/>
  <c r="G52" i="6"/>
  <c r="G55" i="6" s="1"/>
  <c r="H53" i="6"/>
  <c r="G58" i="6"/>
  <c r="G57" i="6" s="1"/>
  <c r="K58" i="6"/>
  <c r="K57" i="6" s="1"/>
  <c r="I60" i="1"/>
  <c r="N80" i="1"/>
  <c r="J72" i="1"/>
  <c r="E52" i="1"/>
  <c r="G52" i="1"/>
  <c r="N44" i="1"/>
  <c r="L80" i="1"/>
  <c r="H56" i="1"/>
  <c r="N88" i="1"/>
  <c r="H58" i="1"/>
  <c r="Q58" i="1" s="1"/>
  <c r="P88" i="1"/>
  <c r="M76" i="1"/>
  <c r="O84" i="1"/>
  <c r="H64" i="1"/>
  <c r="K76" i="1"/>
  <c r="Q78" i="1"/>
  <c r="J65" i="4"/>
  <c r="Q65" i="4" s="1"/>
  <c r="G25" i="4"/>
  <c r="G102" i="4" s="1"/>
  <c r="G64" i="4"/>
  <c r="I126" i="4"/>
  <c r="I134" i="4" s="1"/>
  <c r="J66" i="4"/>
  <c r="Q66" i="4" s="1"/>
  <c r="J64" i="4"/>
  <c r="H126" i="4"/>
  <c r="H134" i="4" s="1"/>
  <c r="H136" i="4" s="1"/>
  <c r="H61" i="4"/>
  <c r="I60" i="4"/>
  <c r="H60" i="4"/>
  <c r="G60" i="4"/>
  <c r="I61" i="4"/>
  <c r="G61" i="4"/>
  <c r="F60" i="4"/>
  <c r="G125" i="4"/>
  <c r="H62" i="4"/>
  <c r="Q62" i="4" s="1"/>
  <c r="Q86" i="3"/>
  <c r="Q76" i="3"/>
  <c r="Q69" i="3"/>
  <c r="Q66" i="3"/>
  <c r="Q65" i="3"/>
  <c r="K136" i="3"/>
  <c r="K113" i="3"/>
  <c r="F141" i="3"/>
  <c r="F170" i="3" s="1"/>
  <c r="F169" i="3" s="1"/>
  <c r="F113" i="3"/>
  <c r="F136" i="3"/>
  <c r="H113" i="3"/>
  <c r="H136" i="3"/>
  <c r="H141" i="3"/>
  <c r="H170" i="3" s="1"/>
  <c r="H169" i="3" s="1"/>
  <c r="D160" i="3"/>
  <c r="D163" i="3"/>
  <c r="D106" i="3"/>
  <c r="D109" i="3" s="1"/>
  <c r="D101" i="3"/>
  <c r="G147" i="3"/>
  <c r="G158" i="3" s="1"/>
  <c r="G142" i="3" s="1"/>
  <c r="G171" i="3" s="1"/>
  <c r="M141" i="3"/>
  <c r="M170" i="3" s="1"/>
  <c r="M169" i="3" s="1"/>
  <c r="L136" i="3"/>
  <c r="O89" i="3"/>
  <c r="M25" i="3"/>
  <c r="M102" i="3" s="1"/>
  <c r="N89" i="3"/>
  <c r="Q89" i="3" s="1"/>
  <c r="J72" i="3"/>
  <c r="Q72" i="3" s="1"/>
  <c r="F54" i="3"/>
  <c r="H60" i="3"/>
  <c r="G60" i="3"/>
  <c r="N82" i="3"/>
  <c r="I68" i="3"/>
  <c r="M88" i="3"/>
  <c r="L141" i="3"/>
  <c r="L170" i="3" s="1"/>
  <c r="M113" i="3"/>
  <c r="G53" i="3"/>
  <c r="G54" i="3"/>
  <c r="M82" i="3"/>
  <c r="O88" i="3"/>
  <c r="O90" i="3"/>
  <c r="Q90" i="3" s="1"/>
  <c r="K73" i="3"/>
  <c r="Q73" i="3" s="1"/>
  <c r="E52" i="3"/>
  <c r="H61" i="3"/>
  <c r="H62" i="3"/>
  <c r="Q62" i="3" s="1"/>
  <c r="M80" i="3"/>
  <c r="E136" i="3"/>
  <c r="K80" i="3"/>
  <c r="K70" i="3"/>
  <c r="F52" i="3"/>
  <c r="I25" i="3"/>
  <c r="I102" i="3" s="1"/>
  <c r="L75" i="3"/>
  <c r="Q75" i="3" s="1"/>
  <c r="D25" i="3"/>
  <c r="D102" i="3" s="1"/>
  <c r="H68" i="3"/>
  <c r="J70" i="3"/>
  <c r="J92" i="3" s="1"/>
  <c r="J104" i="3" s="1"/>
  <c r="F25" i="3"/>
  <c r="F102" i="3" s="1"/>
  <c r="K71" i="3"/>
  <c r="Q71" i="3" s="1"/>
  <c r="J127" i="3"/>
  <c r="J134" i="3" s="1"/>
  <c r="I127" i="3"/>
  <c r="L80" i="3"/>
  <c r="G61" i="3"/>
  <c r="Q61" i="3" s="1"/>
  <c r="I61" i="3"/>
  <c r="I92" i="3" s="1"/>
  <c r="I104" i="3" s="1"/>
  <c r="F60" i="3"/>
  <c r="G125" i="3"/>
  <c r="G40" i="8"/>
  <c r="H40" i="8" s="1"/>
  <c r="F76" i="8"/>
  <c r="E77" i="8"/>
  <c r="D79" i="8"/>
  <c r="D80" i="8" s="1"/>
  <c r="D16" i="9" s="1"/>
  <c r="F74" i="8"/>
  <c r="E76" i="8"/>
  <c r="E73" i="8"/>
  <c r="F73" i="8"/>
  <c r="G37" i="8"/>
  <c r="H38" i="8"/>
  <c r="G74" i="8"/>
  <c r="F71" i="8"/>
  <c r="G35" i="8"/>
  <c r="F75" i="8"/>
  <c r="G39" i="8"/>
  <c r="G41" i="8"/>
  <c r="I113" i="2"/>
  <c r="I136" i="2"/>
  <c r="G141" i="2"/>
  <c r="G170" i="2" s="1"/>
  <c r="G169" i="2" s="1"/>
  <c r="G136" i="2"/>
  <c r="K141" i="2"/>
  <c r="K170" i="2" s="1"/>
  <c r="K169" i="2" s="1"/>
  <c r="L136" i="2"/>
  <c r="L141" i="2"/>
  <c r="L170" i="2" s="1"/>
  <c r="J150" i="2"/>
  <c r="J158" i="2" s="1"/>
  <c r="J142" i="2" s="1"/>
  <c r="J171" i="2" s="1"/>
  <c r="M134" i="2"/>
  <c r="M141" i="2" s="1"/>
  <c r="M170" i="2" s="1"/>
  <c r="H113" i="2"/>
  <c r="H141" i="2"/>
  <c r="H170" i="2" s="1"/>
  <c r="L169" i="2"/>
  <c r="J113" i="2"/>
  <c r="J136" i="2"/>
  <c r="J141" i="2"/>
  <c r="J170" i="2" s="1"/>
  <c r="M169" i="2"/>
  <c r="H169" i="2"/>
  <c r="I141" i="2"/>
  <c r="I170" i="2" s="1"/>
  <c r="I169" i="2" s="1"/>
  <c r="M136" i="2"/>
  <c r="G113" i="2"/>
  <c r="M113" i="2"/>
  <c r="F113" i="2"/>
  <c r="K136" i="2"/>
  <c r="F141" i="2"/>
  <c r="F170" i="2" s="1"/>
  <c r="F169" i="2" s="1"/>
  <c r="E111" i="2"/>
  <c r="E166" i="2" s="1"/>
  <c r="E173" i="2" s="1"/>
  <c r="E8" i="9" s="1"/>
  <c r="M109" i="2"/>
  <c r="M163" i="2"/>
  <c r="M101" i="2"/>
  <c r="M112" i="2" s="1"/>
  <c r="M160" i="2"/>
  <c r="M106" i="2"/>
  <c r="L92" i="2"/>
  <c r="L104" i="2" s="1"/>
  <c r="L163" i="2" s="1"/>
  <c r="Q72" i="2"/>
  <c r="Q75" i="2"/>
  <c r="K92" i="2"/>
  <c r="K104" i="2" s="1"/>
  <c r="K101" i="2" s="1"/>
  <c r="K112" i="2" s="1"/>
  <c r="K111" i="2" s="1"/>
  <c r="J92" i="2"/>
  <c r="J104" i="2" s="1"/>
  <c r="J163" i="2" s="1"/>
  <c r="J101" i="2"/>
  <c r="J112" i="2" s="1"/>
  <c r="F101" i="2"/>
  <c r="F112" i="2" s="1"/>
  <c r="F106" i="2"/>
  <c r="F160" i="2"/>
  <c r="F109" i="2"/>
  <c r="F163" i="2"/>
  <c r="F105" i="2"/>
  <c r="H160" i="2"/>
  <c r="H105" i="2"/>
  <c r="H106" i="2"/>
  <c r="H109" i="2" s="1"/>
  <c r="H101" i="2"/>
  <c r="H112" i="2" s="1"/>
  <c r="H111" i="2" s="1"/>
  <c r="H163" i="2"/>
  <c r="I105" i="2"/>
  <c r="I106" i="2"/>
  <c r="I109" i="2" s="1"/>
  <c r="I101" i="2"/>
  <c r="I112" i="2" s="1"/>
  <c r="I111" i="2" s="1"/>
  <c r="I163" i="2"/>
  <c r="I160" i="2"/>
  <c r="G163" i="2"/>
  <c r="G160" i="2"/>
  <c r="G105" i="2"/>
  <c r="G106" i="2"/>
  <c r="G109" i="2" s="1"/>
  <c r="G101" i="2"/>
  <c r="G112" i="2" s="1"/>
  <c r="Q66" i="1"/>
  <c r="Q62" i="1"/>
  <c r="G56" i="1"/>
  <c r="N84" i="1"/>
  <c r="J68" i="1"/>
  <c r="Q54" i="1"/>
  <c r="O88" i="1"/>
  <c r="Q88" i="1" s="1"/>
  <c r="L76" i="1"/>
  <c r="I64" i="1"/>
  <c r="Q82" i="1"/>
  <c r="M80" i="1"/>
  <c r="G64" i="1"/>
  <c r="Q53" i="1"/>
  <c r="K80" i="1"/>
  <c r="D52" i="1"/>
  <c r="I65" i="1"/>
  <c r="H68" i="1"/>
  <c r="Q68" i="1" s="1"/>
  <c r="J73" i="1"/>
  <c r="Q73" i="1" s="1"/>
  <c r="K77" i="1"/>
  <c r="L84" i="1"/>
  <c r="Q84" i="1" s="1"/>
  <c r="N85" i="1"/>
  <c r="N86" i="1"/>
  <c r="Q86" i="1" s="1"/>
  <c r="I72" i="1"/>
  <c r="Q72" i="1" s="1"/>
  <c r="N45" i="1"/>
  <c r="F60" i="1"/>
  <c r="Q60" i="1" s="1"/>
  <c r="G61" i="1"/>
  <c r="Q61" i="1" s="1"/>
  <c r="Q77" i="1"/>
  <c r="N89" i="1"/>
  <c r="K74" i="1"/>
  <c r="Q74" i="1" s="1"/>
  <c r="M81" i="1"/>
  <c r="E56" i="1"/>
  <c r="J76" i="1"/>
  <c r="M85" i="1"/>
  <c r="G57" i="1"/>
  <c r="G92" i="1" s="1"/>
  <c r="G104" i="1" s="1"/>
  <c r="Q90" i="1"/>
  <c r="F57" i="1"/>
  <c r="Q57" i="1" s="1"/>
  <c r="H65" i="1"/>
  <c r="Q89" i="1"/>
  <c r="L81" i="1"/>
  <c r="I69" i="1"/>
  <c r="Q69" i="1" s="1"/>
  <c r="J70" i="1"/>
  <c r="Q70" i="1" s="1"/>
  <c r="E105" i="4" l="1"/>
  <c r="D160" i="4"/>
  <c r="D101" i="4"/>
  <c r="D112" i="4" s="1"/>
  <c r="D111" i="4" s="1"/>
  <c r="D106" i="4"/>
  <c r="D109" i="4" s="1"/>
  <c r="D166" i="4" s="1"/>
  <c r="D173" i="4" s="1"/>
  <c r="D11" i="9" s="1"/>
  <c r="D163" i="4"/>
  <c r="Q64" i="4"/>
  <c r="E106" i="4"/>
  <c r="E109" i="4" s="1"/>
  <c r="E166" i="4" s="1"/>
  <c r="E173" i="4" s="1"/>
  <c r="E11" i="9" s="1"/>
  <c r="E111" i="4"/>
  <c r="M113" i="4"/>
  <c r="M111" i="4" s="1"/>
  <c r="M166" i="4" s="1"/>
  <c r="M136" i="4"/>
  <c r="M141" i="4"/>
  <c r="M170" i="4" s="1"/>
  <c r="M169" i="4" s="1"/>
  <c r="H113" i="4"/>
  <c r="H141" i="4"/>
  <c r="H170" i="4" s="1"/>
  <c r="H169" i="4" s="1"/>
  <c r="J150" i="4"/>
  <c r="J158" i="4" s="1"/>
  <c r="J142" i="4" s="1"/>
  <c r="J171" i="4" s="1"/>
  <c r="J169" i="4" s="1"/>
  <c r="K106" i="4"/>
  <c r="K109" i="4" s="1"/>
  <c r="K101" i="4"/>
  <c r="K112" i="4" s="1"/>
  <c r="K111" i="4" s="1"/>
  <c r="K163" i="4"/>
  <c r="K160" i="4"/>
  <c r="L106" i="4"/>
  <c r="L109" i="4" s="1"/>
  <c r="L163" i="4"/>
  <c r="L160" i="4"/>
  <c r="L105" i="4"/>
  <c r="L101" i="4"/>
  <c r="L112" i="4" s="1"/>
  <c r="L111" i="4" s="1"/>
  <c r="Q61" i="4"/>
  <c r="M105" i="4"/>
  <c r="H92" i="4"/>
  <c r="H104" i="4" s="1"/>
  <c r="H106" i="4" s="1"/>
  <c r="H109" i="4" s="1"/>
  <c r="D38" i="6"/>
  <c r="D50" i="6" s="1"/>
  <c r="E47" i="6"/>
  <c r="E48" i="6"/>
  <c r="C51" i="7"/>
  <c r="D12" i="9"/>
  <c r="N51" i="7"/>
  <c r="F48" i="6"/>
  <c r="F58" i="6" s="1"/>
  <c r="F57" i="6" s="1"/>
  <c r="F47" i="6"/>
  <c r="F50" i="6"/>
  <c r="D47" i="6"/>
  <c r="D48" i="6"/>
  <c r="E50" i="6"/>
  <c r="E52" i="6" s="1"/>
  <c r="E55" i="6" s="1"/>
  <c r="G28" i="8"/>
  <c r="F64" i="8"/>
  <c r="F79" i="8" s="1"/>
  <c r="F80" i="8" s="1"/>
  <c r="F16" i="9" s="1"/>
  <c r="H66" i="8"/>
  <c r="I30" i="8"/>
  <c r="G72" i="8"/>
  <c r="G63" i="8"/>
  <c r="H27" i="8"/>
  <c r="G65" i="8"/>
  <c r="H29" i="8"/>
  <c r="G68" i="8"/>
  <c r="H32" i="8"/>
  <c r="H31" i="8"/>
  <c r="G67" i="8"/>
  <c r="G70" i="8"/>
  <c r="H34" i="8"/>
  <c r="H33" i="8"/>
  <c r="G69" i="8"/>
  <c r="E79" i="8"/>
  <c r="E80" i="8" s="1"/>
  <c r="E16" i="9" s="1"/>
  <c r="F106" i="5"/>
  <c r="F109" i="5"/>
  <c r="F163" i="5"/>
  <c r="F160" i="5"/>
  <c r="F101" i="5"/>
  <c r="F112" i="5" s="1"/>
  <c r="F111" i="5" s="1"/>
  <c r="J160" i="5"/>
  <c r="J101" i="5"/>
  <c r="J112" i="5" s="1"/>
  <c r="J111" i="5" s="1"/>
  <c r="J163" i="5"/>
  <c r="J105" i="5"/>
  <c r="J106" i="5"/>
  <c r="J109" i="5" s="1"/>
  <c r="J166" i="5" s="1"/>
  <c r="J173" i="5" s="1"/>
  <c r="J10" i="9" s="1"/>
  <c r="M92" i="5"/>
  <c r="M104" i="5" s="1"/>
  <c r="D101" i="5"/>
  <c r="D112" i="5" s="1"/>
  <c r="D111" i="5" s="1"/>
  <c r="D106" i="5"/>
  <c r="D109" i="5" s="1"/>
  <c r="D166" i="5" s="1"/>
  <c r="D173" i="5" s="1"/>
  <c r="D10" i="9" s="1"/>
  <c r="D160" i="5"/>
  <c r="D163" i="5"/>
  <c r="F113" i="5"/>
  <c r="F136" i="5"/>
  <c r="F141" i="5"/>
  <c r="F170" i="5" s="1"/>
  <c r="F169" i="5" s="1"/>
  <c r="I166" i="5"/>
  <c r="G113" i="5"/>
  <c r="G136" i="5"/>
  <c r="G141" i="5"/>
  <c r="G170" i="5" s="1"/>
  <c r="G169" i="5" s="1"/>
  <c r="M136" i="5"/>
  <c r="M113" i="5"/>
  <c r="M141" i="5"/>
  <c r="M170" i="5" s="1"/>
  <c r="H148" i="5"/>
  <c r="H158" i="5" s="1"/>
  <c r="H142" i="5" s="1"/>
  <c r="H171" i="5" s="1"/>
  <c r="H169" i="5" s="1"/>
  <c r="L134" i="5"/>
  <c r="M153" i="5"/>
  <c r="M158" i="5" s="1"/>
  <c r="M142" i="5" s="1"/>
  <c r="M171" i="5" s="1"/>
  <c r="E92" i="5"/>
  <c r="E104" i="5" s="1"/>
  <c r="Q56" i="5"/>
  <c r="K169" i="5"/>
  <c r="H92" i="5"/>
  <c r="H104" i="5" s="1"/>
  <c r="K92" i="5"/>
  <c r="K104" i="5" s="1"/>
  <c r="I111" i="5"/>
  <c r="L92" i="5"/>
  <c r="L104" i="5" s="1"/>
  <c r="J141" i="5"/>
  <c r="J170" i="5" s="1"/>
  <c r="J169" i="5" s="1"/>
  <c r="J136" i="5"/>
  <c r="J113" i="5"/>
  <c r="Q76" i="5"/>
  <c r="G92" i="5"/>
  <c r="G104" i="5" s="1"/>
  <c r="Q57" i="5"/>
  <c r="I113" i="5"/>
  <c r="I141" i="5"/>
  <c r="I170" i="5" s="1"/>
  <c r="I169" i="5" s="1"/>
  <c r="I136" i="5"/>
  <c r="E113" i="3"/>
  <c r="E141" i="3"/>
  <c r="E170" i="3" s="1"/>
  <c r="E169" i="3" s="1"/>
  <c r="Q54" i="3"/>
  <c r="L169" i="3"/>
  <c r="Q74" i="3"/>
  <c r="Q82" i="3"/>
  <c r="Q88" i="3"/>
  <c r="G93" i="6"/>
  <c r="G100" i="6" s="1"/>
  <c r="G13" i="9" s="1"/>
  <c r="D90" i="6"/>
  <c r="D52" i="6"/>
  <c r="D55" i="6" s="1"/>
  <c r="H52" i="6"/>
  <c r="H55" i="6" s="1"/>
  <c r="H93" i="6" s="1"/>
  <c r="H100" i="6" s="1"/>
  <c r="H13" i="9" s="1"/>
  <c r="I53" i="6"/>
  <c r="E58" i="6"/>
  <c r="E57" i="6" s="1"/>
  <c r="Q56" i="1"/>
  <c r="Q80" i="1"/>
  <c r="H92" i="1"/>
  <c r="H104" i="1" s="1"/>
  <c r="H106" i="1" s="1"/>
  <c r="H109" i="1" s="1"/>
  <c r="G101" i="1"/>
  <c r="G112" i="1" s="1"/>
  <c r="G111" i="1" s="1"/>
  <c r="G163" i="1"/>
  <c r="G106" i="1"/>
  <c r="G109" i="1" s="1"/>
  <c r="H105" i="1"/>
  <c r="K92" i="1"/>
  <c r="K104" i="1" s="1"/>
  <c r="K101" i="1" s="1"/>
  <c r="K112" i="1" s="1"/>
  <c r="K111" i="1" s="1"/>
  <c r="Q76" i="1"/>
  <c r="J92" i="4"/>
  <c r="J104" i="4" s="1"/>
  <c r="I113" i="4"/>
  <c r="I136" i="4"/>
  <c r="I141" i="4"/>
  <c r="I170" i="4" s="1"/>
  <c r="G92" i="4"/>
  <c r="G104" i="4" s="1"/>
  <c r="H105" i="4" s="1"/>
  <c r="I92" i="4"/>
  <c r="I104" i="4" s="1"/>
  <c r="Q60" i="4"/>
  <c r="F92" i="4"/>
  <c r="F104" i="4" s="1"/>
  <c r="H101" i="4"/>
  <c r="H112" i="4" s="1"/>
  <c r="H111" i="4" s="1"/>
  <c r="H160" i="4"/>
  <c r="H163" i="4"/>
  <c r="I149" i="4"/>
  <c r="I158" i="4" s="1"/>
  <c r="I142" i="4" s="1"/>
  <c r="I171" i="4" s="1"/>
  <c r="G134" i="4"/>
  <c r="M92" i="3"/>
  <c r="M104" i="3" s="1"/>
  <c r="M163" i="3" s="1"/>
  <c r="L92" i="3"/>
  <c r="L104" i="3" s="1"/>
  <c r="L106" i="3" s="1"/>
  <c r="Q68" i="3"/>
  <c r="H92" i="3"/>
  <c r="H104" i="3" s="1"/>
  <c r="H106" i="3" s="1"/>
  <c r="H109" i="3" s="1"/>
  <c r="Q80" i="3"/>
  <c r="D112" i="3"/>
  <c r="D111" i="3" s="1"/>
  <c r="D166" i="3" s="1"/>
  <c r="D173" i="3" s="1"/>
  <c r="D9" i="9" s="1"/>
  <c r="Q53" i="3"/>
  <c r="G92" i="3"/>
  <c r="G104" i="3" s="1"/>
  <c r="J163" i="3"/>
  <c r="J101" i="3"/>
  <c r="J112" i="3" s="1"/>
  <c r="J106" i="3"/>
  <c r="J109" i="3" s="1"/>
  <c r="J160" i="3"/>
  <c r="J105" i="3"/>
  <c r="K151" i="3"/>
  <c r="K158" i="3" s="1"/>
  <c r="K142" i="3" s="1"/>
  <c r="K171" i="3" s="1"/>
  <c r="K169" i="3" s="1"/>
  <c r="I134" i="3"/>
  <c r="Q52" i="3"/>
  <c r="E92" i="3"/>
  <c r="E104" i="3" s="1"/>
  <c r="J136" i="3"/>
  <c r="J141" i="3"/>
  <c r="J170" i="3" s="1"/>
  <c r="J169" i="3" s="1"/>
  <c r="J113" i="3"/>
  <c r="F92" i="3"/>
  <c r="F104" i="3" s="1"/>
  <c r="I106" i="3"/>
  <c r="I109" i="3" s="1"/>
  <c r="I101" i="3"/>
  <c r="I112" i="3" s="1"/>
  <c r="I160" i="3"/>
  <c r="I163" i="3"/>
  <c r="G134" i="3"/>
  <c r="I149" i="3"/>
  <c r="I158" i="3" s="1"/>
  <c r="I142" i="3" s="1"/>
  <c r="I171" i="3" s="1"/>
  <c r="Q60" i="3"/>
  <c r="Q70" i="3"/>
  <c r="K92" i="3"/>
  <c r="K104" i="3" s="1"/>
  <c r="G76" i="8"/>
  <c r="H74" i="8"/>
  <c r="I38" i="8"/>
  <c r="H35" i="8"/>
  <c r="G71" i="8"/>
  <c r="I36" i="8"/>
  <c r="H72" i="8"/>
  <c r="H41" i="8"/>
  <c r="G77" i="8"/>
  <c r="H76" i="8"/>
  <c r="I40" i="8"/>
  <c r="G75" i="8"/>
  <c r="H39" i="8"/>
  <c r="G73" i="8"/>
  <c r="H37" i="8"/>
  <c r="J169" i="2"/>
  <c r="M111" i="2"/>
  <c r="J111" i="2"/>
  <c r="G111" i="2"/>
  <c r="F111" i="2"/>
  <c r="L160" i="2"/>
  <c r="M105" i="2"/>
  <c r="M166" i="2"/>
  <c r="M173" i="2" s="1"/>
  <c r="M8" i="9" s="1"/>
  <c r="L106" i="2"/>
  <c r="L109" i="2" s="1"/>
  <c r="L105" i="2"/>
  <c r="L101" i="2"/>
  <c r="L112" i="2" s="1"/>
  <c r="L111" i="2" s="1"/>
  <c r="J160" i="2"/>
  <c r="K106" i="2"/>
  <c r="K109" i="2" s="1"/>
  <c r="K160" i="2"/>
  <c r="K105" i="2"/>
  <c r="K163" i="2"/>
  <c r="J105" i="2"/>
  <c r="J106" i="2"/>
  <c r="J109" i="2" s="1"/>
  <c r="J166" i="2" s="1"/>
  <c r="J173" i="2" s="1"/>
  <c r="J8" i="9" s="1"/>
  <c r="H166" i="2"/>
  <c r="H173" i="2" s="1"/>
  <c r="H8" i="9" s="1"/>
  <c r="G166" i="2"/>
  <c r="G173" i="2" s="1"/>
  <c r="G8" i="9" s="1"/>
  <c r="I166" i="2"/>
  <c r="I173" i="2" s="1"/>
  <c r="I8" i="9" s="1"/>
  <c r="F166" i="2"/>
  <c r="F173" i="2" s="1"/>
  <c r="F8" i="9" s="1"/>
  <c r="Q64" i="1"/>
  <c r="Q81" i="1"/>
  <c r="M92" i="1"/>
  <c r="M104" i="1" s="1"/>
  <c r="M101" i="1" s="1"/>
  <c r="M112" i="1" s="1"/>
  <c r="M111" i="1" s="1"/>
  <c r="I92" i="1"/>
  <c r="I104" i="1" s="1"/>
  <c r="J92" i="1"/>
  <c r="J104" i="1" s="1"/>
  <c r="J163" i="1" s="1"/>
  <c r="Q65" i="1"/>
  <c r="F92" i="1"/>
  <c r="F104" i="1" s="1"/>
  <c r="G105" i="1" s="1"/>
  <c r="Q52" i="1"/>
  <c r="D92" i="1"/>
  <c r="D104" i="1" s="1"/>
  <c r="L92" i="1"/>
  <c r="L104" i="1" s="1"/>
  <c r="L163" i="1" s="1"/>
  <c r="Q85" i="1"/>
  <c r="E92" i="1"/>
  <c r="E104" i="1" s="1"/>
  <c r="G160" i="1"/>
  <c r="G166" i="1" s="1"/>
  <c r="G173" i="1" s="1"/>
  <c r="G7" i="9" s="1"/>
  <c r="H163" i="1"/>
  <c r="M163" i="1"/>
  <c r="J101" i="1"/>
  <c r="J112" i="1" s="1"/>
  <c r="J111" i="1" s="1"/>
  <c r="J160" i="1"/>
  <c r="H101" i="1"/>
  <c r="H112" i="1" s="1"/>
  <c r="H111" i="1" s="1"/>
  <c r="H160" i="1"/>
  <c r="J105" i="1"/>
  <c r="I163" i="1"/>
  <c r="E90" i="6"/>
  <c r="G51" i="6"/>
  <c r="F52" i="6"/>
  <c r="F55" i="6" s="1"/>
  <c r="F90" i="6"/>
  <c r="M173" i="4" l="1"/>
  <c r="M11" i="9" s="1"/>
  <c r="K166" i="4"/>
  <c r="K173" i="4" s="1"/>
  <c r="K11" i="9" s="1"/>
  <c r="L166" i="4"/>
  <c r="L173" i="4" s="1"/>
  <c r="L11" i="9" s="1"/>
  <c r="E51" i="6"/>
  <c r="F51" i="6"/>
  <c r="D58" i="6"/>
  <c r="D57" i="6" s="1"/>
  <c r="D93" i="6" s="1"/>
  <c r="D100" i="6" s="1"/>
  <c r="D13" i="9" s="1"/>
  <c r="I33" i="8"/>
  <c r="H69" i="8"/>
  <c r="H70" i="8"/>
  <c r="I34" i="8"/>
  <c r="I27" i="8"/>
  <c r="H63" i="8"/>
  <c r="I31" i="8"/>
  <c r="H67" i="8"/>
  <c r="J30" i="8"/>
  <c r="I66" i="8"/>
  <c r="H68" i="8"/>
  <c r="I32" i="8"/>
  <c r="I29" i="8"/>
  <c r="H65" i="8"/>
  <c r="H28" i="8"/>
  <c r="G64" i="8"/>
  <c r="G79" i="8" s="1"/>
  <c r="G80" i="8" s="1"/>
  <c r="G16" i="9" s="1"/>
  <c r="E106" i="5"/>
  <c r="E109" i="5" s="1"/>
  <c r="E166" i="5" s="1"/>
  <c r="E173" i="5" s="1"/>
  <c r="E10" i="9" s="1"/>
  <c r="E160" i="5"/>
  <c r="E105" i="5"/>
  <c r="E163" i="5"/>
  <c r="E101" i="5"/>
  <c r="E112" i="5" s="1"/>
  <c r="E111" i="5" s="1"/>
  <c r="F105" i="5"/>
  <c r="K106" i="5"/>
  <c r="K109" i="5" s="1"/>
  <c r="K166" i="5" s="1"/>
  <c r="K173" i="5" s="1"/>
  <c r="K10" i="9" s="1"/>
  <c r="K160" i="5"/>
  <c r="K105" i="5"/>
  <c r="K101" i="5"/>
  <c r="K112" i="5" s="1"/>
  <c r="K111" i="5" s="1"/>
  <c r="K163" i="5"/>
  <c r="M169" i="5"/>
  <c r="G109" i="5"/>
  <c r="G166" i="5" s="1"/>
  <c r="G173" i="5" s="1"/>
  <c r="G10" i="9" s="1"/>
  <c r="G163" i="5"/>
  <c r="G101" i="5"/>
  <c r="G112" i="5" s="1"/>
  <c r="G111" i="5" s="1"/>
  <c r="G105" i="5"/>
  <c r="G160" i="5"/>
  <c r="G106" i="5"/>
  <c r="H106" i="5"/>
  <c r="H109" i="5"/>
  <c r="H166" i="5" s="1"/>
  <c r="H173" i="5" s="1"/>
  <c r="H10" i="9" s="1"/>
  <c r="H160" i="5"/>
  <c r="H163" i="5"/>
  <c r="H101" i="5"/>
  <c r="H112" i="5" s="1"/>
  <c r="H111" i="5" s="1"/>
  <c r="H105" i="5"/>
  <c r="I105" i="5"/>
  <c r="I173" i="5"/>
  <c r="I10" i="9" s="1"/>
  <c r="F166" i="5"/>
  <c r="F173" i="5" s="1"/>
  <c r="F10" i="9" s="1"/>
  <c r="L109" i="5"/>
  <c r="L163" i="5"/>
  <c r="L160" i="5"/>
  <c r="L101" i="5"/>
  <c r="L112" i="5" s="1"/>
  <c r="L106" i="5"/>
  <c r="L105" i="5"/>
  <c r="L141" i="5"/>
  <c r="L170" i="5" s="1"/>
  <c r="L169" i="5" s="1"/>
  <c r="L113" i="5"/>
  <c r="L136" i="5"/>
  <c r="M106" i="5"/>
  <c r="M109" i="5" s="1"/>
  <c r="M166" i="5" s="1"/>
  <c r="M173" i="5" s="1"/>
  <c r="M10" i="9" s="1"/>
  <c r="M163" i="5"/>
  <c r="M160" i="5"/>
  <c r="M105" i="5"/>
  <c r="M101" i="5"/>
  <c r="M112" i="5" s="1"/>
  <c r="M111" i="5" s="1"/>
  <c r="E93" i="6"/>
  <c r="E100" i="6" s="1"/>
  <c r="E13" i="9" s="1"/>
  <c r="J53" i="6"/>
  <c r="I52" i="6"/>
  <c r="I55" i="6" s="1"/>
  <c r="I93" i="6" s="1"/>
  <c r="I100" i="6" s="1"/>
  <c r="I13" i="9" s="1"/>
  <c r="M106" i="1"/>
  <c r="M109" i="1" s="1"/>
  <c r="K160" i="1"/>
  <c r="K163" i="1"/>
  <c r="M160" i="1"/>
  <c r="M166" i="1" s="1"/>
  <c r="M173" i="1" s="1"/>
  <c r="M7" i="9" s="1"/>
  <c r="K106" i="1"/>
  <c r="K109" i="1" s="1"/>
  <c r="K166" i="1" s="1"/>
  <c r="K173" i="1" s="1"/>
  <c r="K7" i="9" s="1"/>
  <c r="I105" i="1"/>
  <c r="M105" i="1"/>
  <c r="K105" i="1"/>
  <c r="I101" i="1"/>
  <c r="I112" i="1" s="1"/>
  <c r="I111" i="1" s="1"/>
  <c r="J101" i="4"/>
  <c r="J112" i="4" s="1"/>
  <c r="J111" i="4" s="1"/>
  <c r="J106" i="4"/>
  <c r="J109" i="4" s="1"/>
  <c r="K105" i="4"/>
  <c r="J160" i="4"/>
  <c r="J163" i="4"/>
  <c r="I169" i="4"/>
  <c r="H166" i="4"/>
  <c r="H173" i="4" s="1"/>
  <c r="H11" i="9" s="1"/>
  <c r="I105" i="4"/>
  <c r="I106" i="4"/>
  <c r="J105" i="4"/>
  <c r="I109" i="4"/>
  <c r="I160" i="4"/>
  <c r="I163" i="4"/>
  <c r="I101" i="4"/>
  <c r="I112" i="4" s="1"/>
  <c r="I111" i="4" s="1"/>
  <c r="G106" i="4"/>
  <c r="G109" i="4" s="1"/>
  <c r="G105" i="4"/>
  <c r="G160" i="4"/>
  <c r="G163" i="4"/>
  <c r="G101" i="4"/>
  <c r="G112" i="4" s="1"/>
  <c r="G136" i="4"/>
  <c r="G113" i="4"/>
  <c r="G141" i="4"/>
  <c r="G170" i="4" s="1"/>
  <c r="G169" i="4" s="1"/>
  <c r="F163" i="4"/>
  <c r="F101" i="4"/>
  <c r="F112" i="4" s="1"/>
  <c r="F111" i="4" s="1"/>
  <c r="F105" i="4"/>
  <c r="F106" i="4"/>
  <c r="F109" i="4" s="1"/>
  <c r="F160" i="4"/>
  <c r="M101" i="3"/>
  <c r="M112" i="3" s="1"/>
  <c r="M111" i="3" s="1"/>
  <c r="M160" i="3"/>
  <c r="M106" i="3"/>
  <c r="M109" i="3" s="1"/>
  <c r="M166" i="3" s="1"/>
  <c r="M173" i="3" s="1"/>
  <c r="M9" i="9" s="1"/>
  <c r="L109" i="3"/>
  <c r="L160" i="3"/>
  <c r="L163" i="3"/>
  <c r="L101" i="3"/>
  <c r="L112" i="3" s="1"/>
  <c r="L111" i="3" s="1"/>
  <c r="M105" i="3"/>
  <c r="I105" i="3"/>
  <c r="H101" i="3"/>
  <c r="H112" i="3" s="1"/>
  <c r="H111" i="3" s="1"/>
  <c r="H160" i="3"/>
  <c r="H163" i="3"/>
  <c r="I136" i="3"/>
  <c r="I141" i="3"/>
  <c r="I170" i="3" s="1"/>
  <c r="I169" i="3" s="1"/>
  <c r="I113" i="3"/>
  <c r="I111" i="3" s="1"/>
  <c r="I166" i="3" s="1"/>
  <c r="I173" i="3" s="1"/>
  <c r="I9" i="9" s="1"/>
  <c r="G113" i="3"/>
  <c r="G136" i="3"/>
  <c r="G141" i="3"/>
  <c r="G170" i="3" s="1"/>
  <c r="G169" i="3" s="1"/>
  <c r="G160" i="3"/>
  <c r="G106" i="3"/>
  <c r="G109" i="3" s="1"/>
  <c r="G101" i="3"/>
  <c r="G112" i="3" s="1"/>
  <c r="G163" i="3"/>
  <c r="G105" i="3"/>
  <c r="F160" i="3"/>
  <c r="F101" i="3"/>
  <c r="F112" i="3" s="1"/>
  <c r="F111" i="3" s="1"/>
  <c r="F105" i="3"/>
  <c r="F163" i="3"/>
  <c r="F106" i="3"/>
  <c r="F109" i="3" s="1"/>
  <c r="K105" i="3"/>
  <c r="K106" i="3"/>
  <c r="K109" i="3" s="1"/>
  <c r="K101" i="3"/>
  <c r="K112" i="3" s="1"/>
  <c r="K111" i="3" s="1"/>
  <c r="K160" i="3"/>
  <c r="K163" i="3"/>
  <c r="H105" i="3"/>
  <c r="L105" i="3"/>
  <c r="E105" i="3"/>
  <c r="E163" i="3"/>
  <c r="E106" i="3"/>
  <c r="E109" i="3" s="1"/>
  <c r="E166" i="3" s="1"/>
  <c r="E173" i="3" s="1"/>
  <c r="E9" i="9" s="1"/>
  <c r="E160" i="3"/>
  <c r="E101" i="3"/>
  <c r="E112" i="3" s="1"/>
  <c r="E111" i="3" s="1"/>
  <c r="J111" i="3"/>
  <c r="J166" i="3" s="1"/>
  <c r="J173" i="3" s="1"/>
  <c r="J9" i="9" s="1"/>
  <c r="J36" i="8"/>
  <c r="I72" i="8"/>
  <c r="H71" i="8"/>
  <c r="I35" i="8"/>
  <c r="H73" i="8"/>
  <c r="I37" i="8"/>
  <c r="H75" i="8"/>
  <c r="I39" i="8"/>
  <c r="J40" i="8"/>
  <c r="I76" i="8"/>
  <c r="J38" i="8"/>
  <c r="I74" i="8"/>
  <c r="H77" i="8"/>
  <c r="I41" i="8"/>
  <c r="K166" i="2"/>
  <c r="K173" i="2" s="1"/>
  <c r="K8" i="9" s="1"/>
  <c r="L166" i="2"/>
  <c r="L173" i="2" s="1"/>
  <c r="L8" i="9" s="1"/>
  <c r="I106" i="1"/>
  <c r="I109" i="1" s="1"/>
  <c r="H166" i="1"/>
  <c r="H173" i="1" s="1"/>
  <c r="H7" i="9" s="1"/>
  <c r="I160" i="1"/>
  <c r="I166" i="1" s="1"/>
  <c r="I173" i="1" s="1"/>
  <c r="I7" i="9" s="1"/>
  <c r="L106" i="1"/>
  <c r="L109" i="1" s="1"/>
  <c r="L105" i="1"/>
  <c r="L160" i="1"/>
  <c r="D160" i="1"/>
  <c r="D106" i="1"/>
  <c r="D101" i="1"/>
  <c r="D112" i="1" s="1"/>
  <c r="D111" i="1" s="1"/>
  <c r="D109" i="1"/>
  <c r="D163" i="1"/>
  <c r="F106" i="1"/>
  <c r="F109" i="1" s="1"/>
  <c r="F101" i="1"/>
  <c r="F112" i="1" s="1"/>
  <c r="F111" i="1" s="1"/>
  <c r="F160" i="1"/>
  <c r="F105" i="1"/>
  <c r="F163" i="1"/>
  <c r="E163" i="1"/>
  <c r="E106" i="1"/>
  <c r="E109" i="1" s="1"/>
  <c r="E105" i="1"/>
  <c r="E101" i="1"/>
  <c r="E112" i="1" s="1"/>
  <c r="E111" i="1" s="1"/>
  <c r="E160" i="1"/>
  <c r="J106" i="1"/>
  <c r="J109" i="1" s="1"/>
  <c r="J166" i="1" s="1"/>
  <c r="J173" i="1" s="1"/>
  <c r="J7" i="9" s="1"/>
  <c r="L101" i="1"/>
  <c r="L112" i="1" s="1"/>
  <c r="L111" i="1" s="1"/>
  <c r="F93" i="6"/>
  <c r="F100" i="6" s="1"/>
  <c r="F13" i="9" s="1"/>
  <c r="G111" i="4" l="1"/>
  <c r="G166" i="4" s="1"/>
  <c r="G173" i="4" s="1"/>
  <c r="G11" i="9" s="1"/>
  <c r="J166" i="4"/>
  <c r="J173" i="4" s="1"/>
  <c r="J11" i="9" s="1"/>
  <c r="H64" i="8"/>
  <c r="H79" i="8" s="1"/>
  <c r="H80" i="8" s="1"/>
  <c r="H16" i="9" s="1"/>
  <c r="I28" i="8"/>
  <c r="J31" i="8"/>
  <c r="I67" i="8"/>
  <c r="J32" i="8"/>
  <c r="I68" i="8"/>
  <c r="J34" i="8"/>
  <c r="I70" i="8"/>
  <c r="J27" i="8"/>
  <c r="I63" i="8"/>
  <c r="I65" i="8"/>
  <c r="J29" i="8"/>
  <c r="J66" i="8"/>
  <c r="K30" i="8"/>
  <c r="I69" i="8"/>
  <c r="J33" i="8"/>
  <c r="L111" i="5"/>
  <c r="L166" i="5" s="1"/>
  <c r="L173" i="5" s="1"/>
  <c r="L10" i="9" s="1"/>
  <c r="H166" i="3"/>
  <c r="H173" i="3" s="1"/>
  <c r="H9" i="9" s="1"/>
  <c r="K53" i="6"/>
  <c r="J52" i="6"/>
  <c r="J55" i="6" s="1"/>
  <c r="J93" i="6" s="1"/>
  <c r="J100" i="6" s="1"/>
  <c r="J13" i="9" s="1"/>
  <c r="I166" i="4"/>
  <c r="I173" i="4" s="1"/>
  <c r="I11" i="9" s="1"/>
  <c r="I14" i="9" s="1"/>
  <c r="F166" i="4"/>
  <c r="F173" i="4" s="1"/>
  <c r="F11" i="9" s="1"/>
  <c r="L166" i="3"/>
  <c r="L173" i="3" s="1"/>
  <c r="L9" i="9" s="1"/>
  <c r="K166" i="3"/>
  <c r="K173" i="3" s="1"/>
  <c r="K9" i="9" s="1"/>
  <c r="H14" i="9"/>
  <c r="G111" i="3"/>
  <c r="G166" i="3" s="1"/>
  <c r="G173" i="3" s="1"/>
  <c r="G9" i="9" s="1"/>
  <c r="F166" i="3"/>
  <c r="F173" i="3" s="1"/>
  <c r="F9" i="9" s="1"/>
  <c r="I77" i="8"/>
  <c r="J41" i="8"/>
  <c r="I71" i="8"/>
  <c r="J35" i="8"/>
  <c r="J74" i="8"/>
  <c r="K38" i="8"/>
  <c r="I73" i="8"/>
  <c r="J37" i="8"/>
  <c r="J76" i="8"/>
  <c r="K40" i="8"/>
  <c r="I75" i="8"/>
  <c r="J39" i="8"/>
  <c r="J72" i="8"/>
  <c r="K36" i="8"/>
  <c r="E166" i="1"/>
  <c r="E173" i="1" s="1"/>
  <c r="E7" i="9" s="1"/>
  <c r="E14" i="9" s="1"/>
  <c r="E25" i="9" s="1"/>
  <c r="E27" i="9" s="1"/>
  <c r="D166" i="1"/>
  <c r="D173" i="1" s="1"/>
  <c r="D7" i="9" s="1"/>
  <c r="D14" i="9" s="1"/>
  <c r="D25" i="9" s="1"/>
  <c r="D27" i="9" s="1"/>
  <c r="L166" i="1"/>
  <c r="L173" i="1" s="1"/>
  <c r="L7" i="9" s="1"/>
  <c r="F166" i="1"/>
  <c r="F173" i="1" s="1"/>
  <c r="F7" i="9" s="1"/>
  <c r="J14" i="9" l="1"/>
  <c r="G14" i="9"/>
  <c r="G25" i="9" s="1"/>
  <c r="G27" i="9" s="1"/>
  <c r="K33" i="8"/>
  <c r="J69" i="8"/>
  <c r="J70" i="8"/>
  <c r="K34" i="8"/>
  <c r="K31" i="8"/>
  <c r="J67" i="8"/>
  <c r="J68" i="8"/>
  <c r="K32" i="8"/>
  <c r="K29" i="8"/>
  <c r="J65" i="8"/>
  <c r="J28" i="8"/>
  <c r="I64" i="8"/>
  <c r="L30" i="8"/>
  <c r="K66" i="8"/>
  <c r="J63" i="8"/>
  <c r="K27" i="8"/>
  <c r="L53" i="6"/>
  <c r="K52" i="6"/>
  <c r="K55" i="6" s="1"/>
  <c r="K93" i="6" s="1"/>
  <c r="K100" i="6" s="1"/>
  <c r="K13" i="9" s="1"/>
  <c r="K14" i="9" s="1"/>
  <c r="H25" i="9"/>
  <c r="H27" i="9" s="1"/>
  <c r="F14" i="9"/>
  <c r="F25" i="9" s="1"/>
  <c r="F27" i="9" s="1"/>
  <c r="K76" i="8"/>
  <c r="L40" i="8"/>
  <c r="L38" i="8"/>
  <c r="K74" i="8"/>
  <c r="K37" i="8"/>
  <c r="J73" i="8"/>
  <c r="K72" i="8"/>
  <c r="L36" i="8"/>
  <c r="K35" i="8"/>
  <c r="J71" i="8"/>
  <c r="I79" i="8"/>
  <c r="I80" i="8" s="1"/>
  <c r="I16" i="9" s="1"/>
  <c r="I25" i="9" s="1"/>
  <c r="I27" i="9" s="1"/>
  <c r="K39" i="8"/>
  <c r="J75" i="8"/>
  <c r="K41" i="8"/>
  <c r="J77" i="8"/>
  <c r="L29" i="8" l="1"/>
  <c r="K65" i="8"/>
  <c r="K69" i="8"/>
  <c r="L33" i="8"/>
  <c r="L27" i="8"/>
  <c r="K63" i="8"/>
  <c r="L32" i="8"/>
  <c r="K68" i="8"/>
  <c r="K67" i="8"/>
  <c r="L31" i="8"/>
  <c r="J64" i="8"/>
  <c r="J79" i="8" s="1"/>
  <c r="J80" i="8" s="1"/>
  <c r="J16" i="9" s="1"/>
  <c r="J25" i="9" s="1"/>
  <c r="J27" i="9" s="1"/>
  <c r="K28" i="8"/>
  <c r="M30" i="8"/>
  <c r="M66" i="8" s="1"/>
  <c r="L66" i="8"/>
  <c r="L34" i="8"/>
  <c r="K70" i="8"/>
  <c r="L52" i="6"/>
  <c r="L55" i="6" s="1"/>
  <c r="L93" i="6" s="1"/>
  <c r="L100" i="6" s="1"/>
  <c r="L13" i="9" s="1"/>
  <c r="L14" i="9" s="1"/>
  <c r="M53" i="6"/>
  <c r="M52" i="6" s="1"/>
  <c r="M55" i="6" s="1"/>
  <c r="M93" i="6" s="1"/>
  <c r="M100" i="6" s="1"/>
  <c r="M13" i="9" s="1"/>
  <c r="M14" i="9" s="1"/>
  <c r="L37" i="8"/>
  <c r="K73" i="8"/>
  <c r="L41" i="8"/>
  <c r="K77" i="8"/>
  <c r="L72" i="8"/>
  <c r="M36" i="8"/>
  <c r="M72" i="8" s="1"/>
  <c r="L39" i="8"/>
  <c r="K75" i="8"/>
  <c r="L74" i="8"/>
  <c r="M38" i="8"/>
  <c r="M74" i="8" s="1"/>
  <c r="L35" i="8"/>
  <c r="K71" i="8"/>
  <c r="L76" i="8"/>
  <c r="M40" i="8"/>
  <c r="M76" i="8" s="1"/>
  <c r="L65" i="8" l="1"/>
  <c r="M29" i="8"/>
  <c r="M65" i="8" s="1"/>
  <c r="M34" i="8"/>
  <c r="M70" i="8" s="1"/>
  <c r="L70" i="8"/>
  <c r="M32" i="8"/>
  <c r="M68" i="8" s="1"/>
  <c r="L68" i="8"/>
  <c r="K64" i="8"/>
  <c r="K79" i="8" s="1"/>
  <c r="K80" i="8" s="1"/>
  <c r="K16" i="9" s="1"/>
  <c r="K25" i="9" s="1"/>
  <c r="K27" i="9" s="1"/>
  <c r="L28" i="8"/>
  <c r="M27" i="8"/>
  <c r="M63" i="8" s="1"/>
  <c r="L63" i="8"/>
  <c r="L69" i="8"/>
  <c r="M33" i="8"/>
  <c r="M69" i="8" s="1"/>
  <c r="L67" i="8"/>
  <c r="M31" i="8"/>
  <c r="M67" i="8" s="1"/>
  <c r="M35" i="8"/>
  <c r="M71" i="8" s="1"/>
  <c r="L71" i="8"/>
  <c r="L77" i="8"/>
  <c r="M41" i="8"/>
  <c r="M77" i="8" s="1"/>
  <c r="L75" i="8"/>
  <c r="M39" i="8"/>
  <c r="M75" i="8" s="1"/>
  <c r="L73" i="8"/>
  <c r="M37" i="8"/>
  <c r="M73" i="8" s="1"/>
  <c r="M28" i="8" l="1"/>
  <c r="M64" i="8" s="1"/>
  <c r="M79" i="8" s="1"/>
  <c r="M80" i="8" s="1"/>
  <c r="M16" i="9" s="1"/>
  <c r="M25" i="9" s="1"/>
  <c r="L64" i="8"/>
  <c r="L79" i="8"/>
  <c r="L80" i="8" s="1"/>
  <c r="L16" i="9" s="1"/>
  <c r="L25" i="9" s="1"/>
  <c r="L27" i="9" s="1"/>
  <c r="N25" i="9" l="1"/>
  <c r="M26" i="9" s="1"/>
  <c r="M27" i="9" s="1"/>
  <c r="D29" i="9" s="1"/>
  <c r="D32" i="9" l="1"/>
</calcChain>
</file>

<file path=xl/sharedStrings.xml><?xml version="1.0" encoding="utf-8"?>
<sst xmlns="http://schemas.openxmlformats.org/spreadsheetml/2006/main" count="1376" uniqueCount="122">
  <si>
    <t>Ano 1</t>
  </si>
  <si>
    <t>Ano 2</t>
  </si>
  <si>
    <t>Ano 3</t>
  </si>
  <si>
    <t>Ano 4</t>
  </si>
  <si>
    <t>Ano 5</t>
  </si>
  <si>
    <t>Ano 6</t>
  </si>
  <si>
    <t>Ano 7</t>
  </si>
  <si>
    <t>Ano 8</t>
  </si>
  <si>
    <t>Ano 9</t>
  </si>
  <si>
    <t>Ano 10</t>
  </si>
  <si>
    <t>Em Milhoes de Reais</t>
  </si>
  <si>
    <t>Vendas %</t>
  </si>
  <si>
    <t>Lançamentos (R$Mn)</t>
  </si>
  <si>
    <t>Receita Bruta (R$Mn)</t>
  </si>
  <si>
    <t>Captação Pre-Chaves</t>
  </si>
  <si>
    <t>TOTAL</t>
  </si>
  <si>
    <t>Receita Bruta</t>
  </si>
  <si>
    <t>Cresc %</t>
  </si>
  <si>
    <t>Impostos</t>
  </si>
  <si>
    <t>Impostos %</t>
  </si>
  <si>
    <t>Receita Líquida</t>
  </si>
  <si>
    <t>Custo</t>
  </si>
  <si>
    <t>Terreno</t>
  </si>
  <si>
    <t>Construção</t>
  </si>
  <si>
    <t>Percentual Medio Permuta</t>
  </si>
  <si>
    <t>Custo Terreno/ VGV</t>
  </si>
  <si>
    <t>Parcela Cash</t>
  </si>
  <si>
    <t>(mesmo ano)</t>
  </si>
  <si>
    <t>Permuta</t>
  </si>
  <si>
    <t>Cash</t>
  </si>
  <si>
    <t>1o Ano</t>
  </si>
  <si>
    <t>2o Ano</t>
  </si>
  <si>
    <t>Custo Obra/ Ano</t>
  </si>
  <si>
    <t>Obra/VGV</t>
  </si>
  <si>
    <t>Total</t>
  </si>
  <si>
    <t>Financiamento</t>
  </si>
  <si>
    <t>Juros</t>
  </si>
  <si>
    <t>a.a.</t>
  </si>
  <si>
    <t>Repagamento</t>
  </si>
  <si>
    <t>Despesas Comerciais</t>
  </si>
  <si>
    <t>Comissão Vendas</t>
  </si>
  <si>
    <t>% Despesas Comerciais</t>
  </si>
  <si>
    <t>(Fluxo de Caixa Operacional)</t>
  </si>
  <si>
    <t>Entradas</t>
  </si>
  <si>
    <t>Saídas</t>
  </si>
  <si>
    <t>Fluxo de Caixa Livre</t>
  </si>
  <si>
    <t>Construção Capital Próprio</t>
  </si>
  <si>
    <t>Firm Value</t>
  </si>
  <si>
    <t>Equity Value</t>
  </si>
  <si>
    <t>Custo de Construção</t>
  </si>
  <si>
    <t>Pagamento de Financ. a Construção</t>
  </si>
  <si>
    <t>Projeto A</t>
  </si>
  <si>
    <t>Projeto B</t>
  </si>
  <si>
    <t>Projeto C</t>
  </si>
  <si>
    <t>Projeto D</t>
  </si>
  <si>
    <t>Projeto E</t>
  </si>
  <si>
    <t>Projeto F</t>
  </si>
  <si>
    <t>Projeto G</t>
  </si>
  <si>
    <t>Projeto H</t>
  </si>
  <si>
    <t>Projeto J</t>
  </si>
  <si>
    <t>Projeto I</t>
  </si>
  <si>
    <t>Projeto</t>
  </si>
  <si>
    <t>Entrega</t>
  </si>
  <si>
    <t>Valor</t>
  </si>
  <si>
    <t>Estoque e Projeção de vendas (R$Mn)</t>
  </si>
  <si>
    <t>Estoque e Projeção de vendas (%)</t>
  </si>
  <si>
    <t>Estoque e Projeção de vendas (R$Mn) - PÓS COMISSÕES</t>
  </si>
  <si>
    <t>Despesa Incremental de Vendas</t>
  </si>
  <si>
    <t>Lançamento</t>
  </si>
  <si>
    <t>Ano  -1</t>
  </si>
  <si>
    <t>Ano  -2</t>
  </si>
  <si>
    <t>Projeto X</t>
  </si>
  <si>
    <t>Projeto Y</t>
  </si>
  <si>
    <t>% Vendido</t>
  </si>
  <si>
    <t>Vendido</t>
  </si>
  <si>
    <t>Projetado</t>
  </si>
  <si>
    <t>Diretor Presidente</t>
  </si>
  <si>
    <t>Diretor Incorporação</t>
  </si>
  <si>
    <t>Diretor Comercial</t>
  </si>
  <si>
    <t>Diretor de Operações</t>
  </si>
  <si>
    <t>Gerente de Incorporação</t>
  </si>
  <si>
    <t>Gerente Comercial</t>
  </si>
  <si>
    <t>Gerente Operações</t>
  </si>
  <si>
    <t>Supervisor Comercial</t>
  </si>
  <si>
    <t>(completar)</t>
  </si>
  <si>
    <t>Correção Real Anual</t>
  </si>
  <si>
    <t>Encargos</t>
  </si>
  <si>
    <t>Projeto 1</t>
  </si>
  <si>
    <t>Projeto 2</t>
  </si>
  <si>
    <t>Projeto 3</t>
  </si>
  <si>
    <t>Projeto 4</t>
  </si>
  <si>
    <t>A Contratar</t>
  </si>
  <si>
    <t>Estoque Pronto</t>
  </si>
  <si>
    <t>Já Lançados</t>
  </si>
  <si>
    <t>Estrutura Administrativa</t>
  </si>
  <si>
    <t>Aluguel</t>
  </si>
  <si>
    <t>Utilidades</t>
  </si>
  <si>
    <t>Prospecção</t>
  </si>
  <si>
    <t>Fluxo de Caixa</t>
  </si>
  <si>
    <t>Gastos Gerais</t>
  </si>
  <si>
    <t>Correção Real %</t>
  </si>
  <si>
    <t>Perpetuidade</t>
  </si>
  <si>
    <t>Fluxo Total</t>
  </si>
  <si>
    <t>Caixa Bruto</t>
  </si>
  <si>
    <t>Dívida Corporativa</t>
  </si>
  <si>
    <t>Total Projetos</t>
  </si>
  <si>
    <t>Outras Despesas</t>
  </si>
  <si>
    <t>% Outras Despesas</t>
  </si>
  <si>
    <t>Outros</t>
  </si>
  <si>
    <t>Salários Mensais</t>
  </si>
  <si>
    <t>Salários Totais Anuais em R$</t>
  </si>
  <si>
    <t>Total em R$Mn</t>
  </si>
  <si>
    <t>COMPANHIA REAL ESTATE - PROJETO 1</t>
  </si>
  <si>
    <t>COMPANHIA REAL ESTATE - PROJETO 2</t>
  </si>
  <si>
    <t>COMPANHIA REAL ESTATE - PROJETO 3</t>
  </si>
  <si>
    <t>COMPANHIA REAL ESTATE - PROJETO 4</t>
  </si>
  <si>
    <t>COMPANHIA REAL ESTATE - A CONTRATAR</t>
  </si>
  <si>
    <t>COMPANHIA REAL ESTATE - ESTOQUE PRONTO</t>
  </si>
  <si>
    <t>COMPANHIA REAL ESTATE - JÁ LANÇADOS</t>
  </si>
  <si>
    <t>COMPANHIA REAL ESTATE - CONSOLIDADO</t>
  </si>
  <si>
    <t>COMPANHIA REAL ESTATE - Estrutura Administrativa (G&amp;A)</t>
  </si>
  <si>
    <t>Valor a ser Vendido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</si>
</sst>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"/>
    <numFmt numFmtId="165" formatCode="0.0%"/>
    <numFmt numFmtId="166" formatCode="_-* #,##0_-;\-* #,##0_-;_-* &quot;-&quot;??_-;_-@_-"/>
    <numFmt numFmtId="167" formatCode="_-* #,##0.0_-;\-* #,##0.0_-;_-* &quot;-&quot;??_-;_-@_-"/>
    <numFmt numFmtId="168" formatCode="_-* #,##0.0_-;\-* #,##0.0_-;_-* &quot;-&quot;?_-;_-@_-"/>
    <numFmt numFmtId="169" formatCode="_-&quot;R$&quot;\ * #,##0.00_-;\-&quot;R$&quot;\ * #,##0.00_-;_-&quot;R$&quot;\ * &quot;-&quot;??_-;_-@\x"/>
    <numFmt numFmtId="170" formatCode="_-* #,##0.0\x_-;\-* #,##0.0_-;_-* &quot;-&quot;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id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0"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top"/>
    </xf>
    <xf numFmtId="0" fontId="2" fillId="3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9" fontId="0" fillId="0" borderId="0" xfId="0" applyNumberFormat="1"/>
    <xf numFmtId="9" fontId="0" fillId="4" borderId="0" xfId="0" applyNumberFormat="1" applyFill="1"/>
    <xf numFmtId="9" fontId="0" fillId="4" borderId="0" xfId="0" applyNumberFormat="1" applyFill="1" applyAlignment="1">
      <alignment horizontal="center"/>
    </xf>
    <xf numFmtId="9" fontId="0" fillId="4" borderId="0" xfId="0" applyNumberFormat="1" applyFill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165" fontId="0" fillId="4" borderId="0" xfId="0" applyNumberFormat="1" applyFill="1" applyAlignment="1">
      <alignment horizontal="center"/>
    </xf>
    <xf numFmtId="165" fontId="0" fillId="0" borderId="0" xfId="0" applyNumberFormat="1"/>
    <xf numFmtId="0" fontId="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/>
    </xf>
    <xf numFmtId="9" fontId="0" fillId="0" borderId="2" xfId="2" applyFont="1" applyBorder="1"/>
    <xf numFmtId="9" fontId="0" fillId="0" borderId="2" xfId="2" applyFont="1" applyBorder="1" applyAlignment="1">
      <alignment horizontal="center" vertical="center"/>
    </xf>
    <xf numFmtId="9" fontId="0" fillId="0" borderId="0" xfId="2" applyFont="1" applyBorder="1"/>
    <xf numFmtId="9" fontId="0" fillId="0" borderId="0" xfId="2" applyFont="1" applyBorder="1" applyAlignment="1">
      <alignment horizontal="center" vertical="center"/>
    </xf>
    <xf numFmtId="9" fontId="0" fillId="0" borderId="3" xfId="2" applyFont="1" applyBorder="1"/>
    <xf numFmtId="165" fontId="0" fillId="0" borderId="2" xfId="2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5" fontId="0" fillId="0" borderId="3" xfId="2" applyNumberFormat="1" applyFont="1" applyBorder="1" applyAlignment="1">
      <alignment horizontal="center"/>
    </xf>
    <xf numFmtId="9" fontId="0" fillId="0" borderId="3" xfId="2" applyFont="1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/>
    </xf>
    <xf numFmtId="43" fontId="0" fillId="0" borderId="0" xfId="1" applyFont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5" fillId="0" borderId="3" xfId="0" applyFont="1" applyBorder="1" applyAlignment="1">
      <alignment horizontal="right"/>
    </xf>
    <xf numFmtId="164" fontId="3" fillId="0" borderId="3" xfId="0" applyNumberFormat="1" applyFont="1" applyBorder="1"/>
    <xf numFmtId="0" fontId="8" fillId="0" borderId="3" xfId="0" applyFont="1" applyBorder="1" applyAlignment="1">
      <alignment horizontal="right"/>
    </xf>
    <xf numFmtId="164" fontId="0" fillId="0" borderId="3" xfId="0" applyNumberFormat="1" applyBorder="1"/>
    <xf numFmtId="2" fontId="0" fillId="0" borderId="0" xfId="0" applyNumberFormat="1"/>
    <xf numFmtId="164" fontId="0" fillId="0" borderId="0" xfId="0" applyNumberFormat="1"/>
    <xf numFmtId="0" fontId="9" fillId="0" borderId="0" xfId="0" applyFont="1"/>
    <xf numFmtId="2" fontId="0" fillId="0" borderId="2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2" fontId="0" fillId="1" borderId="2" xfId="0" applyNumberFormat="1" applyFill="1" applyBorder="1" applyAlignment="1">
      <alignment horizontal="center" vertical="center"/>
    </xf>
    <xf numFmtId="2" fontId="0" fillId="0" borderId="2" xfId="0" applyNumberFormat="1" applyBorder="1"/>
    <xf numFmtId="2" fontId="0" fillId="1" borderId="0" xfId="0" applyNumberFormat="1" applyFill="1" applyAlignment="1">
      <alignment horizontal="center" vertical="center"/>
    </xf>
    <xf numFmtId="0" fontId="3" fillId="0" borderId="3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43" fontId="3" fillId="0" borderId="3" xfId="1" applyFont="1" applyBorder="1"/>
    <xf numFmtId="43" fontId="0" fillId="0" borderId="3" xfId="0" applyNumberFormat="1" applyBorder="1"/>
    <xf numFmtId="166" fontId="0" fillId="0" borderId="0" xfId="1" applyNumberFormat="1" applyFont="1"/>
    <xf numFmtId="164" fontId="3" fillId="0" borderId="0" xfId="0" applyNumberFormat="1" applyFont="1"/>
    <xf numFmtId="164" fontId="0" fillId="0" borderId="2" xfId="0" applyNumberFormat="1" applyBorder="1"/>
    <xf numFmtId="0" fontId="10" fillId="0" borderId="0" xfId="0" applyFont="1" applyAlignment="1">
      <alignment horizontal="right"/>
    </xf>
    <xf numFmtId="0" fontId="11" fillId="0" borderId="0" xfId="0" applyFont="1"/>
    <xf numFmtId="165" fontId="10" fillId="0" borderId="0" xfId="2" applyNumberFormat="1" applyFont="1"/>
    <xf numFmtId="9" fontId="11" fillId="4" borderId="0" xfId="0" applyNumberFormat="1" applyFont="1" applyFill="1"/>
    <xf numFmtId="9" fontId="11" fillId="0" borderId="0" xfId="0" applyNumberFormat="1" applyFont="1"/>
    <xf numFmtId="43" fontId="0" fillId="0" borderId="0" xfId="0" applyNumberFormat="1"/>
    <xf numFmtId="0" fontId="0" fillId="0" borderId="2" xfId="0" applyBorder="1" applyAlignment="1">
      <alignment horizontal="center"/>
    </xf>
    <xf numFmtId="167" fontId="0" fillId="0" borderId="3" xfId="1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" fontId="0" fillId="0" borderId="0" xfId="0" applyNumberFormat="1"/>
    <xf numFmtId="0" fontId="4" fillId="0" borderId="0" xfId="0" applyFont="1" applyAlignment="1">
      <alignment horizontal="center"/>
    </xf>
    <xf numFmtId="167" fontId="0" fillId="0" borderId="2" xfId="1" applyNumberFormat="1" applyFont="1" applyFill="1" applyBorder="1" applyAlignment="1">
      <alignment horizontal="center" vertical="center"/>
    </xf>
    <xf numFmtId="43" fontId="3" fillId="0" borderId="0" xfId="1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17" fontId="0" fillId="0" borderId="2" xfId="0" applyNumberFormat="1" applyBorder="1"/>
    <xf numFmtId="43" fontId="3" fillId="0" borderId="2" xfId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17" fontId="0" fillId="0" borderId="3" xfId="0" applyNumberFormat="1" applyBorder="1"/>
    <xf numFmtId="43" fontId="3" fillId="0" borderId="3" xfId="1" applyFont="1" applyFill="1" applyBorder="1" applyAlignment="1">
      <alignment horizontal="center" vertical="center"/>
    </xf>
    <xf numFmtId="167" fontId="3" fillId="0" borderId="1" xfId="1" applyNumberFormat="1" applyFont="1" applyBorder="1" applyAlignment="1">
      <alignment horizontal="center" vertical="center"/>
    </xf>
    <xf numFmtId="43" fontId="3" fillId="0" borderId="1" xfId="1" applyFont="1" applyBorder="1"/>
    <xf numFmtId="43" fontId="0" fillId="0" borderId="1" xfId="1" applyFont="1" applyBorder="1"/>
    <xf numFmtId="0" fontId="3" fillId="0" borderId="0" xfId="0" applyFont="1" applyAlignment="1">
      <alignment horizontal="center" vertical="center"/>
    </xf>
    <xf numFmtId="167" fontId="3" fillId="0" borderId="0" xfId="1" applyNumberFormat="1" applyFont="1" applyBorder="1" applyAlignment="1">
      <alignment horizontal="center" vertical="center"/>
    </xf>
    <xf numFmtId="43" fontId="3" fillId="0" borderId="0" xfId="1" applyFont="1" applyBorder="1"/>
    <xf numFmtId="0" fontId="0" fillId="0" borderId="0" xfId="0" applyAlignment="1">
      <alignment horizontal="center" vertical="top"/>
    </xf>
    <xf numFmtId="167" fontId="0" fillId="0" borderId="0" xfId="1" applyNumberFormat="1" applyFont="1"/>
    <xf numFmtId="166" fontId="0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43" fontId="0" fillId="0" borderId="2" xfId="1" applyFont="1" applyFill="1" applyBorder="1" applyAlignment="1">
      <alignment horizontal="center"/>
    </xf>
    <xf numFmtId="43" fontId="0" fillId="0" borderId="0" xfId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2" fontId="0" fillId="0" borderId="5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166" fontId="3" fillId="0" borderId="1" xfId="0" applyNumberFormat="1" applyFont="1" applyBorder="1"/>
    <xf numFmtId="0" fontId="0" fillId="0" borderId="2" xfId="0" applyBorder="1" applyAlignment="1">
      <alignment horizontal="right"/>
    </xf>
    <xf numFmtId="0" fontId="4" fillId="0" borderId="3" xfId="0" applyFont="1" applyBorder="1" applyAlignment="1">
      <alignment horizontal="right"/>
    </xf>
    <xf numFmtId="0" fontId="0" fillId="0" borderId="1" xfId="0" applyBorder="1"/>
    <xf numFmtId="166" fontId="11" fillId="0" borderId="0" xfId="1" applyNumberFormat="1" applyFont="1" applyFill="1" applyBorder="1" applyAlignment="1">
      <alignment horizontal="center"/>
    </xf>
    <xf numFmtId="166" fontId="11" fillId="0" borderId="3" xfId="1" applyNumberFormat="1" applyFont="1" applyFill="1" applyBorder="1" applyAlignment="1">
      <alignment horizontal="center"/>
    </xf>
    <xf numFmtId="169" fontId="0" fillId="0" borderId="0" xfId="0" applyNumberFormat="1"/>
    <xf numFmtId="170" fontId="11" fillId="0" borderId="0" xfId="1" applyNumberFormat="1" applyFont="1" applyFill="1" applyBorder="1" applyAlignment="1">
      <alignment horizontal="center"/>
    </xf>
    <xf numFmtId="170" fontId="11" fillId="0" borderId="3" xfId="1" applyNumberFormat="1" applyFont="1" applyFill="1" applyBorder="1" applyAlignment="1">
      <alignment horizontal="center"/>
    </xf>
    <xf numFmtId="167" fontId="0" fillId="0" borderId="0" xfId="0" applyNumberFormat="1"/>
    <xf numFmtId="168" fontId="0" fillId="0" borderId="0" xfId="0" applyNumberFormat="1"/>
    <xf numFmtId="168" fontId="9" fillId="0" borderId="0" xfId="0" applyNumberFormat="1" applyFont="1"/>
    <xf numFmtId="43" fontId="3" fillId="0" borderId="0" xfId="0" applyNumberFormat="1" applyFont="1"/>
    <xf numFmtId="167" fontId="0" fillId="0" borderId="3" xfId="0" applyNumberFormat="1" applyBorder="1"/>
    <xf numFmtId="0" fontId="9" fillId="0" borderId="3" xfId="0" applyFont="1" applyBorder="1"/>
    <xf numFmtId="167" fontId="3" fillId="0" borderId="0" xfId="0" applyNumberFormat="1" applyFont="1"/>
    <xf numFmtId="167" fontId="3" fillId="0" borderId="1" xfId="0" applyNumberFormat="1" applyFont="1" applyBorder="1"/>
    <xf numFmtId="2" fontId="0" fillId="1" borderId="1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0" fillId="1" borderId="3" xfId="0" applyNumberFormat="1" applyFill="1" applyBorder="1" applyAlignment="1">
      <alignment horizontal="center" vertical="center"/>
    </xf>
    <xf numFmtId="0" fontId="3" fillId="0" borderId="3" xfId="0" applyFont="1" applyBorder="1"/>
    <xf numFmtId="0" fontId="4" fillId="0" borderId="3" xfId="0" applyFont="1" applyBorder="1" applyAlignment="1">
      <alignment horizontal="left" indent="1"/>
    </xf>
    <xf numFmtId="168" fontId="0" fillId="0" borderId="3" xfId="0" applyNumberFormat="1" applyBorder="1"/>
    <xf numFmtId="9" fontId="0" fillId="0" borderId="0" xfId="2" applyFont="1" applyBorder="1" applyAlignment="1">
      <alignment horizontal="center"/>
    </xf>
    <xf numFmtId="9" fontId="0" fillId="0" borderId="3" xfId="2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9" fontId="3" fillId="6" borderId="0" xfId="2" applyFont="1" applyFill="1" applyAlignment="1">
      <alignment horizontal="center" vertical="center"/>
    </xf>
    <xf numFmtId="9" fontId="0" fillId="6" borderId="2" xfId="2" applyFont="1" applyFill="1" applyBorder="1" applyAlignment="1">
      <alignment horizontal="center" vertical="center"/>
    </xf>
    <xf numFmtId="9" fontId="0" fillId="6" borderId="0" xfId="2" applyFont="1" applyFill="1" applyBorder="1" applyAlignment="1">
      <alignment horizontal="center" vertical="center"/>
    </xf>
    <xf numFmtId="9" fontId="0" fillId="6" borderId="0" xfId="2" applyFont="1" applyFill="1" applyBorder="1"/>
    <xf numFmtId="9" fontId="0" fillId="6" borderId="0" xfId="0" applyNumberFormat="1" applyFill="1"/>
    <xf numFmtId="9" fontId="11" fillId="6" borderId="0" xfId="0" applyNumberFormat="1" applyFont="1" applyFill="1"/>
    <xf numFmtId="9" fontId="0" fillId="6" borderId="0" xfId="0" applyNumberFormat="1" applyFill="1" applyAlignment="1">
      <alignment vertical="center"/>
    </xf>
    <xf numFmtId="9" fontId="0" fillId="6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164" fontId="0" fillId="6" borderId="0" xfId="0" applyNumberFormat="1" applyFill="1"/>
    <xf numFmtId="43" fontId="1" fillId="6" borderId="0" xfId="1" applyFont="1" applyFill="1"/>
    <xf numFmtId="43" fontId="1" fillId="6" borderId="3" xfId="1" applyFont="1" applyFill="1" applyBorder="1"/>
    <xf numFmtId="9" fontId="0" fillId="6" borderId="3" xfId="0" applyNumberFormat="1" applyFill="1" applyBorder="1"/>
    <xf numFmtId="165" fontId="11" fillId="6" borderId="0" xfId="2" applyNumberFormat="1" applyFont="1" applyFill="1"/>
    <xf numFmtId="0" fontId="11" fillId="6" borderId="2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1" fillId="6" borderId="3" xfId="0" applyFont="1" applyFill="1" applyBorder="1" applyAlignment="1">
      <alignment horizontal="center"/>
    </xf>
    <xf numFmtId="166" fontId="11" fillId="6" borderId="0" xfId="1" applyNumberFormat="1" applyFont="1" applyFill="1" applyBorder="1" applyAlignment="1">
      <alignment horizontal="center"/>
    </xf>
    <xf numFmtId="10" fontId="11" fillId="6" borderId="1" xfId="2" applyNumberFormat="1" applyFont="1" applyFill="1" applyBorder="1" applyAlignment="1">
      <alignment horizontal="center"/>
    </xf>
    <xf numFmtId="170" fontId="11" fillId="6" borderId="0" xfId="1" applyNumberFormat="1" applyFont="1" applyFill="1" applyBorder="1" applyAlignment="1">
      <alignment horizontal="center"/>
    </xf>
    <xf numFmtId="170" fontId="11" fillId="6" borderId="3" xfId="1" applyNumberFormat="1" applyFont="1" applyFill="1" applyBorder="1" applyAlignment="1">
      <alignment horizontal="center"/>
    </xf>
    <xf numFmtId="43" fontId="3" fillId="6" borderId="0" xfId="1" applyFont="1" applyFill="1" applyAlignment="1">
      <alignment horizontal="center" vertical="center"/>
    </xf>
    <xf numFmtId="0" fontId="11" fillId="6" borderId="0" xfId="0" applyFont="1" applyFill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4" fontId="0" fillId="1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3" fontId="3" fillId="7" borderId="0" xfId="1" applyFont="1" applyFill="1" applyAlignment="1">
      <alignment horizontal="center" vertical="center"/>
    </xf>
    <xf numFmtId="9" fontId="8" fillId="6" borderId="0" xfId="0" applyNumberFormat="1" applyFont="1" applyFill="1"/>
    <xf numFmtId="0" fontId="0" fillId="6" borderId="0" xfId="0" applyFill="1"/>
    <xf numFmtId="9" fontId="0" fillId="6" borderId="3" xfId="2" applyFont="1" applyFill="1" applyBorder="1" applyAlignment="1">
      <alignment horizontal="center" vertical="center"/>
    </xf>
    <xf numFmtId="0" fontId="0" fillId="6" borderId="3" xfId="0" applyFill="1" applyBorder="1"/>
    <xf numFmtId="9" fontId="0" fillId="6" borderId="0" xfId="2" applyFont="1" applyFill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74"/>
  <sheetViews>
    <sheetView showGridLines="0" tabSelected="1" topLeftCell="A68" workbookViewId="0">
      <selection activeCell="U73" sqref="U73"/>
    </sheetView>
  </sheetViews>
  <sheetFormatPr defaultColWidth="8.85546875" defaultRowHeight="15" outlineLevelRow="1" x14ac:dyDescent="0.25"/>
  <cols>
    <col min="1" max="1" width="1.42578125" customWidth="1"/>
    <col min="2" max="2" width="16.85546875" customWidth="1"/>
    <col min="4" max="4" width="12.42578125" bestFit="1" customWidth="1"/>
    <col min="13" max="13" width="9.42578125" bestFit="1" customWidth="1"/>
  </cols>
  <sheetData>
    <row r="2" spans="2:13" x14ac:dyDescent="0.25">
      <c r="B2" s="1" t="s">
        <v>112</v>
      </c>
      <c r="C2" s="1"/>
    </row>
    <row r="3" spans="2:13" x14ac:dyDescent="0.25">
      <c r="B3" s="4" t="s">
        <v>10</v>
      </c>
    </row>
    <row r="4" spans="2:13" ht="4.5" customHeight="1" x14ac:dyDescent="0.25"/>
    <row r="5" spans="2:13" x14ac:dyDescent="0.25">
      <c r="C5" s="4" t="s">
        <v>12</v>
      </c>
    </row>
    <row r="6" spans="2:13" ht="3" customHeight="1" x14ac:dyDescent="0.25">
      <c r="C6" s="4"/>
    </row>
    <row r="7" spans="2:13" x14ac:dyDescent="0.25">
      <c r="D7" s="2" t="s">
        <v>0</v>
      </c>
      <c r="E7" s="2" t="s">
        <v>1</v>
      </c>
      <c r="F7" s="2" t="s">
        <v>2</v>
      </c>
      <c r="G7" s="2" t="s">
        <v>3</v>
      </c>
      <c r="H7" s="2" t="s">
        <v>4</v>
      </c>
      <c r="I7" s="2" t="s">
        <v>5</v>
      </c>
      <c r="J7" s="2" t="s">
        <v>6</v>
      </c>
      <c r="K7" s="2" t="s">
        <v>7</v>
      </c>
      <c r="L7" s="2" t="s">
        <v>8</v>
      </c>
      <c r="M7" s="2" t="s">
        <v>9</v>
      </c>
    </row>
    <row r="8" spans="2:13" x14ac:dyDescent="0.25">
      <c r="D8" s="137">
        <v>100</v>
      </c>
      <c r="E8" s="137"/>
      <c r="F8" s="137"/>
      <c r="G8" s="137"/>
      <c r="H8" s="137"/>
      <c r="I8" s="137"/>
      <c r="J8" s="137"/>
      <c r="K8" s="137"/>
      <c r="L8" s="137"/>
      <c r="M8" s="137"/>
    </row>
    <row r="10" spans="2:13" x14ac:dyDescent="0.25">
      <c r="C10" t="s">
        <v>40</v>
      </c>
      <c r="E10" s="138">
        <v>0.04</v>
      </c>
    </row>
    <row r="12" spans="2:13" x14ac:dyDescent="0.25">
      <c r="C12" s="4" t="s">
        <v>12</v>
      </c>
    </row>
    <row r="13" spans="2:13" ht="3" customHeight="1" x14ac:dyDescent="0.25">
      <c r="C13" s="4"/>
    </row>
    <row r="14" spans="2:13" outlineLevel="1" x14ac:dyDescent="0.25">
      <c r="D14" s="2" t="s">
        <v>0</v>
      </c>
      <c r="E14" s="2" t="s">
        <v>1</v>
      </c>
      <c r="F14" s="2" t="s">
        <v>2</v>
      </c>
      <c r="G14" s="2" t="s">
        <v>3</v>
      </c>
      <c r="H14" s="2" t="s">
        <v>4</v>
      </c>
      <c r="I14" s="2" t="s">
        <v>5</v>
      </c>
      <c r="J14" s="2" t="s">
        <v>6</v>
      </c>
      <c r="K14" s="2" t="s">
        <v>7</v>
      </c>
      <c r="L14" s="2" t="s">
        <v>8</v>
      </c>
      <c r="M14" s="2" t="s">
        <v>9</v>
      </c>
    </row>
    <row r="15" spans="2:13" outlineLevel="1" x14ac:dyDescent="0.25">
      <c r="C15" s="2" t="s">
        <v>0</v>
      </c>
      <c r="D15" s="77">
        <f>+D$8*(1-$E$10)</f>
        <v>96</v>
      </c>
      <c r="E15" s="28"/>
      <c r="F15" s="28"/>
      <c r="G15" s="28"/>
      <c r="H15" s="28"/>
      <c r="I15" s="28"/>
      <c r="J15" s="28"/>
      <c r="K15" s="28"/>
      <c r="L15" s="28"/>
      <c r="M15" s="28"/>
    </row>
    <row r="16" spans="2:13" outlineLevel="1" x14ac:dyDescent="0.25">
      <c r="C16" s="2" t="s">
        <v>1</v>
      </c>
      <c r="E16" s="3">
        <f>+E$8*(1-$E$10)</f>
        <v>0</v>
      </c>
    </row>
    <row r="17" spans="3:16" outlineLevel="1" x14ac:dyDescent="0.25">
      <c r="C17" s="2" t="s">
        <v>2</v>
      </c>
      <c r="F17" s="3">
        <f>+F$8*(1-$E$10)</f>
        <v>0</v>
      </c>
    </row>
    <row r="18" spans="3:16" outlineLevel="1" x14ac:dyDescent="0.25">
      <c r="C18" s="2" t="s">
        <v>3</v>
      </c>
      <c r="G18" s="3">
        <f>+G$8*(1-$E$10)</f>
        <v>0</v>
      </c>
    </row>
    <row r="19" spans="3:16" outlineLevel="1" x14ac:dyDescent="0.25">
      <c r="C19" s="2" t="s">
        <v>4</v>
      </c>
      <c r="H19" s="3">
        <f>+H$8*(1-$E$10)</f>
        <v>0</v>
      </c>
    </row>
    <row r="20" spans="3:16" outlineLevel="1" x14ac:dyDescent="0.25">
      <c r="C20" s="2" t="s">
        <v>5</v>
      </c>
      <c r="I20" s="3">
        <f>+I$8*(1-$E$10)</f>
        <v>0</v>
      </c>
    </row>
    <row r="21" spans="3:16" outlineLevel="1" x14ac:dyDescent="0.25">
      <c r="C21" s="2" t="s">
        <v>6</v>
      </c>
      <c r="J21" s="3">
        <f>+J$8*(1-$E$10)</f>
        <v>0</v>
      </c>
    </row>
    <row r="22" spans="3:16" outlineLevel="1" x14ac:dyDescent="0.25">
      <c r="C22" s="2" t="s">
        <v>7</v>
      </c>
      <c r="K22" s="3">
        <f>+K$8*(1-$E$10)</f>
        <v>0</v>
      </c>
    </row>
    <row r="23" spans="3:16" outlineLevel="1" x14ac:dyDescent="0.25">
      <c r="C23" s="2" t="s">
        <v>8</v>
      </c>
      <c r="L23" s="3">
        <f>+L$8*(1-$E$10)</f>
        <v>0</v>
      </c>
    </row>
    <row r="24" spans="3:16" outlineLevel="1" x14ac:dyDescent="0.25">
      <c r="C24" s="2" t="s">
        <v>9</v>
      </c>
      <c r="D24" s="29"/>
      <c r="E24" s="29"/>
      <c r="F24" s="29"/>
      <c r="G24" s="29"/>
      <c r="H24" s="29"/>
      <c r="I24" s="29"/>
      <c r="J24" s="29"/>
      <c r="K24" s="29"/>
      <c r="L24" s="29"/>
      <c r="M24" s="39">
        <f>+M$8*(1-$E$10)</f>
        <v>0</v>
      </c>
    </row>
    <row r="25" spans="3:16" x14ac:dyDescent="0.25">
      <c r="D25" s="30">
        <f>SUM(D15:D24)</f>
        <v>96</v>
      </c>
      <c r="E25" s="30">
        <f t="shared" ref="E25:M25" si="0">SUM(E15:E24)</f>
        <v>0</v>
      </c>
      <c r="F25" s="30">
        <f t="shared" si="0"/>
        <v>0</v>
      </c>
      <c r="G25" s="30">
        <f t="shared" si="0"/>
        <v>0</v>
      </c>
      <c r="H25" s="30">
        <f t="shared" si="0"/>
        <v>0</v>
      </c>
      <c r="I25" s="30">
        <f t="shared" si="0"/>
        <v>0</v>
      </c>
      <c r="J25" s="30">
        <f t="shared" si="0"/>
        <v>0</v>
      </c>
      <c r="K25" s="30">
        <f t="shared" si="0"/>
        <v>0</v>
      </c>
      <c r="L25" s="30">
        <f t="shared" si="0"/>
        <v>0</v>
      </c>
      <c r="M25" s="30">
        <f t="shared" si="0"/>
        <v>0</v>
      </c>
    </row>
    <row r="27" spans="3:16" x14ac:dyDescent="0.25">
      <c r="C27" s="4" t="s">
        <v>11</v>
      </c>
    </row>
    <row r="28" spans="3:16" ht="4.5" customHeight="1" x14ac:dyDescent="0.25">
      <c r="C28" s="4"/>
    </row>
    <row r="29" spans="3:16" outlineLevel="1" x14ac:dyDescent="0.25">
      <c r="D29" s="2" t="s">
        <v>0</v>
      </c>
      <c r="E29" s="2" t="s">
        <v>1</v>
      </c>
      <c r="F29" s="2" t="s">
        <v>2</v>
      </c>
      <c r="G29" s="2" t="s">
        <v>3</v>
      </c>
      <c r="H29" s="2" t="s">
        <v>4</v>
      </c>
      <c r="I29" s="2" t="s">
        <v>5</v>
      </c>
      <c r="J29" s="2" t="s">
        <v>6</v>
      </c>
      <c r="K29" s="2" t="s">
        <v>7</v>
      </c>
      <c r="L29" s="2" t="s">
        <v>8</v>
      </c>
      <c r="M29" s="2" t="s">
        <v>9</v>
      </c>
    </row>
    <row r="30" spans="3:16" outlineLevel="1" x14ac:dyDescent="0.25">
      <c r="C30" s="2" t="s">
        <v>0</v>
      </c>
      <c r="D30" s="139">
        <v>0.4</v>
      </c>
      <c r="E30" s="139">
        <v>0.2</v>
      </c>
      <c r="F30" s="139">
        <v>0.3</v>
      </c>
      <c r="G30" s="139">
        <v>0.1</v>
      </c>
      <c r="H30" s="31"/>
      <c r="I30" s="31"/>
      <c r="J30" s="31"/>
      <c r="K30" s="31"/>
      <c r="L30" s="31"/>
      <c r="M30" s="31"/>
      <c r="N30" s="32"/>
      <c r="O30" s="28"/>
      <c r="P30" s="28"/>
    </row>
    <row r="31" spans="3:16" outlineLevel="1" x14ac:dyDescent="0.25">
      <c r="C31" s="2" t="s">
        <v>1</v>
      </c>
      <c r="D31" s="33"/>
      <c r="E31" s="140"/>
      <c r="F31" s="140"/>
      <c r="G31" s="140"/>
      <c r="H31" s="141"/>
      <c r="I31" s="33"/>
      <c r="J31" s="33"/>
      <c r="K31" s="33"/>
      <c r="L31" s="33"/>
      <c r="M31" s="33"/>
      <c r="N31" s="34"/>
    </row>
    <row r="32" spans="3:16" outlineLevel="1" x14ac:dyDescent="0.25">
      <c r="C32" s="2" t="s">
        <v>2</v>
      </c>
      <c r="D32" s="33"/>
      <c r="E32" s="33"/>
      <c r="F32" s="140"/>
      <c r="G32" s="140"/>
      <c r="H32" s="140"/>
      <c r="I32" s="141"/>
      <c r="J32" s="33"/>
      <c r="K32" s="33"/>
      <c r="L32" s="33"/>
      <c r="M32" s="33"/>
      <c r="N32" s="34"/>
    </row>
    <row r="33" spans="3:16" outlineLevel="1" x14ac:dyDescent="0.25">
      <c r="C33" s="2" t="s">
        <v>3</v>
      </c>
      <c r="D33" s="33"/>
      <c r="E33" s="33"/>
      <c r="F33" s="33"/>
      <c r="G33" s="140"/>
      <c r="H33" s="140"/>
      <c r="I33" s="140"/>
      <c r="J33" s="141"/>
      <c r="K33" s="33"/>
      <c r="L33" s="33"/>
      <c r="M33" s="33"/>
      <c r="N33" s="34"/>
    </row>
    <row r="34" spans="3:16" outlineLevel="1" x14ac:dyDescent="0.25">
      <c r="C34" s="2" t="s">
        <v>4</v>
      </c>
      <c r="D34" s="33"/>
      <c r="E34" s="33"/>
      <c r="F34" s="33"/>
      <c r="G34" s="33"/>
      <c r="H34" s="140"/>
      <c r="I34" s="140"/>
      <c r="J34" s="140"/>
      <c r="K34" s="141"/>
      <c r="L34" s="33"/>
      <c r="M34" s="33"/>
      <c r="N34" s="34"/>
    </row>
    <row r="35" spans="3:16" outlineLevel="1" x14ac:dyDescent="0.25">
      <c r="C35" s="2" t="s">
        <v>5</v>
      </c>
      <c r="D35" s="33"/>
      <c r="E35" s="33"/>
      <c r="F35" s="33"/>
      <c r="G35" s="33"/>
      <c r="H35" s="33"/>
      <c r="I35" s="140"/>
      <c r="J35" s="140"/>
      <c r="K35" s="140"/>
      <c r="L35" s="141"/>
      <c r="M35" s="33"/>
      <c r="N35" s="34"/>
    </row>
    <row r="36" spans="3:16" outlineLevel="1" x14ac:dyDescent="0.25">
      <c r="C36" s="2" t="s">
        <v>6</v>
      </c>
      <c r="D36" s="33"/>
      <c r="E36" s="33"/>
      <c r="F36" s="33"/>
      <c r="G36" s="33"/>
      <c r="H36" s="33"/>
      <c r="I36" s="33"/>
      <c r="J36" s="140"/>
      <c r="K36" s="140"/>
      <c r="L36" s="140"/>
      <c r="M36" s="141"/>
      <c r="N36" s="34"/>
    </row>
    <row r="37" spans="3:16" outlineLevel="1" x14ac:dyDescent="0.25">
      <c r="C37" s="2" t="s">
        <v>7</v>
      </c>
      <c r="D37" s="33"/>
      <c r="E37" s="33"/>
      <c r="F37" s="33"/>
      <c r="G37" s="33"/>
      <c r="H37" s="33"/>
      <c r="I37" s="33"/>
      <c r="J37" s="33"/>
      <c r="K37" s="140"/>
      <c r="L37" s="140"/>
      <c r="M37" s="140"/>
      <c r="N37" s="141"/>
    </row>
    <row r="38" spans="3:16" outlineLevel="1" x14ac:dyDescent="0.25">
      <c r="C38" s="2" t="s">
        <v>8</v>
      </c>
      <c r="D38" s="33"/>
      <c r="E38" s="33"/>
      <c r="F38" s="33"/>
      <c r="G38" s="33"/>
      <c r="H38" s="33"/>
      <c r="I38" s="33"/>
      <c r="J38" s="33"/>
      <c r="K38" s="33"/>
      <c r="L38" s="140"/>
      <c r="M38" s="140"/>
      <c r="N38" s="140"/>
      <c r="O38" s="141"/>
    </row>
    <row r="39" spans="3:16" outlineLevel="1" x14ac:dyDescent="0.25">
      <c r="C39" s="2" t="s">
        <v>9</v>
      </c>
      <c r="D39" s="35"/>
      <c r="E39" s="35"/>
      <c r="F39" s="35"/>
      <c r="G39" s="35"/>
      <c r="H39" s="35"/>
      <c r="I39" s="35"/>
      <c r="J39" s="35"/>
      <c r="K39" s="35"/>
      <c r="L39" s="35"/>
      <c r="M39" s="140"/>
      <c r="N39" s="140"/>
      <c r="O39" s="140"/>
      <c r="P39" s="141"/>
    </row>
    <row r="41" spans="3:16" x14ac:dyDescent="0.25">
      <c r="C41" s="6" t="s">
        <v>14</v>
      </c>
      <c r="F41" s="140">
        <v>0.9</v>
      </c>
    </row>
    <row r="42" spans="3:16" ht="5.25" customHeight="1" x14ac:dyDescent="0.25"/>
    <row r="43" spans="3:16" outlineLevel="1" x14ac:dyDescent="0.25">
      <c r="D43" s="2" t="s">
        <v>0</v>
      </c>
      <c r="E43" s="2" t="s">
        <v>1</v>
      </c>
      <c r="F43" s="2" t="s">
        <v>2</v>
      </c>
      <c r="G43" s="2" t="s">
        <v>3</v>
      </c>
      <c r="H43" s="2" t="s">
        <v>4</v>
      </c>
      <c r="I43" s="2" t="s">
        <v>5</v>
      </c>
      <c r="J43" s="2" t="s">
        <v>6</v>
      </c>
      <c r="K43" s="2" t="s">
        <v>7</v>
      </c>
      <c r="L43" s="2" t="s">
        <v>8</v>
      </c>
      <c r="M43" s="2" t="s">
        <v>9</v>
      </c>
      <c r="N43" s="2" t="s">
        <v>15</v>
      </c>
    </row>
    <row r="44" spans="3:16" outlineLevel="1" x14ac:dyDescent="0.25">
      <c r="C44" s="7">
        <v>1</v>
      </c>
      <c r="D44" s="36">
        <f>+$F$41/3</f>
        <v>0.3</v>
      </c>
      <c r="E44" s="36">
        <f>+F41/3</f>
        <v>0.3</v>
      </c>
      <c r="F44" s="36">
        <f>+F41/3</f>
        <v>0.3</v>
      </c>
      <c r="G44" s="36">
        <f>+(1-$F$41)</f>
        <v>9.9999999999999978E-2</v>
      </c>
      <c r="H44" s="37"/>
      <c r="I44" s="37"/>
      <c r="J44" s="37"/>
      <c r="K44" s="28"/>
      <c r="L44" s="28"/>
      <c r="M44" s="28"/>
      <c r="N44" s="32">
        <f>SUM(D44:M44)</f>
        <v>0.99999999999999989</v>
      </c>
    </row>
    <row r="45" spans="3:16" outlineLevel="1" x14ac:dyDescent="0.25">
      <c r="C45" s="7">
        <v>2</v>
      </c>
      <c r="D45" s="3"/>
      <c r="E45" s="38">
        <f>+$F$41/2</f>
        <v>0.45</v>
      </c>
      <c r="F45" s="38">
        <f>+$F$41/2</f>
        <v>0.45</v>
      </c>
      <c r="G45" s="38">
        <f>+(1-$F$41)</f>
        <v>9.9999999999999978E-2</v>
      </c>
      <c r="H45" s="8"/>
      <c r="I45" s="8"/>
      <c r="J45" s="8"/>
      <c r="N45" s="34">
        <f>SUM(D45:M45)</f>
        <v>1</v>
      </c>
    </row>
    <row r="46" spans="3:16" outlineLevel="1" x14ac:dyDescent="0.25">
      <c r="C46" s="7">
        <v>3</v>
      </c>
      <c r="D46" s="3"/>
      <c r="E46" s="8"/>
      <c r="F46" s="38">
        <f>+$F$41</f>
        <v>0.9</v>
      </c>
      <c r="G46" s="38">
        <f>+(1-$F$41)</f>
        <v>9.9999999999999978E-2</v>
      </c>
      <c r="H46" s="8"/>
      <c r="I46" s="8"/>
      <c r="J46" s="8"/>
      <c r="N46" s="34">
        <f>SUM(D46:M46)</f>
        <v>1</v>
      </c>
    </row>
    <row r="47" spans="3:16" outlineLevel="1" x14ac:dyDescent="0.25">
      <c r="C47" s="7">
        <v>4</v>
      </c>
      <c r="D47" s="39"/>
      <c r="E47" s="40"/>
      <c r="F47" s="40"/>
      <c r="G47" s="41">
        <v>1</v>
      </c>
      <c r="H47" s="40"/>
      <c r="I47" s="40"/>
      <c r="J47" s="40"/>
      <c r="K47" s="29"/>
      <c r="L47" s="29"/>
      <c r="M47" s="29"/>
      <c r="N47" s="42">
        <f>SUM(D47:M47)</f>
        <v>1</v>
      </c>
    </row>
    <row r="48" spans="3:16" x14ac:dyDescent="0.25">
      <c r="D48" s="3"/>
      <c r="E48" s="8"/>
      <c r="F48" s="8"/>
      <c r="G48" s="8"/>
      <c r="H48" s="8"/>
      <c r="I48" s="8"/>
      <c r="J48" s="8"/>
      <c r="N48" s="10"/>
    </row>
    <row r="49" spans="3:17" x14ac:dyDescent="0.25">
      <c r="C49" s="4" t="s">
        <v>13</v>
      </c>
    </row>
    <row r="50" spans="3:17" ht="5.25" customHeight="1" x14ac:dyDescent="0.25">
      <c r="C50" s="4"/>
    </row>
    <row r="51" spans="3:17" x14ac:dyDescent="0.25">
      <c r="D51" s="2" t="s">
        <v>0</v>
      </c>
      <c r="E51" s="2" t="s">
        <v>1</v>
      </c>
      <c r="F51" s="2" t="s">
        <v>2</v>
      </c>
      <c r="G51" s="2" t="s">
        <v>3</v>
      </c>
      <c r="H51" s="2" t="s">
        <v>4</v>
      </c>
      <c r="I51" s="2" t="s">
        <v>5</v>
      </c>
      <c r="J51" s="2" t="s">
        <v>6</v>
      </c>
      <c r="K51" s="2" t="s">
        <v>7</v>
      </c>
      <c r="L51" s="2" t="s">
        <v>8</v>
      </c>
      <c r="M51" s="2" t="s">
        <v>9</v>
      </c>
      <c r="Q51" s="2" t="s">
        <v>15</v>
      </c>
    </row>
    <row r="52" spans="3:17" outlineLevel="1" x14ac:dyDescent="0.25">
      <c r="C52" s="7" t="s">
        <v>0</v>
      </c>
      <c r="D52" s="37">
        <f>+$D$15*$D$30*D$44</f>
        <v>11.520000000000001</v>
      </c>
      <c r="E52" s="37">
        <f>+$D$15*$D$30*E$44</f>
        <v>11.520000000000001</v>
      </c>
      <c r="F52" s="37">
        <f>+$D$15*$D$30*F$44</f>
        <v>11.520000000000001</v>
      </c>
      <c r="G52" s="37">
        <f>+$D$15*$D$30*G$44</f>
        <v>3.84</v>
      </c>
      <c r="H52" s="37"/>
      <c r="I52" s="37"/>
      <c r="J52" s="37"/>
      <c r="K52" s="28"/>
      <c r="L52" s="28"/>
      <c r="M52" s="28"/>
      <c r="N52" s="43"/>
      <c r="O52" s="28"/>
      <c r="P52" s="28"/>
      <c r="Q52" s="44">
        <f>SUM(D52:P52)</f>
        <v>38.400000000000006</v>
      </c>
    </row>
    <row r="53" spans="3:17" outlineLevel="1" x14ac:dyDescent="0.25">
      <c r="C53" s="7" t="s">
        <v>0</v>
      </c>
      <c r="D53" s="3"/>
      <c r="E53" s="8">
        <f>+$D$15*$E$30*$E$45</f>
        <v>8.6400000000000023</v>
      </c>
      <c r="F53" s="8">
        <f>+$D$15*$E$30*$F$45</f>
        <v>8.6400000000000023</v>
      </c>
      <c r="G53" s="8">
        <f>+$D$15*$E$30*$G$45</f>
        <v>1.92</v>
      </c>
      <c r="H53" s="8"/>
      <c r="I53" s="8"/>
      <c r="J53" s="8"/>
      <c r="N53" s="45"/>
      <c r="Q53" s="11">
        <f t="shared" ref="Q53:Q91" si="1">SUM(D53:P53)</f>
        <v>19.200000000000003</v>
      </c>
    </row>
    <row r="54" spans="3:17" outlineLevel="1" x14ac:dyDescent="0.25">
      <c r="C54" s="7" t="s">
        <v>0</v>
      </c>
      <c r="D54" s="3"/>
      <c r="E54" s="8"/>
      <c r="F54" s="8">
        <f>+$D$15*$F$30*$F$46</f>
        <v>25.919999999999998</v>
      </c>
      <c r="G54" s="8">
        <f>+$D$15*$F$30*$G$46</f>
        <v>2.879999999999999</v>
      </c>
      <c r="H54" s="8"/>
      <c r="I54" s="8"/>
      <c r="J54" s="8"/>
      <c r="N54" s="45"/>
      <c r="Q54" s="11">
        <f t="shared" si="1"/>
        <v>28.799999999999997</v>
      </c>
    </row>
    <row r="55" spans="3:17" outlineLevel="1" x14ac:dyDescent="0.25">
      <c r="C55" s="7" t="s">
        <v>0</v>
      </c>
      <c r="D55" s="39"/>
      <c r="E55" s="40"/>
      <c r="F55" s="40"/>
      <c r="G55" s="40">
        <f>+$D$15*$G$30*$G$47</f>
        <v>9.6000000000000014</v>
      </c>
      <c r="H55" s="40"/>
      <c r="I55" s="40"/>
      <c r="J55" s="40"/>
      <c r="K55" s="29"/>
      <c r="L55" s="29"/>
      <c r="M55" s="29"/>
      <c r="N55" s="46"/>
      <c r="O55" s="29"/>
      <c r="P55" s="29"/>
      <c r="Q55" s="47">
        <f t="shared" si="1"/>
        <v>9.6000000000000014</v>
      </c>
    </row>
    <row r="56" spans="3:17" outlineLevel="1" x14ac:dyDescent="0.25">
      <c r="C56" s="2" t="s">
        <v>1</v>
      </c>
      <c r="E56" s="8">
        <f>+$E$16*$E$31*D$44</f>
        <v>0</v>
      </c>
      <c r="F56" s="8">
        <f t="shared" ref="F56:H56" si="2">+$E$16*$E$31*E$44</f>
        <v>0</v>
      </c>
      <c r="G56" s="8">
        <f t="shared" si="2"/>
        <v>0</v>
      </c>
      <c r="H56" s="8">
        <f t="shared" si="2"/>
        <v>0</v>
      </c>
      <c r="I56" s="8"/>
      <c r="J56" s="8"/>
      <c r="K56" s="8"/>
      <c r="N56" s="10"/>
      <c r="Q56" s="11">
        <f t="shared" si="1"/>
        <v>0</v>
      </c>
    </row>
    <row r="57" spans="3:17" outlineLevel="1" x14ac:dyDescent="0.25">
      <c r="C57" s="2" t="s">
        <v>1</v>
      </c>
      <c r="E57" s="3"/>
      <c r="F57" s="8">
        <f>+$E$16*$F$31*E$45</f>
        <v>0</v>
      </c>
      <c r="G57" s="8">
        <f>+$E$16*$F$31*F$45</f>
        <v>0</v>
      </c>
      <c r="H57" s="8">
        <f>+$E$16*$F$31*G$45</f>
        <v>0</v>
      </c>
      <c r="I57" s="8"/>
      <c r="J57" s="8"/>
      <c r="K57" s="8"/>
      <c r="N57" s="10"/>
      <c r="Q57" s="11">
        <f t="shared" si="1"/>
        <v>0</v>
      </c>
    </row>
    <row r="58" spans="3:17" outlineLevel="1" x14ac:dyDescent="0.25">
      <c r="C58" s="2" t="s">
        <v>1</v>
      </c>
      <c r="E58" s="3"/>
      <c r="F58" s="8"/>
      <c r="G58" s="8">
        <f>+$E$16*$G$31*$F$46</f>
        <v>0</v>
      </c>
      <c r="H58" s="8">
        <f>+$E$16*$G$31*$G$46</f>
        <v>0</v>
      </c>
      <c r="I58" s="8"/>
      <c r="J58" s="8"/>
      <c r="K58" s="8"/>
      <c r="N58" s="10"/>
      <c r="Q58" s="11">
        <f t="shared" si="1"/>
        <v>0</v>
      </c>
    </row>
    <row r="59" spans="3:17" outlineLevel="1" x14ac:dyDescent="0.25">
      <c r="C59" s="2" t="s">
        <v>1</v>
      </c>
      <c r="E59" s="3"/>
      <c r="F59" s="8"/>
      <c r="G59" s="8"/>
      <c r="H59" s="8">
        <f>+$E$16*$H$31*$G$47</f>
        <v>0</v>
      </c>
      <c r="I59" s="8"/>
      <c r="J59" s="8"/>
      <c r="K59" s="8"/>
      <c r="N59" s="10"/>
      <c r="Q59" s="11">
        <f t="shared" si="1"/>
        <v>0</v>
      </c>
    </row>
    <row r="60" spans="3:17" outlineLevel="1" x14ac:dyDescent="0.25">
      <c r="C60" s="7" t="s">
        <v>2</v>
      </c>
      <c r="D60" s="28"/>
      <c r="E60" s="28"/>
      <c r="F60" s="37">
        <f>+$F$17*$F$32*D$44</f>
        <v>0</v>
      </c>
      <c r="G60" s="37">
        <f>+$F$17*$F$32*E$44</f>
        <v>0</v>
      </c>
      <c r="H60" s="37">
        <f>+$F$17*$F$32*F$44</f>
        <v>0</v>
      </c>
      <c r="I60" s="37">
        <f>+$F$17*$F$32*G$44</f>
        <v>0</v>
      </c>
      <c r="J60" s="28"/>
      <c r="K60" s="28"/>
      <c r="L60" s="28"/>
      <c r="M60" s="28"/>
      <c r="N60" s="43"/>
      <c r="O60" s="28"/>
      <c r="P60" s="28"/>
      <c r="Q60" s="44">
        <f t="shared" si="1"/>
        <v>0</v>
      </c>
    </row>
    <row r="61" spans="3:17" outlineLevel="1" x14ac:dyDescent="0.25">
      <c r="C61" s="7" t="s">
        <v>2</v>
      </c>
      <c r="F61" s="3"/>
      <c r="G61" s="8">
        <f>+$F$17*$G$32*E$45</f>
        <v>0</v>
      </c>
      <c r="H61" s="8">
        <f>+$F$17*$G$32*F$45</f>
        <v>0</v>
      </c>
      <c r="I61" s="8">
        <f>+$F$17*$G$32*G$45</f>
        <v>0</v>
      </c>
      <c r="J61" s="8"/>
      <c r="N61" s="45"/>
      <c r="Q61" s="11">
        <f t="shared" si="1"/>
        <v>0</v>
      </c>
    </row>
    <row r="62" spans="3:17" outlineLevel="1" x14ac:dyDescent="0.25">
      <c r="C62" s="7" t="s">
        <v>2</v>
      </c>
      <c r="F62" s="3"/>
      <c r="G62" s="8"/>
      <c r="H62" s="8">
        <f>+$F$17*$H$32*F$46</f>
        <v>0</v>
      </c>
      <c r="I62" s="8">
        <f>+$F$17*$H$32*G$46</f>
        <v>0</v>
      </c>
      <c r="K62" s="3"/>
      <c r="N62" s="45"/>
      <c r="Q62" s="11">
        <f t="shared" si="1"/>
        <v>0</v>
      </c>
    </row>
    <row r="63" spans="3:17" outlineLevel="1" x14ac:dyDescent="0.25">
      <c r="C63" s="7" t="s">
        <v>2</v>
      </c>
      <c r="D63" s="29"/>
      <c r="E63" s="29"/>
      <c r="F63" s="39"/>
      <c r="G63" s="40"/>
      <c r="H63" s="40"/>
      <c r="I63" s="40">
        <f>+$F$17*$I$32*$G$47</f>
        <v>0</v>
      </c>
      <c r="J63" s="29"/>
      <c r="K63" s="29"/>
      <c r="L63" s="39"/>
      <c r="M63" s="29"/>
      <c r="N63" s="46"/>
      <c r="O63" s="29"/>
      <c r="P63" s="29"/>
      <c r="Q63" s="47">
        <f t="shared" si="1"/>
        <v>0</v>
      </c>
    </row>
    <row r="64" spans="3:17" outlineLevel="1" x14ac:dyDescent="0.25">
      <c r="C64" s="2" t="s">
        <v>3</v>
      </c>
      <c r="G64" s="8">
        <f>+$G$18*$G$33*D$44</f>
        <v>0</v>
      </c>
      <c r="H64" s="8">
        <f>+$G$18*$G$33*E$44</f>
        <v>0</v>
      </c>
      <c r="I64" s="8">
        <f>+$G$18*$G$33*F$44</f>
        <v>0</v>
      </c>
      <c r="J64" s="8">
        <f>+$G$18*$G$33*G$44</f>
        <v>0</v>
      </c>
      <c r="M64" s="3"/>
      <c r="Q64" s="11">
        <f t="shared" si="1"/>
        <v>0</v>
      </c>
    </row>
    <row r="65" spans="3:17" outlineLevel="1" x14ac:dyDescent="0.25">
      <c r="C65" s="2" t="s">
        <v>3</v>
      </c>
      <c r="G65" s="3"/>
      <c r="H65" s="8">
        <f>+$G$18*$H$33*E$45</f>
        <v>0</v>
      </c>
      <c r="I65" s="8">
        <f>+$G$18*$H$33*F$45</f>
        <v>0</v>
      </c>
      <c r="J65" s="8">
        <f>+$G$18*$H$33*G$45</f>
        <v>0</v>
      </c>
      <c r="Q65" s="11">
        <f t="shared" si="1"/>
        <v>0</v>
      </c>
    </row>
    <row r="66" spans="3:17" outlineLevel="1" x14ac:dyDescent="0.25">
      <c r="C66" s="2" t="s">
        <v>3</v>
      </c>
      <c r="G66" s="3"/>
      <c r="H66" s="8"/>
      <c r="I66" s="8">
        <f>+$G$18*$I$33*F$46</f>
        <v>0</v>
      </c>
      <c r="J66" s="8">
        <f>+$G$18*$I$33*G$46</f>
        <v>0</v>
      </c>
      <c r="Q66" s="11">
        <f t="shared" si="1"/>
        <v>0</v>
      </c>
    </row>
    <row r="67" spans="3:17" outlineLevel="1" x14ac:dyDescent="0.25">
      <c r="C67" s="2" t="s">
        <v>3</v>
      </c>
      <c r="G67" s="3"/>
      <c r="H67" s="8"/>
      <c r="I67" s="8"/>
      <c r="J67" s="8">
        <f>+$G$18*$J$33*G$47</f>
        <v>0</v>
      </c>
      <c r="Q67" s="11">
        <f t="shared" si="1"/>
        <v>0</v>
      </c>
    </row>
    <row r="68" spans="3:17" outlineLevel="1" x14ac:dyDescent="0.25">
      <c r="C68" s="7" t="s">
        <v>4</v>
      </c>
      <c r="D68" s="28"/>
      <c r="E68" s="28"/>
      <c r="F68" s="28"/>
      <c r="G68" s="28"/>
      <c r="H68" s="37">
        <f>+$H$19*$H$34*D$44</f>
        <v>0</v>
      </c>
      <c r="I68" s="37">
        <f t="shared" ref="I68:K68" si="3">+$H$19*$H$34*E$44</f>
        <v>0</v>
      </c>
      <c r="J68" s="37">
        <f t="shared" si="3"/>
        <v>0</v>
      </c>
      <c r="K68" s="37">
        <f t="shared" si="3"/>
        <v>0</v>
      </c>
      <c r="L68" s="28"/>
      <c r="M68" s="28"/>
      <c r="N68" s="28"/>
      <c r="O68" s="28"/>
      <c r="P68" s="28"/>
      <c r="Q68" s="44">
        <f t="shared" si="1"/>
        <v>0</v>
      </c>
    </row>
    <row r="69" spans="3:17" outlineLevel="1" x14ac:dyDescent="0.25">
      <c r="C69" s="7" t="s">
        <v>4</v>
      </c>
      <c r="H69" s="3"/>
      <c r="I69" s="8">
        <f>+$H$19*$I$34*E$45</f>
        <v>0</v>
      </c>
      <c r="J69" s="8">
        <f t="shared" ref="J69:K69" si="4">+$H$19*$I$34*F$45</f>
        <v>0</v>
      </c>
      <c r="K69" s="8">
        <f t="shared" si="4"/>
        <v>0</v>
      </c>
      <c r="Q69" s="11">
        <f t="shared" si="1"/>
        <v>0</v>
      </c>
    </row>
    <row r="70" spans="3:17" outlineLevel="1" x14ac:dyDescent="0.25">
      <c r="C70" s="7" t="s">
        <v>4</v>
      </c>
      <c r="H70" s="3"/>
      <c r="I70" s="8"/>
      <c r="J70" s="8">
        <f>+$H$19*$J$34*F$46</f>
        <v>0</v>
      </c>
      <c r="K70" s="8">
        <f>+$H$19*$J$34*G$46</f>
        <v>0</v>
      </c>
      <c r="Q70" s="11">
        <f t="shared" si="1"/>
        <v>0</v>
      </c>
    </row>
    <row r="71" spans="3:17" outlineLevel="1" x14ac:dyDescent="0.25">
      <c r="C71" s="7" t="s">
        <v>4</v>
      </c>
      <c r="D71" s="29"/>
      <c r="E71" s="29"/>
      <c r="F71" s="29"/>
      <c r="G71" s="29"/>
      <c r="H71" s="39"/>
      <c r="I71" s="40"/>
      <c r="J71" s="40"/>
      <c r="K71" s="40">
        <f>+$H$19*$K$34*G$47</f>
        <v>0</v>
      </c>
      <c r="L71" s="29"/>
      <c r="M71" s="29"/>
      <c r="N71" s="29"/>
      <c r="O71" s="29"/>
      <c r="P71" s="29"/>
      <c r="Q71" s="47">
        <f t="shared" si="1"/>
        <v>0</v>
      </c>
    </row>
    <row r="72" spans="3:17" outlineLevel="1" x14ac:dyDescent="0.25">
      <c r="C72" s="2" t="s">
        <v>5</v>
      </c>
      <c r="I72" s="8">
        <f>+$I$20*$I$35*D$44</f>
        <v>0</v>
      </c>
      <c r="J72" s="8">
        <f t="shared" ref="J72:L72" si="5">+$I$20*$I$35*E$44</f>
        <v>0</v>
      </c>
      <c r="K72" s="8">
        <f t="shared" si="5"/>
        <v>0</v>
      </c>
      <c r="L72" s="8">
        <f t="shared" si="5"/>
        <v>0</v>
      </c>
      <c r="Q72" s="11">
        <f t="shared" si="1"/>
        <v>0</v>
      </c>
    </row>
    <row r="73" spans="3:17" outlineLevel="1" x14ac:dyDescent="0.25">
      <c r="C73" s="2" t="s">
        <v>5</v>
      </c>
      <c r="I73" s="3"/>
      <c r="J73" s="8">
        <f>+$I$20*$J$35*E$45</f>
        <v>0</v>
      </c>
      <c r="K73" s="8">
        <f t="shared" ref="K73:L73" si="6">+$I$20*$J$35*F$45</f>
        <v>0</v>
      </c>
      <c r="L73" s="8">
        <f t="shared" si="6"/>
        <v>0</v>
      </c>
      <c r="Q73" s="11">
        <f t="shared" si="1"/>
        <v>0</v>
      </c>
    </row>
    <row r="74" spans="3:17" outlineLevel="1" x14ac:dyDescent="0.25">
      <c r="C74" s="2" t="s">
        <v>5</v>
      </c>
      <c r="I74" s="3"/>
      <c r="J74" s="8"/>
      <c r="K74" s="8">
        <f>+$I$20*$K$35*F$46</f>
        <v>0</v>
      </c>
      <c r="L74" s="8">
        <f>+$I$20*$K$35*G$46</f>
        <v>0</v>
      </c>
      <c r="Q74" s="11">
        <f t="shared" si="1"/>
        <v>0</v>
      </c>
    </row>
    <row r="75" spans="3:17" outlineLevel="1" x14ac:dyDescent="0.25">
      <c r="C75" s="2" t="s">
        <v>5</v>
      </c>
      <c r="I75" s="3"/>
      <c r="J75" s="8"/>
      <c r="K75" s="8"/>
      <c r="L75" s="8">
        <f>+$I$20*$L$35*G$47</f>
        <v>0</v>
      </c>
      <c r="Q75" s="11">
        <f t="shared" si="1"/>
        <v>0</v>
      </c>
    </row>
    <row r="76" spans="3:17" outlineLevel="1" x14ac:dyDescent="0.25">
      <c r="C76" s="7" t="s">
        <v>6</v>
      </c>
      <c r="D76" s="28"/>
      <c r="E76" s="28"/>
      <c r="F76" s="28"/>
      <c r="G76" s="28"/>
      <c r="H76" s="28"/>
      <c r="I76" s="28"/>
      <c r="J76" s="37">
        <f>+$J$21*$J$36*D$44</f>
        <v>0</v>
      </c>
      <c r="K76" s="37">
        <f t="shared" ref="K76:M76" si="7">+$J$21*$J$36*E$44</f>
        <v>0</v>
      </c>
      <c r="L76" s="37">
        <f t="shared" si="7"/>
        <v>0</v>
      </c>
      <c r="M76" s="37">
        <f t="shared" si="7"/>
        <v>0</v>
      </c>
      <c r="N76" s="28"/>
      <c r="O76" s="28"/>
      <c r="P76" s="28"/>
      <c r="Q76" s="44">
        <f t="shared" si="1"/>
        <v>0</v>
      </c>
    </row>
    <row r="77" spans="3:17" outlineLevel="1" x14ac:dyDescent="0.25">
      <c r="C77" s="7" t="s">
        <v>6</v>
      </c>
      <c r="J77" s="3"/>
      <c r="K77" s="8">
        <f>+$J$21*$K$36*E$45</f>
        <v>0</v>
      </c>
      <c r="L77" s="8">
        <f t="shared" ref="L77:M77" si="8">+$J$21*$K$36*F$45</f>
        <v>0</v>
      </c>
      <c r="M77" s="8">
        <f t="shared" si="8"/>
        <v>0</v>
      </c>
      <c r="Q77" s="11">
        <f t="shared" si="1"/>
        <v>0</v>
      </c>
    </row>
    <row r="78" spans="3:17" outlineLevel="1" x14ac:dyDescent="0.25">
      <c r="C78" s="7" t="s">
        <v>6</v>
      </c>
      <c r="J78" s="3"/>
      <c r="K78" s="8"/>
      <c r="L78" s="8">
        <f>+$J$21*$L$36*F$46</f>
        <v>0</v>
      </c>
      <c r="M78" s="8">
        <f>+$J$21*$L$36*G$46</f>
        <v>0</v>
      </c>
      <c r="Q78" s="11">
        <f t="shared" si="1"/>
        <v>0</v>
      </c>
    </row>
    <row r="79" spans="3:17" outlineLevel="1" x14ac:dyDescent="0.25">
      <c r="C79" s="7" t="s">
        <v>6</v>
      </c>
      <c r="D79" s="29"/>
      <c r="E79" s="29"/>
      <c r="F79" s="29"/>
      <c r="G79" s="29"/>
      <c r="H79" s="29"/>
      <c r="I79" s="29"/>
      <c r="J79" s="39"/>
      <c r="K79" s="40"/>
      <c r="L79" s="40"/>
      <c r="M79" s="40">
        <f>+$J$21*$M$36*G$47</f>
        <v>0</v>
      </c>
      <c r="N79" s="29"/>
      <c r="O79" s="29"/>
      <c r="P79" s="29"/>
      <c r="Q79" s="47">
        <f t="shared" si="1"/>
        <v>0</v>
      </c>
    </row>
    <row r="80" spans="3:17" outlineLevel="1" x14ac:dyDescent="0.25">
      <c r="C80" s="2" t="s">
        <v>7</v>
      </c>
      <c r="K80" s="8">
        <f>+$K$22*$K$37*D$44</f>
        <v>0</v>
      </c>
      <c r="L80" s="8">
        <f t="shared" ref="L80:N80" si="9">+$K$22*$K$37*E$44</f>
        <v>0</v>
      </c>
      <c r="M80" s="8">
        <f t="shared" si="9"/>
        <v>0</v>
      </c>
      <c r="N80" s="8">
        <f t="shared" si="9"/>
        <v>0</v>
      </c>
      <c r="Q80" s="11">
        <f t="shared" si="1"/>
        <v>0</v>
      </c>
    </row>
    <row r="81" spans="3:17" outlineLevel="1" x14ac:dyDescent="0.25">
      <c r="C81" s="2" t="s">
        <v>7</v>
      </c>
      <c r="K81" s="3"/>
      <c r="L81" s="8">
        <f>+$K$22*$L$37*E$45</f>
        <v>0</v>
      </c>
      <c r="M81" s="8">
        <f t="shared" ref="M81:N81" si="10">+$K$22*$L$37*F$45</f>
        <v>0</v>
      </c>
      <c r="N81" s="8">
        <f t="shared" si="10"/>
        <v>0</v>
      </c>
      <c r="Q81" s="11">
        <f t="shared" si="1"/>
        <v>0</v>
      </c>
    </row>
    <row r="82" spans="3:17" outlineLevel="1" x14ac:dyDescent="0.25">
      <c r="C82" s="2" t="s">
        <v>7</v>
      </c>
      <c r="K82" s="3"/>
      <c r="L82" s="8"/>
      <c r="M82" s="8">
        <f>+$K$22*$M$37*F$46</f>
        <v>0</v>
      </c>
      <c r="N82" s="8">
        <f>+$K$22*$M$37*G$46</f>
        <v>0</v>
      </c>
      <c r="Q82" s="11">
        <f t="shared" si="1"/>
        <v>0</v>
      </c>
    </row>
    <row r="83" spans="3:17" outlineLevel="1" x14ac:dyDescent="0.25">
      <c r="C83" s="2" t="s">
        <v>7</v>
      </c>
      <c r="K83" s="3"/>
      <c r="L83" s="8"/>
      <c r="M83" s="8"/>
      <c r="N83" s="8">
        <f>+$K$22*$N$37*G$47</f>
        <v>0</v>
      </c>
      <c r="Q83" s="11">
        <f t="shared" si="1"/>
        <v>0</v>
      </c>
    </row>
    <row r="84" spans="3:17" outlineLevel="1" x14ac:dyDescent="0.25">
      <c r="C84" s="7" t="s">
        <v>8</v>
      </c>
      <c r="D84" s="28"/>
      <c r="E84" s="28"/>
      <c r="F84" s="28"/>
      <c r="G84" s="28"/>
      <c r="H84" s="28"/>
      <c r="I84" s="28"/>
      <c r="J84" s="28"/>
      <c r="K84" s="28"/>
      <c r="L84" s="37">
        <f>+$L$23*$L$38*D$44</f>
        <v>0</v>
      </c>
      <c r="M84" s="37">
        <f t="shared" ref="M84:O84" si="11">+$L$23*$L$38*E$44</f>
        <v>0</v>
      </c>
      <c r="N84" s="37">
        <f t="shared" si="11"/>
        <v>0</v>
      </c>
      <c r="O84" s="37">
        <f t="shared" si="11"/>
        <v>0</v>
      </c>
      <c r="P84" s="28"/>
      <c r="Q84" s="44">
        <f t="shared" si="1"/>
        <v>0</v>
      </c>
    </row>
    <row r="85" spans="3:17" outlineLevel="1" x14ac:dyDescent="0.25">
      <c r="C85" s="7" t="s">
        <v>8</v>
      </c>
      <c r="L85" s="3"/>
      <c r="M85" s="8">
        <f>+$L$23*$M$38*E$45</f>
        <v>0</v>
      </c>
      <c r="N85" s="8">
        <f t="shared" ref="N85:O85" si="12">+$L$23*$M$38*F$45</f>
        <v>0</v>
      </c>
      <c r="O85" s="8">
        <f t="shared" si="12"/>
        <v>0</v>
      </c>
      <c r="Q85" s="11">
        <f t="shared" si="1"/>
        <v>0</v>
      </c>
    </row>
    <row r="86" spans="3:17" outlineLevel="1" x14ac:dyDescent="0.25">
      <c r="C86" s="7" t="s">
        <v>8</v>
      </c>
      <c r="L86" s="3"/>
      <c r="M86" s="8"/>
      <c r="N86" s="8">
        <f>+$L$23*$N$38*F$46</f>
        <v>0</v>
      </c>
      <c r="O86" s="8">
        <f>+$L$23*$N$38*G$46</f>
        <v>0</v>
      </c>
      <c r="Q86" s="11">
        <f t="shared" si="1"/>
        <v>0</v>
      </c>
    </row>
    <row r="87" spans="3:17" outlineLevel="1" x14ac:dyDescent="0.25">
      <c r="C87" s="7" t="s">
        <v>8</v>
      </c>
      <c r="D87" s="29"/>
      <c r="E87" s="29"/>
      <c r="F87" s="29"/>
      <c r="G87" s="29"/>
      <c r="H87" s="29"/>
      <c r="I87" s="29"/>
      <c r="J87" s="29"/>
      <c r="K87" s="29"/>
      <c r="L87" s="39"/>
      <c r="M87" s="40"/>
      <c r="N87" s="40"/>
      <c r="O87" s="40">
        <f>+$L$23*$O$38*G$47</f>
        <v>0</v>
      </c>
      <c r="P87" s="29"/>
      <c r="Q87" s="47">
        <f t="shared" si="1"/>
        <v>0</v>
      </c>
    </row>
    <row r="88" spans="3:17" outlineLevel="1" x14ac:dyDescent="0.25">
      <c r="C88" s="2" t="s">
        <v>9</v>
      </c>
      <c r="D88" s="28"/>
      <c r="E88" s="28"/>
      <c r="F88" s="28"/>
      <c r="G88" s="28"/>
      <c r="H88" s="28"/>
      <c r="I88" s="28"/>
      <c r="J88" s="28"/>
      <c r="K88" s="28"/>
      <c r="L88" s="28"/>
      <c r="M88" s="37">
        <f>+$M$24*$M$39*D$44</f>
        <v>0</v>
      </c>
      <c r="N88" s="37">
        <f t="shared" ref="N88:P88" si="13">+$M$24*$M$39*E$44</f>
        <v>0</v>
      </c>
      <c r="O88" s="37">
        <f t="shared" si="13"/>
        <v>0</v>
      </c>
      <c r="P88" s="37">
        <f t="shared" si="13"/>
        <v>0</v>
      </c>
      <c r="Q88" s="44">
        <f t="shared" si="1"/>
        <v>0</v>
      </c>
    </row>
    <row r="89" spans="3:17" outlineLevel="1" x14ac:dyDescent="0.25">
      <c r="C89" s="2" t="s">
        <v>9</v>
      </c>
      <c r="M89" s="3"/>
      <c r="N89" s="8">
        <f>+$M$24*$N$39*E$45</f>
        <v>0</v>
      </c>
      <c r="O89" s="8">
        <f t="shared" ref="O89:P89" si="14">+$M$24*$N$39*F$45</f>
        <v>0</v>
      </c>
      <c r="P89" s="8">
        <f t="shared" si="14"/>
        <v>0</v>
      </c>
      <c r="Q89" s="11">
        <f t="shared" si="1"/>
        <v>0</v>
      </c>
    </row>
    <row r="90" spans="3:17" outlineLevel="1" x14ac:dyDescent="0.25">
      <c r="C90" s="2" t="s">
        <v>9</v>
      </c>
      <c r="M90" s="3"/>
      <c r="N90" s="8"/>
      <c r="O90" s="8">
        <f>+$M$24*$O$39*F$46</f>
        <v>0</v>
      </c>
      <c r="P90" s="8">
        <f>+$M$24*$O$39*G$46</f>
        <v>0</v>
      </c>
      <c r="Q90" s="11">
        <f t="shared" si="1"/>
        <v>0</v>
      </c>
    </row>
    <row r="91" spans="3:17" outlineLevel="1" x14ac:dyDescent="0.25">
      <c r="C91" s="2" t="s">
        <v>9</v>
      </c>
      <c r="D91" s="29"/>
      <c r="E91" s="29"/>
      <c r="F91" s="29"/>
      <c r="G91" s="29"/>
      <c r="H91" s="29"/>
      <c r="I91" s="29"/>
      <c r="J91" s="29"/>
      <c r="K91" s="29"/>
      <c r="L91" s="29"/>
      <c r="M91" s="39"/>
      <c r="N91" s="40"/>
      <c r="O91" s="40"/>
      <c r="P91" s="40">
        <f>+$M$24*$P$39*G$47</f>
        <v>0</v>
      </c>
      <c r="Q91" s="47">
        <f t="shared" si="1"/>
        <v>0</v>
      </c>
    </row>
    <row r="92" spans="3:17" x14ac:dyDescent="0.25">
      <c r="D92" s="69">
        <f>SUM(D52:D91)</f>
        <v>11.520000000000001</v>
      </c>
      <c r="E92" s="69">
        <f t="shared" ref="E92:M92" si="15">SUM(E52:E91)</f>
        <v>20.160000000000004</v>
      </c>
      <c r="F92" s="69">
        <f t="shared" si="15"/>
        <v>46.08</v>
      </c>
      <c r="G92" s="69">
        <f t="shared" si="15"/>
        <v>18.240000000000002</v>
      </c>
      <c r="H92" s="69">
        <f t="shared" si="15"/>
        <v>0</v>
      </c>
      <c r="I92" s="69">
        <f t="shared" si="15"/>
        <v>0</v>
      </c>
      <c r="J92" s="69">
        <f t="shared" si="15"/>
        <v>0</v>
      </c>
      <c r="K92" s="69">
        <f t="shared" si="15"/>
        <v>0</v>
      </c>
      <c r="L92" s="69">
        <f t="shared" si="15"/>
        <v>0</v>
      </c>
      <c r="M92" s="69">
        <f t="shared" si="15"/>
        <v>0</v>
      </c>
      <c r="N92" s="8"/>
      <c r="O92" s="8"/>
      <c r="P92" s="8"/>
      <c r="Q92" s="11"/>
    </row>
    <row r="94" spans="3:17" x14ac:dyDescent="0.25">
      <c r="C94" s="4" t="s">
        <v>25</v>
      </c>
      <c r="F94" s="142">
        <v>0.2</v>
      </c>
    </row>
    <row r="95" spans="3:17" ht="5.25" customHeight="1" x14ac:dyDescent="0.25">
      <c r="C95" s="4"/>
    </row>
    <row r="96" spans="3:17" ht="17.25" customHeight="1" x14ac:dyDescent="0.25">
      <c r="C96" s="4" t="s">
        <v>24</v>
      </c>
      <c r="F96" s="142">
        <v>0.3</v>
      </c>
    </row>
    <row r="97" spans="3:13" ht="5.25" customHeight="1" x14ac:dyDescent="0.25">
      <c r="C97" s="4"/>
    </row>
    <row r="98" spans="3:13" ht="15" customHeight="1" x14ac:dyDescent="0.25">
      <c r="C98" s="4" t="s">
        <v>26</v>
      </c>
      <c r="F98">
        <v>1</v>
      </c>
      <c r="G98" s="4" t="s">
        <v>27</v>
      </c>
    </row>
    <row r="99" spans="3:13" ht="4.5" customHeight="1" x14ac:dyDescent="0.25">
      <c r="C99" s="4"/>
      <c r="G99" s="4"/>
    </row>
    <row r="100" spans="3:13" x14ac:dyDescent="0.25">
      <c r="D100" s="2" t="s">
        <v>0</v>
      </c>
      <c r="E100" s="2" t="s">
        <v>1</v>
      </c>
      <c r="F100" s="2" t="s">
        <v>2</v>
      </c>
      <c r="G100" s="2" t="s">
        <v>3</v>
      </c>
      <c r="H100" s="2" t="s">
        <v>4</v>
      </c>
      <c r="I100" s="2" t="s">
        <v>5</v>
      </c>
      <c r="J100" s="2" t="s">
        <v>6</v>
      </c>
      <c r="K100" s="2" t="s">
        <v>7</v>
      </c>
      <c r="L100" s="2" t="s">
        <v>8</v>
      </c>
      <c r="M100" s="2" t="s">
        <v>9</v>
      </c>
    </row>
    <row r="101" spans="3:13" x14ac:dyDescent="0.25">
      <c r="C101" s="48" t="s">
        <v>28</v>
      </c>
      <c r="D101" s="70">
        <f>-$F$94*$F$96*D104</f>
        <v>-0.69120000000000004</v>
      </c>
      <c r="E101" s="70">
        <f t="shared" ref="E101:M101" si="16">-$F$94*$F$96*E104</f>
        <v>-1.2096000000000002</v>
      </c>
      <c r="F101" s="70">
        <f t="shared" si="16"/>
        <v>-2.7647999999999997</v>
      </c>
      <c r="G101" s="70">
        <f t="shared" si="16"/>
        <v>-1.0944</v>
      </c>
      <c r="H101" s="28">
        <f t="shared" si="16"/>
        <v>0</v>
      </c>
      <c r="I101" s="28">
        <f t="shared" si="16"/>
        <v>0</v>
      </c>
      <c r="J101" s="28">
        <f t="shared" si="16"/>
        <v>0</v>
      </c>
      <c r="K101" s="28">
        <f t="shared" si="16"/>
        <v>0</v>
      </c>
      <c r="L101" s="28">
        <f t="shared" si="16"/>
        <v>0</v>
      </c>
      <c r="M101" s="28">
        <f t="shared" si="16"/>
        <v>0</v>
      </c>
    </row>
    <row r="102" spans="3:13" x14ac:dyDescent="0.25">
      <c r="C102" s="49" t="s">
        <v>29</v>
      </c>
      <c r="D102" s="29">
        <f>-$F$94*$F$96*D25</f>
        <v>-5.76</v>
      </c>
      <c r="E102" s="29">
        <f t="shared" ref="E102:M102" si="17">-$F$94*$F$96*E25</f>
        <v>0</v>
      </c>
      <c r="F102" s="29">
        <f t="shared" si="17"/>
        <v>0</v>
      </c>
      <c r="G102" s="29">
        <f t="shared" si="17"/>
        <v>0</v>
      </c>
      <c r="H102" s="29">
        <f t="shared" si="17"/>
        <v>0</v>
      </c>
      <c r="I102" s="29">
        <f t="shared" si="17"/>
        <v>0</v>
      </c>
      <c r="J102" s="29">
        <f t="shared" si="17"/>
        <v>0</v>
      </c>
      <c r="K102" s="29">
        <f t="shared" si="17"/>
        <v>0</v>
      </c>
      <c r="L102" s="29">
        <f t="shared" si="17"/>
        <v>0</v>
      </c>
      <c r="M102" s="29">
        <f t="shared" si="17"/>
        <v>0</v>
      </c>
    </row>
    <row r="104" spans="3:13" x14ac:dyDescent="0.25">
      <c r="C104" s="50" t="s">
        <v>16</v>
      </c>
      <c r="D104" s="51">
        <f>+D92</f>
        <v>11.520000000000001</v>
      </c>
      <c r="E104" s="51">
        <f t="shared" ref="E104:M104" si="18">+E92</f>
        <v>20.160000000000004</v>
      </c>
      <c r="F104" s="51">
        <f t="shared" si="18"/>
        <v>46.08</v>
      </c>
      <c r="G104" s="51">
        <f t="shared" si="18"/>
        <v>18.240000000000002</v>
      </c>
      <c r="H104" s="51">
        <f t="shared" si="18"/>
        <v>0</v>
      </c>
      <c r="I104" s="51">
        <f t="shared" si="18"/>
        <v>0</v>
      </c>
      <c r="J104" s="51">
        <f t="shared" si="18"/>
        <v>0</v>
      </c>
      <c r="K104" s="51">
        <f t="shared" si="18"/>
        <v>0</v>
      </c>
      <c r="L104" s="51">
        <f t="shared" si="18"/>
        <v>0</v>
      </c>
      <c r="M104" s="51">
        <f t="shared" si="18"/>
        <v>0</v>
      </c>
    </row>
    <row r="105" spans="3:13" x14ac:dyDescent="0.25">
      <c r="C105" s="71" t="s">
        <v>17</v>
      </c>
      <c r="D105" s="72"/>
      <c r="E105" s="73">
        <f t="shared" ref="E105:M105" si="19">IFERROR(E104/D104-1,0)</f>
        <v>0.75000000000000022</v>
      </c>
      <c r="F105" s="73">
        <f t="shared" si="19"/>
        <v>1.2857142857142851</v>
      </c>
      <c r="G105" s="73">
        <f t="shared" si="19"/>
        <v>-0.60416666666666663</v>
      </c>
      <c r="H105" s="73">
        <f t="shared" si="19"/>
        <v>-1</v>
      </c>
      <c r="I105" s="73">
        <f t="shared" si="19"/>
        <v>0</v>
      </c>
      <c r="J105" s="73">
        <f t="shared" si="19"/>
        <v>0</v>
      </c>
      <c r="K105" s="73">
        <f t="shared" si="19"/>
        <v>0</v>
      </c>
      <c r="L105" s="73">
        <f t="shared" si="19"/>
        <v>0</v>
      </c>
      <c r="M105" s="73">
        <f t="shared" si="19"/>
        <v>0</v>
      </c>
    </row>
    <row r="106" spans="3:13" x14ac:dyDescent="0.25">
      <c r="C106" s="13" t="s">
        <v>18</v>
      </c>
      <c r="D106" s="69">
        <f>-D107*D104</f>
        <v>-0.46080000000000004</v>
      </c>
      <c r="E106" s="69">
        <f t="shared" ref="E106:M106" si="20">-E107*E104</f>
        <v>-0.80640000000000012</v>
      </c>
      <c r="F106" s="69">
        <f t="shared" si="20"/>
        <v>-1.8431999999999999</v>
      </c>
      <c r="G106" s="69">
        <f t="shared" si="20"/>
        <v>-0.72960000000000014</v>
      </c>
      <c r="H106" s="1">
        <f t="shared" si="20"/>
        <v>0</v>
      </c>
      <c r="I106" s="1">
        <f t="shared" si="20"/>
        <v>0</v>
      </c>
      <c r="J106" s="1">
        <f t="shared" si="20"/>
        <v>0</v>
      </c>
      <c r="K106" s="1">
        <f t="shared" si="20"/>
        <v>0</v>
      </c>
      <c r="L106" s="1">
        <f t="shared" si="20"/>
        <v>0</v>
      </c>
      <c r="M106" s="1">
        <f t="shared" si="20"/>
        <v>0</v>
      </c>
    </row>
    <row r="107" spans="3:13" x14ac:dyDescent="0.25">
      <c r="C107" s="15" t="s">
        <v>19</v>
      </c>
      <c r="D107" s="143">
        <v>0.04</v>
      </c>
      <c r="E107" s="75">
        <f>+D107</f>
        <v>0.04</v>
      </c>
      <c r="F107" s="75">
        <f t="shared" ref="F107:M107" si="21">+E107</f>
        <v>0.04</v>
      </c>
      <c r="G107" s="75">
        <f t="shared" si="21"/>
        <v>0.04</v>
      </c>
      <c r="H107" s="75">
        <f t="shared" si="21"/>
        <v>0.04</v>
      </c>
      <c r="I107" s="75">
        <f t="shared" si="21"/>
        <v>0.04</v>
      </c>
      <c r="J107" s="75">
        <f t="shared" si="21"/>
        <v>0.04</v>
      </c>
      <c r="K107" s="75">
        <f t="shared" si="21"/>
        <v>0.04</v>
      </c>
      <c r="L107" s="75">
        <f t="shared" si="21"/>
        <v>0.04</v>
      </c>
      <c r="M107" s="75">
        <f t="shared" si="21"/>
        <v>0.04</v>
      </c>
    </row>
    <row r="108" spans="3:13" ht="6.75" customHeight="1" x14ac:dyDescent="0.25">
      <c r="C108" s="13"/>
    </row>
    <row r="109" spans="3:13" x14ac:dyDescent="0.25">
      <c r="C109" s="50" t="s">
        <v>20</v>
      </c>
      <c r="D109" s="51">
        <f>+D104+D106</f>
        <v>11.059200000000001</v>
      </c>
      <c r="E109" s="51">
        <f t="shared" ref="E109:M109" si="22">+E104+E106</f>
        <v>19.353600000000004</v>
      </c>
      <c r="F109" s="51">
        <f t="shared" si="22"/>
        <v>44.236799999999995</v>
      </c>
      <c r="G109" s="51">
        <f t="shared" si="22"/>
        <v>17.510400000000001</v>
      </c>
      <c r="H109" s="51">
        <f t="shared" si="22"/>
        <v>0</v>
      </c>
      <c r="I109" s="51">
        <f t="shared" si="22"/>
        <v>0</v>
      </c>
      <c r="J109" s="51">
        <f t="shared" si="22"/>
        <v>0</v>
      </c>
      <c r="K109" s="51">
        <f t="shared" si="22"/>
        <v>0</v>
      </c>
      <c r="L109" s="51">
        <f t="shared" si="22"/>
        <v>0</v>
      </c>
      <c r="M109" s="51">
        <f t="shared" si="22"/>
        <v>0</v>
      </c>
    </row>
    <row r="110" spans="3:13" x14ac:dyDescent="0.25">
      <c r="C110" s="13"/>
    </row>
    <row r="111" spans="3:13" x14ac:dyDescent="0.25">
      <c r="C111" s="50" t="s">
        <v>21</v>
      </c>
      <c r="D111" s="51">
        <f>D112+D113</f>
        <v>-6.4512</v>
      </c>
      <c r="E111" s="51">
        <f t="shared" ref="E111:M111" si="23">E112+E113</f>
        <v>-20.409600000000005</v>
      </c>
      <c r="F111" s="51">
        <f t="shared" si="23"/>
        <v>-31.564799999999998</v>
      </c>
      <c r="G111" s="51">
        <f t="shared" si="23"/>
        <v>-1.0944</v>
      </c>
      <c r="H111" s="51">
        <f t="shared" si="23"/>
        <v>0</v>
      </c>
      <c r="I111" s="51">
        <f t="shared" si="23"/>
        <v>0</v>
      </c>
      <c r="J111" s="51">
        <f t="shared" si="23"/>
        <v>0</v>
      </c>
      <c r="K111" s="51">
        <f t="shared" si="23"/>
        <v>0</v>
      </c>
      <c r="L111" s="51">
        <f t="shared" si="23"/>
        <v>0</v>
      </c>
      <c r="M111" s="51">
        <f t="shared" si="23"/>
        <v>0</v>
      </c>
    </row>
    <row r="112" spans="3:13" x14ac:dyDescent="0.25">
      <c r="C112" s="16" t="s">
        <v>22</v>
      </c>
      <c r="D112" s="55">
        <f>+D101+D102</f>
        <v>-6.4512</v>
      </c>
      <c r="E112" s="55">
        <f t="shared" ref="E112:M112" si="24">+E101+E102</f>
        <v>-1.2096000000000002</v>
      </c>
      <c r="F112" s="55">
        <f t="shared" si="24"/>
        <v>-2.7647999999999997</v>
      </c>
      <c r="G112" s="55">
        <f t="shared" si="24"/>
        <v>-1.0944</v>
      </c>
      <c r="H112" s="55">
        <f t="shared" si="24"/>
        <v>0</v>
      </c>
      <c r="I112" s="55">
        <f t="shared" si="24"/>
        <v>0</v>
      </c>
      <c r="J112" s="55">
        <f t="shared" si="24"/>
        <v>0</v>
      </c>
      <c r="K112" s="55">
        <f t="shared" si="24"/>
        <v>0</v>
      </c>
      <c r="L112" s="55">
        <f t="shared" si="24"/>
        <v>0</v>
      </c>
      <c r="M112" s="55">
        <f t="shared" si="24"/>
        <v>0</v>
      </c>
    </row>
    <row r="113" spans="3:13" x14ac:dyDescent="0.25">
      <c r="C113" s="52" t="s">
        <v>23</v>
      </c>
      <c r="D113" s="53">
        <f>+D134</f>
        <v>0</v>
      </c>
      <c r="E113" s="53">
        <f t="shared" ref="E113:M113" si="25">+E134</f>
        <v>-19.200000000000003</v>
      </c>
      <c r="F113" s="53">
        <f t="shared" si="25"/>
        <v>-28.799999999999997</v>
      </c>
      <c r="G113" s="53">
        <f t="shared" si="25"/>
        <v>0</v>
      </c>
      <c r="H113" s="53">
        <f t="shared" si="25"/>
        <v>0</v>
      </c>
      <c r="I113" s="53">
        <f t="shared" si="25"/>
        <v>0</v>
      </c>
      <c r="J113" s="53">
        <f t="shared" si="25"/>
        <v>0</v>
      </c>
      <c r="K113" s="53">
        <f t="shared" si="25"/>
        <v>0</v>
      </c>
      <c r="L113" s="53">
        <f t="shared" si="25"/>
        <v>0</v>
      </c>
      <c r="M113" s="53">
        <f t="shared" si="25"/>
        <v>0</v>
      </c>
    </row>
    <row r="114" spans="3:13" x14ac:dyDescent="0.25">
      <c r="C114" s="16"/>
    </row>
    <row r="115" spans="3:13" x14ac:dyDescent="0.25">
      <c r="C115" s="16"/>
      <c r="D115" s="144">
        <v>0.5</v>
      </c>
      <c r="E115" s="56" t="s">
        <v>33</v>
      </c>
    </row>
    <row r="116" spans="3:13" ht="5.25" customHeight="1" x14ac:dyDescent="0.25">
      <c r="C116" s="16"/>
    </row>
    <row r="117" spans="3:13" x14ac:dyDescent="0.25">
      <c r="C117" s="16"/>
      <c r="D117" s="5" t="s">
        <v>30</v>
      </c>
      <c r="E117" s="12" t="s">
        <v>31</v>
      </c>
    </row>
    <row r="118" spans="3:13" x14ac:dyDescent="0.25">
      <c r="D118" s="145">
        <v>0.4</v>
      </c>
      <c r="E118" s="145">
        <v>0.6</v>
      </c>
      <c r="F118" s="4" t="s">
        <v>32</v>
      </c>
    </row>
    <row r="119" spans="3:13" ht="4.5" customHeight="1" x14ac:dyDescent="0.25">
      <c r="D119" s="17"/>
      <c r="E119" s="17"/>
    </row>
    <row r="120" spans="3:13" ht="15" customHeight="1" x14ac:dyDescent="0.25">
      <c r="C120" s="4" t="s">
        <v>49</v>
      </c>
      <c r="D120" s="17"/>
      <c r="E120" s="17"/>
    </row>
    <row r="121" spans="3:13" ht="4.5" customHeight="1" x14ac:dyDescent="0.25">
      <c r="D121" s="17"/>
      <c r="E121" s="17"/>
    </row>
    <row r="122" spans="3:13" x14ac:dyDescent="0.25">
      <c r="D122" s="2" t="s">
        <v>0</v>
      </c>
      <c r="E122" s="2" t="s">
        <v>1</v>
      </c>
      <c r="F122" s="2" t="s">
        <v>2</v>
      </c>
      <c r="G122" s="2" t="s">
        <v>3</v>
      </c>
      <c r="H122" s="2" t="s">
        <v>4</v>
      </c>
      <c r="I122" s="2" t="s">
        <v>5</v>
      </c>
      <c r="J122" s="2" t="s">
        <v>6</v>
      </c>
      <c r="K122" s="2" t="s">
        <v>7</v>
      </c>
      <c r="L122" s="2" t="s">
        <v>8</v>
      </c>
      <c r="M122" s="2" t="s">
        <v>9</v>
      </c>
    </row>
    <row r="123" spans="3:13" outlineLevel="1" x14ac:dyDescent="0.25">
      <c r="C123" s="2" t="s">
        <v>0</v>
      </c>
      <c r="D123" s="61"/>
      <c r="E123" s="57">
        <f>-D15*$D$115*$D$118</f>
        <v>-19.200000000000003</v>
      </c>
      <c r="F123" s="57">
        <f>-D15*$D$115*$E$118</f>
        <v>-28.799999999999997</v>
      </c>
      <c r="G123" s="28"/>
      <c r="H123" s="28"/>
      <c r="I123" s="28"/>
      <c r="J123" s="28"/>
      <c r="K123" s="28"/>
      <c r="L123" s="28"/>
      <c r="M123" s="28"/>
    </row>
    <row r="124" spans="3:13" outlineLevel="1" x14ac:dyDescent="0.25">
      <c r="C124" s="2" t="s">
        <v>1</v>
      </c>
      <c r="E124" s="61"/>
      <c r="F124" s="21">
        <f>-E16*$D$115*$D$118</f>
        <v>0</v>
      </c>
      <c r="G124" s="21">
        <f>-E16*$D$115*$E$118</f>
        <v>0</v>
      </c>
    </row>
    <row r="125" spans="3:13" outlineLevel="1" x14ac:dyDescent="0.25">
      <c r="C125" s="2" t="s">
        <v>2</v>
      </c>
      <c r="F125" s="61"/>
      <c r="G125" s="21">
        <f>-F17*$D$115*$D$118</f>
        <v>0</v>
      </c>
      <c r="H125" s="21">
        <f>-F17*$D$115*$E$118</f>
        <v>0</v>
      </c>
    </row>
    <row r="126" spans="3:13" outlineLevel="1" x14ac:dyDescent="0.25">
      <c r="C126" s="2" t="s">
        <v>3</v>
      </c>
      <c r="G126" s="61"/>
      <c r="H126" s="21">
        <f>-G18*$D$115*$D$118</f>
        <v>0</v>
      </c>
      <c r="I126" s="21">
        <f>-G18*$D$115*$E$118</f>
        <v>0</v>
      </c>
    </row>
    <row r="127" spans="3:13" outlineLevel="1" x14ac:dyDescent="0.25">
      <c r="C127" s="2" t="s">
        <v>4</v>
      </c>
      <c r="H127" s="61"/>
      <c r="I127" s="21">
        <f>-H19*$D$115*$D$118</f>
        <v>0</v>
      </c>
      <c r="J127" s="21">
        <f>-H19*$D$115*$E$118</f>
        <v>0</v>
      </c>
    </row>
    <row r="128" spans="3:13" outlineLevel="1" x14ac:dyDescent="0.25">
      <c r="C128" s="2" t="s">
        <v>5</v>
      </c>
      <c r="I128" s="61"/>
      <c r="J128" s="21">
        <f>-I20*$D$115*$D$118</f>
        <v>0</v>
      </c>
      <c r="K128" s="21">
        <f>-I20*$D$115*$E$118</f>
        <v>0</v>
      </c>
    </row>
    <row r="129" spans="3:14" outlineLevel="1" x14ac:dyDescent="0.25">
      <c r="C129" s="2" t="s">
        <v>6</v>
      </c>
      <c r="J129" s="61"/>
      <c r="K129" s="21">
        <f>-J21*$D$115*$D$118</f>
        <v>0</v>
      </c>
      <c r="L129" s="21">
        <f>-J21*$D$115*$E$118</f>
        <v>0</v>
      </c>
    </row>
    <row r="130" spans="3:14" outlineLevel="1" x14ac:dyDescent="0.25">
      <c r="C130" s="2" t="s">
        <v>7</v>
      </c>
      <c r="K130" s="61"/>
      <c r="L130" s="21">
        <f>-K22*$D$115*$D$118</f>
        <v>0</v>
      </c>
      <c r="M130" s="21">
        <f>-K22*$D$115*$E$118</f>
        <v>0</v>
      </c>
    </row>
    <row r="131" spans="3:14" outlineLevel="1" x14ac:dyDescent="0.25">
      <c r="C131" s="2" t="s">
        <v>8</v>
      </c>
      <c r="L131" s="61"/>
      <c r="M131" s="21">
        <f>-L23*$D$115*$D$118</f>
        <v>0</v>
      </c>
      <c r="N131" s="21"/>
    </row>
    <row r="132" spans="3:14" outlineLevel="1" x14ac:dyDescent="0.25">
      <c r="C132" s="2" t="s">
        <v>9</v>
      </c>
      <c r="D132" s="29"/>
      <c r="E132" s="29"/>
      <c r="F132" s="29"/>
      <c r="G132" s="29"/>
      <c r="H132" s="29"/>
      <c r="I132" s="29"/>
      <c r="J132" s="29"/>
      <c r="K132" s="29"/>
      <c r="L132" s="29"/>
      <c r="M132" s="128"/>
    </row>
    <row r="133" spans="3:14" outlineLevel="1" x14ac:dyDescent="0.25"/>
    <row r="134" spans="3:14" x14ac:dyDescent="0.25">
      <c r="C134" s="2" t="s">
        <v>34</v>
      </c>
      <c r="D134" s="58">
        <f>SUM(D123:D132)</f>
        <v>0</v>
      </c>
      <c r="E134" s="58">
        <f t="shared" ref="E134:M134" si="26">SUM(E123:E132)</f>
        <v>-19.200000000000003</v>
      </c>
      <c r="F134" s="58">
        <f t="shared" si="26"/>
        <v>-28.799999999999997</v>
      </c>
      <c r="G134" s="58">
        <f t="shared" si="26"/>
        <v>0</v>
      </c>
      <c r="H134" s="58">
        <f t="shared" si="26"/>
        <v>0</v>
      </c>
      <c r="I134" s="58">
        <f t="shared" si="26"/>
        <v>0</v>
      </c>
      <c r="J134" s="58">
        <f t="shared" si="26"/>
        <v>0</v>
      </c>
      <c r="K134" s="58">
        <f t="shared" si="26"/>
        <v>0</v>
      </c>
      <c r="L134" s="58">
        <f t="shared" si="26"/>
        <v>0</v>
      </c>
      <c r="M134" s="58">
        <f t="shared" si="26"/>
        <v>0</v>
      </c>
    </row>
    <row r="135" spans="3:14" x14ac:dyDescent="0.25"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spans="3:14" x14ac:dyDescent="0.25">
      <c r="C136" s="27" t="s">
        <v>46</v>
      </c>
      <c r="D136" s="59">
        <f>+D134*(1-$D$138)</f>
        <v>0</v>
      </c>
      <c r="E136" s="59">
        <f t="shared" ref="E136:M136" si="27">+E134*(1-$D$138)</f>
        <v>-4.8000000000000007</v>
      </c>
      <c r="F136" s="59">
        <f t="shared" si="27"/>
        <v>-7.1999999999999993</v>
      </c>
      <c r="G136" s="59">
        <f t="shared" si="27"/>
        <v>0</v>
      </c>
      <c r="H136" s="59">
        <f t="shared" si="27"/>
        <v>0</v>
      </c>
      <c r="I136" s="59">
        <f t="shared" si="27"/>
        <v>0</v>
      </c>
      <c r="J136" s="59">
        <f t="shared" si="27"/>
        <v>0</v>
      </c>
      <c r="K136" s="59">
        <f t="shared" si="27"/>
        <v>0</v>
      </c>
      <c r="L136" s="59">
        <f t="shared" si="27"/>
        <v>0</v>
      </c>
      <c r="M136" s="59">
        <f t="shared" si="27"/>
        <v>0</v>
      </c>
    </row>
    <row r="138" spans="3:14" x14ac:dyDescent="0.25">
      <c r="C138" s="14" t="s">
        <v>35</v>
      </c>
      <c r="D138" s="145">
        <v>0.75</v>
      </c>
    </row>
    <row r="139" spans="3:14" x14ac:dyDescent="0.25">
      <c r="C139" s="27" t="s">
        <v>36</v>
      </c>
      <c r="D139" s="145">
        <v>0.08</v>
      </c>
      <c r="E139" t="s">
        <v>37</v>
      </c>
    </row>
    <row r="141" spans="3:14" x14ac:dyDescent="0.25">
      <c r="C141" s="23" t="s">
        <v>35</v>
      </c>
      <c r="D141" s="60"/>
      <c r="E141" s="59">
        <f>-E134*$D$138</f>
        <v>14.400000000000002</v>
      </c>
      <c r="F141" s="59">
        <f t="shared" ref="F141:M141" si="28">-F134*$D$138</f>
        <v>21.599999999999998</v>
      </c>
      <c r="G141" s="59">
        <f t="shared" si="28"/>
        <v>0</v>
      </c>
      <c r="H141" s="59">
        <f t="shared" si="28"/>
        <v>0</v>
      </c>
      <c r="I141" s="59">
        <f t="shared" si="28"/>
        <v>0</v>
      </c>
      <c r="J141" s="59">
        <f t="shared" si="28"/>
        <v>0</v>
      </c>
      <c r="K141" s="59">
        <f t="shared" si="28"/>
        <v>0</v>
      </c>
      <c r="L141" s="59">
        <f t="shared" si="28"/>
        <v>0</v>
      </c>
      <c r="M141" s="59">
        <f t="shared" si="28"/>
        <v>0</v>
      </c>
    </row>
    <row r="142" spans="3:14" x14ac:dyDescent="0.25">
      <c r="C142" s="23" t="s">
        <v>38</v>
      </c>
      <c r="D142" s="60"/>
      <c r="E142" s="59">
        <f>+E158</f>
        <v>0</v>
      </c>
      <c r="F142" s="59">
        <f t="shared" ref="F142:M142" si="29">+F158</f>
        <v>0</v>
      </c>
      <c r="G142" s="59">
        <f t="shared" si="29"/>
        <v>-53.49888</v>
      </c>
      <c r="H142" s="59">
        <f t="shared" si="29"/>
        <v>0</v>
      </c>
      <c r="I142" s="59">
        <f t="shared" si="29"/>
        <v>0</v>
      </c>
      <c r="J142" s="59">
        <f t="shared" si="29"/>
        <v>0</v>
      </c>
      <c r="K142" s="59">
        <f t="shared" si="29"/>
        <v>0</v>
      </c>
      <c r="L142" s="59">
        <f t="shared" si="29"/>
        <v>0</v>
      </c>
      <c r="M142" s="59">
        <f t="shared" si="29"/>
        <v>0</v>
      </c>
    </row>
    <row r="144" spans="3:14" x14ac:dyDescent="0.25">
      <c r="D144" s="26" t="s">
        <v>50</v>
      </c>
    </row>
    <row r="146" spans="3:15" x14ac:dyDescent="0.25">
      <c r="D146" s="2" t="s">
        <v>0</v>
      </c>
      <c r="E146" s="2" t="s">
        <v>1</v>
      </c>
      <c r="F146" s="2" t="s">
        <v>2</v>
      </c>
      <c r="G146" s="2" t="s">
        <v>3</v>
      </c>
      <c r="H146" s="2" t="s">
        <v>4</v>
      </c>
      <c r="I146" s="2" t="s">
        <v>5</v>
      </c>
      <c r="J146" s="2" t="s">
        <v>6</v>
      </c>
      <c r="K146" s="2" t="s">
        <v>7</v>
      </c>
      <c r="L146" s="2" t="s">
        <v>8</v>
      </c>
      <c r="M146" s="2" t="s">
        <v>9</v>
      </c>
    </row>
    <row r="147" spans="3:15" outlineLevel="1" x14ac:dyDescent="0.25">
      <c r="C147" s="2" t="s">
        <v>0</v>
      </c>
      <c r="D147" s="129"/>
      <c r="E147" s="61"/>
      <c r="F147" s="61"/>
      <c r="G147" s="57">
        <f>(E123*(1+$D$139)^2)+(F123*(1+$D$139)^1)</f>
        <v>-53.49888</v>
      </c>
      <c r="H147" s="62"/>
      <c r="I147" s="62"/>
      <c r="J147" s="62"/>
      <c r="K147" s="62"/>
      <c r="L147" s="62"/>
      <c r="M147" s="62"/>
      <c r="N147" s="62"/>
      <c r="O147" s="62"/>
    </row>
    <row r="148" spans="3:15" outlineLevel="1" x14ac:dyDescent="0.25">
      <c r="C148" s="2" t="s">
        <v>1</v>
      </c>
      <c r="E148" s="129"/>
      <c r="F148" s="63"/>
      <c r="G148" s="63"/>
      <c r="H148" s="21">
        <f>(F124*(1+$D$139)^2)+(G124*(1+$D$139)^1)</f>
        <v>0</v>
      </c>
      <c r="I148" s="54"/>
      <c r="J148" s="54"/>
      <c r="K148" s="54"/>
      <c r="L148" s="54"/>
      <c r="M148" s="54"/>
      <c r="N148" s="54"/>
      <c r="O148" s="54"/>
    </row>
    <row r="149" spans="3:15" outlineLevel="1" x14ac:dyDescent="0.25">
      <c r="C149" s="2" t="s">
        <v>2</v>
      </c>
      <c r="F149" s="129"/>
      <c r="G149" s="63"/>
      <c r="H149" s="63"/>
      <c r="I149" s="21">
        <f>(G125*(1+$D$139)^2)+(H125*(1+$D$139)^1)</f>
        <v>0</v>
      </c>
      <c r="J149" s="54"/>
      <c r="K149" s="54"/>
      <c r="L149" s="54"/>
      <c r="M149" s="54"/>
      <c r="N149" s="54"/>
      <c r="O149" s="54"/>
    </row>
    <row r="150" spans="3:15" outlineLevel="1" x14ac:dyDescent="0.25">
      <c r="C150" s="2" t="s">
        <v>3</v>
      </c>
      <c r="G150" s="129"/>
      <c r="H150" s="63"/>
      <c r="I150" s="63"/>
      <c r="J150" s="21">
        <f>(H126*(1+$D$139)^2)+(I126*(1+$D$139)^1)</f>
        <v>0</v>
      </c>
      <c r="K150" s="54"/>
      <c r="L150" s="54"/>
      <c r="M150" s="54"/>
      <c r="N150" s="54"/>
      <c r="O150" s="54"/>
    </row>
    <row r="151" spans="3:15" outlineLevel="1" x14ac:dyDescent="0.25">
      <c r="C151" s="2" t="s">
        <v>4</v>
      </c>
      <c r="G151" s="54"/>
      <c r="H151" s="129"/>
      <c r="I151" s="63"/>
      <c r="J151" s="63"/>
      <c r="K151" s="21">
        <f>(I127*(1+$D$139)^2)+(J127*(1+$D$139)^1)</f>
        <v>0</v>
      </c>
      <c r="L151" s="54"/>
      <c r="M151" s="54"/>
      <c r="N151" s="54"/>
      <c r="O151" s="54"/>
    </row>
    <row r="152" spans="3:15" outlineLevel="1" x14ac:dyDescent="0.25">
      <c r="C152" s="2" t="s">
        <v>5</v>
      </c>
      <c r="G152" s="54"/>
      <c r="H152" s="54"/>
      <c r="I152" s="129"/>
      <c r="J152" s="63"/>
      <c r="K152" s="63"/>
      <c r="L152" s="21">
        <f>(J128*(1+$D$139)^2)+(K128*(1+$D$139)^1)</f>
        <v>0</v>
      </c>
      <c r="M152" s="54"/>
      <c r="N152" s="54"/>
      <c r="O152" s="54"/>
    </row>
    <row r="153" spans="3:15" outlineLevel="1" x14ac:dyDescent="0.25">
      <c r="C153" s="2" t="s">
        <v>6</v>
      </c>
      <c r="G153" s="54"/>
      <c r="H153" s="54"/>
      <c r="I153" s="54"/>
      <c r="J153" s="129"/>
      <c r="K153" s="63"/>
      <c r="L153" s="63"/>
      <c r="M153" s="21">
        <f>(K129*(1+$D$139)^2)+(L129*(1+$D$139)^1)</f>
        <v>0</v>
      </c>
      <c r="N153" s="54"/>
      <c r="O153" s="54"/>
    </row>
    <row r="154" spans="3:15" outlineLevel="1" x14ac:dyDescent="0.25">
      <c r="C154" s="2" t="s">
        <v>7</v>
      </c>
      <c r="G154" s="54"/>
      <c r="H154" s="54"/>
      <c r="I154" s="54"/>
      <c r="J154" s="54"/>
      <c r="K154" s="129"/>
      <c r="L154" s="63"/>
      <c r="M154" s="63"/>
      <c r="N154" s="21">
        <f>(L130*(1+$D$139)^2)+(M130*(1+$D$139)^1)</f>
        <v>0</v>
      </c>
      <c r="O154" s="54"/>
    </row>
    <row r="155" spans="3:15" outlineLevel="1" x14ac:dyDescent="0.25">
      <c r="C155" s="2" t="s">
        <v>8</v>
      </c>
      <c r="G155" s="54"/>
      <c r="H155" s="54"/>
      <c r="I155" s="54"/>
      <c r="J155" s="54"/>
      <c r="K155" s="54"/>
      <c r="L155" s="129"/>
      <c r="M155" s="63"/>
      <c r="N155" s="63"/>
      <c r="O155" s="21">
        <f>(M131*(1+$D$139)^2)+(N131*(1+$D$139)^1)</f>
        <v>0</v>
      </c>
    </row>
    <row r="156" spans="3:15" outlineLevel="1" x14ac:dyDescent="0.25">
      <c r="C156" s="2" t="s">
        <v>9</v>
      </c>
      <c r="D156" s="29"/>
      <c r="E156" s="29"/>
      <c r="F156" s="29"/>
      <c r="G156" s="29"/>
      <c r="H156" s="29"/>
      <c r="I156" s="29"/>
      <c r="J156" s="29"/>
      <c r="K156" s="29"/>
      <c r="L156" s="29"/>
      <c r="M156" s="130"/>
      <c r="N156" s="29"/>
      <c r="O156" s="29"/>
    </row>
    <row r="157" spans="3:15" outlineLevel="1" x14ac:dyDescent="0.25"/>
    <row r="158" spans="3:15" x14ac:dyDescent="0.25">
      <c r="C158" s="2" t="s">
        <v>34</v>
      </c>
      <c r="D158" s="59">
        <f>SUM(D147:D156)</f>
        <v>0</v>
      </c>
      <c r="E158" s="59">
        <f t="shared" ref="E158:M158" si="30">SUM(E147:E156)</f>
        <v>0</v>
      </c>
      <c r="F158" s="59">
        <f t="shared" si="30"/>
        <v>0</v>
      </c>
      <c r="G158" s="59">
        <f t="shared" si="30"/>
        <v>-53.49888</v>
      </c>
      <c r="H158" s="59">
        <f t="shared" si="30"/>
        <v>0</v>
      </c>
      <c r="I158" s="59">
        <f t="shared" si="30"/>
        <v>0</v>
      </c>
      <c r="J158" s="59">
        <f t="shared" si="30"/>
        <v>0</v>
      </c>
      <c r="K158" s="59">
        <f t="shared" si="30"/>
        <v>0</v>
      </c>
      <c r="L158" s="59">
        <f t="shared" si="30"/>
        <v>0</v>
      </c>
      <c r="M158" s="59">
        <f t="shared" si="30"/>
        <v>0</v>
      </c>
    </row>
    <row r="160" spans="3:15" x14ac:dyDescent="0.25">
      <c r="C160" s="50" t="s">
        <v>39</v>
      </c>
      <c r="D160" s="78">
        <f>-D161*D104</f>
        <v>-0.34560000000000002</v>
      </c>
      <c r="E160" s="78">
        <f t="shared" ref="E160:M160" si="31">-E161*E104</f>
        <v>-0.60480000000000012</v>
      </c>
      <c r="F160" s="78">
        <f t="shared" si="31"/>
        <v>-1.3823999999999999</v>
      </c>
      <c r="G160" s="78">
        <f t="shared" si="31"/>
        <v>-0.54720000000000002</v>
      </c>
      <c r="H160" s="78">
        <f t="shared" si="31"/>
        <v>0</v>
      </c>
      <c r="I160" s="78">
        <f t="shared" si="31"/>
        <v>0</v>
      </c>
      <c r="J160" s="78">
        <f t="shared" si="31"/>
        <v>0</v>
      </c>
      <c r="K160" s="78">
        <f t="shared" si="31"/>
        <v>0</v>
      </c>
      <c r="L160" s="78">
        <f t="shared" si="31"/>
        <v>0</v>
      </c>
      <c r="M160" s="78">
        <f t="shared" si="31"/>
        <v>0</v>
      </c>
    </row>
    <row r="161" spans="3:14" x14ac:dyDescent="0.25">
      <c r="C161" s="15" t="s">
        <v>41</v>
      </c>
      <c r="D161" s="146">
        <v>0.03</v>
      </c>
      <c r="E161" s="25">
        <f>+D161</f>
        <v>0.03</v>
      </c>
      <c r="F161" s="25">
        <f t="shared" ref="F161:M161" si="32">+E161</f>
        <v>0.03</v>
      </c>
      <c r="G161" s="25">
        <f t="shared" si="32"/>
        <v>0.03</v>
      </c>
      <c r="H161" s="25">
        <f t="shared" si="32"/>
        <v>0.03</v>
      </c>
      <c r="I161" s="25">
        <f t="shared" si="32"/>
        <v>0.03</v>
      </c>
      <c r="J161" s="25">
        <f t="shared" si="32"/>
        <v>0.03</v>
      </c>
      <c r="K161" s="25">
        <f t="shared" si="32"/>
        <v>0.03</v>
      </c>
      <c r="L161" s="25">
        <f t="shared" si="32"/>
        <v>0.03</v>
      </c>
      <c r="M161" s="25">
        <f t="shared" si="32"/>
        <v>0.03</v>
      </c>
    </row>
    <row r="162" spans="3:14" x14ac:dyDescent="0.25">
      <c r="C162" s="16"/>
    </row>
    <row r="163" spans="3:14" x14ac:dyDescent="0.25">
      <c r="C163" s="64" t="s">
        <v>106</v>
      </c>
      <c r="D163" s="79">
        <f>-D164*D104</f>
        <v>-0.23040000000000002</v>
      </c>
      <c r="E163" s="79">
        <f t="shared" ref="E163:M163" si="33">-E164*E104</f>
        <v>-0.40320000000000006</v>
      </c>
      <c r="F163" s="79">
        <f t="shared" si="33"/>
        <v>-0.92159999999999997</v>
      </c>
      <c r="G163" s="79">
        <f t="shared" si="33"/>
        <v>-0.36480000000000007</v>
      </c>
      <c r="H163" s="79">
        <f t="shared" si="33"/>
        <v>0</v>
      </c>
      <c r="I163" s="79">
        <f t="shared" si="33"/>
        <v>0</v>
      </c>
      <c r="J163" s="79">
        <f t="shared" si="33"/>
        <v>0</v>
      </c>
      <c r="K163" s="79">
        <f t="shared" si="33"/>
        <v>0</v>
      </c>
      <c r="L163" s="79">
        <f t="shared" si="33"/>
        <v>0</v>
      </c>
      <c r="M163" s="79">
        <f t="shared" si="33"/>
        <v>0</v>
      </c>
    </row>
    <row r="164" spans="3:14" x14ac:dyDescent="0.25">
      <c r="C164" s="22" t="s">
        <v>107</v>
      </c>
      <c r="D164" s="146">
        <v>0.02</v>
      </c>
      <c r="E164" s="25">
        <f t="shared" ref="E164:M164" si="34">+D164</f>
        <v>0.02</v>
      </c>
      <c r="F164" s="25">
        <f t="shared" si="34"/>
        <v>0.02</v>
      </c>
      <c r="G164" s="25">
        <f t="shared" si="34"/>
        <v>0.02</v>
      </c>
      <c r="H164" s="25">
        <f t="shared" si="34"/>
        <v>0.02</v>
      </c>
      <c r="I164" s="25">
        <f t="shared" si="34"/>
        <v>0.02</v>
      </c>
      <c r="J164" s="25">
        <f t="shared" si="34"/>
        <v>0.02</v>
      </c>
      <c r="K164" s="25">
        <f t="shared" si="34"/>
        <v>0.02</v>
      </c>
      <c r="L164" s="25">
        <f t="shared" si="34"/>
        <v>0.02</v>
      </c>
      <c r="M164" s="25">
        <f t="shared" si="34"/>
        <v>0.02</v>
      </c>
    </row>
    <row r="166" spans="3:14" x14ac:dyDescent="0.25">
      <c r="C166" s="65" t="s">
        <v>42</v>
      </c>
      <c r="D166" s="51">
        <f>+D109+D111+D160+D163</f>
        <v>4.032</v>
      </c>
      <c r="E166" s="51">
        <f t="shared" ref="E166:M166" si="35">+E109+E111+E160+E163</f>
        <v>-2.0640000000000009</v>
      </c>
      <c r="F166" s="51">
        <f t="shared" si="35"/>
        <v>10.367999999999997</v>
      </c>
      <c r="G166" s="51">
        <f t="shared" si="35"/>
        <v>15.504</v>
      </c>
      <c r="H166" s="51">
        <f t="shared" si="35"/>
        <v>0</v>
      </c>
      <c r="I166" s="51">
        <f t="shared" si="35"/>
        <v>0</v>
      </c>
      <c r="J166" s="51">
        <f t="shared" si="35"/>
        <v>0</v>
      </c>
      <c r="K166" s="51">
        <f t="shared" si="35"/>
        <v>0</v>
      </c>
      <c r="L166" s="51">
        <f t="shared" si="35"/>
        <v>0</v>
      </c>
      <c r="M166" s="51">
        <f t="shared" si="35"/>
        <v>0</v>
      </c>
    </row>
    <row r="169" spans="3:14" x14ac:dyDescent="0.25">
      <c r="C169" s="64" t="s">
        <v>35</v>
      </c>
      <c r="D169" s="66">
        <f>+D170+D171</f>
        <v>0</v>
      </c>
      <c r="E169" s="66">
        <f t="shared" ref="E169:M169" si="36">+E170+E171</f>
        <v>14.400000000000002</v>
      </c>
      <c r="F169" s="66">
        <f t="shared" si="36"/>
        <v>21.599999999999998</v>
      </c>
      <c r="G169" s="66">
        <f t="shared" si="36"/>
        <v>-53.49888</v>
      </c>
      <c r="H169" s="66">
        <f t="shared" si="36"/>
        <v>0</v>
      </c>
      <c r="I169" s="66">
        <f t="shared" si="36"/>
        <v>0</v>
      </c>
      <c r="J169" s="66">
        <f t="shared" si="36"/>
        <v>0</v>
      </c>
      <c r="K169" s="66">
        <f t="shared" si="36"/>
        <v>0</v>
      </c>
      <c r="L169" s="66">
        <f t="shared" si="36"/>
        <v>0</v>
      </c>
      <c r="M169" s="66">
        <f t="shared" si="36"/>
        <v>0</v>
      </c>
    </row>
    <row r="170" spans="3:14" x14ac:dyDescent="0.25">
      <c r="C170" s="22" t="s">
        <v>43</v>
      </c>
      <c r="D170" s="9">
        <f>+D141</f>
        <v>0</v>
      </c>
      <c r="E170" s="9">
        <f t="shared" ref="E170:M170" si="37">+E141</f>
        <v>14.400000000000002</v>
      </c>
      <c r="F170" s="9">
        <f t="shared" si="37"/>
        <v>21.599999999999998</v>
      </c>
      <c r="G170" s="9">
        <f t="shared" si="37"/>
        <v>0</v>
      </c>
      <c r="H170" s="9">
        <f t="shared" si="37"/>
        <v>0</v>
      </c>
      <c r="I170" s="9">
        <f t="shared" si="37"/>
        <v>0</v>
      </c>
      <c r="J170" s="9">
        <f t="shared" si="37"/>
        <v>0</v>
      </c>
      <c r="K170" s="9">
        <f t="shared" si="37"/>
        <v>0</v>
      </c>
      <c r="L170" s="9">
        <f t="shared" si="37"/>
        <v>0</v>
      </c>
      <c r="M170" s="9">
        <f t="shared" si="37"/>
        <v>0</v>
      </c>
    </row>
    <row r="171" spans="3:14" x14ac:dyDescent="0.25">
      <c r="C171" s="22" t="s">
        <v>44</v>
      </c>
      <c r="D171" s="9">
        <f>+D142</f>
        <v>0</v>
      </c>
      <c r="E171" s="9">
        <f t="shared" ref="E171:M171" si="38">+E142</f>
        <v>0</v>
      </c>
      <c r="F171" s="9">
        <f t="shared" si="38"/>
        <v>0</v>
      </c>
      <c r="G171" s="9">
        <f t="shared" si="38"/>
        <v>-53.49888</v>
      </c>
      <c r="H171" s="9">
        <f t="shared" si="38"/>
        <v>0</v>
      </c>
      <c r="I171" s="9">
        <f t="shared" si="38"/>
        <v>0</v>
      </c>
      <c r="J171" s="9">
        <f t="shared" si="38"/>
        <v>0</v>
      </c>
      <c r="K171" s="9">
        <f t="shared" si="38"/>
        <v>0</v>
      </c>
      <c r="L171" s="9">
        <f t="shared" si="38"/>
        <v>0</v>
      </c>
      <c r="M171" s="9">
        <f t="shared" si="38"/>
        <v>0</v>
      </c>
    </row>
    <row r="173" spans="3:14" x14ac:dyDescent="0.25">
      <c r="C173" s="64" t="s">
        <v>45</v>
      </c>
      <c r="D173" s="67">
        <f>+D166+D169</f>
        <v>4.032</v>
      </c>
      <c r="E173" s="67">
        <f t="shared" ref="E173:M173" si="39">+E166+E169</f>
        <v>12.336000000000002</v>
      </c>
      <c r="F173" s="67">
        <f t="shared" si="39"/>
        <v>31.967999999999996</v>
      </c>
      <c r="G173" s="67">
        <f t="shared" si="39"/>
        <v>-37.994880000000002</v>
      </c>
      <c r="H173" s="67">
        <f t="shared" si="39"/>
        <v>0</v>
      </c>
      <c r="I173" s="67">
        <f t="shared" si="39"/>
        <v>0</v>
      </c>
      <c r="J173" s="67">
        <f t="shared" si="39"/>
        <v>0</v>
      </c>
      <c r="K173" s="67">
        <f t="shared" si="39"/>
        <v>0</v>
      </c>
      <c r="L173" s="67">
        <f t="shared" si="39"/>
        <v>0</v>
      </c>
      <c r="M173" s="67">
        <f t="shared" si="39"/>
        <v>0</v>
      </c>
      <c r="N173" s="76"/>
    </row>
    <row r="174" spans="3:14" x14ac:dyDescent="0.25">
      <c r="D174" s="9"/>
      <c r="E174" s="9"/>
      <c r="F174" s="9"/>
      <c r="G174" s="9"/>
      <c r="H174" s="9"/>
      <c r="I174" s="9"/>
      <c r="J174" s="9"/>
      <c r="K174" s="9"/>
      <c r="L174" s="9"/>
      <c r="M174" s="68"/>
      <c r="N174" s="4"/>
    </row>
  </sheetData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173"/>
  <sheetViews>
    <sheetView showGridLines="0" workbookViewId="0">
      <selection activeCell="P110" sqref="P110"/>
    </sheetView>
  </sheetViews>
  <sheetFormatPr defaultColWidth="8.85546875" defaultRowHeight="15" outlineLevelRow="1" x14ac:dyDescent="0.25"/>
  <cols>
    <col min="1" max="1" width="1.42578125" customWidth="1"/>
    <col min="2" max="2" width="16.85546875" customWidth="1"/>
    <col min="4" max="4" width="12.42578125" bestFit="1" customWidth="1"/>
    <col min="13" max="13" width="9.42578125" bestFit="1" customWidth="1"/>
  </cols>
  <sheetData>
    <row r="2" spans="2:13" x14ac:dyDescent="0.25">
      <c r="B2" s="1" t="s">
        <v>113</v>
      </c>
      <c r="C2" s="1"/>
    </row>
    <row r="3" spans="2:13" x14ac:dyDescent="0.25">
      <c r="B3" s="4" t="s">
        <v>10</v>
      </c>
    </row>
    <row r="4" spans="2:13" ht="4.5" customHeight="1" x14ac:dyDescent="0.25"/>
    <row r="5" spans="2:13" x14ac:dyDescent="0.25">
      <c r="C5" s="4" t="s">
        <v>12</v>
      </c>
    </row>
    <row r="6" spans="2:13" ht="3" customHeight="1" x14ac:dyDescent="0.25">
      <c r="C6" s="4"/>
    </row>
    <row r="7" spans="2:13" x14ac:dyDescent="0.25">
      <c r="D7" s="2" t="s">
        <v>0</v>
      </c>
      <c r="E7" s="2" t="s">
        <v>1</v>
      </c>
      <c r="F7" s="2" t="s">
        <v>2</v>
      </c>
      <c r="G7" s="2" t="s">
        <v>3</v>
      </c>
      <c r="H7" s="2" t="s">
        <v>4</v>
      </c>
      <c r="I7" s="2" t="s">
        <v>5</v>
      </c>
      <c r="J7" s="2" t="s">
        <v>6</v>
      </c>
      <c r="K7" s="2" t="s">
        <v>7</v>
      </c>
      <c r="L7" s="2" t="s">
        <v>8</v>
      </c>
      <c r="M7" s="2" t="s">
        <v>9</v>
      </c>
    </row>
    <row r="8" spans="2:13" x14ac:dyDescent="0.25">
      <c r="D8" s="137">
        <v>50</v>
      </c>
      <c r="E8" s="137"/>
      <c r="F8" s="137"/>
      <c r="G8" s="137"/>
      <c r="H8" s="137"/>
      <c r="I8" s="137"/>
      <c r="J8" s="137"/>
      <c r="K8" s="137"/>
      <c r="L8" s="137"/>
      <c r="M8" s="137"/>
    </row>
    <row r="10" spans="2:13" x14ac:dyDescent="0.25">
      <c r="C10" t="s">
        <v>40</v>
      </c>
      <c r="E10" s="138">
        <v>0.05</v>
      </c>
    </row>
    <row r="12" spans="2:13" x14ac:dyDescent="0.25">
      <c r="C12" s="4" t="s">
        <v>12</v>
      </c>
    </row>
    <row r="13" spans="2:13" ht="3" customHeight="1" x14ac:dyDescent="0.25">
      <c r="C13" s="4"/>
    </row>
    <row r="14" spans="2:13" outlineLevel="1" x14ac:dyDescent="0.25">
      <c r="D14" s="2" t="s">
        <v>0</v>
      </c>
      <c r="E14" s="2" t="s">
        <v>1</v>
      </c>
      <c r="F14" s="2" t="s">
        <v>2</v>
      </c>
      <c r="G14" s="2" t="s">
        <v>3</v>
      </c>
      <c r="H14" s="2" t="s">
        <v>4</v>
      </c>
      <c r="I14" s="2" t="s">
        <v>5</v>
      </c>
      <c r="J14" s="2" t="s">
        <v>6</v>
      </c>
      <c r="K14" s="2" t="s">
        <v>7</v>
      </c>
      <c r="L14" s="2" t="s">
        <v>8</v>
      </c>
      <c r="M14" s="2" t="s">
        <v>9</v>
      </c>
    </row>
    <row r="15" spans="2:13" outlineLevel="1" x14ac:dyDescent="0.25">
      <c r="C15" s="2" t="s">
        <v>0</v>
      </c>
      <c r="D15" s="77">
        <f>+D$8*(1-$E$10)</f>
        <v>47.5</v>
      </c>
      <c r="E15" s="28"/>
      <c r="F15" s="28"/>
      <c r="G15" s="28"/>
      <c r="H15" s="28"/>
      <c r="I15" s="28"/>
      <c r="J15" s="28"/>
      <c r="K15" s="28"/>
      <c r="L15" s="28"/>
      <c r="M15" s="28"/>
    </row>
    <row r="16" spans="2:13" outlineLevel="1" x14ac:dyDescent="0.25">
      <c r="C16" s="2" t="s">
        <v>1</v>
      </c>
      <c r="E16" s="3">
        <f>+E$8*(1-$E$10)</f>
        <v>0</v>
      </c>
    </row>
    <row r="17" spans="3:16" outlineLevel="1" x14ac:dyDescent="0.25">
      <c r="C17" s="2" t="s">
        <v>2</v>
      </c>
      <c r="F17" s="3">
        <f>+F$8*(1-$E$10)</f>
        <v>0</v>
      </c>
    </row>
    <row r="18" spans="3:16" outlineLevel="1" x14ac:dyDescent="0.25">
      <c r="C18" s="2" t="s">
        <v>3</v>
      </c>
      <c r="G18" s="3">
        <f>+G$8*(1-$E$10)</f>
        <v>0</v>
      </c>
    </row>
    <row r="19" spans="3:16" outlineLevel="1" x14ac:dyDescent="0.25">
      <c r="C19" s="2" t="s">
        <v>4</v>
      </c>
      <c r="H19" s="3">
        <f>+H$8*(1-$E$10)</f>
        <v>0</v>
      </c>
    </row>
    <row r="20" spans="3:16" outlineLevel="1" x14ac:dyDescent="0.25">
      <c r="C20" s="2" t="s">
        <v>5</v>
      </c>
      <c r="I20" s="3">
        <f>+I$8*(1-$E$10)</f>
        <v>0</v>
      </c>
    </row>
    <row r="21" spans="3:16" outlineLevel="1" x14ac:dyDescent="0.25">
      <c r="C21" s="2" t="s">
        <v>6</v>
      </c>
      <c r="J21" s="3">
        <f>+J$8*(1-$E$10)</f>
        <v>0</v>
      </c>
    </row>
    <row r="22" spans="3:16" outlineLevel="1" x14ac:dyDescent="0.25">
      <c r="C22" s="2" t="s">
        <v>7</v>
      </c>
      <c r="K22" s="3">
        <f>+K$8*(1-$E$10)</f>
        <v>0</v>
      </c>
    </row>
    <row r="23" spans="3:16" outlineLevel="1" x14ac:dyDescent="0.25">
      <c r="C23" s="2" t="s">
        <v>8</v>
      </c>
      <c r="L23" s="3">
        <f>+L$8*(1-$E$10)</f>
        <v>0</v>
      </c>
    </row>
    <row r="24" spans="3:16" outlineLevel="1" x14ac:dyDescent="0.25">
      <c r="C24" s="2" t="s">
        <v>9</v>
      </c>
      <c r="D24" s="29"/>
      <c r="E24" s="29"/>
      <c r="F24" s="29"/>
      <c r="G24" s="29"/>
      <c r="H24" s="29"/>
      <c r="I24" s="29"/>
      <c r="J24" s="29"/>
      <c r="K24" s="29"/>
      <c r="L24" s="29"/>
      <c r="M24" s="39">
        <f>+M$8*(1-$E$10)</f>
        <v>0</v>
      </c>
    </row>
    <row r="25" spans="3:16" x14ac:dyDescent="0.25">
      <c r="D25" s="30">
        <f>SUM(D15:D24)</f>
        <v>47.5</v>
      </c>
      <c r="E25" s="30">
        <f t="shared" ref="E25:M25" si="0">SUM(E15:E24)</f>
        <v>0</v>
      </c>
      <c r="F25" s="30">
        <f t="shared" si="0"/>
        <v>0</v>
      </c>
      <c r="G25" s="30">
        <f t="shared" si="0"/>
        <v>0</v>
      </c>
      <c r="H25" s="30">
        <f t="shared" si="0"/>
        <v>0</v>
      </c>
      <c r="I25" s="30">
        <f t="shared" si="0"/>
        <v>0</v>
      </c>
      <c r="J25" s="30">
        <f t="shared" si="0"/>
        <v>0</v>
      </c>
      <c r="K25" s="30">
        <f t="shared" si="0"/>
        <v>0</v>
      </c>
      <c r="L25" s="30">
        <f t="shared" si="0"/>
        <v>0</v>
      </c>
      <c r="M25" s="30">
        <f t="shared" si="0"/>
        <v>0</v>
      </c>
    </row>
    <row r="27" spans="3:16" x14ac:dyDescent="0.25">
      <c r="C27" s="4" t="s">
        <v>11</v>
      </c>
    </row>
    <row r="28" spans="3:16" ht="4.5" customHeight="1" x14ac:dyDescent="0.25">
      <c r="C28" s="4"/>
    </row>
    <row r="29" spans="3:16" outlineLevel="1" x14ac:dyDescent="0.25">
      <c r="D29" s="2" t="s">
        <v>0</v>
      </c>
      <c r="E29" s="2" t="s">
        <v>1</v>
      </c>
      <c r="F29" s="2" t="s">
        <v>2</v>
      </c>
      <c r="G29" s="2" t="s">
        <v>3</v>
      </c>
      <c r="H29" s="2" t="s">
        <v>4</v>
      </c>
      <c r="I29" s="2" t="s">
        <v>5</v>
      </c>
      <c r="J29" s="2" t="s">
        <v>6</v>
      </c>
      <c r="K29" s="2" t="s">
        <v>7</v>
      </c>
      <c r="L29" s="2" t="s">
        <v>8</v>
      </c>
      <c r="M29" s="2" t="s">
        <v>9</v>
      </c>
    </row>
    <row r="30" spans="3:16" outlineLevel="1" x14ac:dyDescent="0.25">
      <c r="C30" s="2" t="s">
        <v>0</v>
      </c>
      <c r="D30" s="139">
        <v>0.5</v>
      </c>
      <c r="E30" s="139">
        <v>0.35</v>
      </c>
      <c r="F30" s="139">
        <v>0.1</v>
      </c>
      <c r="G30" s="139">
        <v>0.05</v>
      </c>
      <c r="H30" s="31"/>
      <c r="I30" s="31"/>
      <c r="J30" s="31"/>
      <c r="K30" s="31"/>
      <c r="L30" s="31"/>
      <c r="M30" s="31"/>
      <c r="N30" s="32"/>
      <c r="O30" s="28"/>
      <c r="P30" s="28"/>
    </row>
    <row r="31" spans="3:16" outlineLevel="1" x14ac:dyDescent="0.25">
      <c r="C31" s="2" t="s">
        <v>1</v>
      </c>
      <c r="D31" s="33"/>
      <c r="E31" s="140"/>
      <c r="F31" s="140"/>
      <c r="G31" s="140"/>
      <c r="H31" s="141"/>
      <c r="I31" s="33"/>
      <c r="J31" s="33"/>
      <c r="K31" s="33"/>
      <c r="L31" s="33"/>
      <c r="M31" s="33"/>
      <c r="N31" s="34"/>
    </row>
    <row r="32" spans="3:16" outlineLevel="1" x14ac:dyDescent="0.25">
      <c r="C32" s="2" t="s">
        <v>2</v>
      </c>
      <c r="D32" s="33"/>
      <c r="E32" s="33"/>
      <c r="F32" s="140"/>
      <c r="G32" s="140"/>
      <c r="H32" s="140"/>
      <c r="I32" s="141"/>
      <c r="J32" s="33"/>
      <c r="K32" s="33"/>
      <c r="L32" s="33"/>
      <c r="M32" s="33"/>
      <c r="N32" s="34"/>
    </row>
    <row r="33" spans="3:16" outlineLevel="1" x14ac:dyDescent="0.25">
      <c r="C33" s="2" t="s">
        <v>3</v>
      </c>
      <c r="D33" s="33"/>
      <c r="E33" s="33"/>
      <c r="F33" s="33"/>
      <c r="G33" s="140"/>
      <c r="H33" s="140"/>
      <c r="I33" s="140"/>
      <c r="J33" s="141"/>
      <c r="K33" s="33"/>
      <c r="L33" s="33"/>
      <c r="M33" s="33"/>
      <c r="N33" s="34"/>
    </row>
    <row r="34" spans="3:16" outlineLevel="1" x14ac:dyDescent="0.25">
      <c r="C34" s="2" t="s">
        <v>4</v>
      </c>
      <c r="D34" s="33"/>
      <c r="E34" s="33"/>
      <c r="F34" s="33"/>
      <c r="G34" s="33"/>
      <c r="H34" s="140"/>
      <c r="I34" s="140"/>
      <c r="J34" s="140"/>
      <c r="K34" s="141"/>
      <c r="L34" s="33"/>
      <c r="M34" s="33"/>
      <c r="N34" s="34"/>
    </row>
    <row r="35" spans="3:16" outlineLevel="1" x14ac:dyDescent="0.25">
      <c r="C35" s="2" t="s">
        <v>5</v>
      </c>
      <c r="D35" s="33"/>
      <c r="E35" s="33"/>
      <c r="F35" s="33"/>
      <c r="G35" s="33"/>
      <c r="H35" s="33"/>
      <c r="I35" s="140"/>
      <c r="J35" s="140"/>
      <c r="K35" s="140"/>
      <c r="L35" s="141"/>
      <c r="M35" s="33"/>
      <c r="N35" s="34"/>
    </row>
    <row r="36" spans="3:16" outlineLevel="1" x14ac:dyDescent="0.25">
      <c r="C36" s="2" t="s">
        <v>6</v>
      </c>
      <c r="D36" s="33"/>
      <c r="E36" s="33"/>
      <c r="F36" s="33"/>
      <c r="G36" s="33"/>
      <c r="H36" s="33"/>
      <c r="I36" s="33"/>
      <c r="J36" s="140"/>
      <c r="K36" s="140"/>
      <c r="L36" s="140"/>
      <c r="M36" s="141"/>
      <c r="N36" s="34"/>
    </row>
    <row r="37" spans="3:16" outlineLevel="1" x14ac:dyDescent="0.25">
      <c r="C37" s="2" t="s">
        <v>7</v>
      </c>
      <c r="D37" s="33"/>
      <c r="E37" s="33"/>
      <c r="F37" s="33"/>
      <c r="G37" s="33"/>
      <c r="H37" s="33"/>
      <c r="I37" s="33"/>
      <c r="J37" s="33"/>
      <c r="K37" s="140"/>
      <c r="L37" s="140"/>
      <c r="M37" s="140"/>
      <c r="N37" s="141"/>
    </row>
    <row r="38" spans="3:16" outlineLevel="1" x14ac:dyDescent="0.25">
      <c r="C38" s="2" t="s">
        <v>8</v>
      </c>
      <c r="D38" s="33"/>
      <c r="E38" s="33"/>
      <c r="F38" s="33"/>
      <c r="G38" s="33"/>
      <c r="H38" s="33"/>
      <c r="I38" s="33"/>
      <c r="J38" s="33"/>
      <c r="K38" s="33"/>
      <c r="L38" s="140"/>
      <c r="M38" s="140"/>
      <c r="N38" s="140"/>
      <c r="O38" s="141"/>
    </row>
    <row r="39" spans="3:16" outlineLevel="1" x14ac:dyDescent="0.25">
      <c r="C39" s="2" t="s">
        <v>9</v>
      </c>
      <c r="D39" s="35"/>
      <c r="E39" s="35"/>
      <c r="F39" s="35"/>
      <c r="G39" s="35"/>
      <c r="H39" s="35"/>
      <c r="I39" s="35"/>
      <c r="J39" s="35"/>
      <c r="K39" s="35"/>
      <c r="L39" s="35"/>
      <c r="M39" s="140"/>
      <c r="N39" s="140"/>
      <c r="O39" s="140"/>
      <c r="P39" s="141"/>
    </row>
    <row r="41" spans="3:16" x14ac:dyDescent="0.25">
      <c r="C41" s="6" t="s">
        <v>14</v>
      </c>
      <c r="F41" s="140">
        <v>0.3</v>
      </c>
    </row>
    <row r="42" spans="3:16" ht="5.25" customHeight="1" x14ac:dyDescent="0.25"/>
    <row r="43" spans="3:16" outlineLevel="1" x14ac:dyDescent="0.25">
      <c r="D43" s="2" t="s">
        <v>0</v>
      </c>
      <c r="E43" s="2" t="s">
        <v>1</v>
      </c>
      <c r="F43" s="2" t="s">
        <v>2</v>
      </c>
      <c r="G43" s="2" t="s">
        <v>3</v>
      </c>
      <c r="H43" s="2" t="s">
        <v>4</v>
      </c>
      <c r="I43" s="2" t="s">
        <v>5</v>
      </c>
      <c r="J43" s="2" t="s">
        <v>6</v>
      </c>
      <c r="K43" s="2" t="s">
        <v>7</v>
      </c>
      <c r="L43" s="2" t="s">
        <v>8</v>
      </c>
      <c r="M43" s="2" t="s">
        <v>9</v>
      </c>
      <c r="N43" s="2" t="s">
        <v>15</v>
      </c>
    </row>
    <row r="44" spans="3:16" outlineLevel="1" x14ac:dyDescent="0.25">
      <c r="C44" s="7">
        <v>1</v>
      </c>
      <c r="D44" s="36">
        <f>+$F$41/3</f>
        <v>9.9999999999999992E-2</v>
      </c>
      <c r="E44" s="36">
        <f>+F41/3</f>
        <v>9.9999999999999992E-2</v>
      </c>
      <c r="F44" s="36">
        <f>+F41/3</f>
        <v>9.9999999999999992E-2</v>
      </c>
      <c r="G44" s="36">
        <f>+(1-$F$41)</f>
        <v>0.7</v>
      </c>
      <c r="H44" s="37"/>
      <c r="I44" s="37"/>
      <c r="J44" s="37"/>
      <c r="K44" s="28"/>
      <c r="L44" s="28"/>
      <c r="M44" s="28"/>
      <c r="N44" s="32">
        <f>SUM(D44:M44)</f>
        <v>1</v>
      </c>
    </row>
    <row r="45" spans="3:16" outlineLevel="1" x14ac:dyDescent="0.25">
      <c r="C45" s="7">
        <v>2</v>
      </c>
      <c r="D45" s="3"/>
      <c r="E45" s="38">
        <f>+$F$41/2</f>
        <v>0.15</v>
      </c>
      <c r="F45" s="38">
        <f>+$F$41/2</f>
        <v>0.15</v>
      </c>
      <c r="G45" s="38">
        <f>+(1-$F$41)</f>
        <v>0.7</v>
      </c>
      <c r="H45" s="8"/>
      <c r="I45" s="8"/>
      <c r="J45" s="8"/>
      <c r="N45" s="34">
        <f>SUM(D45:M45)</f>
        <v>1</v>
      </c>
    </row>
    <row r="46" spans="3:16" outlineLevel="1" x14ac:dyDescent="0.25">
      <c r="C46" s="7">
        <v>3</v>
      </c>
      <c r="D46" s="3"/>
      <c r="E46" s="8"/>
      <c r="F46" s="38">
        <f>+$F$41</f>
        <v>0.3</v>
      </c>
      <c r="G46" s="38">
        <f>+(1-$F$41)</f>
        <v>0.7</v>
      </c>
      <c r="H46" s="8"/>
      <c r="I46" s="8"/>
      <c r="J46" s="8"/>
      <c r="N46" s="34">
        <f>SUM(D46:M46)</f>
        <v>1</v>
      </c>
    </row>
    <row r="47" spans="3:16" outlineLevel="1" x14ac:dyDescent="0.25">
      <c r="C47" s="7">
        <v>4</v>
      </c>
      <c r="D47" s="39"/>
      <c r="E47" s="40"/>
      <c r="F47" s="40"/>
      <c r="G47" s="41">
        <v>1</v>
      </c>
      <c r="H47" s="40"/>
      <c r="I47" s="40"/>
      <c r="J47" s="40"/>
      <c r="K47" s="29"/>
      <c r="L47" s="29"/>
      <c r="M47" s="29"/>
      <c r="N47" s="42">
        <f>SUM(D47:M47)</f>
        <v>1</v>
      </c>
    </row>
    <row r="48" spans="3:16" x14ac:dyDescent="0.25">
      <c r="D48" s="3"/>
      <c r="E48" s="8"/>
      <c r="F48" s="8"/>
      <c r="G48" s="8"/>
      <c r="H48" s="8"/>
      <c r="I48" s="8"/>
      <c r="J48" s="8"/>
      <c r="N48" s="10"/>
    </row>
    <row r="49" spans="3:17" x14ac:dyDescent="0.25">
      <c r="C49" s="4" t="s">
        <v>13</v>
      </c>
    </row>
    <row r="50" spans="3:17" ht="5.25" customHeight="1" x14ac:dyDescent="0.25">
      <c r="C50" s="4"/>
    </row>
    <row r="51" spans="3:17" x14ac:dyDescent="0.25">
      <c r="D51" s="2" t="s">
        <v>0</v>
      </c>
      <c r="E51" s="2" t="s">
        <v>1</v>
      </c>
      <c r="F51" s="2" t="s">
        <v>2</v>
      </c>
      <c r="G51" s="2" t="s">
        <v>3</v>
      </c>
      <c r="H51" s="2" t="s">
        <v>4</v>
      </c>
      <c r="I51" s="2" t="s">
        <v>5</v>
      </c>
      <c r="J51" s="2" t="s">
        <v>6</v>
      </c>
      <c r="K51" s="2" t="s">
        <v>7</v>
      </c>
      <c r="L51" s="2" t="s">
        <v>8</v>
      </c>
      <c r="M51" s="2" t="s">
        <v>9</v>
      </c>
      <c r="Q51" s="2" t="s">
        <v>15</v>
      </c>
    </row>
    <row r="52" spans="3:17" outlineLevel="1" x14ac:dyDescent="0.25">
      <c r="C52" s="7" t="s">
        <v>0</v>
      </c>
      <c r="D52" s="37">
        <f>+$D$15*$D$30*D$44</f>
        <v>2.375</v>
      </c>
      <c r="E52" s="37">
        <f>+$D$15*$D$30*E$44</f>
        <v>2.375</v>
      </c>
      <c r="F52" s="37">
        <f>+$D$15*$D$30*F$44</f>
        <v>2.375</v>
      </c>
      <c r="G52" s="37">
        <f>+$D$15*$D$30*G$44</f>
        <v>16.625</v>
      </c>
      <c r="H52" s="37"/>
      <c r="I52" s="37"/>
      <c r="J52" s="37"/>
      <c r="K52" s="28"/>
      <c r="L52" s="28"/>
      <c r="M52" s="28"/>
      <c r="N52" s="43"/>
      <c r="O52" s="28"/>
      <c r="P52" s="28"/>
      <c r="Q52" s="44">
        <f>SUM(D52:P52)</f>
        <v>23.75</v>
      </c>
    </row>
    <row r="53" spans="3:17" outlineLevel="1" x14ac:dyDescent="0.25">
      <c r="C53" s="7" t="s">
        <v>0</v>
      </c>
      <c r="D53" s="3"/>
      <c r="E53" s="8">
        <f>+$D$15*$E$30*$E$45</f>
        <v>2.4937499999999999</v>
      </c>
      <c r="F53" s="8">
        <f>+$D$15*$E$30*$F$45</f>
        <v>2.4937499999999999</v>
      </c>
      <c r="G53" s="8">
        <f>+$D$15*$E$30*$G$45</f>
        <v>11.637499999999999</v>
      </c>
      <c r="H53" s="8"/>
      <c r="I53" s="8"/>
      <c r="J53" s="8"/>
      <c r="N53" s="45"/>
      <c r="Q53" s="11">
        <f t="shared" ref="Q53:Q91" si="1">SUM(D53:P53)</f>
        <v>16.625</v>
      </c>
    </row>
    <row r="54" spans="3:17" outlineLevel="1" x14ac:dyDescent="0.25">
      <c r="C54" s="7" t="s">
        <v>0</v>
      </c>
      <c r="D54" s="3"/>
      <c r="E54" s="8"/>
      <c r="F54" s="8">
        <f>+$D$15*$F$30*$F$46</f>
        <v>1.425</v>
      </c>
      <c r="G54" s="8">
        <f>+$D$15*$F$30*$G$46</f>
        <v>3.3249999999999997</v>
      </c>
      <c r="H54" s="8"/>
      <c r="I54" s="8"/>
      <c r="J54" s="8"/>
      <c r="N54" s="45"/>
      <c r="Q54" s="11">
        <f t="shared" si="1"/>
        <v>4.75</v>
      </c>
    </row>
    <row r="55" spans="3:17" outlineLevel="1" x14ac:dyDescent="0.25">
      <c r="C55" s="7" t="s">
        <v>0</v>
      </c>
      <c r="D55" s="39"/>
      <c r="E55" s="40"/>
      <c r="F55" s="40"/>
      <c r="G55" s="40">
        <f>+$D$15*$G$30*$G$47</f>
        <v>2.375</v>
      </c>
      <c r="H55" s="40"/>
      <c r="I55" s="40"/>
      <c r="J55" s="40"/>
      <c r="K55" s="29"/>
      <c r="L55" s="29"/>
      <c r="M55" s="29"/>
      <c r="N55" s="46"/>
      <c r="O55" s="29"/>
      <c r="P55" s="29"/>
      <c r="Q55" s="47">
        <f t="shared" si="1"/>
        <v>2.375</v>
      </c>
    </row>
    <row r="56" spans="3:17" outlineLevel="1" x14ac:dyDescent="0.25">
      <c r="C56" s="2" t="s">
        <v>1</v>
      </c>
      <c r="E56" s="8">
        <f>+$E$16*$E$31*D$44</f>
        <v>0</v>
      </c>
      <c r="F56" s="8">
        <f t="shared" ref="F56:H56" si="2">+$E$16*$E$31*E$44</f>
        <v>0</v>
      </c>
      <c r="G56" s="8">
        <f t="shared" si="2"/>
        <v>0</v>
      </c>
      <c r="H56" s="8">
        <f t="shared" si="2"/>
        <v>0</v>
      </c>
      <c r="I56" s="8"/>
      <c r="J56" s="8"/>
      <c r="K56" s="8"/>
      <c r="N56" s="10"/>
      <c r="Q56" s="11">
        <f t="shared" si="1"/>
        <v>0</v>
      </c>
    </row>
    <row r="57" spans="3:17" outlineLevel="1" x14ac:dyDescent="0.25">
      <c r="C57" s="2" t="s">
        <v>1</v>
      </c>
      <c r="E57" s="3"/>
      <c r="F57" s="8">
        <f>+$E$16*$F$31*E$45</f>
        <v>0</v>
      </c>
      <c r="G57" s="8">
        <f>+$E$16*$F$31*F$45</f>
        <v>0</v>
      </c>
      <c r="H57" s="8">
        <f>+$E$16*$F$31*G$45</f>
        <v>0</v>
      </c>
      <c r="I57" s="8"/>
      <c r="J57" s="8"/>
      <c r="K57" s="8"/>
      <c r="N57" s="10"/>
      <c r="Q57" s="11">
        <f t="shared" si="1"/>
        <v>0</v>
      </c>
    </row>
    <row r="58" spans="3:17" outlineLevel="1" x14ac:dyDescent="0.25">
      <c r="C58" s="2" t="s">
        <v>1</v>
      </c>
      <c r="E58" s="3"/>
      <c r="F58" s="8"/>
      <c r="G58" s="8">
        <f>+$E$16*$G$31*$F$46</f>
        <v>0</v>
      </c>
      <c r="H58" s="8">
        <f>+$E$16*$G$31*$G$46</f>
        <v>0</v>
      </c>
      <c r="I58" s="8"/>
      <c r="J58" s="8"/>
      <c r="K58" s="8"/>
      <c r="N58" s="10"/>
      <c r="Q58" s="11">
        <f t="shared" si="1"/>
        <v>0</v>
      </c>
    </row>
    <row r="59" spans="3:17" outlineLevel="1" x14ac:dyDescent="0.25">
      <c r="C59" s="2" t="s">
        <v>1</v>
      </c>
      <c r="E59" s="3"/>
      <c r="F59" s="8"/>
      <c r="G59" s="8"/>
      <c r="H59" s="8">
        <f>+$E$16*$H$31*$G$47</f>
        <v>0</v>
      </c>
      <c r="I59" s="8"/>
      <c r="J59" s="8"/>
      <c r="K59" s="8"/>
      <c r="N59" s="10"/>
      <c r="Q59" s="11">
        <f t="shared" si="1"/>
        <v>0</v>
      </c>
    </row>
    <row r="60" spans="3:17" outlineLevel="1" x14ac:dyDescent="0.25">
      <c r="C60" s="7" t="s">
        <v>2</v>
      </c>
      <c r="D60" s="28"/>
      <c r="E60" s="28"/>
      <c r="F60" s="37">
        <f>+$F$17*$F$32*D$44</f>
        <v>0</v>
      </c>
      <c r="G60" s="37">
        <f>+$F$17*$F$32*E$44</f>
        <v>0</v>
      </c>
      <c r="H60" s="37">
        <f>+$F$17*$F$32*F$44</f>
        <v>0</v>
      </c>
      <c r="I60" s="37">
        <f>+$F$17*$F$32*G$44</f>
        <v>0</v>
      </c>
      <c r="J60" s="28"/>
      <c r="K60" s="28"/>
      <c r="L60" s="28"/>
      <c r="M60" s="28"/>
      <c r="N60" s="43"/>
      <c r="O60" s="28"/>
      <c r="P60" s="28"/>
      <c r="Q60" s="44">
        <f t="shared" si="1"/>
        <v>0</v>
      </c>
    </row>
    <row r="61" spans="3:17" outlineLevel="1" x14ac:dyDescent="0.25">
      <c r="C61" s="7" t="s">
        <v>2</v>
      </c>
      <c r="F61" s="3"/>
      <c r="G61" s="8">
        <f>+$F$17*$G$32*E$45</f>
        <v>0</v>
      </c>
      <c r="H61" s="8">
        <f>+$F$17*$G$32*F$45</f>
        <v>0</v>
      </c>
      <c r="I61" s="8">
        <f>+$F$17*$G$32*G$45</f>
        <v>0</v>
      </c>
      <c r="J61" s="8"/>
      <c r="N61" s="45"/>
      <c r="Q61" s="11">
        <f t="shared" si="1"/>
        <v>0</v>
      </c>
    </row>
    <row r="62" spans="3:17" outlineLevel="1" x14ac:dyDescent="0.25">
      <c r="C62" s="7" t="s">
        <v>2</v>
      </c>
      <c r="F62" s="3"/>
      <c r="G62" s="8"/>
      <c r="H62" s="8">
        <f>+$F$17*$H$32*F$46</f>
        <v>0</v>
      </c>
      <c r="I62" s="8">
        <f>+$F$17*$H$32*G$46</f>
        <v>0</v>
      </c>
      <c r="K62" s="3"/>
      <c r="N62" s="45"/>
      <c r="Q62" s="11">
        <f t="shared" si="1"/>
        <v>0</v>
      </c>
    </row>
    <row r="63" spans="3:17" outlineLevel="1" x14ac:dyDescent="0.25">
      <c r="C63" s="7" t="s">
        <v>2</v>
      </c>
      <c r="D63" s="29"/>
      <c r="E63" s="29"/>
      <c r="F63" s="39"/>
      <c r="G63" s="40"/>
      <c r="H63" s="40"/>
      <c r="I63" s="40">
        <f>+$F$17*$I$32*$G$47</f>
        <v>0</v>
      </c>
      <c r="J63" s="29"/>
      <c r="K63" s="29"/>
      <c r="L63" s="39"/>
      <c r="M63" s="29"/>
      <c r="N63" s="46"/>
      <c r="O63" s="29"/>
      <c r="P63" s="29"/>
      <c r="Q63" s="47">
        <f t="shared" si="1"/>
        <v>0</v>
      </c>
    </row>
    <row r="64" spans="3:17" outlineLevel="1" x14ac:dyDescent="0.25">
      <c r="C64" s="2" t="s">
        <v>3</v>
      </c>
      <c r="G64" s="8">
        <f>+$G$18*$G$33*D$44</f>
        <v>0</v>
      </c>
      <c r="H64" s="8">
        <f>+$G$18*$G$33*E$44</f>
        <v>0</v>
      </c>
      <c r="I64" s="8">
        <f>+$G$18*$G$33*F$44</f>
        <v>0</v>
      </c>
      <c r="J64" s="8">
        <f>+$G$18*$G$33*G$44</f>
        <v>0</v>
      </c>
      <c r="M64" s="3"/>
      <c r="Q64" s="11">
        <f t="shared" si="1"/>
        <v>0</v>
      </c>
    </row>
    <row r="65" spans="3:17" outlineLevel="1" x14ac:dyDescent="0.25">
      <c r="C65" s="2" t="s">
        <v>3</v>
      </c>
      <c r="G65" s="3"/>
      <c r="H65" s="8">
        <f>+$G$18*$H$33*E$45</f>
        <v>0</v>
      </c>
      <c r="I65" s="8">
        <f>+$G$18*$H$33*F$45</f>
        <v>0</v>
      </c>
      <c r="J65" s="8">
        <f>+$G$18*$H$33*G$45</f>
        <v>0</v>
      </c>
      <c r="Q65" s="11">
        <f t="shared" si="1"/>
        <v>0</v>
      </c>
    </row>
    <row r="66" spans="3:17" outlineLevel="1" x14ac:dyDescent="0.25">
      <c r="C66" s="2" t="s">
        <v>3</v>
      </c>
      <c r="G66" s="3"/>
      <c r="H66" s="8"/>
      <c r="I66" s="8">
        <f>+$G$18*$I$33*F$46</f>
        <v>0</v>
      </c>
      <c r="J66" s="8">
        <f>+$G$18*$I$33*G$46</f>
        <v>0</v>
      </c>
      <c r="Q66" s="11">
        <f t="shared" si="1"/>
        <v>0</v>
      </c>
    </row>
    <row r="67" spans="3:17" outlineLevel="1" x14ac:dyDescent="0.25">
      <c r="C67" s="2" t="s">
        <v>3</v>
      </c>
      <c r="G67" s="3"/>
      <c r="H67" s="8"/>
      <c r="I67" s="8"/>
      <c r="J67" s="8">
        <f>+$G$18*$J$33*G$47</f>
        <v>0</v>
      </c>
      <c r="Q67" s="11">
        <f t="shared" si="1"/>
        <v>0</v>
      </c>
    </row>
    <row r="68" spans="3:17" outlineLevel="1" x14ac:dyDescent="0.25">
      <c r="C68" s="7" t="s">
        <v>4</v>
      </c>
      <c r="D68" s="28"/>
      <c r="E68" s="28"/>
      <c r="F68" s="28"/>
      <c r="G68" s="28"/>
      <c r="H68" s="37">
        <f>+$H$19*$H$34*D$44</f>
        <v>0</v>
      </c>
      <c r="I68" s="37">
        <f t="shared" ref="I68:K68" si="3">+$H$19*$H$34*E$44</f>
        <v>0</v>
      </c>
      <c r="J68" s="37">
        <f t="shared" si="3"/>
        <v>0</v>
      </c>
      <c r="K68" s="37">
        <f t="shared" si="3"/>
        <v>0</v>
      </c>
      <c r="L68" s="28"/>
      <c r="M68" s="28"/>
      <c r="N68" s="28"/>
      <c r="O68" s="28"/>
      <c r="P68" s="28"/>
      <c r="Q68" s="44">
        <f t="shared" si="1"/>
        <v>0</v>
      </c>
    </row>
    <row r="69" spans="3:17" outlineLevel="1" x14ac:dyDescent="0.25">
      <c r="C69" s="7" t="s">
        <v>4</v>
      </c>
      <c r="H69" s="3"/>
      <c r="I69" s="8">
        <f>+$H$19*$I$34*E$45</f>
        <v>0</v>
      </c>
      <c r="J69" s="8">
        <f t="shared" ref="J69:K69" si="4">+$H$19*$I$34*F$45</f>
        <v>0</v>
      </c>
      <c r="K69" s="8">
        <f t="shared" si="4"/>
        <v>0</v>
      </c>
      <c r="Q69" s="11">
        <f t="shared" si="1"/>
        <v>0</v>
      </c>
    </row>
    <row r="70" spans="3:17" outlineLevel="1" x14ac:dyDescent="0.25">
      <c r="C70" s="7" t="s">
        <v>4</v>
      </c>
      <c r="H70" s="3"/>
      <c r="I70" s="8"/>
      <c r="J70" s="8">
        <f>+$H$19*$J$34*F$46</f>
        <v>0</v>
      </c>
      <c r="K70" s="8">
        <f>+$H$19*$J$34*G$46</f>
        <v>0</v>
      </c>
      <c r="Q70" s="11">
        <f t="shared" si="1"/>
        <v>0</v>
      </c>
    </row>
    <row r="71" spans="3:17" outlineLevel="1" x14ac:dyDescent="0.25">
      <c r="C71" s="7" t="s">
        <v>4</v>
      </c>
      <c r="D71" s="29"/>
      <c r="E71" s="29"/>
      <c r="F71" s="29"/>
      <c r="G71" s="29"/>
      <c r="H71" s="39"/>
      <c r="I71" s="40"/>
      <c r="J71" s="40"/>
      <c r="K71" s="40">
        <f>+$H$19*$K$34*G$47</f>
        <v>0</v>
      </c>
      <c r="L71" s="29"/>
      <c r="M71" s="29"/>
      <c r="N71" s="29"/>
      <c r="O71" s="29"/>
      <c r="P71" s="29"/>
      <c r="Q71" s="47">
        <f t="shared" si="1"/>
        <v>0</v>
      </c>
    </row>
    <row r="72" spans="3:17" outlineLevel="1" x14ac:dyDescent="0.25">
      <c r="C72" s="2" t="s">
        <v>5</v>
      </c>
      <c r="I72" s="8">
        <f>+$I$20*$I$35*D$44</f>
        <v>0</v>
      </c>
      <c r="J72" s="8">
        <f t="shared" ref="J72:L72" si="5">+$I$20*$I$35*E$44</f>
        <v>0</v>
      </c>
      <c r="K72" s="8">
        <f t="shared" si="5"/>
        <v>0</v>
      </c>
      <c r="L72" s="8">
        <f t="shared" si="5"/>
        <v>0</v>
      </c>
      <c r="Q72" s="11">
        <f t="shared" si="1"/>
        <v>0</v>
      </c>
    </row>
    <row r="73" spans="3:17" outlineLevel="1" x14ac:dyDescent="0.25">
      <c r="C73" s="2" t="s">
        <v>5</v>
      </c>
      <c r="I73" s="3"/>
      <c r="J73" s="8">
        <f>+$I$20*$J$35*E$45</f>
        <v>0</v>
      </c>
      <c r="K73" s="8">
        <f t="shared" ref="K73:L73" si="6">+$I$20*$J$35*F$45</f>
        <v>0</v>
      </c>
      <c r="L73" s="8">
        <f t="shared" si="6"/>
        <v>0</v>
      </c>
      <c r="Q73" s="11">
        <f t="shared" si="1"/>
        <v>0</v>
      </c>
    </row>
    <row r="74" spans="3:17" outlineLevel="1" x14ac:dyDescent="0.25">
      <c r="C74" s="2" t="s">
        <v>5</v>
      </c>
      <c r="I74" s="3"/>
      <c r="J74" s="8"/>
      <c r="K74" s="8">
        <f>+$I$20*$K$35*F$46</f>
        <v>0</v>
      </c>
      <c r="L74" s="8">
        <f>+$I$20*$K$35*G$46</f>
        <v>0</v>
      </c>
      <c r="Q74" s="11">
        <f t="shared" si="1"/>
        <v>0</v>
      </c>
    </row>
    <row r="75" spans="3:17" outlineLevel="1" x14ac:dyDescent="0.25">
      <c r="C75" s="2" t="s">
        <v>5</v>
      </c>
      <c r="I75" s="3"/>
      <c r="J75" s="8"/>
      <c r="K75" s="8"/>
      <c r="L75" s="8">
        <f>+$I$20*$L$35*G$47</f>
        <v>0</v>
      </c>
      <c r="Q75" s="11">
        <f t="shared" si="1"/>
        <v>0</v>
      </c>
    </row>
    <row r="76" spans="3:17" outlineLevel="1" x14ac:dyDescent="0.25">
      <c r="C76" s="7" t="s">
        <v>6</v>
      </c>
      <c r="D76" s="28"/>
      <c r="E76" s="28"/>
      <c r="F76" s="28"/>
      <c r="G76" s="28"/>
      <c r="H76" s="28"/>
      <c r="I76" s="28"/>
      <c r="J76" s="37">
        <f>+$J$21*$J$36*D$44</f>
        <v>0</v>
      </c>
      <c r="K76" s="37">
        <f t="shared" ref="K76:M76" si="7">+$J$21*$J$36*E$44</f>
        <v>0</v>
      </c>
      <c r="L76" s="37">
        <f t="shared" si="7"/>
        <v>0</v>
      </c>
      <c r="M76" s="37">
        <f t="shared" si="7"/>
        <v>0</v>
      </c>
      <c r="N76" s="28"/>
      <c r="O76" s="28"/>
      <c r="P76" s="28"/>
      <c r="Q76" s="44">
        <f t="shared" si="1"/>
        <v>0</v>
      </c>
    </row>
    <row r="77" spans="3:17" outlineLevel="1" x14ac:dyDescent="0.25">
      <c r="C77" s="7" t="s">
        <v>6</v>
      </c>
      <c r="J77" s="3"/>
      <c r="K77" s="8">
        <f>+$J$21*$K$36*E$45</f>
        <v>0</v>
      </c>
      <c r="L77" s="8">
        <f t="shared" ref="L77:M77" si="8">+$J$21*$K$36*F$45</f>
        <v>0</v>
      </c>
      <c r="M77" s="8">
        <f t="shared" si="8"/>
        <v>0</v>
      </c>
      <c r="Q77" s="11">
        <f t="shared" si="1"/>
        <v>0</v>
      </c>
    </row>
    <row r="78" spans="3:17" outlineLevel="1" x14ac:dyDescent="0.25">
      <c r="C78" s="7" t="s">
        <v>6</v>
      </c>
      <c r="J78" s="3"/>
      <c r="K78" s="8"/>
      <c r="L78" s="8">
        <f>+$J$21*$L$36*F$46</f>
        <v>0</v>
      </c>
      <c r="M78" s="8">
        <f>+$J$21*$L$36*G$46</f>
        <v>0</v>
      </c>
      <c r="Q78" s="11">
        <f t="shared" si="1"/>
        <v>0</v>
      </c>
    </row>
    <row r="79" spans="3:17" outlineLevel="1" x14ac:dyDescent="0.25">
      <c r="C79" s="7" t="s">
        <v>6</v>
      </c>
      <c r="D79" s="29"/>
      <c r="E79" s="29"/>
      <c r="F79" s="29"/>
      <c r="G79" s="29"/>
      <c r="H79" s="29"/>
      <c r="I79" s="29"/>
      <c r="J79" s="39"/>
      <c r="K79" s="40"/>
      <c r="L79" s="40"/>
      <c r="M79" s="40">
        <f>+$J$21*$M$36*G$47</f>
        <v>0</v>
      </c>
      <c r="N79" s="29"/>
      <c r="O79" s="29"/>
      <c r="P79" s="29"/>
      <c r="Q79" s="47">
        <f t="shared" si="1"/>
        <v>0</v>
      </c>
    </row>
    <row r="80" spans="3:17" outlineLevel="1" x14ac:dyDescent="0.25">
      <c r="C80" s="2" t="s">
        <v>7</v>
      </c>
      <c r="K80" s="8">
        <f>+$K$22*$K$37*D$44</f>
        <v>0</v>
      </c>
      <c r="L80" s="8">
        <f t="shared" ref="L80:N80" si="9">+$K$22*$K$37*E$44</f>
        <v>0</v>
      </c>
      <c r="M80" s="8">
        <f t="shared" si="9"/>
        <v>0</v>
      </c>
      <c r="N80" s="8">
        <f t="shared" si="9"/>
        <v>0</v>
      </c>
      <c r="Q80" s="11">
        <f t="shared" si="1"/>
        <v>0</v>
      </c>
    </row>
    <row r="81" spans="3:17" outlineLevel="1" x14ac:dyDescent="0.25">
      <c r="C81" s="2" t="s">
        <v>7</v>
      </c>
      <c r="K81" s="3"/>
      <c r="L81" s="8">
        <f>+$K$22*$L$37*E$45</f>
        <v>0</v>
      </c>
      <c r="M81" s="8">
        <f t="shared" ref="M81:N81" si="10">+$K$22*$L$37*F$45</f>
        <v>0</v>
      </c>
      <c r="N81" s="8">
        <f t="shared" si="10"/>
        <v>0</v>
      </c>
      <c r="Q81" s="11">
        <f t="shared" si="1"/>
        <v>0</v>
      </c>
    </row>
    <row r="82" spans="3:17" outlineLevel="1" x14ac:dyDescent="0.25">
      <c r="C82" s="2" t="s">
        <v>7</v>
      </c>
      <c r="K82" s="3"/>
      <c r="L82" s="8"/>
      <c r="M82" s="8">
        <f>+$K$22*$M$37*F$46</f>
        <v>0</v>
      </c>
      <c r="N82" s="8">
        <f>+$K$22*$M$37*G$46</f>
        <v>0</v>
      </c>
      <c r="Q82" s="11">
        <f t="shared" si="1"/>
        <v>0</v>
      </c>
    </row>
    <row r="83" spans="3:17" outlineLevel="1" x14ac:dyDescent="0.25">
      <c r="C83" s="2" t="s">
        <v>7</v>
      </c>
      <c r="K83" s="3"/>
      <c r="L83" s="8"/>
      <c r="M83" s="8"/>
      <c r="N83" s="8">
        <f>+$K$22*$N$37*G$47</f>
        <v>0</v>
      </c>
      <c r="Q83" s="11">
        <f t="shared" si="1"/>
        <v>0</v>
      </c>
    </row>
    <row r="84" spans="3:17" outlineLevel="1" x14ac:dyDescent="0.25">
      <c r="C84" s="7" t="s">
        <v>8</v>
      </c>
      <c r="D84" s="28"/>
      <c r="E84" s="28"/>
      <c r="F84" s="28"/>
      <c r="G84" s="28"/>
      <c r="H84" s="28"/>
      <c r="I84" s="28"/>
      <c r="J84" s="28"/>
      <c r="K84" s="28"/>
      <c r="L84" s="37">
        <f>+$L$23*$L$38*D$44</f>
        <v>0</v>
      </c>
      <c r="M84" s="37">
        <f t="shared" ref="M84:O84" si="11">+$L$23*$L$38*E$44</f>
        <v>0</v>
      </c>
      <c r="N84" s="37">
        <f t="shared" si="11"/>
        <v>0</v>
      </c>
      <c r="O84" s="37">
        <f t="shared" si="11"/>
        <v>0</v>
      </c>
      <c r="P84" s="28"/>
      <c r="Q84" s="44">
        <f t="shared" si="1"/>
        <v>0</v>
      </c>
    </row>
    <row r="85" spans="3:17" outlineLevel="1" x14ac:dyDescent="0.25">
      <c r="C85" s="7" t="s">
        <v>8</v>
      </c>
      <c r="L85" s="3"/>
      <c r="M85" s="8">
        <f>+$L$23*$M$38*E$45</f>
        <v>0</v>
      </c>
      <c r="N85" s="8">
        <f t="shared" ref="N85:O85" si="12">+$L$23*$M$38*F$45</f>
        <v>0</v>
      </c>
      <c r="O85" s="8">
        <f t="shared" si="12"/>
        <v>0</v>
      </c>
      <c r="Q85" s="11">
        <f t="shared" si="1"/>
        <v>0</v>
      </c>
    </row>
    <row r="86" spans="3:17" outlineLevel="1" x14ac:dyDescent="0.25">
      <c r="C86" s="7" t="s">
        <v>8</v>
      </c>
      <c r="L86" s="3"/>
      <c r="M86" s="8"/>
      <c r="N86" s="8">
        <f>+$L$23*$N$38*F$46</f>
        <v>0</v>
      </c>
      <c r="O86" s="8">
        <f>+$L$23*$N$38*G$46</f>
        <v>0</v>
      </c>
      <c r="Q86" s="11">
        <f t="shared" si="1"/>
        <v>0</v>
      </c>
    </row>
    <row r="87" spans="3:17" outlineLevel="1" x14ac:dyDescent="0.25">
      <c r="C87" s="7" t="s">
        <v>8</v>
      </c>
      <c r="D87" s="29"/>
      <c r="E87" s="29"/>
      <c r="F87" s="29"/>
      <c r="G87" s="29"/>
      <c r="H87" s="29"/>
      <c r="I87" s="29"/>
      <c r="J87" s="29"/>
      <c r="K87" s="29"/>
      <c r="L87" s="39"/>
      <c r="M87" s="40"/>
      <c r="N87" s="40"/>
      <c r="O87" s="40">
        <f>+$L$23*$O$38*G$47</f>
        <v>0</v>
      </c>
      <c r="P87" s="29"/>
      <c r="Q87" s="47">
        <f t="shared" si="1"/>
        <v>0</v>
      </c>
    </row>
    <row r="88" spans="3:17" outlineLevel="1" x14ac:dyDescent="0.25">
      <c r="C88" s="2" t="s">
        <v>9</v>
      </c>
      <c r="D88" s="28"/>
      <c r="E88" s="28"/>
      <c r="F88" s="28"/>
      <c r="G88" s="28"/>
      <c r="H88" s="28"/>
      <c r="I88" s="28"/>
      <c r="J88" s="28"/>
      <c r="K88" s="28"/>
      <c r="L88" s="28"/>
      <c r="M88" s="37">
        <f>+$M$24*$M$39*D$44</f>
        <v>0</v>
      </c>
      <c r="N88" s="37">
        <f t="shared" ref="N88:P88" si="13">+$M$24*$M$39*E$44</f>
        <v>0</v>
      </c>
      <c r="O88" s="37">
        <f t="shared" si="13"/>
        <v>0</v>
      </c>
      <c r="P88" s="37">
        <f t="shared" si="13"/>
        <v>0</v>
      </c>
      <c r="Q88" s="44">
        <f t="shared" si="1"/>
        <v>0</v>
      </c>
    </row>
    <row r="89" spans="3:17" outlineLevel="1" x14ac:dyDescent="0.25">
      <c r="C89" s="2" t="s">
        <v>9</v>
      </c>
      <c r="M89" s="3"/>
      <c r="N89" s="8">
        <f>+$M$24*$N$39*E$45</f>
        <v>0</v>
      </c>
      <c r="O89" s="8">
        <f t="shared" ref="O89:P89" si="14">+$M$24*$N$39*F$45</f>
        <v>0</v>
      </c>
      <c r="P89" s="8">
        <f t="shared" si="14"/>
        <v>0</v>
      </c>
      <c r="Q89" s="11">
        <f t="shared" si="1"/>
        <v>0</v>
      </c>
    </row>
    <row r="90" spans="3:17" outlineLevel="1" x14ac:dyDescent="0.25">
      <c r="C90" s="2" t="s">
        <v>9</v>
      </c>
      <c r="M90" s="3"/>
      <c r="N90" s="8"/>
      <c r="O90" s="8">
        <f>+$M$24*$O$39*F$46</f>
        <v>0</v>
      </c>
      <c r="P90" s="8">
        <f>+$M$24*$O$39*G$46</f>
        <v>0</v>
      </c>
      <c r="Q90" s="11">
        <f t="shared" si="1"/>
        <v>0</v>
      </c>
    </row>
    <row r="91" spans="3:17" outlineLevel="1" x14ac:dyDescent="0.25">
      <c r="C91" s="2" t="s">
        <v>9</v>
      </c>
      <c r="D91" s="29"/>
      <c r="E91" s="29"/>
      <c r="F91" s="29"/>
      <c r="G91" s="29"/>
      <c r="H91" s="29"/>
      <c r="I91" s="29"/>
      <c r="J91" s="29"/>
      <c r="K91" s="29"/>
      <c r="L91" s="29"/>
      <c r="M91" s="39"/>
      <c r="N91" s="40"/>
      <c r="O91" s="40"/>
      <c r="P91" s="40">
        <f>+$M$24*$P$39*G$47</f>
        <v>0</v>
      </c>
      <c r="Q91" s="47">
        <f t="shared" si="1"/>
        <v>0</v>
      </c>
    </row>
    <row r="92" spans="3:17" x14ac:dyDescent="0.25">
      <c r="D92" s="69">
        <f>SUM(D52:D91)</f>
        <v>2.375</v>
      </c>
      <c r="E92" s="69">
        <f t="shared" ref="E92:M92" si="15">SUM(E52:E91)</f>
        <v>4.8687500000000004</v>
      </c>
      <c r="F92" s="69">
        <f t="shared" si="15"/>
        <v>6.2937500000000002</v>
      </c>
      <c r="G92" s="69">
        <f t="shared" si="15"/>
        <v>33.962499999999999</v>
      </c>
      <c r="H92" s="69">
        <f t="shared" si="15"/>
        <v>0</v>
      </c>
      <c r="I92" s="69">
        <f t="shared" si="15"/>
        <v>0</v>
      </c>
      <c r="J92" s="69">
        <f t="shared" si="15"/>
        <v>0</v>
      </c>
      <c r="K92" s="69">
        <f t="shared" si="15"/>
        <v>0</v>
      </c>
      <c r="L92" s="69">
        <f t="shared" si="15"/>
        <v>0</v>
      </c>
      <c r="M92" s="69">
        <f t="shared" si="15"/>
        <v>0</v>
      </c>
      <c r="N92" s="8"/>
      <c r="O92" s="8"/>
      <c r="P92" s="8"/>
      <c r="Q92" s="11"/>
    </row>
    <row r="94" spans="3:17" x14ac:dyDescent="0.25">
      <c r="C94" s="4" t="s">
        <v>25</v>
      </c>
      <c r="F94" s="142">
        <v>0.15</v>
      </c>
    </row>
    <row r="95" spans="3:17" ht="5.25" customHeight="1" x14ac:dyDescent="0.25">
      <c r="C95" s="4"/>
    </row>
    <row r="96" spans="3:17" ht="17.25" customHeight="1" x14ac:dyDescent="0.25">
      <c r="C96" s="4" t="s">
        <v>24</v>
      </c>
      <c r="F96" s="142">
        <v>0.35</v>
      </c>
    </row>
    <row r="97" spans="3:13" ht="5.25" customHeight="1" x14ac:dyDescent="0.25">
      <c r="C97" s="4"/>
    </row>
    <row r="98" spans="3:13" ht="15" customHeight="1" x14ac:dyDescent="0.25">
      <c r="C98" s="4" t="s">
        <v>26</v>
      </c>
      <c r="F98">
        <v>1</v>
      </c>
      <c r="G98" s="4" t="s">
        <v>27</v>
      </c>
    </row>
    <row r="99" spans="3:13" ht="4.5" customHeight="1" x14ac:dyDescent="0.25">
      <c r="C99" s="4"/>
      <c r="G99" s="4"/>
    </row>
    <row r="100" spans="3:13" x14ac:dyDescent="0.25">
      <c r="D100" s="2" t="s">
        <v>0</v>
      </c>
      <c r="E100" s="2" t="s">
        <v>1</v>
      </c>
      <c r="F100" s="2" t="s">
        <v>2</v>
      </c>
      <c r="G100" s="2" t="s">
        <v>3</v>
      </c>
      <c r="H100" s="2" t="s">
        <v>4</v>
      </c>
      <c r="I100" s="2" t="s">
        <v>5</v>
      </c>
      <c r="J100" s="2" t="s">
        <v>6</v>
      </c>
      <c r="K100" s="2" t="s">
        <v>7</v>
      </c>
      <c r="L100" s="2" t="s">
        <v>8</v>
      </c>
      <c r="M100" s="2" t="s">
        <v>9</v>
      </c>
    </row>
    <row r="101" spans="3:13" x14ac:dyDescent="0.25">
      <c r="C101" s="48" t="s">
        <v>28</v>
      </c>
      <c r="D101" s="70">
        <f>-$F$94*$F$96*D104</f>
        <v>-0.12468749999999999</v>
      </c>
      <c r="E101" s="70">
        <f t="shared" ref="E101:M101" si="16">-$F$94*$F$96*E104</f>
        <v>-0.25560937500000003</v>
      </c>
      <c r="F101" s="70">
        <f t="shared" si="16"/>
        <v>-0.33042187499999998</v>
      </c>
      <c r="G101" s="70">
        <f t="shared" si="16"/>
        <v>-1.7830312499999998</v>
      </c>
      <c r="H101" s="28">
        <f t="shared" si="16"/>
        <v>0</v>
      </c>
      <c r="I101" s="28">
        <f t="shared" si="16"/>
        <v>0</v>
      </c>
      <c r="J101" s="28">
        <f t="shared" si="16"/>
        <v>0</v>
      </c>
      <c r="K101" s="28">
        <f t="shared" si="16"/>
        <v>0</v>
      </c>
      <c r="L101" s="28">
        <f t="shared" si="16"/>
        <v>0</v>
      </c>
      <c r="M101" s="28">
        <f t="shared" si="16"/>
        <v>0</v>
      </c>
    </row>
    <row r="102" spans="3:13" x14ac:dyDescent="0.25">
      <c r="C102" s="49" t="s">
        <v>29</v>
      </c>
      <c r="D102" s="29">
        <f>-$F$94*$F$96*D25</f>
        <v>-2.4937499999999999</v>
      </c>
      <c r="E102" s="29">
        <f t="shared" ref="E102:M102" si="17">-$F$94*$F$96*E25</f>
        <v>0</v>
      </c>
      <c r="F102" s="29">
        <f t="shared" si="17"/>
        <v>0</v>
      </c>
      <c r="G102" s="29">
        <f t="shared" si="17"/>
        <v>0</v>
      </c>
      <c r="H102" s="29">
        <f t="shared" si="17"/>
        <v>0</v>
      </c>
      <c r="I102" s="29">
        <f t="shared" si="17"/>
        <v>0</v>
      </c>
      <c r="J102" s="29">
        <f t="shared" si="17"/>
        <v>0</v>
      </c>
      <c r="K102" s="29">
        <f t="shared" si="17"/>
        <v>0</v>
      </c>
      <c r="L102" s="29">
        <f t="shared" si="17"/>
        <v>0</v>
      </c>
      <c r="M102" s="29">
        <f t="shared" si="17"/>
        <v>0</v>
      </c>
    </row>
    <row r="104" spans="3:13" x14ac:dyDescent="0.25">
      <c r="C104" s="50" t="s">
        <v>16</v>
      </c>
      <c r="D104" s="51">
        <f>+D92</f>
        <v>2.375</v>
      </c>
      <c r="E104" s="51">
        <f t="shared" ref="E104:M104" si="18">+E92</f>
        <v>4.8687500000000004</v>
      </c>
      <c r="F104" s="51">
        <f t="shared" si="18"/>
        <v>6.2937500000000002</v>
      </c>
      <c r="G104" s="51">
        <f t="shared" si="18"/>
        <v>33.962499999999999</v>
      </c>
      <c r="H104" s="51">
        <f t="shared" si="18"/>
        <v>0</v>
      </c>
      <c r="I104" s="51">
        <f t="shared" si="18"/>
        <v>0</v>
      </c>
      <c r="J104" s="51">
        <f t="shared" si="18"/>
        <v>0</v>
      </c>
      <c r="K104" s="51">
        <f t="shared" si="18"/>
        <v>0</v>
      </c>
      <c r="L104" s="51">
        <f t="shared" si="18"/>
        <v>0</v>
      </c>
      <c r="M104" s="51">
        <f t="shared" si="18"/>
        <v>0</v>
      </c>
    </row>
    <row r="105" spans="3:13" x14ac:dyDescent="0.25">
      <c r="C105" s="71" t="s">
        <v>17</v>
      </c>
      <c r="D105" s="72"/>
      <c r="E105" s="73">
        <f t="shared" ref="E105:M105" si="19">IFERROR(E104/D104-1,0)</f>
        <v>1.0500000000000003</v>
      </c>
      <c r="F105" s="73">
        <f t="shared" si="19"/>
        <v>0.29268292682926833</v>
      </c>
      <c r="G105" s="73">
        <f t="shared" si="19"/>
        <v>4.3962264150943389</v>
      </c>
      <c r="H105" s="73">
        <f t="shared" si="19"/>
        <v>-1</v>
      </c>
      <c r="I105" s="73">
        <f t="shared" si="19"/>
        <v>0</v>
      </c>
      <c r="J105" s="73">
        <f t="shared" si="19"/>
        <v>0</v>
      </c>
      <c r="K105" s="73">
        <f t="shared" si="19"/>
        <v>0</v>
      </c>
      <c r="L105" s="73">
        <f t="shared" si="19"/>
        <v>0</v>
      </c>
      <c r="M105" s="73">
        <f t="shared" si="19"/>
        <v>0</v>
      </c>
    </row>
    <row r="106" spans="3:13" x14ac:dyDescent="0.25">
      <c r="C106" s="13" t="s">
        <v>18</v>
      </c>
      <c r="D106" s="1">
        <f>-D107*D104</f>
        <v>-9.5000000000000001E-2</v>
      </c>
      <c r="E106" s="1">
        <f t="shared" ref="E106:M106" si="20">-E107*E104</f>
        <v>-0.19475000000000001</v>
      </c>
      <c r="F106" s="1">
        <f t="shared" si="20"/>
        <v>-0.25175000000000003</v>
      </c>
      <c r="G106" s="1">
        <f t="shared" si="20"/>
        <v>-1.3585</v>
      </c>
      <c r="H106" s="1">
        <f t="shared" si="20"/>
        <v>0</v>
      </c>
      <c r="I106" s="1">
        <f t="shared" si="20"/>
        <v>0</v>
      </c>
      <c r="J106" s="1">
        <f t="shared" si="20"/>
        <v>0</v>
      </c>
      <c r="K106" s="1">
        <f t="shared" si="20"/>
        <v>0</v>
      </c>
      <c r="L106" s="1">
        <f t="shared" si="20"/>
        <v>0</v>
      </c>
      <c r="M106" s="1">
        <f t="shared" si="20"/>
        <v>0</v>
      </c>
    </row>
    <row r="107" spans="3:13" x14ac:dyDescent="0.25">
      <c r="C107" s="15" t="s">
        <v>19</v>
      </c>
      <c r="D107" s="165">
        <v>0.04</v>
      </c>
      <c r="E107" s="75">
        <f>+D107</f>
        <v>0.04</v>
      </c>
      <c r="F107" s="75">
        <f t="shared" ref="F107:M107" si="21">+E107</f>
        <v>0.04</v>
      </c>
      <c r="G107" s="75">
        <f t="shared" si="21"/>
        <v>0.04</v>
      </c>
      <c r="H107" s="75">
        <f t="shared" si="21"/>
        <v>0.04</v>
      </c>
      <c r="I107" s="75">
        <f t="shared" si="21"/>
        <v>0.04</v>
      </c>
      <c r="J107" s="75">
        <f t="shared" si="21"/>
        <v>0.04</v>
      </c>
      <c r="K107" s="75">
        <f t="shared" si="21"/>
        <v>0.04</v>
      </c>
      <c r="L107" s="75">
        <f t="shared" si="21"/>
        <v>0.04</v>
      </c>
      <c r="M107" s="75">
        <f t="shared" si="21"/>
        <v>0.04</v>
      </c>
    </row>
    <row r="108" spans="3:13" ht="6.75" customHeight="1" x14ac:dyDescent="0.25">
      <c r="C108" s="13"/>
    </row>
    <row r="109" spans="3:13" x14ac:dyDescent="0.25">
      <c r="C109" s="50" t="s">
        <v>20</v>
      </c>
      <c r="D109" s="51">
        <f>+D104+D106</f>
        <v>2.2799999999999998</v>
      </c>
      <c r="E109" s="51">
        <f t="shared" ref="E109:M109" si="22">+E104+E106</f>
        <v>4.6740000000000004</v>
      </c>
      <c r="F109" s="51">
        <f t="shared" si="22"/>
        <v>6.0419999999999998</v>
      </c>
      <c r="G109" s="51">
        <f t="shared" si="22"/>
        <v>32.603999999999999</v>
      </c>
      <c r="H109" s="51">
        <f t="shared" si="22"/>
        <v>0</v>
      </c>
      <c r="I109" s="51">
        <f t="shared" si="22"/>
        <v>0</v>
      </c>
      <c r="J109" s="51">
        <f t="shared" si="22"/>
        <v>0</v>
      </c>
      <c r="K109" s="51">
        <f t="shared" si="22"/>
        <v>0</v>
      </c>
      <c r="L109" s="51">
        <f t="shared" si="22"/>
        <v>0</v>
      </c>
      <c r="M109" s="51">
        <f t="shared" si="22"/>
        <v>0</v>
      </c>
    </row>
    <row r="110" spans="3:13" x14ac:dyDescent="0.25">
      <c r="C110" s="13"/>
    </row>
    <row r="111" spans="3:13" x14ac:dyDescent="0.25">
      <c r="C111" s="50" t="s">
        <v>21</v>
      </c>
      <c r="D111" s="51">
        <f>D112+D113</f>
        <v>-2.6184374999999998</v>
      </c>
      <c r="E111" s="51">
        <f t="shared" ref="E111:M111" si="23">E112+E113</f>
        <v>-8.8056093750000013</v>
      </c>
      <c r="F111" s="51">
        <f t="shared" si="23"/>
        <v>-10.780421875000002</v>
      </c>
      <c r="G111" s="51">
        <f t="shared" si="23"/>
        <v>-1.7830312499999998</v>
      </c>
      <c r="H111" s="51">
        <f t="shared" si="23"/>
        <v>0</v>
      </c>
      <c r="I111" s="51">
        <f t="shared" si="23"/>
        <v>0</v>
      </c>
      <c r="J111" s="51">
        <f t="shared" si="23"/>
        <v>0</v>
      </c>
      <c r="K111" s="51">
        <f t="shared" si="23"/>
        <v>0</v>
      </c>
      <c r="L111" s="51">
        <f t="shared" si="23"/>
        <v>0</v>
      </c>
      <c r="M111" s="51">
        <f t="shared" si="23"/>
        <v>0</v>
      </c>
    </row>
    <row r="112" spans="3:13" x14ac:dyDescent="0.25">
      <c r="C112" s="16" t="s">
        <v>22</v>
      </c>
      <c r="D112" s="55">
        <f>+D101+D102</f>
        <v>-2.6184374999999998</v>
      </c>
      <c r="E112" s="55">
        <f t="shared" ref="E112:M112" si="24">+E101+E102</f>
        <v>-0.25560937500000003</v>
      </c>
      <c r="F112" s="55">
        <f t="shared" si="24"/>
        <v>-0.33042187499999998</v>
      </c>
      <c r="G112" s="55">
        <f t="shared" si="24"/>
        <v>-1.7830312499999998</v>
      </c>
      <c r="H112" s="55">
        <f t="shared" si="24"/>
        <v>0</v>
      </c>
      <c r="I112" s="55">
        <f t="shared" si="24"/>
        <v>0</v>
      </c>
      <c r="J112" s="55">
        <f t="shared" si="24"/>
        <v>0</v>
      </c>
      <c r="K112" s="55">
        <f t="shared" si="24"/>
        <v>0</v>
      </c>
      <c r="L112" s="55">
        <f t="shared" si="24"/>
        <v>0</v>
      </c>
      <c r="M112" s="55">
        <f t="shared" si="24"/>
        <v>0</v>
      </c>
    </row>
    <row r="113" spans="3:13" x14ac:dyDescent="0.25">
      <c r="C113" s="52" t="s">
        <v>23</v>
      </c>
      <c r="D113" s="53">
        <f>+D134</f>
        <v>0</v>
      </c>
      <c r="E113" s="53">
        <f t="shared" ref="E113:M113" si="25">+E134</f>
        <v>-8.5500000000000007</v>
      </c>
      <c r="F113" s="53">
        <f t="shared" si="25"/>
        <v>-10.450000000000001</v>
      </c>
      <c r="G113" s="53">
        <f t="shared" si="25"/>
        <v>0</v>
      </c>
      <c r="H113" s="53">
        <f t="shared" si="25"/>
        <v>0</v>
      </c>
      <c r="I113" s="53">
        <f t="shared" si="25"/>
        <v>0</v>
      </c>
      <c r="J113" s="53">
        <f t="shared" si="25"/>
        <v>0</v>
      </c>
      <c r="K113" s="53">
        <f t="shared" si="25"/>
        <v>0</v>
      </c>
      <c r="L113" s="53">
        <f t="shared" si="25"/>
        <v>0</v>
      </c>
      <c r="M113" s="53">
        <f t="shared" si="25"/>
        <v>0</v>
      </c>
    </row>
    <row r="114" spans="3:13" x14ac:dyDescent="0.25">
      <c r="C114" s="16"/>
    </row>
    <row r="115" spans="3:13" x14ac:dyDescent="0.25">
      <c r="C115" s="16"/>
      <c r="D115" s="144">
        <v>0.4</v>
      </c>
      <c r="E115" s="56" t="s">
        <v>33</v>
      </c>
    </row>
    <row r="116" spans="3:13" ht="5.25" customHeight="1" x14ac:dyDescent="0.25">
      <c r="C116" s="16"/>
    </row>
    <row r="117" spans="3:13" x14ac:dyDescent="0.25">
      <c r="C117" s="16"/>
      <c r="D117" s="5" t="s">
        <v>30</v>
      </c>
      <c r="E117" s="12" t="s">
        <v>31</v>
      </c>
    </row>
    <row r="118" spans="3:13" x14ac:dyDescent="0.25">
      <c r="D118" s="145">
        <v>0.45</v>
      </c>
      <c r="E118" s="145">
        <v>0.55000000000000004</v>
      </c>
      <c r="F118" s="4" t="s">
        <v>32</v>
      </c>
    </row>
    <row r="119" spans="3:13" ht="4.5" customHeight="1" x14ac:dyDescent="0.25">
      <c r="D119" s="17"/>
      <c r="E119" s="17"/>
    </row>
    <row r="120" spans="3:13" ht="15" customHeight="1" x14ac:dyDescent="0.25">
      <c r="C120" s="4" t="s">
        <v>49</v>
      </c>
      <c r="D120" s="17"/>
      <c r="E120" s="17"/>
    </row>
    <row r="121" spans="3:13" ht="4.5" customHeight="1" x14ac:dyDescent="0.25">
      <c r="D121" s="17"/>
      <c r="E121" s="17"/>
    </row>
    <row r="122" spans="3:13" x14ac:dyDescent="0.25">
      <c r="D122" s="2" t="s">
        <v>0</v>
      </c>
      <c r="E122" s="2" t="s">
        <v>1</v>
      </c>
      <c r="F122" s="2" t="s">
        <v>2</v>
      </c>
      <c r="G122" s="2" t="s">
        <v>3</v>
      </c>
      <c r="H122" s="2" t="s">
        <v>4</v>
      </c>
      <c r="I122" s="2" t="s">
        <v>5</v>
      </c>
      <c r="J122" s="2" t="s">
        <v>6</v>
      </c>
      <c r="K122" s="2" t="s">
        <v>7</v>
      </c>
      <c r="L122" s="2" t="s">
        <v>8</v>
      </c>
      <c r="M122" s="2" t="s">
        <v>9</v>
      </c>
    </row>
    <row r="123" spans="3:13" outlineLevel="1" x14ac:dyDescent="0.25">
      <c r="C123" s="2" t="s">
        <v>0</v>
      </c>
      <c r="D123" s="61"/>
      <c r="E123" s="57">
        <f>-D15*$D$115*$D$118</f>
        <v>-8.5500000000000007</v>
      </c>
      <c r="F123" s="57">
        <f>-D15*$D$115*$E$118</f>
        <v>-10.450000000000001</v>
      </c>
      <c r="G123" s="28"/>
      <c r="H123" s="28"/>
      <c r="I123" s="28"/>
      <c r="J123" s="28"/>
      <c r="K123" s="28"/>
      <c r="L123" s="28"/>
      <c r="M123" s="28"/>
    </row>
    <row r="124" spans="3:13" outlineLevel="1" x14ac:dyDescent="0.25">
      <c r="C124" s="2" t="s">
        <v>1</v>
      </c>
      <c r="E124" s="61"/>
      <c r="F124" s="21">
        <f>-E16*$D$115*$D$118</f>
        <v>0</v>
      </c>
      <c r="G124" s="21">
        <f>-E16*$D$115*$E$118</f>
        <v>0</v>
      </c>
    </row>
    <row r="125" spans="3:13" outlineLevel="1" x14ac:dyDescent="0.25">
      <c r="C125" s="2" t="s">
        <v>2</v>
      </c>
      <c r="F125" s="61"/>
      <c r="G125" s="21">
        <f>-F17*$D$115*$D$118</f>
        <v>0</v>
      </c>
      <c r="H125" s="21">
        <f>-F17*$D$115*$E$118</f>
        <v>0</v>
      </c>
    </row>
    <row r="126" spans="3:13" outlineLevel="1" x14ac:dyDescent="0.25">
      <c r="C126" s="2" t="s">
        <v>3</v>
      </c>
      <c r="G126" s="61"/>
      <c r="H126" s="21">
        <f>-G18*$D$115*$D$118</f>
        <v>0</v>
      </c>
      <c r="I126" s="21">
        <f>-G18*$D$115*$E$118</f>
        <v>0</v>
      </c>
    </row>
    <row r="127" spans="3:13" outlineLevel="1" x14ac:dyDescent="0.25">
      <c r="C127" s="2" t="s">
        <v>4</v>
      </c>
      <c r="H127" s="61"/>
      <c r="I127" s="21">
        <f>-H19*$D$115*$D$118</f>
        <v>0</v>
      </c>
      <c r="J127" s="21">
        <f>-H19*$D$115*$E$118</f>
        <v>0</v>
      </c>
    </row>
    <row r="128" spans="3:13" outlineLevel="1" x14ac:dyDescent="0.25">
      <c r="C128" s="2" t="s">
        <v>5</v>
      </c>
      <c r="I128" s="61"/>
      <c r="J128" s="21">
        <f>-I20*$D$115*$D$118</f>
        <v>0</v>
      </c>
      <c r="K128" s="21">
        <f>-I20*$D$115*$E$118</f>
        <v>0</v>
      </c>
    </row>
    <row r="129" spans="3:14" outlineLevel="1" x14ac:dyDescent="0.25">
      <c r="C129" s="2" t="s">
        <v>6</v>
      </c>
      <c r="J129" s="61"/>
      <c r="K129" s="21">
        <f>-J21*$D$115*$D$118</f>
        <v>0</v>
      </c>
      <c r="L129" s="21">
        <f>-J21*$D$115*$E$118</f>
        <v>0</v>
      </c>
    </row>
    <row r="130" spans="3:14" outlineLevel="1" x14ac:dyDescent="0.25">
      <c r="C130" s="2" t="s">
        <v>7</v>
      </c>
      <c r="K130" s="61"/>
      <c r="L130" s="21">
        <f>-K22*$D$115*$D$118</f>
        <v>0</v>
      </c>
      <c r="M130" s="21">
        <f>-K22*$D$115*$E$118</f>
        <v>0</v>
      </c>
    </row>
    <row r="131" spans="3:14" outlineLevel="1" x14ac:dyDescent="0.25">
      <c r="C131" s="2" t="s">
        <v>8</v>
      </c>
      <c r="L131" s="61"/>
      <c r="M131" s="21">
        <f>-L23*$D$115*$D$118</f>
        <v>0</v>
      </c>
      <c r="N131" s="21"/>
    </row>
    <row r="132" spans="3:14" outlineLevel="1" x14ac:dyDescent="0.25">
      <c r="C132" s="2" t="s">
        <v>9</v>
      </c>
      <c r="D132" s="29"/>
      <c r="E132" s="29"/>
      <c r="F132" s="29"/>
      <c r="G132" s="29"/>
      <c r="H132" s="29"/>
      <c r="I132" s="29"/>
      <c r="J132" s="29"/>
      <c r="K132" s="29"/>
      <c r="L132" s="29"/>
      <c r="M132" s="128"/>
    </row>
    <row r="133" spans="3:14" outlineLevel="1" x14ac:dyDescent="0.25"/>
    <row r="134" spans="3:14" x14ac:dyDescent="0.25">
      <c r="C134" s="2" t="s">
        <v>34</v>
      </c>
      <c r="D134" s="58">
        <f>SUM(D123:D132)</f>
        <v>0</v>
      </c>
      <c r="E134" s="58">
        <f t="shared" ref="E134:M134" si="26">SUM(E123:E132)</f>
        <v>-8.5500000000000007</v>
      </c>
      <c r="F134" s="58">
        <f t="shared" si="26"/>
        <v>-10.450000000000001</v>
      </c>
      <c r="G134" s="58">
        <f t="shared" si="26"/>
        <v>0</v>
      </c>
      <c r="H134" s="58">
        <f t="shared" si="26"/>
        <v>0</v>
      </c>
      <c r="I134" s="58">
        <f t="shared" si="26"/>
        <v>0</v>
      </c>
      <c r="J134" s="58">
        <f t="shared" si="26"/>
        <v>0</v>
      </c>
      <c r="K134" s="58">
        <f t="shared" si="26"/>
        <v>0</v>
      </c>
      <c r="L134" s="58">
        <f t="shared" si="26"/>
        <v>0</v>
      </c>
      <c r="M134" s="58">
        <f t="shared" si="26"/>
        <v>0</v>
      </c>
    </row>
    <row r="135" spans="3:14" x14ac:dyDescent="0.25"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spans="3:14" x14ac:dyDescent="0.25">
      <c r="C136" s="27" t="s">
        <v>46</v>
      </c>
      <c r="D136" s="59">
        <f>+D134*(1-$D$138)</f>
        <v>0</v>
      </c>
      <c r="E136" s="59">
        <f t="shared" ref="E136:M136" si="27">+E134*(1-$D$138)</f>
        <v>-2.5650000000000004</v>
      </c>
      <c r="F136" s="59">
        <f t="shared" si="27"/>
        <v>-3.1350000000000007</v>
      </c>
      <c r="G136" s="59">
        <f t="shared" si="27"/>
        <v>0</v>
      </c>
      <c r="H136" s="59">
        <f t="shared" si="27"/>
        <v>0</v>
      </c>
      <c r="I136" s="59">
        <f t="shared" si="27"/>
        <v>0</v>
      </c>
      <c r="J136" s="59">
        <f t="shared" si="27"/>
        <v>0</v>
      </c>
      <c r="K136" s="59">
        <f t="shared" si="27"/>
        <v>0</v>
      </c>
      <c r="L136" s="59">
        <f t="shared" si="27"/>
        <v>0</v>
      </c>
      <c r="M136" s="59">
        <f t="shared" si="27"/>
        <v>0</v>
      </c>
    </row>
    <row r="138" spans="3:14" x14ac:dyDescent="0.25">
      <c r="C138" s="14" t="s">
        <v>35</v>
      </c>
      <c r="D138" s="145">
        <v>0.7</v>
      </c>
    </row>
    <row r="139" spans="3:14" x14ac:dyDescent="0.25">
      <c r="C139" s="27" t="s">
        <v>36</v>
      </c>
      <c r="D139" s="145">
        <v>0.08</v>
      </c>
      <c r="E139" t="s">
        <v>37</v>
      </c>
    </row>
    <row r="141" spans="3:14" x14ac:dyDescent="0.25">
      <c r="C141" s="23" t="s">
        <v>35</v>
      </c>
      <c r="D141" s="60"/>
      <c r="E141" s="59">
        <f>-E134*$D$138</f>
        <v>5.9850000000000003</v>
      </c>
      <c r="F141" s="59">
        <f t="shared" ref="F141:M141" si="28">-F134*$D$138</f>
        <v>7.3150000000000004</v>
      </c>
      <c r="G141" s="59">
        <f t="shared" si="28"/>
        <v>0</v>
      </c>
      <c r="H141" s="59">
        <f t="shared" si="28"/>
        <v>0</v>
      </c>
      <c r="I141" s="59">
        <f t="shared" si="28"/>
        <v>0</v>
      </c>
      <c r="J141" s="59">
        <f t="shared" si="28"/>
        <v>0</v>
      </c>
      <c r="K141" s="59">
        <f t="shared" si="28"/>
        <v>0</v>
      </c>
      <c r="L141" s="59">
        <f t="shared" si="28"/>
        <v>0</v>
      </c>
      <c r="M141" s="59">
        <f t="shared" si="28"/>
        <v>0</v>
      </c>
    </row>
    <row r="142" spans="3:14" x14ac:dyDescent="0.25">
      <c r="C142" s="23" t="s">
        <v>38</v>
      </c>
      <c r="D142" s="60"/>
      <c r="E142" s="59">
        <f>+E158</f>
        <v>0</v>
      </c>
      <c r="F142" s="59">
        <f t="shared" ref="F142:M142" si="29">+F158</f>
        <v>0</v>
      </c>
      <c r="G142" s="59">
        <f t="shared" si="29"/>
        <v>-21.258720000000004</v>
      </c>
      <c r="H142" s="59">
        <f t="shared" si="29"/>
        <v>0</v>
      </c>
      <c r="I142" s="59">
        <f t="shared" si="29"/>
        <v>0</v>
      </c>
      <c r="J142" s="59">
        <f t="shared" si="29"/>
        <v>0</v>
      </c>
      <c r="K142" s="59">
        <f t="shared" si="29"/>
        <v>0</v>
      </c>
      <c r="L142" s="59">
        <f t="shared" si="29"/>
        <v>0</v>
      </c>
      <c r="M142" s="59">
        <f t="shared" si="29"/>
        <v>0</v>
      </c>
    </row>
    <row r="144" spans="3:14" x14ac:dyDescent="0.25">
      <c r="D144" s="26" t="s">
        <v>50</v>
      </c>
    </row>
    <row r="146" spans="3:15" x14ac:dyDescent="0.25">
      <c r="D146" s="2" t="s">
        <v>0</v>
      </c>
      <c r="E146" s="2" t="s">
        <v>1</v>
      </c>
      <c r="F146" s="2" t="s">
        <v>2</v>
      </c>
      <c r="G146" s="2" t="s">
        <v>3</v>
      </c>
      <c r="H146" s="2" t="s">
        <v>4</v>
      </c>
      <c r="I146" s="2" t="s">
        <v>5</v>
      </c>
      <c r="J146" s="2" t="s">
        <v>6</v>
      </c>
      <c r="K146" s="2" t="s">
        <v>7</v>
      </c>
      <c r="L146" s="2" t="s">
        <v>8</v>
      </c>
      <c r="M146" s="2" t="s">
        <v>9</v>
      </c>
    </row>
    <row r="147" spans="3:15" outlineLevel="1" x14ac:dyDescent="0.25">
      <c r="C147" s="2" t="s">
        <v>0</v>
      </c>
      <c r="D147" s="129"/>
      <c r="E147" s="61"/>
      <c r="F147" s="61"/>
      <c r="G147" s="57">
        <f>(E123*(1+$D$139)^2)+(F123*(1+$D$139)^1)</f>
        <v>-21.258720000000004</v>
      </c>
      <c r="H147" s="62"/>
      <c r="I147" s="62"/>
      <c r="J147" s="62"/>
      <c r="K147" s="62"/>
      <c r="L147" s="62"/>
      <c r="M147" s="62"/>
      <c r="N147" s="62"/>
      <c r="O147" s="62"/>
    </row>
    <row r="148" spans="3:15" outlineLevel="1" x14ac:dyDescent="0.25">
      <c r="C148" s="2" t="s">
        <v>1</v>
      </c>
      <c r="E148" s="129"/>
      <c r="F148" s="63"/>
      <c r="G148" s="63"/>
      <c r="H148" s="21">
        <f>(F124*(1+$D$139)^2)+(G124*(1+$D$139)^1)</f>
        <v>0</v>
      </c>
      <c r="I148" s="54"/>
      <c r="J148" s="54"/>
      <c r="K148" s="54"/>
      <c r="L148" s="54"/>
      <c r="M148" s="54"/>
      <c r="N148" s="54"/>
      <c r="O148" s="54"/>
    </row>
    <row r="149" spans="3:15" outlineLevel="1" x14ac:dyDescent="0.25">
      <c r="C149" s="2" t="s">
        <v>2</v>
      </c>
      <c r="F149" s="129"/>
      <c r="G149" s="63"/>
      <c r="H149" s="63"/>
      <c r="I149" s="21">
        <f>(G125*(1+$D$139)^2)+(H125*(1+$D$139)^1)</f>
        <v>0</v>
      </c>
      <c r="J149" s="54"/>
      <c r="K149" s="54"/>
      <c r="L149" s="54"/>
      <c r="M149" s="54"/>
      <c r="N149" s="54"/>
      <c r="O149" s="54"/>
    </row>
    <row r="150" spans="3:15" outlineLevel="1" x14ac:dyDescent="0.25">
      <c r="C150" s="2" t="s">
        <v>3</v>
      </c>
      <c r="G150" s="129"/>
      <c r="H150" s="63"/>
      <c r="I150" s="63"/>
      <c r="J150" s="21">
        <f>(H126*(1+$D$139)^2)+(I126*(1+$D$139)^1)</f>
        <v>0</v>
      </c>
      <c r="K150" s="54"/>
      <c r="L150" s="54"/>
      <c r="M150" s="54"/>
      <c r="N150" s="54"/>
      <c r="O150" s="54"/>
    </row>
    <row r="151" spans="3:15" outlineLevel="1" x14ac:dyDescent="0.25">
      <c r="C151" s="2" t="s">
        <v>4</v>
      </c>
      <c r="G151" s="54"/>
      <c r="H151" s="129"/>
      <c r="I151" s="63"/>
      <c r="J151" s="63"/>
      <c r="K151" s="21">
        <f>(I127*(1+$D$139)^2)+(J127*(1+$D$139)^1)</f>
        <v>0</v>
      </c>
      <c r="L151" s="54"/>
      <c r="M151" s="54"/>
      <c r="N151" s="54"/>
      <c r="O151" s="54"/>
    </row>
    <row r="152" spans="3:15" outlineLevel="1" x14ac:dyDescent="0.25">
      <c r="C152" s="2" t="s">
        <v>5</v>
      </c>
      <c r="G152" s="54"/>
      <c r="H152" s="54"/>
      <c r="I152" s="129"/>
      <c r="J152" s="63"/>
      <c r="K152" s="63"/>
      <c r="L152" s="21">
        <f>(J128*(1+$D$139)^2)+(K128*(1+$D$139)^1)</f>
        <v>0</v>
      </c>
      <c r="M152" s="54"/>
      <c r="N152" s="54"/>
      <c r="O152" s="54"/>
    </row>
    <row r="153" spans="3:15" outlineLevel="1" x14ac:dyDescent="0.25">
      <c r="C153" s="2" t="s">
        <v>6</v>
      </c>
      <c r="G153" s="54"/>
      <c r="H153" s="54"/>
      <c r="I153" s="54"/>
      <c r="J153" s="129"/>
      <c r="K153" s="63"/>
      <c r="L153" s="63"/>
      <c r="M153" s="21">
        <f>(K129*(1+$D$139)^2)+(L129*(1+$D$139)^1)</f>
        <v>0</v>
      </c>
      <c r="N153" s="54"/>
      <c r="O153" s="54"/>
    </row>
    <row r="154" spans="3:15" outlineLevel="1" x14ac:dyDescent="0.25">
      <c r="C154" s="2" t="s">
        <v>7</v>
      </c>
      <c r="G154" s="54"/>
      <c r="H154" s="54"/>
      <c r="I154" s="54"/>
      <c r="J154" s="54"/>
      <c r="K154" s="129"/>
      <c r="L154" s="63"/>
      <c r="M154" s="63"/>
      <c r="N154" s="21">
        <f>(L130*(1+$D$139)^2)+(M130*(1+$D$139)^1)</f>
        <v>0</v>
      </c>
      <c r="O154" s="54"/>
    </row>
    <row r="155" spans="3:15" outlineLevel="1" x14ac:dyDescent="0.25">
      <c r="C155" s="2" t="s">
        <v>8</v>
      </c>
      <c r="G155" s="54"/>
      <c r="H155" s="54"/>
      <c r="I155" s="54"/>
      <c r="J155" s="54"/>
      <c r="K155" s="54"/>
      <c r="L155" s="129"/>
      <c r="M155" s="63"/>
      <c r="N155" s="63"/>
      <c r="O155" s="21">
        <f>(M131*(1+$D$139)^2)+(N131*(1+$D$139)^1)</f>
        <v>0</v>
      </c>
    </row>
    <row r="156" spans="3:15" outlineLevel="1" x14ac:dyDescent="0.25">
      <c r="C156" s="2" t="s">
        <v>9</v>
      </c>
      <c r="D156" s="29"/>
      <c r="E156" s="29"/>
      <c r="F156" s="29"/>
      <c r="G156" s="29"/>
      <c r="H156" s="29"/>
      <c r="I156" s="29"/>
      <c r="J156" s="29"/>
      <c r="K156" s="29"/>
      <c r="L156" s="29"/>
      <c r="M156" s="130"/>
      <c r="N156" s="29"/>
      <c r="O156" s="29"/>
    </row>
    <row r="157" spans="3:15" outlineLevel="1" x14ac:dyDescent="0.25"/>
    <row r="158" spans="3:15" x14ac:dyDescent="0.25">
      <c r="C158" s="2" t="s">
        <v>34</v>
      </c>
      <c r="D158" s="59">
        <f>SUM(D147:D156)</f>
        <v>0</v>
      </c>
      <c r="E158" s="59">
        <f t="shared" ref="E158:M158" si="30">SUM(E147:E156)</f>
        <v>0</v>
      </c>
      <c r="F158" s="59">
        <f t="shared" si="30"/>
        <v>0</v>
      </c>
      <c r="G158" s="59">
        <f t="shared" si="30"/>
        <v>-21.258720000000004</v>
      </c>
      <c r="H158" s="59">
        <f t="shared" si="30"/>
        <v>0</v>
      </c>
      <c r="I158" s="59">
        <f t="shared" si="30"/>
        <v>0</v>
      </c>
      <c r="J158" s="59">
        <f t="shared" si="30"/>
        <v>0</v>
      </c>
      <c r="K158" s="59">
        <f t="shared" si="30"/>
        <v>0</v>
      </c>
      <c r="L158" s="59">
        <f t="shared" si="30"/>
        <v>0</v>
      </c>
      <c r="M158" s="59">
        <f t="shared" si="30"/>
        <v>0</v>
      </c>
    </row>
    <row r="160" spans="3:15" x14ac:dyDescent="0.25">
      <c r="C160" s="50" t="s">
        <v>39</v>
      </c>
      <c r="D160" s="78">
        <f>-D161*D104</f>
        <v>-8.3125000000000004E-2</v>
      </c>
      <c r="E160" s="78">
        <f t="shared" ref="E160:M160" si="31">-E161*E104</f>
        <v>-0.17040625000000004</v>
      </c>
      <c r="F160" s="78">
        <f t="shared" si="31"/>
        <v>-0.22028125000000004</v>
      </c>
      <c r="G160" s="78">
        <f t="shared" si="31"/>
        <v>-1.1886875000000001</v>
      </c>
      <c r="H160" s="78">
        <f t="shared" si="31"/>
        <v>0</v>
      </c>
      <c r="I160" s="78">
        <f t="shared" si="31"/>
        <v>0</v>
      </c>
      <c r="J160" s="78">
        <f t="shared" si="31"/>
        <v>0</v>
      </c>
      <c r="K160" s="78">
        <f t="shared" si="31"/>
        <v>0</v>
      </c>
      <c r="L160" s="78">
        <f t="shared" si="31"/>
        <v>0</v>
      </c>
      <c r="M160" s="78">
        <f t="shared" si="31"/>
        <v>0</v>
      </c>
    </row>
    <row r="161" spans="3:14" x14ac:dyDescent="0.25">
      <c r="C161" s="15" t="s">
        <v>41</v>
      </c>
      <c r="D161" s="146">
        <v>3.5000000000000003E-2</v>
      </c>
      <c r="E161" s="25">
        <f>+D161</f>
        <v>3.5000000000000003E-2</v>
      </c>
      <c r="F161" s="25">
        <f t="shared" ref="F161:M161" si="32">+E161</f>
        <v>3.5000000000000003E-2</v>
      </c>
      <c r="G161" s="25">
        <f t="shared" si="32"/>
        <v>3.5000000000000003E-2</v>
      </c>
      <c r="H161" s="25">
        <f t="shared" si="32"/>
        <v>3.5000000000000003E-2</v>
      </c>
      <c r="I161" s="25">
        <f t="shared" si="32"/>
        <v>3.5000000000000003E-2</v>
      </c>
      <c r="J161" s="25">
        <f t="shared" si="32"/>
        <v>3.5000000000000003E-2</v>
      </c>
      <c r="K161" s="25">
        <f t="shared" si="32"/>
        <v>3.5000000000000003E-2</v>
      </c>
      <c r="L161" s="25">
        <f t="shared" si="32"/>
        <v>3.5000000000000003E-2</v>
      </c>
      <c r="M161" s="25">
        <f t="shared" si="32"/>
        <v>3.5000000000000003E-2</v>
      </c>
    </row>
    <row r="162" spans="3:14" x14ac:dyDescent="0.25">
      <c r="C162" s="16"/>
    </row>
    <row r="163" spans="3:14" x14ac:dyDescent="0.25">
      <c r="C163" s="64" t="s">
        <v>106</v>
      </c>
      <c r="D163" s="79">
        <f>-D164*D104</f>
        <v>-4.7500000000000001E-2</v>
      </c>
      <c r="E163" s="79">
        <f t="shared" ref="E163:M163" si="33">-E164*E104</f>
        <v>-9.7375000000000003E-2</v>
      </c>
      <c r="F163" s="79">
        <f t="shared" si="33"/>
        <v>-0.12587500000000001</v>
      </c>
      <c r="G163" s="79">
        <f t="shared" si="33"/>
        <v>-0.67925000000000002</v>
      </c>
      <c r="H163" s="79">
        <f t="shared" si="33"/>
        <v>0</v>
      </c>
      <c r="I163" s="79">
        <f t="shared" si="33"/>
        <v>0</v>
      </c>
      <c r="J163" s="79">
        <f t="shared" si="33"/>
        <v>0</v>
      </c>
      <c r="K163" s="79">
        <f t="shared" si="33"/>
        <v>0</v>
      </c>
      <c r="L163" s="79">
        <f t="shared" si="33"/>
        <v>0</v>
      </c>
      <c r="M163" s="79">
        <f t="shared" si="33"/>
        <v>0</v>
      </c>
    </row>
    <row r="164" spans="3:14" x14ac:dyDescent="0.25">
      <c r="C164" s="22" t="s">
        <v>107</v>
      </c>
      <c r="D164" s="146">
        <v>0.02</v>
      </c>
      <c r="E164" s="25">
        <f t="shared" ref="E164:M164" si="34">+D164</f>
        <v>0.02</v>
      </c>
      <c r="F164" s="25">
        <f t="shared" si="34"/>
        <v>0.02</v>
      </c>
      <c r="G164" s="25">
        <f t="shared" si="34"/>
        <v>0.02</v>
      </c>
      <c r="H164" s="25">
        <f t="shared" si="34"/>
        <v>0.02</v>
      </c>
      <c r="I164" s="25">
        <f t="shared" si="34"/>
        <v>0.02</v>
      </c>
      <c r="J164" s="25">
        <f t="shared" si="34"/>
        <v>0.02</v>
      </c>
      <c r="K164" s="25">
        <f t="shared" si="34"/>
        <v>0.02</v>
      </c>
      <c r="L164" s="25">
        <f t="shared" si="34"/>
        <v>0.02</v>
      </c>
      <c r="M164" s="25">
        <f t="shared" si="34"/>
        <v>0.02</v>
      </c>
    </row>
    <row r="166" spans="3:14" x14ac:dyDescent="0.25">
      <c r="C166" s="65" t="s">
        <v>42</v>
      </c>
      <c r="D166" s="51">
        <f>+D109+D111+D160+D163</f>
        <v>-0.46906249999999994</v>
      </c>
      <c r="E166" s="51">
        <f t="shared" ref="E166:M166" si="35">+E109+E111+E160+E163</f>
        <v>-4.3993906250000014</v>
      </c>
      <c r="F166" s="51">
        <f t="shared" si="35"/>
        <v>-5.0845781250000019</v>
      </c>
      <c r="G166" s="51">
        <f t="shared" si="35"/>
        <v>28.953031249999999</v>
      </c>
      <c r="H166" s="51">
        <f t="shared" si="35"/>
        <v>0</v>
      </c>
      <c r="I166" s="51">
        <f t="shared" si="35"/>
        <v>0</v>
      </c>
      <c r="J166" s="51">
        <f t="shared" si="35"/>
        <v>0</v>
      </c>
      <c r="K166" s="51">
        <f t="shared" si="35"/>
        <v>0</v>
      </c>
      <c r="L166" s="51">
        <f t="shared" si="35"/>
        <v>0</v>
      </c>
      <c r="M166" s="51">
        <f t="shared" si="35"/>
        <v>0</v>
      </c>
    </row>
    <row r="169" spans="3:14" x14ac:dyDescent="0.25">
      <c r="C169" s="64" t="s">
        <v>35</v>
      </c>
      <c r="D169" s="66">
        <f>+D170+D171</f>
        <v>0</v>
      </c>
      <c r="E169" s="66">
        <f t="shared" ref="E169:M169" si="36">+E170+E171</f>
        <v>5.9850000000000003</v>
      </c>
      <c r="F169" s="66">
        <f t="shared" si="36"/>
        <v>7.3150000000000004</v>
      </c>
      <c r="G169" s="66">
        <f t="shared" si="36"/>
        <v>-21.258720000000004</v>
      </c>
      <c r="H169" s="66">
        <f t="shared" si="36"/>
        <v>0</v>
      </c>
      <c r="I169" s="66">
        <f t="shared" si="36"/>
        <v>0</v>
      </c>
      <c r="J169" s="66">
        <f t="shared" si="36"/>
        <v>0</v>
      </c>
      <c r="K169" s="66">
        <f t="shared" si="36"/>
        <v>0</v>
      </c>
      <c r="L169" s="66">
        <f t="shared" si="36"/>
        <v>0</v>
      </c>
      <c r="M169" s="66">
        <f t="shared" si="36"/>
        <v>0</v>
      </c>
    </row>
    <row r="170" spans="3:14" x14ac:dyDescent="0.25">
      <c r="C170" s="22" t="s">
        <v>43</v>
      </c>
      <c r="D170" s="9">
        <f>+D141</f>
        <v>0</v>
      </c>
      <c r="E170" s="9">
        <f t="shared" ref="E170:M171" si="37">+E141</f>
        <v>5.9850000000000003</v>
      </c>
      <c r="F170" s="9">
        <f t="shared" si="37"/>
        <v>7.3150000000000004</v>
      </c>
      <c r="G170" s="9">
        <f t="shared" si="37"/>
        <v>0</v>
      </c>
      <c r="H170" s="9">
        <f t="shared" si="37"/>
        <v>0</v>
      </c>
      <c r="I170" s="9">
        <f t="shared" si="37"/>
        <v>0</v>
      </c>
      <c r="J170" s="9">
        <f t="shared" si="37"/>
        <v>0</v>
      </c>
      <c r="K170" s="9">
        <f t="shared" si="37"/>
        <v>0</v>
      </c>
      <c r="L170" s="9">
        <f t="shared" si="37"/>
        <v>0</v>
      </c>
      <c r="M170" s="9">
        <f t="shared" si="37"/>
        <v>0</v>
      </c>
    </row>
    <row r="171" spans="3:14" x14ac:dyDescent="0.25">
      <c r="C171" s="22" t="s">
        <v>44</v>
      </c>
      <c r="D171" s="9">
        <f>+D142</f>
        <v>0</v>
      </c>
      <c r="E171" s="9">
        <f t="shared" si="37"/>
        <v>0</v>
      </c>
      <c r="F171" s="9">
        <f t="shared" si="37"/>
        <v>0</v>
      </c>
      <c r="G171" s="9">
        <f t="shared" si="37"/>
        <v>-21.258720000000004</v>
      </c>
      <c r="H171" s="9">
        <f t="shared" si="37"/>
        <v>0</v>
      </c>
      <c r="I171" s="9">
        <f t="shared" si="37"/>
        <v>0</v>
      </c>
      <c r="J171" s="9">
        <f t="shared" si="37"/>
        <v>0</v>
      </c>
      <c r="K171" s="9">
        <f t="shared" si="37"/>
        <v>0</v>
      </c>
      <c r="L171" s="9">
        <f t="shared" si="37"/>
        <v>0</v>
      </c>
      <c r="M171" s="9">
        <f t="shared" si="37"/>
        <v>0</v>
      </c>
    </row>
    <row r="173" spans="3:14" x14ac:dyDescent="0.25">
      <c r="C173" s="64" t="s">
        <v>45</v>
      </c>
      <c r="D173" s="67">
        <f>+D166+D169</f>
        <v>-0.46906249999999994</v>
      </c>
      <c r="E173" s="67">
        <f t="shared" ref="E173:M173" si="38">+E166+E169</f>
        <v>1.5856093749999989</v>
      </c>
      <c r="F173" s="67">
        <f t="shared" si="38"/>
        <v>2.2304218749999984</v>
      </c>
      <c r="G173" s="67">
        <f t="shared" si="38"/>
        <v>7.6943112499999948</v>
      </c>
      <c r="H173" s="67">
        <f t="shared" si="38"/>
        <v>0</v>
      </c>
      <c r="I173" s="67">
        <f t="shared" si="38"/>
        <v>0</v>
      </c>
      <c r="J173" s="67">
        <f t="shared" si="38"/>
        <v>0</v>
      </c>
      <c r="K173" s="67">
        <f t="shared" si="38"/>
        <v>0</v>
      </c>
      <c r="L173" s="67">
        <f t="shared" si="38"/>
        <v>0</v>
      </c>
      <c r="M173" s="67">
        <f t="shared" si="38"/>
        <v>0</v>
      </c>
      <c r="N173" s="76"/>
    </row>
  </sheetData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173"/>
  <sheetViews>
    <sheetView showGridLines="0" workbookViewId="0">
      <selection activeCell="D139" sqref="D139"/>
    </sheetView>
  </sheetViews>
  <sheetFormatPr defaultColWidth="8.85546875" defaultRowHeight="15" outlineLevelRow="1" x14ac:dyDescent="0.25"/>
  <cols>
    <col min="1" max="1" width="1.42578125" customWidth="1"/>
    <col min="2" max="2" width="16.85546875" customWidth="1"/>
    <col min="4" max="4" width="12.42578125" bestFit="1" customWidth="1"/>
    <col min="13" max="13" width="9.42578125" bestFit="1" customWidth="1"/>
  </cols>
  <sheetData>
    <row r="2" spans="2:13" x14ac:dyDescent="0.25">
      <c r="B2" s="1" t="s">
        <v>114</v>
      </c>
      <c r="C2" s="1"/>
    </row>
    <row r="3" spans="2:13" x14ac:dyDescent="0.25">
      <c r="B3" s="4" t="s">
        <v>10</v>
      </c>
    </row>
    <row r="4" spans="2:13" ht="4.5" customHeight="1" x14ac:dyDescent="0.25"/>
    <row r="5" spans="2:13" x14ac:dyDescent="0.25">
      <c r="C5" s="4" t="s">
        <v>12</v>
      </c>
    </row>
    <row r="6" spans="2:13" ht="3" customHeight="1" x14ac:dyDescent="0.25">
      <c r="C6" s="4"/>
    </row>
    <row r="7" spans="2:13" x14ac:dyDescent="0.25">
      <c r="D7" s="2" t="s">
        <v>0</v>
      </c>
      <c r="E7" s="2" t="s">
        <v>1</v>
      </c>
      <c r="F7" s="2" t="s">
        <v>2</v>
      </c>
      <c r="G7" s="2" t="s">
        <v>3</v>
      </c>
      <c r="H7" s="2" t="s">
        <v>4</v>
      </c>
      <c r="I7" s="2" t="s">
        <v>5</v>
      </c>
      <c r="J7" s="2" t="s">
        <v>6</v>
      </c>
      <c r="K7" s="2" t="s">
        <v>7</v>
      </c>
      <c r="L7" s="2" t="s">
        <v>8</v>
      </c>
      <c r="M7" s="2" t="s">
        <v>9</v>
      </c>
    </row>
    <row r="8" spans="2:13" x14ac:dyDescent="0.25">
      <c r="D8" s="137"/>
      <c r="E8" s="137">
        <v>150</v>
      </c>
      <c r="F8" s="137"/>
      <c r="G8" s="137"/>
      <c r="H8" s="137"/>
      <c r="I8" s="137"/>
      <c r="J8" s="137"/>
      <c r="K8" s="137"/>
      <c r="L8" s="137"/>
      <c r="M8" s="137"/>
    </row>
    <row r="10" spans="2:13" x14ac:dyDescent="0.25">
      <c r="C10" t="s">
        <v>40</v>
      </c>
      <c r="E10" s="138">
        <v>4.4999999999999998E-2</v>
      </c>
    </row>
    <row r="12" spans="2:13" x14ac:dyDescent="0.25">
      <c r="C12" s="4" t="s">
        <v>12</v>
      </c>
    </row>
    <row r="13" spans="2:13" ht="3" customHeight="1" x14ac:dyDescent="0.25">
      <c r="C13" s="4"/>
    </row>
    <row r="14" spans="2:13" outlineLevel="1" x14ac:dyDescent="0.25">
      <c r="D14" s="2" t="s">
        <v>0</v>
      </c>
      <c r="E14" s="2" t="s">
        <v>1</v>
      </c>
      <c r="F14" s="2" t="s">
        <v>2</v>
      </c>
      <c r="G14" s="2" t="s">
        <v>3</v>
      </c>
      <c r="H14" s="2" t="s">
        <v>4</v>
      </c>
      <c r="I14" s="2" t="s">
        <v>5</v>
      </c>
      <c r="J14" s="2" t="s">
        <v>6</v>
      </c>
      <c r="K14" s="2" t="s">
        <v>7</v>
      </c>
      <c r="L14" s="2" t="s">
        <v>8</v>
      </c>
      <c r="M14" s="2" t="s">
        <v>9</v>
      </c>
    </row>
    <row r="15" spans="2:13" outlineLevel="1" x14ac:dyDescent="0.25">
      <c r="C15" s="2" t="s">
        <v>0</v>
      </c>
      <c r="D15" s="77">
        <f>+D$8*(1-$E$10)</f>
        <v>0</v>
      </c>
      <c r="E15" s="28"/>
      <c r="F15" s="28"/>
      <c r="G15" s="28"/>
      <c r="H15" s="28"/>
      <c r="I15" s="28"/>
      <c r="J15" s="28"/>
      <c r="K15" s="28"/>
      <c r="L15" s="28"/>
      <c r="M15" s="28"/>
    </row>
    <row r="16" spans="2:13" outlineLevel="1" x14ac:dyDescent="0.25">
      <c r="C16" s="2" t="s">
        <v>1</v>
      </c>
      <c r="E16" s="3">
        <f>+E$8*(1-$E$10)</f>
        <v>143.25</v>
      </c>
    </row>
    <row r="17" spans="3:16" outlineLevel="1" x14ac:dyDescent="0.25">
      <c r="C17" s="2" t="s">
        <v>2</v>
      </c>
      <c r="F17" s="3">
        <f>+F$8*(1-$E$10)</f>
        <v>0</v>
      </c>
    </row>
    <row r="18" spans="3:16" outlineLevel="1" x14ac:dyDescent="0.25">
      <c r="C18" s="2" t="s">
        <v>3</v>
      </c>
      <c r="G18" s="3">
        <f>+G$8*(1-$E$10)</f>
        <v>0</v>
      </c>
    </row>
    <row r="19" spans="3:16" outlineLevel="1" x14ac:dyDescent="0.25">
      <c r="C19" s="2" t="s">
        <v>4</v>
      </c>
      <c r="H19" s="3">
        <f>+H$8*(1-$E$10)</f>
        <v>0</v>
      </c>
    </row>
    <row r="20" spans="3:16" outlineLevel="1" x14ac:dyDescent="0.25">
      <c r="C20" s="2" t="s">
        <v>5</v>
      </c>
      <c r="I20" s="3">
        <f>+I$8*(1-$E$10)</f>
        <v>0</v>
      </c>
    </row>
    <row r="21" spans="3:16" outlineLevel="1" x14ac:dyDescent="0.25">
      <c r="C21" s="2" t="s">
        <v>6</v>
      </c>
      <c r="J21" s="3">
        <f>+J$8*(1-$E$10)</f>
        <v>0</v>
      </c>
    </row>
    <row r="22" spans="3:16" outlineLevel="1" x14ac:dyDescent="0.25">
      <c r="C22" s="2" t="s">
        <v>7</v>
      </c>
      <c r="K22" s="3">
        <f>+K$8*(1-$E$10)</f>
        <v>0</v>
      </c>
    </row>
    <row r="23" spans="3:16" outlineLevel="1" x14ac:dyDescent="0.25">
      <c r="C23" s="2" t="s">
        <v>8</v>
      </c>
      <c r="L23" s="3">
        <f>+L$8*(1-$E$10)</f>
        <v>0</v>
      </c>
    </row>
    <row r="24" spans="3:16" outlineLevel="1" x14ac:dyDescent="0.25">
      <c r="C24" s="2" t="s">
        <v>9</v>
      </c>
      <c r="D24" s="29"/>
      <c r="E24" s="29"/>
      <c r="F24" s="29"/>
      <c r="G24" s="29"/>
      <c r="H24" s="29"/>
      <c r="I24" s="29"/>
      <c r="J24" s="29"/>
      <c r="K24" s="29"/>
      <c r="L24" s="29"/>
      <c r="M24" s="39">
        <f>+M$8*(1-$E$10)</f>
        <v>0</v>
      </c>
    </row>
    <row r="25" spans="3:16" x14ac:dyDescent="0.25">
      <c r="D25" s="30">
        <f>SUM(D15:D24)</f>
        <v>0</v>
      </c>
      <c r="E25" s="30">
        <f t="shared" ref="E25:M25" si="0">SUM(E15:E24)</f>
        <v>143.25</v>
      </c>
      <c r="F25" s="30">
        <f t="shared" si="0"/>
        <v>0</v>
      </c>
      <c r="G25" s="30">
        <f t="shared" si="0"/>
        <v>0</v>
      </c>
      <c r="H25" s="30">
        <f t="shared" si="0"/>
        <v>0</v>
      </c>
      <c r="I25" s="30">
        <f t="shared" si="0"/>
        <v>0</v>
      </c>
      <c r="J25" s="30">
        <f t="shared" si="0"/>
        <v>0</v>
      </c>
      <c r="K25" s="30">
        <f t="shared" si="0"/>
        <v>0</v>
      </c>
      <c r="L25" s="30">
        <f t="shared" si="0"/>
        <v>0</v>
      </c>
      <c r="M25" s="30">
        <f t="shared" si="0"/>
        <v>0</v>
      </c>
    </row>
    <row r="27" spans="3:16" x14ac:dyDescent="0.25">
      <c r="C27" s="4" t="s">
        <v>11</v>
      </c>
    </row>
    <row r="28" spans="3:16" ht="4.5" customHeight="1" x14ac:dyDescent="0.25">
      <c r="C28" s="4"/>
    </row>
    <row r="29" spans="3:16" outlineLevel="1" x14ac:dyDescent="0.25">
      <c r="D29" s="2" t="s">
        <v>0</v>
      </c>
      <c r="E29" s="2" t="s">
        <v>1</v>
      </c>
      <c r="F29" s="2" t="s">
        <v>2</v>
      </c>
      <c r="G29" s="2" t="s">
        <v>3</v>
      </c>
      <c r="H29" s="2" t="s">
        <v>4</v>
      </c>
      <c r="I29" s="2" t="s">
        <v>5</v>
      </c>
      <c r="J29" s="2" t="s">
        <v>6</v>
      </c>
      <c r="K29" s="2" t="s">
        <v>7</v>
      </c>
      <c r="L29" s="2" t="s">
        <v>8</v>
      </c>
      <c r="M29" s="2" t="s">
        <v>9</v>
      </c>
    </row>
    <row r="30" spans="3:16" outlineLevel="1" x14ac:dyDescent="0.25">
      <c r="C30" s="2" t="s">
        <v>0</v>
      </c>
      <c r="D30" s="139"/>
      <c r="E30" s="139"/>
      <c r="F30" s="139"/>
      <c r="G30" s="139"/>
      <c r="H30" s="31"/>
      <c r="I30" s="31"/>
      <c r="J30" s="31"/>
      <c r="K30" s="31"/>
      <c r="L30" s="31"/>
      <c r="M30" s="31"/>
      <c r="N30" s="32"/>
      <c r="O30" s="28"/>
      <c r="P30" s="28"/>
    </row>
    <row r="31" spans="3:16" outlineLevel="1" x14ac:dyDescent="0.25">
      <c r="C31" s="2" t="s">
        <v>1</v>
      </c>
      <c r="D31" s="33"/>
      <c r="E31" s="140">
        <v>0.6</v>
      </c>
      <c r="F31" s="140">
        <v>0.4</v>
      </c>
      <c r="G31" s="140"/>
      <c r="H31" s="141"/>
      <c r="I31" s="33"/>
      <c r="J31" s="33"/>
      <c r="K31" s="33"/>
      <c r="L31" s="33"/>
      <c r="M31" s="33"/>
      <c r="N31" s="34"/>
    </row>
    <row r="32" spans="3:16" outlineLevel="1" x14ac:dyDescent="0.25">
      <c r="C32" s="2" t="s">
        <v>2</v>
      </c>
      <c r="D32" s="33"/>
      <c r="E32" s="33"/>
      <c r="F32" s="140"/>
      <c r="G32" s="140"/>
      <c r="H32" s="140"/>
      <c r="I32" s="141"/>
      <c r="J32" s="33"/>
      <c r="K32" s="33"/>
      <c r="L32" s="33"/>
      <c r="M32" s="33"/>
      <c r="N32" s="34"/>
    </row>
    <row r="33" spans="3:16" outlineLevel="1" x14ac:dyDescent="0.25">
      <c r="C33" s="2" t="s">
        <v>3</v>
      </c>
      <c r="D33" s="33"/>
      <c r="E33" s="33"/>
      <c r="F33" s="33"/>
      <c r="G33" s="140"/>
      <c r="H33" s="140"/>
      <c r="I33" s="140"/>
      <c r="J33" s="141"/>
      <c r="K33" s="33"/>
      <c r="L33" s="33"/>
      <c r="M33" s="33"/>
      <c r="N33" s="34"/>
    </row>
    <row r="34" spans="3:16" outlineLevel="1" x14ac:dyDescent="0.25">
      <c r="C34" s="2" t="s">
        <v>4</v>
      </c>
      <c r="D34" s="33"/>
      <c r="E34" s="33"/>
      <c r="F34" s="33"/>
      <c r="G34" s="33"/>
      <c r="H34" s="140"/>
      <c r="I34" s="140"/>
      <c r="J34" s="140"/>
      <c r="K34" s="141"/>
      <c r="L34" s="33"/>
      <c r="M34" s="33"/>
      <c r="N34" s="34"/>
    </row>
    <row r="35" spans="3:16" outlineLevel="1" x14ac:dyDescent="0.25">
      <c r="C35" s="2" t="s">
        <v>5</v>
      </c>
      <c r="D35" s="33"/>
      <c r="E35" s="33"/>
      <c r="F35" s="33"/>
      <c r="G35" s="33"/>
      <c r="H35" s="33"/>
      <c r="I35" s="140"/>
      <c r="J35" s="140"/>
      <c r="K35" s="140"/>
      <c r="L35" s="141"/>
      <c r="M35" s="33"/>
      <c r="N35" s="34"/>
    </row>
    <row r="36" spans="3:16" outlineLevel="1" x14ac:dyDescent="0.25">
      <c r="C36" s="2" t="s">
        <v>6</v>
      </c>
      <c r="D36" s="33"/>
      <c r="E36" s="33"/>
      <c r="F36" s="33"/>
      <c r="G36" s="33"/>
      <c r="H36" s="33"/>
      <c r="I36" s="33"/>
      <c r="J36" s="140"/>
      <c r="K36" s="140"/>
      <c r="L36" s="140"/>
      <c r="M36" s="141"/>
      <c r="N36" s="34"/>
    </row>
    <row r="37" spans="3:16" outlineLevel="1" x14ac:dyDescent="0.25">
      <c r="C37" s="2" t="s">
        <v>7</v>
      </c>
      <c r="D37" s="33"/>
      <c r="E37" s="33"/>
      <c r="F37" s="33"/>
      <c r="G37" s="33"/>
      <c r="H37" s="33"/>
      <c r="I37" s="33"/>
      <c r="J37" s="33"/>
      <c r="K37" s="140"/>
      <c r="L37" s="140"/>
      <c r="M37" s="140"/>
      <c r="N37" s="141"/>
    </row>
    <row r="38" spans="3:16" outlineLevel="1" x14ac:dyDescent="0.25">
      <c r="C38" s="2" t="s">
        <v>8</v>
      </c>
      <c r="D38" s="33"/>
      <c r="E38" s="33"/>
      <c r="F38" s="33"/>
      <c r="G38" s="33"/>
      <c r="H38" s="33"/>
      <c r="I38" s="33"/>
      <c r="J38" s="33"/>
      <c r="K38" s="33"/>
      <c r="L38" s="140"/>
      <c r="M38" s="140"/>
      <c r="N38" s="140"/>
      <c r="O38" s="141"/>
    </row>
    <row r="39" spans="3:16" outlineLevel="1" x14ac:dyDescent="0.25">
      <c r="C39" s="2" t="s">
        <v>9</v>
      </c>
      <c r="D39" s="35"/>
      <c r="E39" s="35"/>
      <c r="F39" s="35"/>
      <c r="G39" s="35"/>
      <c r="H39" s="35"/>
      <c r="I39" s="35"/>
      <c r="J39" s="35"/>
      <c r="K39" s="35"/>
      <c r="L39" s="35"/>
      <c r="M39" s="140"/>
      <c r="N39" s="140"/>
      <c r="O39" s="140"/>
      <c r="P39" s="141"/>
    </row>
    <row r="41" spans="3:16" x14ac:dyDescent="0.25">
      <c r="C41" s="6" t="s">
        <v>14</v>
      </c>
      <c r="F41" s="140">
        <v>0.4</v>
      </c>
    </row>
    <row r="42" spans="3:16" ht="5.25" customHeight="1" x14ac:dyDescent="0.25"/>
    <row r="43" spans="3:16" outlineLevel="1" x14ac:dyDescent="0.25">
      <c r="D43" s="2" t="s">
        <v>0</v>
      </c>
      <c r="E43" s="2" t="s">
        <v>1</v>
      </c>
      <c r="F43" s="2" t="s">
        <v>2</v>
      </c>
      <c r="G43" s="2" t="s">
        <v>3</v>
      </c>
      <c r="H43" s="2" t="s">
        <v>4</v>
      </c>
      <c r="I43" s="2" t="s">
        <v>5</v>
      </c>
      <c r="J43" s="2" t="s">
        <v>6</v>
      </c>
      <c r="K43" s="2" t="s">
        <v>7</v>
      </c>
      <c r="L43" s="2" t="s">
        <v>8</v>
      </c>
      <c r="M43" s="2" t="s">
        <v>9</v>
      </c>
      <c r="N43" s="2" t="s">
        <v>15</v>
      </c>
    </row>
    <row r="44" spans="3:16" outlineLevel="1" x14ac:dyDescent="0.25">
      <c r="C44" s="7">
        <v>1</v>
      </c>
      <c r="D44" s="36">
        <f>+$F$41/3</f>
        <v>0.13333333333333333</v>
      </c>
      <c r="E44" s="36">
        <f>+F41/3</f>
        <v>0.13333333333333333</v>
      </c>
      <c r="F44" s="36">
        <f>+F41/3</f>
        <v>0.13333333333333333</v>
      </c>
      <c r="G44" s="36">
        <f>+(1-$F$41)</f>
        <v>0.6</v>
      </c>
      <c r="H44" s="37"/>
      <c r="I44" s="37"/>
      <c r="J44" s="37"/>
      <c r="K44" s="28"/>
      <c r="L44" s="28"/>
      <c r="M44" s="28"/>
      <c r="N44" s="32">
        <f>SUM(D44:M44)</f>
        <v>1</v>
      </c>
    </row>
    <row r="45" spans="3:16" outlineLevel="1" x14ac:dyDescent="0.25">
      <c r="C45" s="7">
        <v>2</v>
      </c>
      <c r="D45" s="3"/>
      <c r="E45" s="38">
        <f>+$F$41/2</f>
        <v>0.2</v>
      </c>
      <c r="F45" s="38">
        <f>+$F$41/2</f>
        <v>0.2</v>
      </c>
      <c r="G45" s="38">
        <f>+(1-$F$41)</f>
        <v>0.6</v>
      </c>
      <c r="H45" s="8"/>
      <c r="I45" s="8"/>
      <c r="J45" s="8"/>
      <c r="N45" s="34">
        <f>SUM(D45:M45)</f>
        <v>1</v>
      </c>
    </row>
    <row r="46" spans="3:16" outlineLevel="1" x14ac:dyDescent="0.25">
      <c r="C46" s="7">
        <v>3</v>
      </c>
      <c r="D46" s="3"/>
      <c r="E46" s="8"/>
      <c r="F46" s="38">
        <f>+$F$41</f>
        <v>0.4</v>
      </c>
      <c r="G46" s="38">
        <f>+(1-$F$41)</f>
        <v>0.6</v>
      </c>
      <c r="H46" s="8"/>
      <c r="I46" s="8"/>
      <c r="J46" s="8"/>
      <c r="N46" s="34">
        <f>SUM(D46:M46)</f>
        <v>1</v>
      </c>
    </row>
    <row r="47" spans="3:16" outlineLevel="1" x14ac:dyDescent="0.25">
      <c r="C47" s="7">
        <v>4</v>
      </c>
      <c r="D47" s="39"/>
      <c r="E47" s="40"/>
      <c r="F47" s="40"/>
      <c r="G47" s="41">
        <v>1</v>
      </c>
      <c r="H47" s="40"/>
      <c r="I47" s="40"/>
      <c r="J47" s="40"/>
      <c r="K47" s="29"/>
      <c r="L47" s="29"/>
      <c r="M47" s="29"/>
      <c r="N47" s="42">
        <f>SUM(D47:M47)</f>
        <v>1</v>
      </c>
    </row>
    <row r="48" spans="3:16" x14ac:dyDescent="0.25">
      <c r="D48" s="3"/>
      <c r="E48" s="8"/>
      <c r="F48" s="8"/>
      <c r="G48" s="8"/>
      <c r="H48" s="8"/>
      <c r="I48" s="8"/>
      <c r="J48" s="8"/>
      <c r="N48" s="10"/>
    </row>
    <row r="49" spans="3:17" x14ac:dyDescent="0.25">
      <c r="C49" s="4" t="s">
        <v>13</v>
      </c>
    </row>
    <row r="50" spans="3:17" ht="5.25" customHeight="1" x14ac:dyDescent="0.25">
      <c r="C50" s="4"/>
    </row>
    <row r="51" spans="3:17" x14ac:dyDescent="0.25">
      <c r="D51" s="2" t="s">
        <v>0</v>
      </c>
      <c r="E51" s="2" t="s">
        <v>1</v>
      </c>
      <c r="F51" s="2" t="s">
        <v>2</v>
      </c>
      <c r="G51" s="2" t="s">
        <v>3</v>
      </c>
      <c r="H51" s="2" t="s">
        <v>4</v>
      </c>
      <c r="I51" s="2" t="s">
        <v>5</v>
      </c>
      <c r="J51" s="2" t="s">
        <v>6</v>
      </c>
      <c r="K51" s="2" t="s">
        <v>7</v>
      </c>
      <c r="L51" s="2" t="s">
        <v>8</v>
      </c>
      <c r="M51" s="2" t="s">
        <v>9</v>
      </c>
      <c r="Q51" s="2" t="s">
        <v>15</v>
      </c>
    </row>
    <row r="52" spans="3:17" outlineLevel="1" x14ac:dyDescent="0.25">
      <c r="C52" s="7" t="s">
        <v>0</v>
      </c>
      <c r="D52" s="37">
        <f>+$D$15*$D$30*D$44</f>
        <v>0</v>
      </c>
      <c r="E52" s="37">
        <f>+$D$15*$D$30*E$44</f>
        <v>0</v>
      </c>
      <c r="F52" s="37">
        <f>+$D$15*$D$30*F$44</f>
        <v>0</v>
      </c>
      <c r="G52" s="37">
        <f>+$D$15*$D$30*G$44</f>
        <v>0</v>
      </c>
      <c r="H52" s="37"/>
      <c r="I52" s="37"/>
      <c r="J52" s="37"/>
      <c r="K52" s="28"/>
      <c r="L52" s="28"/>
      <c r="M52" s="28"/>
      <c r="N52" s="43"/>
      <c r="O52" s="28"/>
      <c r="P52" s="28"/>
      <c r="Q52" s="44">
        <f>SUM(D52:P52)</f>
        <v>0</v>
      </c>
    </row>
    <row r="53" spans="3:17" outlineLevel="1" x14ac:dyDescent="0.25">
      <c r="C53" s="7" t="s">
        <v>0</v>
      </c>
      <c r="D53" s="3"/>
      <c r="E53" s="8">
        <f>+$D$15*$E$30*$E$45</f>
        <v>0</v>
      </c>
      <c r="F53" s="8">
        <f>+$D$15*$E$30*$F$45</f>
        <v>0</v>
      </c>
      <c r="G53" s="8">
        <f>+$D$15*$E$30*$G$45</f>
        <v>0</v>
      </c>
      <c r="H53" s="8"/>
      <c r="I53" s="8"/>
      <c r="J53" s="8"/>
      <c r="N53" s="45"/>
      <c r="Q53" s="11">
        <f t="shared" ref="Q53:Q91" si="1">SUM(D53:P53)</f>
        <v>0</v>
      </c>
    </row>
    <row r="54" spans="3:17" outlineLevel="1" x14ac:dyDescent="0.25">
      <c r="C54" s="7" t="s">
        <v>0</v>
      </c>
      <c r="D54" s="3"/>
      <c r="E54" s="8"/>
      <c r="F54" s="8">
        <f>+$D$15*$F$30*$F$46</f>
        <v>0</v>
      </c>
      <c r="G54" s="8">
        <f>+$D$15*$F$30*$G$46</f>
        <v>0</v>
      </c>
      <c r="H54" s="8"/>
      <c r="I54" s="8"/>
      <c r="J54" s="8"/>
      <c r="N54" s="45"/>
      <c r="Q54" s="11">
        <f t="shared" si="1"/>
        <v>0</v>
      </c>
    </row>
    <row r="55" spans="3:17" outlineLevel="1" x14ac:dyDescent="0.25">
      <c r="C55" s="7" t="s">
        <v>0</v>
      </c>
      <c r="D55" s="39"/>
      <c r="E55" s="40"/>
      <c r="F55" s="40"/>
      <c r="G55" s="40">
        <f>+$D$15*$G$30*$G$47</f>
        <v>0</v>
      </c>
      <c r="H55" s="40"/>
      <c r="I55" s="40"/>
      <c r="J55" s="40"/>
      <c r="K55" s="29"/>
      <c r="L55" s="29"/>
      <c r="M55" s="29"/>
      <c r="N55" s="46"/>
      <c r="O55" s="29"/>
      <c r="P55" s="29"/>
      <c r="Q55" s="47">
        <f t="shared" si="1"/>
        <v>0</v>
      </c>
    </row>
    <row r="56" spans="3:17" outlineLevel="1" x14ac:dyDescent="0.25">
      <c r="C56" s="2" t="s">
        <v>1</v>
      </c>
      <c r="E56" s="8">
        <f>+$E$16*$E$31*D$44</f>
        <v>11.46</v>
      </c>
      <c r="F56" s="8">
        <f t="shared" ref="F56:H56" si="2">+$E$16*$E$31*E$44</f>
        <v>11.46</v>
      </c>
      <c r="G56" s="8">
        <f t="shared" si="2"/>
        <v>11.46</v>
      </c>
      <c r="H56" s="8">
        <f t="shared" si="2"/>
        <v>51.57</v>
      </c>
      <c r="I56" s="8"/>
      <c r="J56" s="8"/>
      <c r="K56" s="8"/>
      <c r="N56" s="10"/>
      <c r="Q56" s="11">
        <f t="shared" si="1"/>
        <v>85.95</v>
      </c>
    </row>
    <row r="57" spans="3:17" outlineLevel="1" x14ac:dyDescent="0.25">
      <c r="C57" s="2" t="s">
        <v>1</v>
      </c>
      <c r="E57" s="3"/>
      <c r="F57" s="8">
        <f>+$E$16*$F$31*E$45</f>
        <v>11.46</v>
      </c>
      <c r="G57" s="8">
        <f>+$E$16*$F$31*F$45</f>
        <v>11.46</v>
      </c>
      <c r="H57" s="8">
        <f>+$E$16*$F$31*G$45</f>
        <v>34.380000000000003</v>
      </c>
      <c r="I57" s="8"/>
      <c r="J57" s="8"/>
      <c r="K57" s="8"/>
      <c r="N57" s="10"/>
      <c r="Q57" s="11">
        <f t="shared" si="1"/>
        <v>57.300000000000004</v>
      </c>
    </row>
    <row r="58" spans="3:17" outlineLevel="1" x14ac:dyDescent="0.25">
      <c r="C58" s="2" t="s">
        <v>1</v>
      </c>
      <c r="E58" s="3"/>
      <c r="F58" s="8"/>
      <c r="G58" s="8">
        <f>+$E$16*$G$31*$F$46</f>
        <v>0</v>
      </c>
      <c r="H58" s="8">
        <f>+$E$16*$G$31*$G$46</f>
        <v>0</v>
      </c>
      <c r="I58" s="8"/>
      <c r="J58" s="8"/>
      <c r="K58" s="8"/>
      <c r="N58" s="10"/>
      <c r="Q58" s="11">
        <f t="shared" si="1"/>
        <v>0</v>
      </c>
    </row>
    <row r="59" spans="3:17" outlineLevel="1" x14ac:dyDescent="0.25">
      <c r="C59" s="2" t="s">
        <v>1</v>
      </c>
      <c r="E59" s="3"/>
      <c r="F59" s="8"/>
      <c r="G59" s="8"/>
      <c r="H59" s="8">
        <f>+$E$16*$H$31*$G$47</f>
        <v>0</v>
      </c>
      <c r="I59" s="8"/>
      <c r="J59" s="8"/>
      <c r="K59" s="8"/>
      <c r="N59" s="10"/>
      <c r="Q59" s="11">
        <f t="shared" si="1"/>
        <v>0</v>
      </c>
    </row>
    <row r="60" spans="3:17" outlineLevel="1" x14ac:dyDescent="0.25">
      <c r="C60" s="7" t="s">
        <v>2</v>
      </c>
      <c r="D60" s="28"/>
      <c r="E60" s="28"/>
      <c r="F60" s="37">
        <f>+$F$17*$F$32*D$44</f>
        <v>0</v>
      </c>
      <c r="G60" s="37">
        <f>+$F$17*$F$32*E$44</f>
        <v>0</v>
      </c>
      <c r="H60" s="37">
        <f>+$F$17*$F$32*F$44</f>
        <v>0</v>
      </c>
      <c r="I60" s="37">
        <f>+$F$17*$F$32*G$44</f>
        <v>0</v>
      </c>
      <c r="J60" s="28"/>
      <c r="K60" s="28"/>
      <c r="L60" s="28"/>
      <c r="M60" s="28"/>
      <c r="N60" s="43"/>
      <c r="O60" s="28"/>
      <c r="P60" s="28"/>
      <c r="Q60" s="44">
        <f t="shared" si="1"/>
        <v>0</v>
      </c>
    </row>
    <row r="61" spans="3:17" outlineLevel="1" x14ac:dyDescent="0.25">
      <c r="C61" s="7" t="s">
        <v>2</v>
      </c>
      <c r="F61" s="3"/>
      <c r="G61" s="8">
        <f>+$F$17*$G$32*E$45</f>
        <v>0</v>
      </c>
      <c r="H61" s="8">
        <f>+$F$17*$G$32*F$45</f>
        <v>0</v>
      </c>
      <c r="I61" s="8">
        <f>+$F$17*$G$32*G$45</f>
        <v>0</v>
      </c>
      <c r="J61" s="8"/>
      <c r="N61" s="45"/>
      <c r="Q61" s="11">
        <f t="shared" si="1"/>
        <v>0</v>
      </c>
    </row>
    <row r="62" spans="3:17" outlineLevel="1" x14ac:dyDescent="0.25">
      <c r="C62" s="7" t="s">
        <v>2</v>
      </c>
      <c r="F62" s="3"/>
      <c r="G62" s="8"/>
      <c r="H62" s="8">
        <f>+$F$17*$H$32*F$46</f>
        <v>0</v>
      </c>
      <c r="I62" s="8">
        <f>+$F$17*$H$32*G$46</f>
        <v>0</v>
      </c>
      <c r="K62" s="3"/>
      <c r="N62" s="45"/>
      <c r="Q62" s="11">
        <f t="shared" si="1"/>
        <v>0</v>
      </c>
    </row>
    <row r="63" spans="3:17" outlineLevel="1" x14ac:dyDescent="0.25">
      <c r="C63" s="7" t="s">
        <v>2</v>
      </c>
      <c r="D63" s="29"/>
      <c r="E63" s="29"/>
      <c r="F63" s="39"/>
      <c r="G63" s="40"/>
      <c r="H63" s="40"/>
      <c r="I63" s="40">
        <f>+$F$17*$I$32*$G$47</f>
        <v>0</v>
      </c>
      <c r="J63" s="29"/>
      <c r="K63" s="29"/>
      <c r="L63" s="39"/>
      <c r="M63" s="29"/>
      <c r="N63" s="46"/>
      <c r="O63" s="29"/>
      <c r="P63" s="29"/>
      <c r="Q63" s="47">
        <f t="shared" si="1"/>
        <v>0</v>
      </c>
    </row>
    <row r="64" spans="3:17" outlineLevel="1" x14ac:dyDescent="0.25">
      <c r="C64" s="2" t="s">
        <v>3</v>
      </c>
      <c r="G64" s="8">
        <f>+$G$18*$G$33*D$44</f>
        <v>0</v>
      </c>
      <c r="H64" s="8">
        <f>+$G$18*$G$33*E$44</f>
        <v>0</v>
      </c>
      <c r="I64" s="8">
        <f>+$G$18*$G$33*F$44</f>
        <v>0</v>
      </c>
      <c r="J64" s="8">
        <f>+$G$18*$G$33*G$44</f>
        <v>0</v>
      </c>
      <c r="M64" s="3"/>
      <c r="Q64" s="11">
        <f t="shared" si="1"/>
        <v>0</v>
      </c>
    </row>
    <row r="65" spans="3:17" outlineLevel="1" x14ac:dyDescent="0.25">
      <c r="C65" s="2" t="s">
        <v>3</v>
      </c>
      <c r="G65" s="3"/>
      <c r="H65" s="8">
        <f>+$G$18*$H$33*E$45</f>
        <v>0</v>
      </c>
      <c r="I65" s="8">
        <f>+$G$18*$H$33*F$45</f>
        <v>0</v>
      </c>
      <c r="J65" s="8">
        <f>+$G$18*$H$33*G$45</f>
        <v>0</v>
      </c>
      <c r="Q65" s="11">
        <f t="shared" si="1"/>
        <v>0</v>
      </c>
    </row>
    <row r="66" spans="3:17" outlineLevel="1" x14ac:dyDescent="0.25">
      <c r="C66" s="2" t="s">
        <v>3</v>
      </c>
      <c r="G66" s="3"/>
      <c r="H66" s="8"/>
      <c r="I66" s="8">
        <f>+$G$18*$I$33*F$46</f>
        <v>0</v>
      </c>
      <c r="J66" s="8">
        <f>+$G$18*$I$33*G$46</f>
        <v>0</v>
      </c>
      <c r="Q66" s="11">
        <f t="shared" si="1"/>
        <v>0</v>
      </c>
    </row>
    <row r="67" spans="3:17" outlineLevel="1" x14ac:dyDescent="0.25">
      <c r="C67" s="2" t="s">
        <v>3</v>
      </c>
      <c r="G67" s="3"/>
      <c r="H67" s="8"/>
      <c r="I67" s="8"/>
      <c r="J67" s="8">
        <f>+$G$18*$J$33*G$47</f>
        <v>0</v>
      </c>
      <c r="Q67" s="11">
        <f t="shared" si="1"/>
        <v>0</v>
      </c>
    </row>
    <row r="68" spans="3:17" outlineLevel="1" x14ac:dyDescent="0.25">
      <c r="C68" s="7" t="s">
        <v>4</v>
      </c>
      <c r="D68" s="28"/>
      <c r="E68" s="28"/>
      <c r="F68" s="28"/>
      <c r="G68" s="28"/>
      <c r="H68" s="37">
        <f>+$H$19*$H$34*D$44</f>
        <v>0</v>
      </c>
      <c r="I68" s="37">
        <f t="shared" ref="I68:K68" si="3">+$H$19*$H$34*E$44</f>
        <v>0</v>
      </c>
      <c r="J68" s="37">
        <f t="shared" si="3"/>
        <v>0</v>
      </c>
      <c r="K68" s="37">
        <f t="shared" si="3"/>
        <v>0</v>
      </c>
      <c r="L68" s="28"/>
      <c r="M68" s="28"/>
      <c r="N68" s="28"/>
      <c r="O68" s="28"/>
      <c r="P68" s="28"/>
      <c r="Q68" s="44">
        <f t="shared" si="1"/>
        <v>0</v>
      </c>
    </row>
    <row r="69" spans="3:17" outlineLevel="1" x14ac:dyDescent="0.25">
      <c r="C69" s="7" t="s">
        <v>4</v>
      </c>
      <c r="H69" s="3"/>
      <c r="I69" s="8">
        <f>+$H$19*$I$34*E$45</f>
        <v>0</v>
      </c>
      <c r="J69" s="8">
        <f t="shared" ref="J69:K69" si="4">+$H$19*$I$34*F$45</f>
        <v>0</v>
      </c>
      <c r="K69" s="8">
        <f t="shared" si="4"/>
        <v>0</v>
      </c>
      <c r="Q69" s="11">
        <f t="shared" si="1"/>
        <v>0</v>
      </c>
    </row>
    <row r="70" spans="3:17" outlineLevel="1" x14ac:dyDescent="0.25">
      <c r="C70" s="7" t="s">
        <v>4</v>
      </c>
      <c r="H70" s="3"/>
      <c r="I70" s="8"/>
      <c r="J70" s="8">
        <f>+$H$19*$J$34*F$46</f>
        <v>0</v>
      </c>
      <c r="K70" s="8">
        <f>+$H$19*$J$34*G$46</f>
        <v>0</v>
      </c>
      <c r="Q70" s="11">
        <f t="shared" si="1"/>
        <v>0</v>
      </c>
    </row>
    <row r="71" spans="3:17" outlineLevel="1" x14ac:dyDescent="0.25">
      <c r="C71" s="7" t="s">
        <v>4</v>
      </c>
      <c r="D71" s="29"/>
      <c r="E71" s="29"/>
      <c r="F71" s="29"/>
      <c r="G71" s="29"/>
      <c r="H71" s="39"/>
      <c r="I71" s="40"/>
      <c r="J71" s="40"/>
      <c r="K71" s="40">
        <f>+$H$19*$K$34*G$47</f>
        <v>0</v>
      </c>
      <c r="L71" s="29"/>
      <c r="M71" s="29"/>
      <c r="N71" s="29"/>
      <c r="O71" s="29"/>
      <c r="P71" s="29"/>
      <c r="Q71" s="47">
        <f t="shared" si="1"/>
        <v>0</v>
      </c>
    </row>
    <row r="72" spans="3:17" outlineLevel="1" x14ac:dyDescent="0.25">
      <c r="C72" s="2" t="s">
        <v>5</v>
      </c>
      <c r="I72" s="8">
        <f>+$I$20*$I$35*D$44</f>
        <v>0</v>
      </c>
      <c r="J72" s="8">
        <f t="shared" ref="J72:L72" si="5">+$I$20*$I$35*E$44</f>
        <v>0</v>
      </c>
      <c r="K72" s="8">
        <f t="shared" si="5"/>
        <v>0</v>
      </c>
      <c r="L72" s="8">
        <f t="shared" si="5"/>
        <v>0</v>
      </c>
      <c r="Q72" s="11">
        <f t="shared" si="1"/>
        <v>0</v>
      </c>
    </row>
    <row r="73" spans="3:17" outlineLevel="1" x14ac:dyDescent="0.25">
      <c r="C73" s="2" t="s">
        <v>5</v>
      </c>
      <c r="I73" s="3"/>
      <c r="J73" s="8">
        <f>+$I$20*$J$35*E$45</f>
        <v>0</v>
      </c>
      <c r="K73" s="8">
        <f t="shared" ref="K73:L73" si="6">+$I$20*$J$35*F$45</f>
        <v>0</v>
      </c>
      <c r="L73" s="8">
        <f t="shared" si="6"/>
        <v>0</v>
      </c>
      <c r="Q73" s="11">
        <f t="shared" si="1"/>
        <v>0</v>
      </c>
    </row>
    <row r="74" spans="3:17" outlineLevel="1" x14ac:dyDescent="0.25">
      <c r="C74" s="2" t="s">
        <v>5</v>
      </c>
      <c r="I74" s="3"/>
      <c r="J74" s="8"/>
      <c r="K74" s="8">
        <f>+$I$20*$K$35*F$46</f>
        <v>0</v>
      </c>
      <c r="L74" s="8">
        <f>+$I$20*$K$35*G$46</f>
        <v>0</v>
      </c>
      <c r="Q74" s="11">
        <f t="shared" si="1"/>
        <v>0</v>
      </c>
    </row>
    <row r="75" spans="3:17" outlineLevel="1" x14ac:dyDescent="0.25">
      <c r="C75" s="2" t="s">
        <v>5</v>
      </c>
      <c r="I75" s="3"/>
      <c r="J75" s="8"/>
      <c r="K75" s="8"/>
      <c r="L75" s="8">
        <f>+$I$20*$L$35*G$47</f>
        <v>0</v>
      </c>
      <c r="Q75" s="11">
        <f t="shared" si="1"/>
        <v>0</v>
      </c>
    </row>
    <row r="76" spans="3:17" outlineLevel="1" x14ac:dyDescent="0.25">
      <c r="C76" s="7" t="s">
        <v>6</v>
      </c>
      <c r="D76" s="28"/>
      <c r="E76" s="28"/>
      <c r="F76" s="28"/>
      <c r="G76" s="28"/>
      <c r="H76" s="28"/>
      <c r="I76" s="28"/>
      <c r="J76" s="37">
        <f>+$J$21*$J$36*D$44</f>
        <v>0</v>
      </c>
      <c r="K76" s="37">
        <f t="shared" ref="K76:M76" si="7">+$J$21*$J$36*E$44</f>
        <v>0</v>
      </c>
      <c r="L76" s="37">
        <f t="shared" si="7"/>
        <v>0</v>
      </c>
      <c r="M76" s="37">
        <f t="shared" si="7"/>
        <v>0</v>
      </c>
      <c r="N76" s="28"/>
      <c r="O76" s="28"/>
      <c r="P76" s="28"/>
      <c r="Q76" s="44">
        <f t="shared" si="1"/>
        <v>0</v>
      </c>
    </row>
    <row r="77" spans="3:17" outlineLevel="1" x14ac:dyDescent="0.25">
      <c r="C77" s="7" t="s">
        <v>6</v>
      </c>
      <c r="J77" s="3"/>
      <c r="K77" s="8">
        <f>+$J$21*$K$36*E$45</f>
        <v>0</v>
      </c>
      <c r="L77" s="8">
        <f t="shared" ref="L77:M77" si="8">+$J$21*$K$36*F$45</f>
        <v>0</v>
      </c>
      <c r="M77" s="8">
        <f t="shared" si="8"/>
        <v>0</v>
      </c>
      <c r="Q77" s="11">
        <f t="shared" si="1"/>
        <v>0</v>
      </c>
    </row>
    <row r="78" spans="3:17" outlineLevel="1" x14ac:dyDescent="0.25">
      <c r="C78" s="7" t="s">
        <v>6</v>
      </c>
      <c r="J78" s="3"/>
      <c r="K78" s="8"/>
      <c r="L78" s="8">
        <f>+$J$21*$L$36*F$46</f>
        <v>0</v>
      </c>
      <c r="M78" s="8">
        <f>+$J$21*$L$36*G$46</f>
        <v>0</v>
      </c>
      <c r="Q78" s="11">
        <f t="shared" si="1"/>
        <v>0</v>
      </c>
    </row>
    <row r="79" spans="3:17" outlineLevel="1" x14ac:dyDescent="0.25">
      <c r="C79" s="7" t="s">
        <v>6</v>
      </c>
      <c r="D79" s="29"/>
      <c r="E79" s="29"/>
      <c r="F79" s="29"/>
      <c r="G79" s="29"/>
      <c r="H79" s="29"/>
      <c r="I79" s="29"/>
      <c r="J79" s="39"/>
      <c r="K79" s="40"/>
      <c r="L79" s="40"/>
      <c r="M79" s="40">
        <f>+$J$21*$M$36*G$47</f>
        <v>0</v>
      </c>
      <c r="N79" s="29"/>
      <c r="O79" s="29"/>
      <c r="P79" s="29"/>
      <c r="Q79" s="47">
        <f t="shared" si="1"/>
        <v>0</v>
      </c>
    </row>
    <row r="80" spans="3:17" outlineLevel="1" x14ac:dyDescent="0.25">
      <c r="C80" s="2" t="s">
        <v>7</v>
      </c>
      <c r="K80" s="8">
        <f>+$K$22*$K$37*D$44</f>
        <v>0</v>
      </c>
      <c r="L80" s="8">
        <f t="shared" ref="L80:N80" si="9">+$K$22*$K$37*E$44</f>
        <v>0</v>
      </c>
      <c r="M80" s="8">
        <f t="shared" si="9"/>
        <v>0</v>
      </c>
      <c r="N80" s="8">
        <f t="shared" si="9"/>
        <v>0</v>
      </c>
      <c r="Q80" s="11">
        <f t="shared" si="1"/>
        <v>0</v>
      </c>
    </row>
    <row r="81" spans="3:17" outlineLevel="1" x14ac:dyDescent="0.25">
      <c r="C81" s="2" t="s">
        <v>7</v>
      </c>
      <c r="K81" s="3"/>
      <c r="L81" s="8">
        <f>+$K$22*$L$37*E$45</f>
        <v>0</v>
      </c>
      <c r="M81" s="8">
        <f t="shared" ref="M81:N81" si="10">+$K$22*$L$37*F$45</f>
        <v>0</v>
      </c>
      <c r="N81" s="8">
        <f t="shared" si="10"/>
        <v>0</v>
      </c>
      <c r="Q81" s="11">
        <f t="shared" si="1"/>
        <v>0</v>
      </c>
    </row>
    <row r="82" spans="3:17" outlineLevel="1" x14ac:dyDescent="0.25">
      <c r="C82" s="2" t="s">
        <v>7</v>
      </c>
      <c r="K82" s="3"/>
      <c r="L82" s="8"/>
      <c r="M82" s="8">
        <f>+$K$22*$M$37*F$46</f>
        <v>0</v>
      </c>
      <c r="N82" s="8">
        <f>+$K$22*$M$37*G$46</f>
        <v>0</v>
      </c>
      <c r="Q82" s="11">
        <f t="shared" si="1"/>
        <v>0</v>
      </c>
    </row>
    <row r="83" spans="3:17" outlineLevel="1" x14ac:dyDescent="0.25">
      <c r="C83" s="2" t="s">
        <v>7</v>
      </c>
      <c r="K83" s="3"/>
      <c r="L83" s="8"/>
      <c r="M83" s="8"/>
      <c r="N83" s="8">
        <f>+$K$22*$N$37*G$47</f>
        <v>0</v>
      </c>
      <c r="Q83" s="11">
        <f t="shared" si="1"/>
        <v>0</v>
      </c>
    </row>
    <row r="84" spans="3:17" outlineLevel="1" x14ac:dyDescent="0.25">
      <c r="C84" s="7" t="s">
        <v>8</v>
      </c>
      <c r="D84" s="28"/>
      <c r="E84" s="28"/>
      <c r="F84" s="28"/>
      <c r="G84" s="28"/>
      <c r="H84" s="28"/>
      <c r="I84" s="28"/>
      <c r="J84" s="28"/>
      <c r="K84" s="28"/>
      <c r="L84" s="37">
        <f>+$L$23*$L$38*D$44</f>
        <v>0</v>
      </c>
      <c r="M84" s="37">
        <f t="shared" ref="M84:O84" si="11">+$L$23*$L$38*E$44</f>
        <v>0</v>
      </c>
      <c r="N84" s="37">
        <f t="shared" si="11"/>
        <v>0</v>
      </c>
      <c r="O84" s="37">
        <f t="shared" si="11"/>
        <v>0</v>
      </c>
      <c r="P84" s="28"/>
      <c r="Q84" s="44">
        <f t="shared" si="1"/>
        <v>0</v>
      </c>
    </row>
    <row r="85" spans="3:17" outlineLevel="1" x14ac:dyDescent="0.25">
      <c r="C85" s="7" t="s">
        <v>8</v>
      </c>
      <c r="L85" s="3"/>
      <c r="M85" s="8">
        <f>+$L$23*$M$38*E$45</f>
        <v>0</v>
      </c>
      <c r="N85" s="8">
        <f t="shared" ref="N85:O85" si="12">+$L$23*$M$38*F$45</f>
        <v>0</v>
      </c>
      <c r="O85" s="8">
        <f t="shared" si="12"/>
        <v>0</v>
      </c>
      <c r="Q85" s="11">
        <f t="shared" si="1"/>
        <v>0</v>
      </c>
    </row>
    <row r="86" spans="3:17" outlineLevel="1" x14ac:dyDescent="0.25">
      <c r="C86" s="7" t="s">
        <v>8</v>
      </c>
      <c r="L86" s="3"/>
      <c r="M86" s="8"/>
      <c r="N86" s="8">
        <f>+$L$23*$N$38*F$46</f>
        <v>0</v>
      </c>
      <c r="O86" s="8">
        <f>+$L$23*$N$38*G$46</f>
        <v>0</v>
      </c>
      <c r="Q86" s="11">
        <f t="shared" si="1"/>
        <v>0</v>
      </c>
    </row>
    <row r="87" spans="3:17" outlineLevel="1" x14ac:dyDescent="0.25">
      <c r="C87" s="7" t="s">
        <v>8</v>
      </c>
      <c r="D87" s="29"/>
      <c r="E87" s="29"/>
      <c r="F87" s="29"/>
      <c r="G87" s="29"/>
      <c r="H87" s="29"/>
      <c r="I87" s="29"/>
      <c r="J87" s="29"/>
      <c r="K87" s="29"/>
      <c r="L87" s="39"/>
      <c r="M87" s="40"/>
      <c r="N87" s="40"/>
      <c r="O87" s="40">
        <f>+$L$23*$O$38*G$47</f>
        <v>0</v>
      </c>
      <c r="P87" s="29"/>
      <c r="Q87" s="47">
        <f t="shared" si="1"/>
        <v>0</v>
      </c>
    </row>
    <row r="88" spans="3:17" outlineLevel="1" x14ac:dyDescent="0.25">
      <c r="C88" s="2" t="s">
        <v>9</v>
      </c>
      <c r="D88" s="28"/>
      <c r="E88" s="28"/>
      <c r="F88" s="28"/>
      <c r="G88" s="28"/>
      <c r="H88" s="28"/>
      <c r="I88" s="28"/>
      <c r="J88" s="28"/>
      <c r="K88" s="28"/>
      <c r="L88" s="28"/>
      <c r="M88" s="37">
        <f>+$M$24*$M$39*D$44</f>
        <v>0</v>
      </c>
      <c r="N88" s="37">
        <f t="shared" ref="N88:P88" si="13">+$M$24*$M$39*E$44</f>
        <v>0</v>
      </c>
      <c r="O88" s="37">
        <f t="shared" si="13"/>
        <v>0</v>
      </c>
      <c r="P88" s="37">
        <f t="shared" si="13"/>
        <v>0</v>
      </c>
      <c r="Q88" s="44">
        <f t="shared" si="1"/>
        <v>0</v>
      </c>
    </row>
    <row r="89" spans="3:17" outlineLevel="1" x14ac:dyDescent="0.25">
      <c r="C89" s="2" t="s">
        <v>9</v>
      </c>
      <c r="M89" s="3"/>
      <c r="N89" s="8">
        <f>+$M$24*$N$39*E$45</f>
        <v>0</v>
      </c>
      <c r="O89" s="8">
        <f t="shared" ref="O89:P89" si="14">+$M$24*$N$39*F$45</f>
        <v>0</v>
      </c>
      <c r="P89" s="8">
        <f t="shared" si="14"/>
        <v>0</v>
      </c>
      <c r="Q89" s="11">
        <f t="shared" si="1"/>
        <v>0</v>
      </c>
    </row>
    <row r="90" spans="3:17" outlineLevel="1" x14ac:dyDescent="0.25">
      <c r="C90" s="2" t="s">
        <v>9</v>
      </c>
      <c r="M90" s="3"/>
      <c r="N90" s="8"/>
      <c r="O90" s="8">
        <f>+$M$24*$O$39*F$46</f>
        <v>0</v>
      </c>
      <c r="P90" s="8">
        <f>+$M$24*$O$39*G$46</f>
        <v>0</v>
      </c>
      <c r="Q90" s="11">
        <f t="shared" si="1"/>
        <v>0</v>
      </c>
    </row>
    <row r="91" spans="3:17" outlineLevel="1" x14ac:dyDescent="0.25">
      <c r="C91" s="2" t="s">
        <v>9</v>
      </c>
      <c r="D91" s="29"/>
      <c r="E91" s="29"/>
      <c r="F91" s="29"/>
      <c r="G91" s="29"/>
      <c r="H91" s="29"/>
      <c r="I91" s="29"/>
      <c r="J91" s="29"/>
      <c r="K91" s="29"/>
      <c r="L91" s="29"/>
      <c r="M91" s="39"/>
      <c r="N91" s="40"/>
      <c r="O91" s="40"/>
      <c r="P91" s="40">
        <f>+$M$24*$P$39*G$47</f>
        <v>0</v>
      </c>
      <c r="Q91" s="47">
        <f t="shared" si="1"/>
        <v>0</v>
      </c>
    </row>
    <row r="92" spans="3:17" x14ac:dyDescent="0.25">
      <c r="D92" s="69">
        <f>SUM(D52:D91)</f>
        <v>0</v>
      </c>
      <c r="E92" s="69">
        <f t="shared" ref="E92:M92" si="15">SUM(E52:E91)</f>
        <v>11.46</v>
      </c>
      <c r="F92" s="69">
        <f t="shared" si="15"/>
        <v>22.92</v>
      </c>
      <c r="G92" s="69">
        <f t="shared" si="15"/>
        <v>22.92</v>
      </c>
      <c r="H92" s="69">
        <f t="shared" si="15"/>
        <v>85.95</v>
      </c>
      <c r="I92" s="69">
        <f t="shared" si="15"/>
        <v>0</v>
      </c>
      <c r="J92" s="69">
        <f t="shared" si="15"/>
        <v>0</v>
      </c>
      <c r="K92" s="69">
        <f t="shared" si="15"/>
        <v>0</v>
      </c>
      <c r="L92" s="69">
        <f t="shared" si="15"/>
        <v>0</v>
      </c>
      <c r="M92" s="69">
        <f t="shared" si="15"/>
        <v>0</v>
      </c>
      <c r="N92" s="8"/>
      <c r="O92" s="8"/>
      <c r="P92" s="8"/>
      <c r="Q92" s="11"/>
    </row>
    <row r="94" spans="3:17" x14ac:dyDescent="0.25">
      <c r="C94" s="4" t="s">
        <v>25</v>
      </c>
      <c r="F94" s="142">
        <v>0.3</v>
      </c>
    </row>
    <row r="95" spans="3:17" ht="5.25" customHeight="1" x14ac:dyDescent="0.25">
      <c r="C95" s="4"/>
    </row>
    <row r="96" spans="3:17" ht="17.25" customHeight="1" x14ac:dyDescent="0.25">
      <c r="C96" s="4" t="s">
        <v>24</v>
      </c>
      <c r="F96" s="142">
        <v>0.2</v>
      </c>
    </row>
    <row r="97" spans="3:13" ht="5.25" customHeight="1" x14ac:dyDescent="0.25">
      <c r="C97" s="4"/>
    </row>
    <row r="98" spans="3:13" ht="15" customHeight="1" x14ac:dyDescent="0.25">
      <c r="C98" s="4" t="s">
        <v>26</v>
      </c>
      <c r="F98">
        <v>1</v>
      </c>
      <c r="G98" s="4" t="s">
        <v>27</v>
      </c>
    </row>
    <row r="99" spans="3:13" ht="4.5" customHeight="1" x14ac:dyDescent="0.25">
      <c r="C99" s="4"/>
      <c r="G99" s="4"/>
    </row>
    <row r="100" spans="3:13" x14ac:dyDescent="0.25">
      <c r="D100" s="2" t="s">
        <v>0</v>
      </c>
      <c r="E100" s="2" t="s">
        <v>1</v>
      </c>
      <c r="F100" s="2" t="s">
        <v>2</v>
      </c>
      <c r="G100" s="2" t="s">
        <v>3</v>
      </c>
      <c r="H100" s="2" t="s">
        <v>4</v>
      </c>
      <c r="I100" s="2" t="s">
        <v>5</v>
      </c>
      <c r="J100" s="2" t="s">
        <v>6</v>
      </c>
      <c r="K100" s="2" t="s">
        <v>7</v>
      </c>
      <c r="L100" s="2" t="s">
        <v>8</v>
      </c>
      <c r="M100" s="2" t="s">
        <v>9</v>
      </c>
    </row>
    <row r="101" spans="3:13" x14ac:dyDescent="0.25">
      <c r="C101" s="48" t="s">
        <v>28</v>
      </c>
      <c r="D101" s="70">
        <f>-$F$94*$F$96*D104</f>
        <v>0</v>
      </c>
      <c r="E101" s="70">
        <f t="shared" ref="E101:M101" si="16">-$F$94*$F$96*E104</f>
        <v>-0.68759999999999999</v>
      </c>
      <c r="F101" s="70">
        <f t="shared" si="16"/>
        <v>-1.3752</v>
      </c>
      <c r="G101" s="70">
        <f t="shared" si="16"/>
        <v>-1.3752</v>
      </c>
      <c r="H101" s="28">
        <f t="shared" si="16"/>
        <v>-5.157</v>
      </c>
      <c r="I101" s="28">
        <f t="shared" si="16"/>
        <v>0</v>
      </c>
      <c r="J101" s="28">
        <f t="shared" si="16"/>
        <v>0</v>
      </c>
      <c r="K101" s="28">
        <f t="shared" si="16"/>
        <v>0</v>
      </c>
      <c r="L101" s="28">
        <f t="shared" si="16"/>
        <v>0</v>
      </c>
      <c r="M101" s="28">
        <f t="shared" si="16"/>
        <v>0</v>
      </c>
    </row>
    <row r="102" spans="3:13" x14ac:dyDescent="0.25">
      <c r="C102" s="49" t="s">
        <v>29</v>
      </c>
      <c r="D102" s="29">
        <f>-$F$94*$F$96*D25</f>
        <v>0</v>
      </c>
      <c r="E102" s="29">
        <f t="shared" ref="E102:M102" si="17">-$F$94*$F$96*E25</f>
        <v>-8.5949999999999989</v>
      </c>
      <c r="F102" s="29">
        <f t="shared" si="17"/>
        <v>0</v>
      </c>
      <c r="G102" s="29">
        <f t="shared" si="17"/>
        <v>0</v>
      </c>
      <c r="H102" s="29">
        <f t="shared" si="17"/>
        <v>0</v>
      </c>
      <c r="I102" s="29">
        <f t="shared" si="17"/>
        <v>0</v>
      </c>
      <c r="J102" s="29">
        <f t="shared" si="17"/>
        <v>0</v>
      </c>
      <c r="K102" s="29">
        <f t="shared" si="17"/>
        <v>0</v>
      </c>
      <c r="L102" s="29">
        <f t="shared" si="17"/>
        <v>0</v>
      </c>
      <c r="M102" s="29">
        <f t="shared" si="17"/>
        <v>0</v>
      </c>
    </row>
    <row r="104" spans="3:13" x14ac:dyDescent="0.25">
      <c r="C104" s="50" t="s">
        <v>16</v>
      </c>
      <c r="D104" s="51">
        <f>+D92</f>
        <v>0</v>
      </c>
      <c r="E104" s="51">
        <f t="shared" ref="E104:M104" si="18">+E92</f>
        <v>11.46</v>
      </c>
      <c r="F104" s="51">
        <f t="shared" si="18"/>
        <v>22.92</v>
      </c>
      <c r="G104" s="51">
        <f t="shared" si="18"/>
        <v>22.92</v>
      </c>
      <c r="H104" s="51">
        <f t="shared" si="18"/>
        <v>85.95</v>
      </c>
      <c r="I104" s="51">
        <f t="shared" si="18"/>
        <v>0</v>
      </c>
      <c r="J104" s="51">
        <f t="shared" si="18"/>
        <v>0</v>
      </c>
      <c r="K104" s="51">
        <f t="shared" si="18"/>
        <v>0</v>
      </c>
      <c r="L104" s="51">
        <f t="shared" si="18"/>
        <v>0</v>
      </c>
      <c r="M104" s="51">
        <f t="shared" si="18"/>
        <v>0</v>
      </c>
    </row>
    <row r="105" spans="3:13" x14ac:dyDescent="0.25">
      <c r="C105" s="71" t="s">
        <v>17</v>
      </c>
      <c r="D105" s="72"/>
      <c r="E105" s="73">
        <f t="shared" ref="E105:M105" si="19">IFERROR(E104/D104-1,0)</f>
        <v>0</v>
      </c>
      <c r="F105" s="73">
        <f t="shared" si="19"/>
        <v>1</v>
      </c>
      <c r="G105" s="73">
        <f t="shared" si="19"/>
        <v>0</v>
      </c>
      <c r="H105" s="73">
        <f t="shared" si="19"/>
        <v>2.75</v>
      </c>
      <c r="I105" s="73">
        <f t="shared" si="19"/>
        <v>-1</v>
      </c>
      <c r="J105" s="73">
        <f t="shared" si="19"/>
        <v>0</v>
      </c>
      <c r="K105" s="73">
        <f t="shared" si="19"/>
        <v>0</v>
      </c>
      <c r="L105" s="73">
        <f t="shared" si="19"/>
        <v>0</v>
      </c>
      <c r="M105" s="73">
        <f t="shared" si="19"/>
        <v>0</v>
      </c>
    </row>
    <row r="106" spans="3:13" x14ac:dyDescent="0.25">
      <c r="C106" s="13" t="s">
        <v>18</v>
      </c>
      <c r="D106" s="1">
        <f>-D107*D104</f>
        <v>0</v>
      </c>
      <c r="E106" s="1">
        <f t="shared" ref="E106:M106" si="20">-E107*E104</f>
        <v>-0.45840000000000003</v>
      </c>
      <c r="F106" s="1">
        <f t="shared" si="20"/>
        <v>-0.91680000000000006</v>
      </c>
      <c r="G106" s="1">
        <f t="shared" si="20"/>
        <v>-0.91680000000000006</v>
      </c>
      <c r="H106" s="1">
        <f t="shared" si="20"/>
        <v>-3.4380000000000002</v>
      </c>
      <c r="I106" s="1">
        <f t="shared" si="20"/>
        <v>0</v>
      </c>
      <c r="J106" s="1">
        <f t="shared" si="20"/>
        <v>0</v>
      </c>
      <c r="K106" s="1">
        <f t="shared" si="20"/>
        <v>0</v>
      </c>
      <c r="L106" s="1">
        <f t="shared" si="20"/>
        <v>0</v>
      </c>
      <c r="M106" s="1">
        <f t="shared" si="20"/>
        <v>0</v>
      </c>
    </row>
    <row r="107" spans="3:13" x14ac:dyDescent="0.25">
      <c r="C107" s="15" t="s">
        <v>19</v>
      </c>
      <c r="D107" s="143">
        <v>0.04</v>
      </c>
      <c r="E107" s="75">
        <f>+D107</f>
        <v>0.04</v>
      </c>
      <c r="F107" s="75">
        <f t="shared" ref="F107:M107" si="21">+E107</f>
        <v>0.04</v>
      </c>
      <c r="G107" s="75">
        <f t="shared" si="21"/>
        <v>0.04</v>
      </c>
      <c r="H107" s="75">
        <f t="shared" si="21"/>
        <v>0.04</v>
      </c>
      <c r="I107" s="75">
        <f t="shared" si="21"/>
        <v>0.04</v>
      </c>
      <c r="J107" s="75">
        <f t="shared" si="21"/>
        <v>0.04</v>
      </c>
      <c r="K107" s="75">
        <f t="shared" si="21"/>
        <v>0.04</v>
      </c>
      <c r="L107" s="75">
        <f t="shared" si="21"/>
        <v>0.04</v>
      </c>
      <c r="M107" s="75">
        <f t="shared" si="21"/>
        <v>0.04</v>
      </c>
    </row>
    <row r="108" spans="3:13" ht="6.75" customHeight="1" x14ac:dyDescent="0.25">
      <c r="C108" s="13"/>
    </row>
    <row r="109" spans="3:13" x14ac:dyDescent="0.25">
      <c r="C109" s="50" t="s">
        <v>20</v>
      </c>
      <c r="D109" s="51">
        <f>+D104+D106</f>
        <v>0</v>
      </c>
      <c r="E109" s="51">
        <f t="shared" ref="E109:M109" si="22">+E104+E106</f>
        <v>11.001600000000002</v>
      </c>
      <c r="F109" s="51">
        <f t="shared" si="22"/>
        <v>22.003200000000003</v>
      </c>
      <c r="G109" s="51">
        <f t="shared" si="22"/>
        <v>22.003200000000003</v>
      </c>
      <c r="H109" s="51">
        <f t="shared" si="22"/>
        <v>82.512</v>
      </c>
      <c r="I109" s="51">
        <f t="shared" si="22"/>
        <v>0</v>
      </c>
      <c r="J109" s="51">
        <f t="shared" si="22"/>
        <v>0</v>
      </c>
      <c r="K109" s="51">
        <f t="shared" si="22"/>
        <v>0</v>
      </c>
      <c r="L109" s="51">
        <f t="shared" si="22"/>
        <v>0</v>
      </c>
      <c r="M109" s="51">
        <f t="shared" si="22"/>
        <v>0</v>
      </c>
    </row>
    <row r="110" spans="3:13" x14ac:dyDescent="0.25">
      <c r="C110" s="13"/>
    </row>
    <row r="111" spans="3:13" x14ac:dyDescent="0.25">
      <c r="C111" s="50" t="s">
        <v>21</v>
      </c>
      <c r="D111" s="51">
        <f>D112+D113</f>
        <v>0</v>
      </c>
      <c r="E111" s="51">
        <f t="shared" ref="E111:M111" si="23">E112+E113</f>
        <v>-9.2825999999999986</v>
      </c>
      <c r="F111" s="51">
        <f t="shared" si="23"/>
        <v>-22.8627</v>
      </c>
      <c r="G111" s="51">
        <f t="shared" si="23"/>
        <v>-51.512699999999995</v>
      </c>
      <c r="H111" s="51">
        <f t="shared" si="23"/>
        <v>-5.157</v>
      </c>
      <c r="I111" s="51">
        <f t="shared" si="23"/>
        <v>0</v>
      </c>
      <c r="J111" s="51">
        <f t="shared" si="23"/>
        <v>0</v>
      </c>
      <c r="K111" s="51">
        <f t="shared" si="23"/>
        <v>0</v>
      </c>
      <c r="L111" s="51">
        <f t="shared" si="23"/>
        <v>0</v>
      </c>
      <c r="M111" s="51">
        <f t="shared" si="23"/>
        <v>0</v>
      </c>
    </row>
    <row r="112" spans="3:13" x14ac:dyDescent="0.25">
      <c r="C112" s="16" t="s">
        <v>22</v>
      </c>
      <c r="D112" s="55">
        <f>+D101+D102</f>
        <v>0</v>
      </c>
      <c r="E112" s="55">
        <f t="shared" ref="E112:M112" si="24">+E101+E102</f>
        <v>-9.2825999999999986</v>
      </c>
      <c r="F112" s="55">
        <f t="shared" si="24"/>
        <v>-1.3752</v>
      </c>
      <c r="G112" s="55">
        <f t="shared" si="24"/>
        <v>-1.3752</v>
      </c>
      <c r="H112" s="55">
        <f t="shared" si="24"/>
        <v>-5.157</v>
      </c>
      <c r="I112" s="55">
        <f t="shared" si="24"/>
        <v>0</v>
      </c>
      <c r="J112" s="55">
        <f t="shared" si="24"/>
        <v>0</v>
      </c>
      <c r="K112" s="55">
        <f t="shared" si="24"/>
        <v>0</v>
      </c>
      <c r="L112" s="55">
        <f t="shared" si="24"/>
        <v>0</v>
      </c>
      <c r="M112" s="55">
        <f t="shared" si="24"/>
        <v>0</v>
      </c>
    </row>
    <row r="113" spans="3:13" x14ac:dyDescent="0.25">
      <c r="C113" s="52" t="s">
        <v>23</v>
      </c>
      <c r="D113" s="53">
        <f>+D134</f>
        <v>0</v>
      </c>
      <c r="E113" s="53">
        <f t="shared" ref="E113:M113" si="25">+E134</f>
        <v>0</v>
      </c>
      <c r="F113" s="53">
        <f t="shared" si="25"/>
        <v>-21.487500000000001</v>
      </c>
      <c r="G113" s="53">
        <f t="shared" si="25"/>
        <v>-50.137499999999996</v>
      </c>
      <c r="H113" s="53">
        <f t="shared" si="25"/>
        <v>0</v>
      </c>
      <c r="I113" s="53">
        <f t="shared" si="25"/>
        <v>0</v>
      </c>
      <c r="J113" s="53">
        <f t="shared" si="25"/>
        <v>0</v>
      </c>
      <c r="K113" s="53">
        <f t="shared" si="25"/>
        <v>0</v>
      </c>
      <c r="L113" s="53">
        <f t="shared" si="25"/>
        <v>0</v>
      </c>
      <c r="M113" s="53">
        <f t="shared" si="25"/>
        <v>0</v>
      </c>
    </row>
    <row r="114" spans="3:13" x14ac:dyDescent="0.25">
      <c r="C114" s="16"/>
    </row>
    <row r="115" spans="3:13" x14ac:dyDescent="0.25">
      <c r="C115" s="16"/>
      <c r="D115" s="144">
        <v>0.5</v>
      </c>
      <c r="E115" s="56" t="s">
        <v>33</v>
      </c>
    </row>
    <row r="116" spans="3:13" ht="5.25" customHeight="1" x14ac:dyDescent="0.25">
      <c r="C116" s="16"/>
    </row>
    <row r="117" spans="3:13" x14ac:dyDescent="0.25">
      <c r="C117" s="16"/>
      <c r="D117" s="5" t="s">
        <v>30</v>
      </c>
      <c r="E117" s="12" t="s">
        <v>31</v>
      </c>
    </row>
    <row r="118" spans="3:13" x14ac:dyDescent="0.25">
      <c r="D118" s="145">
        <v>0.3</v>
      </c>
      <c r="E118" s="145">
        <v>0.7</v>
      </c>
      <c r="F118" s="4" t="s">
        <v>32</v>
      </c>
    </row>
    <row r="119" spans="3:13" ht="4.5" customHeight="1" x14ac:dyDescent="0.25">
      <c r="D119" s="17"/>
      <c r="E119" s="17"/>
    </row>
    <row r="120" spans="3:13" ht="15" customHeight="1" x14ac:dyDescent="0.25">
      <c r="C120" s="4" t="s">
        <v>49</v>
      </c>
      <c r="D120" s="17"/>
      <c r="E120" s="17"/>
    </row>
    <row r="121" spans="3:13" ht="4.5" customHeight="1" x14ac:dyDescent="0.25">
      <c r="D121" s="17"/>
      <c r="E121" s="17"/>
    </row>
    <row r="122" spans="3:13" x14ac:dyDescent="0.25">
      <c r="D122" s="2" t="s">
        <v>0</v>
      </c>
      <c r="E122" s="2" t="s">
        <v>1</v>
      </c>
      <c r="F122" s="2" t="s">
        <v>2</v>
      </c>
      <c r="G122" s="2" t="s">
        <v>3</v>
      </c>
      <c r="H122" s="2" t="s">
        <v>4</v>
      </c>
      <c r="I122" s="2" t="s">
        <v>5</v>
      </c>
      <c r="J122" s="2" t="s">
        <v>6</v>
      </c>
      <c r="K122" s="2" t="s">
        <v>7</v>
      </c>
      <c r="L122" s="2" t="s">
        <v>8</v>
      </c>
      <c r="M122" s="2" t="s">
        <v>9</v>
      </c>
    </row>
    <row r="123" spans="3:13" outlineLevel="1" x14ac:dyDescent="0.25">
      <c r="C123" s="2" t="s">
        <v>0</v>
      </c>
      <c r="D123" s="61"/>
      <c r="E123" s="57">
        <f>-D15*$D$115*$D$118</f>
        <v>0</v>
      </c>
      <c r="F123" s="57">
        <f>-D15*$D$115*$E$118</f>
        <v>0</v>
      </c>
      <c r="G123" s="28"/>
      <c r="H123" s="28"/>
      <c r="I123" s="28"/>
      <c r="J123" s="28"/>
      <c r="K123" s="28"/>
      <c r="L123" s="28"/>
      <c r="M123" s="28"/>
    </row>
    <row r="124" spans="3:13" outlineLevel="1" x14ac:dyDescent="0.25">
      <c r="C124" s="2" t="s">
        <v>1</v>
      </c>
      <c r="E124" s="61"/>
      <c r="F124" s="21">
        <f>-E16*$D$115*$D$118</f>
        <v>-21.487500000000001</v>
      </c>
      <c r="G124" s="21">
        <f>-E16*$D$115*$E$118</f>
        <v>-50.137499999999996</v>
      </c>
    </row>
    <row r="125" spans="3:13" outlineLevel="1" x14ac:dyDescent="0.25">
      <c r="C125" s="2" t="s">
        <v>2</v>
      </c>
      <c r="F125" s="61"/>
      <c r="G125" s="21">
        <f>-F17*$D$115*$D$118</f>
        <v>0</v>
      </c>
      <c r="H125" s="21">
        <f>-F17*$D$115*$E$118</f>
        <v>0</v>
      </c>
    </row>
    <row r="126" spans="3:13" outlineLevel="1" x14ac:dyDescent="0.25">
      <c r="C126" s="2" t="s">
        <v>3</v>
      </c>
      <c r="G126" s="61"/>
      <c r="H126" s="21">
        <f>-G18*$D$115*$D$118</f>
        <v>0</v>
      </c>
      <c r="I126" s="21">
        <f>-G18*$D$115*$E$118</f>
        <v>0</v>
      </c>
    </row>
    <row r="127" spans="3:13" outlineLevel="1" x14ac:dyDescent="0.25">
      <c r="C127" s="2" t="s">
        <v>4</v>
      </c>
      <c r="H127" s="61"/>
      <c r="I127" s="21">
        <f>-H19*$D$115*$D$118</f>
        <v>0</v>
      </c>
      <c r="J127" s="21">
        <f>-H19*$D$115*$E$118</f>
        <v>0</v>
      </c>
    </row>
    <row r="128" spans="3:13" outlineLevel="1" x14ac:dyDescent="0.25">
      <c r="C128" s="2" t="s">
        <v>5</v>
      </c>
      <c r="I128" s="61"/>
      <c r="J128" s="21">
        <f>-I20*$D$115*$D$118</f>
        <v>0</v>
      </c>
      <c r="K128" s="21">
        <f>-I20*$D$115*$E$118</f>
        <v>0</v>
      </c>
    </row>
    <row r="129" spans="3:14" outlineLevel="1" x14ac:dyDescent="0.25">
      <c r="C129" s="2" t="s">
        <v>6</v>
      </c>
      <c r="J129" s="61"/>
      <c r="K129" s="21">
        <f>-J21*$D$115*$D$118</f>
        <v>0</v>
      </c>
      <c r="L129" s="21">
        <f>-J21*$D$115*$E$118</f>
        <v>0</v>
      </c>
    </row>
    <row r="130" spans="3:14" outlineLevel="1" x14ac:dyDescent="0.25">
      <c r="C130" s="2" t="s">
        <v>7</v>
      </c>
      <c r="K130" s="61"/>
      <c r="L130" s="21">
        <f>-K22*$D$115*$D$118</f>
        <v>0</v>
      </c>
      <c r="M130" s="21">
        <f>-K22*$D$115*$E$118</f>
        <v>0</v>
      </c>
    </row>
    <row r="131" spans="3:14" outlineLevel="1" x14ac:dyDescent="0.25">
      <c r="C131" s="2" t="s">
        <v>8</v>
      </c>
      <c r="L131" s="61"/>
      <c r="M131" s="21">
        <f>-L23*$D$115*$D$118</f>
        <v>0</v>
      </c>
      <c r="N131" s="21"/>
    </row>
    <row r="132" spans="3:14" outlineLevel="1" x14ac:dyDescent="0.25">
      <c r="C132" s="2" t="s">
        <v>9</v>
      </c>
      <c r="D132" s="29"/>
      <c r="E132" s="29"/>
      <c r="F132" s="29"/>
      <c r="G132" s="29"/>
      <c r="H132" s="29"/>
      <c r="I132" s="29"/>
      <c r="J132" s="29"/>
      <c r="K132" s="29"/>
      <c r="L132" s="29"/>
      <c r="M132" s="128"/>
    </row>
    <row r="133" spans="3:14" outlineLevel="1" x14ac:dyDescent="0.25"/>
    <row r="134" spans="3:14" x14ac:dyDescent="0.25">
      <c r="C134" s="2" t="s">
        <v>34</v>
      </c>
      <c r="D134" s="58">
        <f>SUM(D123:D132)</f>
        <v>0</v>
      </c>
      <c r="E134" s="58">
        <f t="shared" ref="E134:M134" si="26">SUM(E123:E132)</f>
        <v>0</v>
      </c>
      <c r="F134" s="58">
        <f t="shared" si="26"/>
        <v>-21.487500000000001</v>
      </c>
      <c r="G134" s="58">
        <f t="shared" si="26"/>
        <v>-50.137499999999996</v>
      </c>
      <c r="H134" s="58">
        <f t="shared" si="26"/>
        <v>0</v>
      </c>
      <c r="I134" s="58">
        <f t="shared" si="26"/>
        <v>0</v>
      </c>
      <c r="J134" s="58">
        <f t="shared" si="26"/>
        <v>0</v>
      </c>
      <c r="K134" s="58">
        <f t="shared" si="26"/>
        <v>0</v>
      </c>
      <c r="L134" s="58">
        <f t="shared" si="26"/>
        <v>0</v>
      </c>
      <c r="M134" s="58">
        <f t="shared" si="26"/>
        <v>0</v>
      </c>
    </row>
    <row r="135" spans="3:14" x14ac:dyDescent="0.25"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spans="3:14" x14ac:dyDescent="0.25">
      <c r="C136" s="27" t="s">
        <v>46</v>
      </c>
      <c r="D136" s="59">
        <f>+D134*(1-$D$138)</f>
        <v>0</v>
      </c>
      <c r="E136" s="59">
        <f t="shared" ref="E136:M136" si="27">+E134*(1-$D$138)</f>
        <v>0</v>
      </c>
      <c r="F136" s="59">
        <f t="shared" si="27"/>
        <v>-5.3718750000000002</v>
      </c>
      <c r="G136" s="59">
        <f t="shared" si="27"/>
        <v>-12.534374999999999</v>
      </c>
      <c r="H136" s="59">
        <f t="shared" si="27"/>
        <v>0</v>
      </c>
      <c r="I136" s="59">
        <f t="shared" si="27"/>
        <v>0</v>
      </c>
      <c r="J136" s="59">
        <f t="shared" si="27"/>
        <v>0</v>
      </c>
      <c r="K136" s="59">
        <f t="shared" si="27"/>
        <v>0</v>
      </c>
      <c r="L136" s="59">
        <f t="shared" si="27"/>
        <v>0</v>
      </c>
      <c r="M136" s="59">
        <f t="shared" si="27"/>
        <v>0</v>
      </c>
    </row>
    <row r="138" spans="3:14" x14ac:dyDescent="0.25">
      <c r="C138" s="14" t="s">
        <v>35</v>
      </c>
      <c r="D138" s="145">
        <v>0.75</v>
      </c>
    </row>
    <row r="139" spans="3:14" x14ac:dyDescent="0.25">
      <c r="C139" s="27" t="s">
        <v>36</v>
      </c>
      <c r="D139" s="145">
        <v>7.4999999999999997E-2</v>
      </c>
      <c r="E139" t="s">
        <v>37</v>
      </c>
    </row>
    <row r="141" spans="3:14" x14ac:dyDescent="0.25">
      <c r="C141" s="23" t="s">
        <v>35</v>
      </c>
      <c r="D141" s="60"/>
      <c r="E141" s="59">
        <f>-E134*$D$138</f>
        <v>0</v>
      </c>
      <c r="F141" s="59">
        <f t="shared" ref="F141:M141" si="28">-F134*$D$138</f>
        <v>16.115625000000001</v>
      </c>
      <c r="G141" s="59">
        <f t="shared" si="28"/>
        <v>37.603124999999999</v>
      </c>
      <c r="H141" s="59">
        <f t="shared" si="28"/>
        <v>0</v>
      </c>
      <c r="I141" s="59">
        <f t="shared" si="28"/>
        <v>0</v>
      </c>
      <c r="J141" s="59">
        <f t="shared" si="28"/>
        <v>0</v>
      </c>
      <c r="K141" s="59">
        <f t="shared" si="28"/>
        <v>0</v>
      </c>
      <c r="L141" s="59">
        <f t="shared" si="28"/>
        <v>0</v>
      </c>
      <c r="M141" s="59">
        <f t="shared" si="28"/>
        <v>0</v>
      </c>
    </row>
    <row r="142" spans="3:14" x14ac:dyDescent="0.25">
      <c r="C142" s="23" t="s">
        <v>38</v>
      </c>
      <c r="D142" s="60"/>
      <c r="E142" s="59">
        <f>+E158</f>
        <v>0</v>
      </c>
      <c r="F142" s="59">
        <f t="shared" ref="F142:M142" si="29">+F158</f>
        <v>0</v>
      </c>
      <c r="G142" s="59">
        <f t="shared" si="29"/>
        <v>0</v>
      </c>
      <c r="H142" s="59">
        <f t="shared" si="29"/>
        <v>-78.72930468749999</v>
      </c>
      <c r="I142" s="59">
        <f t="shared" si="29"/>
        <v>0</v>
      </c>
      <c r="J142" s="59">
        <f t="shared" si="29"/>
        <v>0</v>
      </c>
      <c r="K142" s="59">
        <f t="shared" si="29"/>
        <v>0</v>
      </c>
      <c r="L142" s="59">
        <f t="shared" si="29"/>
        <v>0</v>
      </c>
      <c r="M142" s="59">
        <f t="shared" si="29"/>
        <v>0</v>
      </c>
    </row>
    <row r="144" spans="3:14" x14ac:dyDescent="0.25">
      <c r="D144" s="26" t="s">
        <v>50</v>
      </c>
    </row>
    <row r="146" spans="3:15" x14ac:dyDescent="0.25">
      <c r="D146" s="2" t="s">
        <v>0</v>
      </c>
      <c r="E146" s="2" t="s">
        <v>1</v>
      </c>
      <c r="F146" s="2" t="s">
        <v>2</v>
      </c>
      <c r="G146" s="2" t="s">
        <v>3</v>
      </c>
      <c r="H146" s="2" t="s">
        <v>4</v>
      </c>
      <c r="I146" s="2" t="s">
        <v>5</v>
      </c>
      <c r="J146" s="2" t="s">
        <v>6</v>
      </c>
      <c r="K146" s="2" t="s">
        <v>7</v>
      </c>
      <c r="L146" s="2" t="s">
        <v>8</v>
      </c>
      <c r="M146" s="2" t="s">
        <v>9</v>
      </c>
    </row>
    <row r="147" spans="3:15" outlineLevel="1" x14ac:dyDescent="0.25">
      <c r="C147" s="2" t="s">
        <v>0</v>
      </c>
      <c r="D147" s="129"/>
      <c r="E147" s="61"/>
      <c r="F147" s="61"/>
      <c r="G147" s="57">
        <f>(E123*(1+$D$139)^2)+(F123*(1+$D$139)^1)</f>
        <v>0</v>
      </c>
      <c r="H147" s="62"/>
      <c r="I147" s="62"/>
      <c r="J147" s="62"/>
      <c r="K147" s="62"/>
      <c r="L147" s="62"/>
      <c r="M147" s="62"/>
      <c r="N147" s="62"/>
      <c r="O147" s="62"/>
    </row>
    <row r="148" spans="3:15" outlineLevel="1" x14ac:dyDescent="0.25">
      <c r="C148" s="2" t="s">
        <v>1</v>
      </c>
      <c r="E148" s="129"/>
      <c r="F148" s="63"/>
      <c r="G148" s="63"/>
      <c r="H148" s="21">
        <f>(F124*(1+$D$139)^2)+(G124*(1+$D$139)^1)</f>
        <v>-78.72930468749999</v>
      </c>
      <c r="I148" s="54"/>
      <c r="J148" s="54"/>
      <c r="K148" s="54"/>
      <c r="L148" s="54"/>
      <c r="M148" s="54"/>
      <c r="N148" s="54"/>
      <c r="O148" s="54"/>
    </row>
    <row r="149" spans="3:15" outlineLevel="1" x14ac:dyDescent="0.25">
      <c r="C149" s="2" t="s">
        <v>2</v>
      </c>
      <c r="F149" s="129"/>
      <c r="G149" s="63"/>
      <c r="H149" s="63"/>
      <c r="I149" s="21">
        <f>(G125*(1+$D$139)^2)+(H125*(1+$D$139)^1)</f>
        <v>0</v>
      </c>
      <c r="J149" s="54"/>
      <c r="K149" s="54"/>
      <c r="L149" s="54"/>
      <c r="M149" s="54"/>
      <c r="N149" s="54"/>
      <c r="O149" s="54"/>
    </row>
    <row r="150" spans="3:15" outlineLevel="1" x14ac:dyDescent="0.25">
      <c r="C150" s="2" t="s">
        <v>3</v>
      </c>
      <c r="G150" s="129"/>
      <c r="H150" s="63"/>
      <c r="I150" s="63"/>
      <c r="J150" s="21">
        <f>(H126*(1+$D$139)^2)+(I126*(1+$D$139)^1)</f>
        <v>0</v>
      </c>
      <c r="K150" s="54"/>
      <c r="L150" s="54"/>
      <c r="M150" s="54"/>
      <c r="N150" s="54"/>
      <c r="O150" s="54"/>
    </row>
    <row r="151" spans="3:15" outlineLevel="1" x14ac:dyDescent="0.25">
      <c r="C151" s="2" t="s">
        <v>4</v>
      </c>
      <c r="G151" s="54"/>
      <c r="H151" s="129"/>
      <c r="I151" s="63"/>
      <c r="J151" s="63"/>
      <c r="K151" s="21">
        <f>(I127*(1+$D$139)^2)+(J127*(1+$D$139)^1)</f>
        <v>0</v>
      </c>
      <c r="L151" s="54"/>
      <c r="M151" s="54"/>
      <c r="N151" s="54"/>
      <c r="O151" s="54"/>
    </row>
    <row r="152" spans="3:15" outlineLevel="1" x14ac:dyDescent="0.25">
      <c r="C152" s="2" t="s">
        <v>5</v>
      </c>
      <c r="G152" s="54"/>
      <c r="H152" s="54"/>
      <c r="I152" s="129"/>
      <c r="J152" s="63"/>
      <c r="K152" s="63"/>
      <c r="L152" s="21">
        <f>(J128*(1+$D$139)^2)+(K128*(1+$D$139)^1)</f>
        <v>0</v>
      </c>
      <c r="M152" s="54"/>
      <c r="N152" s="54"/>
      <c r="O152" s="54"/>
    </row>
    <row r="153" spans="3:15" outlineLevel="1" x14ac:dyDescent="0.25">
      <c r="C153" s="2" t="s">
        <v>6</v>
      </c>
      <c r="G153" s="54"/>
      <c r="H153" s="54"/>
      <c r="I153" s="54"/>
      <c r="J153" s="129"/>
      <c r="K153" s="63"/>
      <c r="L153" s="63"/>
      <c r="M153" s="21">
        <f>(K129*(1+$D$139)^2)+(L129*(1+$D$139)^1)</f>
        <v>0</v>
      </c>
      <c r="N153" s="54"/>
      <c r="O153" s="54"/>
    </row>
    <row r="154" spans="3:15" outlineLevel="1" x14ac:dyDescent="0.25">
      <c r="C154" s="2" t="s">
        <v>7</v>
      </c>
      <c r="G154" s="54"/>
      <c r="H154" s="54"/>
      <c r="I154" s="54"/>
      <c r="J154" s="54"/>
      <c r="K154" s="129"/>
      <c r="L154" s="63"/>
      <c r="M154" s="63"/>
      <c r="N154" s="21">
        <f>(L130*(1+$D$139)^2)+(M130*(1+$D$139)^1)</f>
        <v>0</v>
      </c>
      <c r="O154" s="54"/>
    </row>
    <row r="155" spans="3:15" outlineLevel="1" x14ac:dyDescent="0.25">
      <c r="C155" s="2" t="s">
        <v>8</v>
      </c>
      <c r="G155" s="54"/>
      <c r="H155" s="54"/>
      <c r="I155" s="54"/>
      <c r="J155" s="54"/>
      <c r="K155" s="54"/>
      <c r="L155" s="129"/>
      <c r="M155" s="63"/>
      <c r="N155" s="63"/>
      <c r="O155" s="21">
        <f>(M131*(1+$D$139)^2)+(N131*(1+$D$139)^1)</f>
        <v>0</v>
      </c>
    </row>
    <row r="156" spans="3:15" outlineLevel="1" x14ac:dyDescent="0.25">
      <c r="C156" s="2" t="s">
        <v>9</v>
      </c>
      <c r="D156" s="29"/>
      <c r="E156" s="29"/>
      <c r="F156" s="29"/>
      <c r="G156" s="29"/>
      <c r="H156" s="29"/>
      <c r="I156" s="29"/>
      <c r="J156" s="29"/>
      <c r="K156" s="29"/>
      <c r="L156" s="29"/>
      <c r="M156" s="130"/>
      <c r="N156" s="29"/>
      <c r="O156" s="29"/>
    </row>
    <row r="157" spans="3:15" outlineLevel="1" x14ac:dyDescent="0.25"/>
    <row r="158" spans="3:15" x14ac:dyDescent="0.25">
      <c r="C158" s="2" t="s">
        <v>34</v>
      </c>
      <c r="D158" s="59">
        <f>SUM(D147:D156)</f>
        <v>0</v>
      </c>
      <c r="E158" s="59">
        <f t="shared" ref="E158:M158" si="30">SUM(E147:E156)</f>
        <v>0</v>
      </c>
      <c r="F158" s="59">
        <f t="shared" si="30"/>
        <v>0</v>
      </c>
      <c r="G158" s="59">
        <f t="shared" si="30"/>
        <v>0</v>
      </c>
      <c r="H158" s="59">
        <f t="shared" si="30"/>
        <v>-78.72930468749999</v>
      </c>
      <c r="I158" s="59">
        <f t="shared" si="30"/>
        <v>0</v>
      </c>
      <c r="J158" s="59">
        <f t="shared" si="30"/>
        <v>0</v>
      </c>
      <c r="K158" s="59">
        <f t="shared" si="30"/>
        <v>0</v>
      </c>
      <c r="L158" s="59">
        <f t="shared" si="30"/>
        <v>0</v>
      </c>
      <c r="M158" s="59">
        <f t="shared" si="30"/>
        <v>0</v>
      </c>
    </row>
    <row r="160" spans="3:15" x14ac:dyDescent="0.25">
      <c r="C160" s="50" t="s">
        <v>39</v>
      </c>
      <c r="D160" s="78">
        <f>-D161*D104</f>
        <v>0</v>
      </c>
      <c r="E160" s="78">
        <f t="shared" ref="E160:M160" si="31">-E161*E104</f>
        <v>-0.45840000000000003</v>
      </c>
      <c r="F160" s="78">
        <f t="shared" si="31"/>
        <v>-0.91680000000000006</v>
      </c>
      <c r="G160" s="78">
        <f t="shared" si="31"/>
        <v>-0.91680000000000006</v>
      </c>
      <c r="H160" s="78">
        <f t="shared" si="31"/>
        <v>-3.4380000000000002</v>
      </c>
      <c r="I160" s="78">
        <f t="shared" si="31"/>
        <v>0</v>
      </c>
      <c r="J160" s="78">
        <f t="shared" si="31"/>
        <v>0</v>
      </c>
      <c r="K160" s="78">
        <f t="shared" si="31"/>
        <v>0</v>
      </c>
      <c r="L160" s="78">
        <f t="shared" si="31"/>
        <v>0</v>
      </c>
      <c r="M160" s="78">
        <f t="shared" si="31"/>
        <v>0</v>
      </c>
    </row>
    <row r="161" spans="3:14" x14ac:dyDescent="0.25">
      <c r="C161" s="15" t="s">
        <v>41</v>
      </c>
      <c r="D161" s="146">
        <v>0.04</v>
      </c>
      <c r="E161" s="25">
        <f>+D161</f>
        <v>0.04</v>
      </c>
      <c r="F161" s="25">
        <f t="shared" ref="F161:M161" si="32">+E161</f>
        <v>0.04</v>
      </c>
      <c r="G161" s="25">
        <f t="shared" si="32"/>
        <v>0.04</v>
      </c>
      <c r="H161" s="25">
        <f t="shared" si="32"/>
        <v>0.04</v>
      </c>
      <c r="I161" s="25">
        <f t="shared" si="32"/>
        <v>0.04</v>
      </c>
      <c r="J161" s="25">
        <f t="shared" si="32"/>
        <v>0.04</v>
      </c>
      <c r="K161" s="25">
        <f t="shared" si="32"/>
        <v>0.04</v>
      </c>
      <c r="L161" s="25">
        <f t="shared" si="32"/>
        <v>0.04</v>
      </c>
      <c r="M161" s="25">
        <f t="shared" si="32"/>
        <v>0.04</v>
      </c>
    </row>
    <row r="162" spans="3:14" x14ac:dyDescent="0.25">
      <c r="C162" s="16"/>
    </row>
    <row r="163" spans="3:14" x14ac:dyDescent="0.25">
      <c r="C163" s="64" t="s">
        <v>106</v>
      </c>
      <c r="D163" s="79">
        <f>-D164*D104</f>
        <v>0</v>
      </c>
      <c r="E163" s="79">
        <f t="shared" ref="E163:M163" si="33">-E164*E104</f>
        <v>-0.22920000000000001</v>
      </c>
      <c r="F163" s="79">
        <f t="shared" si="33"/>
        <v>-0.45840000000000003</v>
      </c>
      <c r="G163" s="79">
        <f t="shared" si="33"/>
        <v>-0.45840000000000003</v>
      </c>
      <c r="H163" s="79">
        <f t="shared" si="33"/>
        <v>-1.7190000000000001</v>
      </c>
      <c r="I163" s="79">
        <f t="shared" si="33"/>
        <v>0</v>
      </c>
      <c r="J163" s="79">
        <f t="shared" si="33"/>
        <v>0</v>
      </c>
      <c r="K163" s="79">
        <f t="shared" si="33"/>
        <v>0</v>
      </c>
      <c r="L163" s="79">
        <f t="shared" si="33"/>
        <v>0</v>
      </c>
      <c r="M163" s="79">
        <f t="shared" si="33"/>
        <v>0</v>
      </c>
    </row>
    <row r="164" spans="3:14" x14ac:dyDescent="0.25">
      <c r="C164" s="22" t="s">
        <v>107</v>
      </c>
      <c r="D164" s="146">
        <v>0.02</v>
      </c>
      <c r="E164" s="25">
        <f t="shared" ref="E164:M164" si="34">+D164</f>
        <v>0.02</v>
      </c>
      <c r="F164" s="25">
        <f t="shared" si="34"/>
        <v>0.02</v>
      </c>
      <c r="G164" s="25">
        <f t="shared" si="34"/>
        <v>0.02</v>
      </c>
      <c r="H164" s="25">
        <f t="shared" si="34"/>
        <v>0.02</v>
      </c>
      <c r="I164" s="25">
        <f t="shared" si="34"/>
        <v>0.02</v>
      </c>
      <c r="J164" s="25">
        <f t="shared" si="34"/>
        <v>0.02</v>
      </c>
      <c r="K164" s="25">
        <f t="shared" si="34"/>
        <v>0.02</v>
      </c>
      <c r="L164" s="25">
        <f t="shared" si="34"/>
        <v>0.02</v>
      </c>
      <c r="M164" s="25">
        <f t="shared" si="34"/>
        <v>0.02</v>
      </c>
    </row>
    <row r="166" spans="3:14" x14ac:dyDescent="0.25">
      <c r="C166" s="65" t="s">
        <v>42</v>
      </c>
      <c r="D166" s="51">
        <f>+D109+D111+D160+D163</f>
        <v>0</v>
      </c>
      <c r="E166" s="51">
        <f t="shared" ref="E166:M166" si="35">+E109+E111+E160+E163</f>
        <v>1.0314000000000028</v>
      </c>
      <c r="F166" s="51">
        <f t="shared" si="35"/>
        <v>-2.234699999999997</v>
      </c>
      <c r="G166" s="51">
        <f t="shared" si="35"/>
        <v>-30.884699999999992</v>
      </c>
      <c r="H166" s="51">
        <f t="shared" si="35"/>
        <v>72.198000000000008</v>
      </c>
      <c r="I166" s="51">
        <f t="shared" si="35"/>
        <v>0</v>
      </c>
      <c r="J166" s="51">
        <f t="shared" si="35"/>
        <v>0</v>
      </c>
      <c r="K166" s="51">
        <f t="shared" si="35"/>
        <v>0</v>
      </c>
      <c r="L166" s="51">
        <f t="shared" si="35"/>
        <v>0</v>
      </c>
      <c r="M166" s="51">
        <f t="shared" si="35"/>
        <v>0</v>
      </c>
    </row>
    <row r="169" spans="3:14" x14ac:dyDescent="0.25">
      <c r="C169" s="64" t="s">
        <v>35</v>
      </c>
      <c r="D169" s="66">
        <f>+D170+D171</f>
        <v>0</v>
      </c>
      <c r="E169" s="66">
        <f t="shared" ref="E169:M169" si="36">+E170+E171</f>
        <v>0</v>
      </c>
      <c r="F169" s="66">
        <f t="shared" si="36"/>
        <v>16.115625000000001</v>
      </c>
      <c r="G169" s="66">
        <f t="shared" si="36"/>
        <v>37.603124999999999</v>
      </c>
      <c r="H169" s="66">
        <f t="shared" si="36"/>
        <v>-78.72930468749999</v>
      </c>
      <c r="I169" s="66">
        <f t="shared" si="36"/>
        <v>0</v>
      </c>
      <c r="J169" s="66">
        <f t="shared" si="36"/>
        <v>0</v>
      </c>
      <c r="K169" s="66">
        <f t="shared" si="36"/>
        <v>0</v>
      </c>
      <c r="L169" s="66">
        <f t="shared" si="36"/>
        <v>0</v>
      </c>
      <c r="M169" s="66">
        <f t="shared" si="36"/>
        <v>0</v>
      </c>
    </row>
    <row r="170" spans="3:14" x14ac:dyDescent="0.25">
      <c r="C170" s="22" t="s">
        <v>43</v>
      </c>
      <c r="D170" s="9">
        <f>+D141</f>
        <v>0</v>
      </c>
      <c r="E170" s="9">
        <f t="shared" ref="E170:M171" si="37">+E141</f>
        <v>0</v>
      </c>
      <c r="F170" s="9">
        <f t="shared" si="37"/>
        <v>16.115625000000001</v>
      </c>
      <c r="G170" s="9">
        <f t="shared" si="37"/>
        <v>37.603124999999999</v>
      </c>
      <c r="H170" s="9">
        <f t="shared" si="37"/>
        <v>0</v>
      </c>
      <c r="I170" s="9">
        <f t="shared" si="37"/>
        <v>0</v>
      </c>
      <c r="J170" s="9">
        <f t="shared" si="37"/>
        <v>0</v>
      </c>
      <c r="K170" s="9">
        <f t="shared" si="37"/>
        <v>0</v>
      </c>
      <c r="L170" s="9">
        <f t="shared" si="37"/>
        <v>0</v>
      </c>
      <c r="M170" s="9">
        <f t="shared" si="37"/>
        <v>0</v>
      </c>
    </row>
    <row r="171" spans="3:14" x14ac:dyDescent="0.25">
      <c r="C171" s="22" t="s">
        <v>44</v>
      </c>
      <c r="D171" s="9">
        <f>+D142</f>
        <v>0</v>
      </c>
      <c r="E171" s="9">
        <f t="shared" si="37"/>
        <v>0</v>
      </c>
      <c r="F171" s="9">
        <f t="shared" si="37"/>
        <v>0</v>
      </c>
      <c r="G171" s="9">
        <f t="shared" si="37"/>
        <v>0</v>
      </c>
      <c r="H171" s="9">
        <f t="shared" si="37"/>
        <v>-78.72930468749999</v>
      </c>
      <c r="I171" s="9">
        <f t="shared" si="37"/>
        <v>0</v>
      </c>
      <c r="J171" s="9">
        <f t="shared" si="37"/>
        <v>0</v>
      </c>
      <c r="K171" s="9">
        <f t="shared" si="37"/>
        <v>0</v>
      </c>
      <c r="L171" s="9">
        <f t="shared" si="37"/>
        <v>0</v>
      </c>
      <c r="M171" s="9">
        <f t="shared" si="37"/>
        <v>0</v>
      </c>
    </row>
    <row r="173" spans="3:14" x14ac:dyDescent="0.25">
      <c r="C173" s="64" t="s">
        <v>45</v>
      </c>
      <c r="D173" s="67">
        <f>+D166+D169</f>
        <v>0</v>
      </c>
      <c r="E173" s="67">
        <f t="shared" ref="E173:M173" si="38">+E166+E169</f>
        <v>1.0314000000000028</v>
      </c>
      <c r="F173" s="67">
        <f t="shared" si="38"/>
        <v>13.880925000000005</v>
      </c>
      <c r="G173" s="67">
        <f t="shared" si="38"/>
        <v>6.718425000000007</v>
      </c>
      <c r="H173" s="67">
        <f t="shared" si="38"/>
        <v>-6.5313046874999827</v>
      </c>
      <c r="I173" s="67">
        <f t="shared" si="38"/>
        <v>0</v>
      </c>
      <c r="J173" s="67">
        <f t="shared" si="38"/>
        <v>0</v>
      </c>
      <c r="K173" s="67">
        <f t="shared" si="38"/>
        <v>0</v>
      </c>
      <c r="L173" s="67">
        <f t="shared" si="38"/>
        <v>0</v>
      </c>
      <c r="M173" s="67">
        <f t="shared" si="38"/>
        <v>0</v>
      </c>
      <c r="N173" s="76"/>
    </row>
  </sheetData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173"/>
  <sheetViews>
    <sheetView showGridLines="0" workbookViewId="0">
      <selection activeCell="Q159" sqref="Q159"/>
    </sheetView>
  </sheetViews>
  <sheetFormatPr defaultColWidth="8.85546875" defaultRowHeight="15" outlineLevelRow="1" x14ac:dyDescent="0.25"/>
  <cols>
    <col min="1" max="1" width="1.42578125" customWidth="1"/>
    <col min="2" max="2" width="16.85546875" customWidth="1"/>
    <col min="4" max="4" width="12.42578125" bestFit="1" customWidth="1"/>
    <col min="13" max="13" width="9.42578125" bestFit="1" customWidth="1"/>
  </cols>
  <sheetData>
    <row r="2" spans="2:13" x14ac:dyDescent="0.25">
      <c r="B2" s="1" t="s">
        <v>115</v>
      </c>
      <c r="C2" s="1"/>
    </row>
    <row r="3" spans="2:13" x14ac:dyDescent="0.25">
      <c r="B3" s="4" t="s">
        <v>10</v>
      </c>
    </row>
    <row r="4" spans="2:13" ht="4.5" customHeight="1" x14ac:dyDescent="0.25"/>
    <row r="5" spans="2:13" x14ac:dyDescent="0.25">
      <c r="C5" s="4" t="s">
        <v>12</v>
      </c>
    </row>
    <row r="6" spans="2:13" ht="3" customHeight="1" x14ac:dyDescent="0.25">
      <c r="C6" s="4"/>
    </row>
    <row r="7" spans="2:13" x14ac:dyDescent="0.25">
      <c r="D7" s="2" t="s">
        <v>0</v>
      </c>
      <c r="E7" s="2" t="s">
        <v>1</v>
      </c>
      <c r="F7" s="2" t="s">
        <v>2</v>
      </c>
      <c r="G7" s="2" t="s">
        <v>3</v>
      </c>
      <c r="H7" s="2" t="s">
        <v>4</v>
      </c>
      <c r="I7" s="2" t="s">
        <v>5</v>
      </c>
      <c r="J7" s="2" t="s">
        <v>6</v>
      </c>
      <c r="K7" s="2" t="s">
        <v>7</v>
      </c>
      <c r="L7" s="2" t="s">
        <v>8</v>
      </c>
      <c r="M7" s="2" t="s">
        <v>9</v>
      </c>
    </row>
    <row r="8" spans="2:13" x14ac:dyDescent="0.25">
      <c r="D8" s="137"/>
      <c r="E8" s="137"/>
      <c r="F8" s="137">
        <v>200</v>
      </c>
      <c r="G8" s="137"/>
      <c r="H8" s="137"/>
      <c r="I8" s="137"/>
      <c r="J8" s="137"/>
      <c r="K8" s="137"/>
      <c r="L8" s="137"/>
      <c r="M8" s="137"/>
    </row>
    <row r="10" spans="2:13" x14ac:dyDescent="0.25">
      <c r="C10" t="s">
        <v>40</v>
      </c>
      <c r="E10" s="138">
        <v>0.05</v>
      </c>
    </row>
    <row r="12" spans="2:13" x14ac:dyDescent="0.25">
      <c r="C12" s="4" t="s">
        <v>12</v>
      </c>
    </row>
    <row r="13" spans="2:13" ht="3" customHeight="1" x14ac:dyDescent="0.25">
      <c r="C13" s="4"/>
    </row>
    <row r="14" spans="2:13" outlineLevel="1" x14ac:dyDescent="0.25">
      <c r="D14" s="2" t="s">
        <v>0</v>
      </c>
      <c r="E14" s="2" t="s">
        <v>1</v>
      </c>
      <c r="F14" s="2" t="s">
        <v>2</v>
      </c>
      <c r="G14" s="2" t="s">
        <v>3</v>
      </c>
      <c r="H14" s="2" t="s">
        <v>4</v>
      </c>
      <c r="I14" s="2" t="s">
        <v>5</v>
      </c>
      <c r="J14" s="2" t="s">
        <v>6</v>
      </c>
      <c r="K14" s="2" t="s">
        <v>7</v>
      </c>
      <c r="L14" s="2" t="s">
        <v>8</v>
      </c>
      <c r="M14" s="2" t="s">
        <v>9</v>
      </c>
    </row>
    <row r="15" spans="2:13" outlineLevel="1" x14ac:dyDescent="0.25">
      <c r="C15" s="2" t="s">
        <v>0</v>
      </c>
      <c r="D15" s="77">
        <f>+D$8*(1-$E$10)</f>
        <v>0</v>
      </c>
      <c r="E15" s="28"/>
      <c r="F15" s="28"/>
      <c r="G15" s="28"/>
      <c r="H15" s="28"/>
      <c r="I15" s="28"/>
      <c r="J15" s="28"/>
      <c r="K15" s="28"/>
      <c r="L15" s="28"/>
      <c r="M15" s="28"/>
    </row>
    <row r="16" spans="2:13" outlineLevel="1" x14ac:dyDescent="0.25">
      <c r="C16" s="2" t="s">
        <v>1</v>
      </c>
      <c r="E16" s="3">
        <f>+E$8*(1-$E$10)</f>
        <v>0</v>
      </c>
    </row>
    <row r="17" spans="3:16" outlineLevel="1" x14ac:dyDescent="0.25">
      <c r="C17" s="2" t="s">
        <v>2</v>
      </c>
      <c r="F17" s="3">
        <f>+F$8*(1-$E$10)</f>
        <v>190</v>
      </c>
    </row>
    <row r="18" spans="3:16" outlineLevel="1" x14ac:dyDescent="0.25">
      <c r="C18" s="2" t="s">
        <v>3</v>
      </c>
      <c r="G18" s="3">
        <f>+G$8*(1-$E$10)</f>
        <v>0</v>
      </c>
    </row>
    <row r="19" spans="3:16" outlineLevel="1" x14ac:dyDescent="0.25">
      <c r="C19" s="2" t="s">
        <v>4</v>
      </c>
      <c r="H19" s="3">
        <f>+H$8*(1-$E$10)</f>
        <v>0</v>
      </c>
    </row>
    <row r="20" spans="3:16" outlineLevel="1" x14ac:dyDescent="0.25">
      <c r="C20" s="2" t="s">
        <v>5</v>
      </c>
      <c r="I20" s="3">
        <f>+I$8*(1-$E$10)</f>
        <v>0</v>
      </c>
    </row>
    <row r="21" spans="3:16" outlineLevel="1" x14ac:dyDescent="0.25">
      <c r="C21" s="2" t="s">
        <v>6</v>
      </c>
      <c r="J21" s="3">
        <f>+J$8*(1-$E$10)</f>
        <v>0</v>
      </c>
    </row>
    <row r="22" spans="3:16" outlineLevel="1" x14ac:dyDescent="0.25">
      <c r="C22" s="2" t="s">
        <v>7</v>
      </c>
      <c r="K22" s="3">
        <f>+K$8*(1-$E$10)</f>
        <v>0</v>
      </c>
    </row>
    <row r="23" spans="3:16" outlineLevel="1" x14ac:dyDescent="0.25">
      <c r="C23" s="2" t="s">
        <v>8</v>
      </c>
      <c r="L23" s="3">
        <f>+L$8*(1-$E$10)</f>
        <v>0</v>
      </c>
    </row>
    <row r="24" spans="3:16" outlineLevel="1" x14ac:dyDescent="0.25">
      <c r="C24" s="2" t="s">
        <v>9</v>
      </c>
      <c r="D24" s="29"/>
      <c r="E24" s="29"/>
      <c r="F24" s="29"/>
      <c r="G24" s="29"/>
      <c r="H24" s="29"/>
      <c r="I24" s="29"/>
      <c r="J24" s="29"/>
      <c r="K24" s="29"/>
      <c r="L24" s="29"/>
      <c r="M24" s="39">
        <f>+M$8*(1-$E$10)</f>
        <v>0</v>
      </c>
    </row>
    <row r="25" spans="3:16" x14ac:dyDescent="0.25">
      <c r="D25" s="30">
        <f>SUM(D15:D24)</f>
        <v>0</v>
      </c>
      <c r="E25" s="30">
        <f t="shared" ref="E25:M25" si="0">SUM(E15:E24)</f>
        <v>0</v>
      </c>
      <c r="F25" s="30">
        <f t="shared" si="0"/>
        <v>190</v>
      </c>
      <c r="G25" s="30">
        <f t="shared" si="0"/>
        <v>0</v>
      </c>
      <c r="H25" s="30">
        <f t="shared" si="0"/>
        <v>0</v>
      </c>
      <c r="I25" s="30">
        <f t="shared" si="0"/>
        <v>0</v>
      </c>
      <c r="J25" s="30">
        <f t="shared" si="0"/>
        <v>0</v>
      </c>
      <c r="K25" s="30">
        <f t="shared" si="0"/>
        <v>0</v>
      </c>
      <c r="L25" s="30">
        <f t="shared" si="0"/>
        <v>0</v>
      </c>
      <c r="M25" s="30">
        <f t="shared" si="0"/>
        <v>0</v>
      </c>
    </row>
    <row r="27" spans="3:16" x14ac:dyDescent="0.25">
      <c r="C27" s="4" t="s">
        <v>11</v>
      </c>
    </row>
    <row r="28" spans="3:16" ht="4.5" customHeight="1" x14ac:dyDescent="0.25">
      <c r="C28" s="4"/>
    </row>
    <row r="29" spans="3:16" outlineLevel="1" x14ac:dyDescent="0.25">
      <c r="D29" s="2" t="s">
        <v>0</v>
      </c>
      <c r="E29" s="2" t="s">
        <v>1</v>
      </c>
      <c r="F29" s="2" t="s">
        <v>2</v>
      </c>
      <c r="G29" s="2" t="s">
        <v>3</v>
      </c>
      <c r="H29" s="2" t="s">
        <v>4</v>
      </c>
      <c r="I29" s="2" t="s">
        <v>5</v>
      </c>
      <c r="J29" s="2" t="s">
        <v>6</v>
      </c>
      <c r="K29" s="2" t="s">
        <v>7</v>
      </c>
      <c r="L29" s="2" t="s">
        <v>8</v>
      </c>
      <c r="M29" s="2" t="s">
        <v>9</v>
      </c>
    </row>
    <row r="30" spans="3:16" outlineLevel="1" x14ac:dyDescent="0.25">
      <c r="C30" s="2" t="s">
        <v>0</v>
      </c>
      <c r="D30" s="139"/>
      <c r="E30" s="139"/>
      <c r="F30" s="139"/>
      <c r="G30" s="139"/>
      <c r="H30" s="31"/>
      <c r="I30" s="31"/>
      <c r="J30" s="31"/>
      <c r="K30" s="31"/>
      <c r="L30" s="31"/>
      <c r="M30" s="31"/>
      <c r="N30" s="32"/>
      <c r="O30" s="28"/>
      <c r="P30" s="28"/>
    </row>
    <row r="31" spans="3:16" outlineLevel="1" x14ac:dyDescent="0.25">
      <c r="C31" s="2" t="s">
        <v>1</v>
      </c>
      <c r="D31" s="33"/>
      <c r="E31" s="140"/>
      <c r="F31" s="140"/>
      <c r="G31" s="140"/>
      <c r="H31" s="141"/>
      <c r="I31" s="33"/>
      <c r="J31" s="33"/>
      <c r="K31" s="33"/>
      <c r="L31" s="33"/>
      <c r="M31" s="33"/>
      <c r="N31" s="34"/>
    </row>
    <row r="32" spans="3:16" outlineLevel="1" x14ac:dyDescent="0.25">
      <c r="C32" s="2" t="s">
        <v>2</v>
      </c>
      <c r="D32" s="33"/>
      <c r="E32" s="33"/>
      <c r="F32" s="140">
        <v>0.4</v>
      </c>
      <c r="G32" s="140">
        <v>0.2</v>
      </c>
      <c r="H32" s="140">
        <v>0.2</v>
      </c>
      <c r="I32" s="141">
        <v>0.2</v>
      </c>
      <c r="J32" s="33"/>
      <c r="K32" s="33"/>
      <c r="L32" s="33"/>
      <c r="M32" s="33"/>
      <c r="N32" s="34"/>
    </row>
    <row r="33" spans="3:16" outlineLevel="1" x14ac:dyDescent="0.25">
      <c r="C33" s="2" t="s">
        <v>3</v>
      </c>
      <c r="D33" s="33"/>
      <c r="E33" s="33"/>
      <c r="F33" s="33"/>
      <c r="G33" s="140"/>
      <c r="H33" s="140"/>
      <c r="I33" s="140"/>
      <c r="J33" s="141"/>
      <c r="K33" s="33"/>
      <c r="L33" s="33"/>
      <c r="M33" s="33"/>
      <c r="N33" s="34"/>
    </row>
    <row r="34" spans="3:16" outlineLevel="1" x14ac:dyDescent="0.25">
      <c r="C34" s="2" t="s">
        <v>4</v>
      </c>
      <c r="D34" s="33"/>
      <c r="E34" s="33"/>
      <c r="F34" s="33"/>
      <c r="G34" s="33"/>
      <c r="H34" s="140"/>
      <c r="I34" s="140"/>
      <c r="J34" s="140"/>
      <c r="K34" s="141"/>
      <c r="L34" s="33"/>
      <c r="M34" s="33"/>
      <c r="N34" s="34"/>
    </row>
    <row r="35" spans="3:16" outlineLevel="1" x14ac:dyDescent="0.25">
      <c r="C35" s="2" t="s">
        <v>5</v>
      </c>
      <c r="D35" s="33"/>
      <c r="E35" s="33"/>
      <c r="F35" s="33"/>
      <c r="G35" s="33"/>
      <c r="H35" s="33"/>
      <c r="I35" s="140"/>
      <c r="J35" s="140"/>
      <c r="K35" s="140"/>
      <c r="L35" s="141"/>
      <c r="M35" s="33"/>
      <c r="N35" s="34"/>
    </row>
    <row r="36" spans="3:16" outlineLevel="1" x14ac:dyDescent="0.25">
      <c r="C36" s="2" t="s">
        <v>6</v>
      </c>
      <c r="D36" s="33"/>
      <c r="E36" s="33"/>
      <c r="F36" s="33"/>
      <c r="G36" s="33"/>
      <c r="H36" s="33"/>
      <c r="I36" s="33"/>
      <c r="J36" s="140"/>
      <c r="K36" s="140"/>
      <c r="L36" s="140"/>
      <c r="M36" s="141"/>
      <c r="N36" s="34"/>
    </row>
    <row r="37" spans="3:16" outlineLevel="1" x14ac:dyDescent="0.25">
      <c r="C37" s="2" t="s">
        <v>7</v>
      </c>
      <c r="D37" s="33"/>
      <c r="E37" s="33"/>
      <c r="F37" s="33"/>
      <c r="G37" s="33"/>
      <c r="H37" s="33"/>
      <c r="I37" s="33"/>
      <c r="J37" s="33"/>
      <c r="K37" s="140"/>
      <c r="L37" s="140"/>
      <c r="M37" s="140"/>
      <c r="N37" s="140"/>
    </row>
    <row r="38" spans="3:16" outlineLevel="1" x14ac:dyDescent="0.25">
      <c r="C38" s="2" t="s">
        <v>8</v>
      </c>
      <c r="D38" s="33"/>
      <c r="E38" s="33"/>
      <c r="F38" s="33"/>
      <c r="G38" s="33"/>
      <c r="H38" s="33"/>
      <c r="I38" s="33"/>
      <c r="J38" s="33"/>
      <c r="K38" s="33"/>
      <c r="L38" s="140"/>
      <c r="M38" s="140"/>
      <c r="N38" s="140"/>
      <c r="O38" s="166"/>
    </row>
    <row r="39" spans="3:16" outlineLevel="1" x14ac:dyDescent="0.25">
      <c r="C39" s="2" t="s">
        <v>9</v>
      </c>
      <c r="D39" s="35"/>
      <c r="E39" s="35"/>
      <c r="F39" s="35"/>
      <c r="G39" s="35"/>
      <c r="H39" s="35"/>
      <c r="I39" s="35"/>
      <c r="J39" s="35"/>
      <c r="K39" s="35"/>
      <c r="L39" s="35"/>
      <c r="M39" s="167"/>
      <c r="N39" s="167"/>
      <c r="O39" s="167"/>
      <c r="P39" s="168"/>
    </row>
    <row r="41" spans="3:16" x14ac:dyDescent="0.25">
      <c r="C41" s="6" t="s">
        <v>14</v>
      </c>
      <c r="F41" s="140">
        <v>0.5</v>
      </c>
    </row>
    <row r="42" spans="3:16" ht="5.25" customHeight="1" x14ac:dyDescent="0.25"/>
    <row r="43" spans="3:16" outlineLevel="1" x14ac:dyDescent="0.25">
      <c r="D43" s="2" t="s">
        <v>0</v>
      </c>
      <c r="E43" s="2" t="s">
        <v>1</v>
      </c>
      <c r="F43" s="2" t="s">
        <v>2</v>
      </c>
      <c r="G43" s="2" t="s">
        <v>3</v>
      </c>
      <c r="H43" s="2" t="s">
        <v>4</v>
      </c>
      <c r="I43" s="2" t="s">
        <v>5</v>
      </c>
      <c r="J43" s="2" t="s">
        <v>6</v>
      </c>
      <c r="K43" s="2" t="s">
        <v>7</v>
      </c>
      <c r="L43" s="2" t="s">
        <v>8</v>
      </c>
      <c r="M43" s="2" t="s">
        <v>9</v>
      </c>
      <c r="N43" s="2" t="s">
        <v>15</v>
      </c>
    </row>
    <row r="44" spans="3:16" outlineLevel="1" x14ac:dyDescent="0.25">
      <c r="C44" s="7">
        <v>1</v>
      </c>
      <c r="D44" s="36">
        <f>+$F$41/3</f>
        <v>0.16666666666666666</v>
      </c>
      <c r="E44" s="36">
        <f>+F41/3</f>
        <v>0.16666666666666666</v>
      </c>
      <c r="F44" s="36">
        <f>+F41/3</f>
        <v>0.16666666666666666</v>
      </c>
      <c r="G44" s="36">
        <f>+(1-$F$41)</f>
        <v>0.5</v>
      </c>
      <c r="H44" s="37"/>
      <c r="I44" s="37"/>
      <c r="J44" s="37"/>
      <c r="K44" s="28"/>
      <c r="L44" s="28"/>
      <c r="M44" s="28"/>
      <c r="N44" s="32">
        <f>SUM(D44:M44)</f>
        <v>1</v>
      </c>
    </row>
    <row r="45" spans="3:16" outlineLevel="1" x14ac:dyDescent="0.25">
      <c r="C45" s="7">
        <v>2</v>
      </c>
      <c r="D45" s="3"/>
      <c r="E45" s="38">
        <f>+$F$41/2</f>
        <v>0.25</v>
      </c>
      <c r="F45" s="38">
        <f>+$F$41/2</f>
        <v>0.25</v>
      </c>
      <c r="G45" s="38">
        <f>+(1-$F$41)</f>
        <v>0.5</v>
      </c>
      <c r="H45" s="8"/>
      <c r="I45" s="8"/>
      <c r="J45" s="8"/>
      <c r="N45" s="34">
        <f>SUM(D45:M45)</f>
        <v>1</v>
      </c>
    </row>
    <row r="46" spans="3:16" outlineLevel="1" x14ac:dyDescent="0.25">
      <c r="C46" s="7">
        <v>3</v>
      </c>
      <c r="D46" s="3"/>
      <c r="E46" s="8"/>
      <c r="F46" s="38">
        <f>+$F$41</f>
        <v>0.5</v>
      </c>
      <c r="G46" s="38">
        <f>+(1-$F$41)</f>
        <v>0.5</v>
      </c>
      <c r="H46" s="8"/>
      <c r="I46" s="8"/>
      <c r="J46" s="8"/>
      <c r="N46" s="34">
        <f>SUM(D46:M46)</f>
        <v>1</v>
      </c>
    </row>
    <row r="47" spans="3:16" outlineLevel="1" x14ac:dyDescent="0.25">
      <c r="C47" s="7">
        <v>4</v>
      </c>
      <c r="D47" s="39"/>
      <c r="E47" s="40"/>
      <c r="F47" s="40"/>
      <c r="G47" s="41">
        <v>1</v>
      </c>
      <c r="H47" s="40"/>
      <c r="I47" s="40"/>
      <c r="J47" s="40"/>
      <c r="K47" s="29"/>
      <c r="L47" s="29"/>
      <c r="M47" s="29"/>
      <c r="N47" s="42">
        <f>SUM(D47:M47)</f>
        <v>1</v>
      </c>
    </row>
    <row r="48" spans="3:16" x14ac:dyDescent="0.25">
      <c r="D48" s="3"/>
      <c r="E48" s="8"/>
      <c r="F48" s="8"/>
      <c r="G48" s="8"/>
      <c r="H48" s="8"/>
      <c r="I48" s="8"/>
      <c r="J48" s="8"/>
      <c r="N48" s="10"/>
    </row>
    <row r="49" spans="3:17" x14ac:dyDescent="0.25">
      <c r="C49" s="4" t="s">
        <v>13</v>
      </c>
    </row>
    <row r="50" spans="3:17" ht="5.25" customHeight="1" x14ac:dyDescent="0.25">
      <c r="C50" s="4"/>
    </row>
    <row r="51" spans="3:17" x14ac:dyDescent="0.25">
      <c r="D51" s="2" t="s">
        <v>0</v>
      </c>
      <c r="E51" s="2" t="s">
        <v>1</v>
      </c>
      <c r="F51" s="2" t="s">
        <v>2</v>
      </c>
      <c r="G51" s="2" t="s">
        <v>3</v>
      </c>
      <c r="H51" s="2" t="s">
        <v>4</v>
      </c>
      <c r="I51" s="2" t="s">
        <v>5</v>
      </c>
      <c r="J51" s="2" t="s">
        <v>6</v>
      </c>
      <c r="K51" s="2" t="s">
        <v>7</v>
      </c>
      <c r="L51" s="2" t="s">
        <v>8</v>
      </c>
      <c r="M51" s="2" t="s">
        <v>9</v>
      </c>
      <c r="Q51" s="2" t="s">
        <v>15</v>
      </c>
    </row>
    <row r="52" spans="3:17" outlineLevel="1" x14ac:dyDescent="0.25">
      <c r="C52" s="7" t="s">
        <v>0</v>
      </c>
      <c r="D52" s="37">
        <f>+$D$15*$D$30*D$44</f>
        <v>0</v>
      </c>
      <c r="E52" s="37">
        <f>+$D$15*$D$30*E$44</f>
        <v>0</v>
      </c>
      <c r="F52" s="37">
        <f>+$D$15*$D$30*F$44</f>
        <v>0</v>
      </c>
      <c r="G52" s="37">
        <f>+$D$15*$D$30*G$44</f>
        <v>0</v>
      </c>
      <c r="H52" s="37"/>
      <c r="I52" s="37"/>
      <c r="J52" s="37"/>
      <c r="K52" s="28"/>
      <c r="L52" s="28"/>
      <c r="M52" s="28"/>
      <c r="N52" s="43"/>
      <c r="O52" s="28"/>
      <c r="P52" s="28"/>
      <c r="Q52" s="44">
        <f>SUM(D52:P52)</f>
        <v>0</v>
      </c>
    </row>
    <row r="53" spans="3:17" outlineLevel="1" x14ac:dyDescent="0.25">
      <c r="C53" s="7" t="s">
        <v>0</v>
      </c>
      <c r="D53" s="3"/>
      <c r="E53" s="8">
        <f>+$D$15*$E$30*$E$45</f>
        <v>0</v>
      </c>
      <c r="F53" s="8">
        <f>+$D$15*$E$30*$F$45</f>
        <v>0</v>
      </c>
      <c r="G53" s="8">
        <f>+$D$15*$E$30*$G$45</f>
        <v>0</v>
      </c>
      <c r="H53" s="8"/>
      <c r="I53" s="8"/>
      <c r="J53" s="8"/>
      <c r="N53" s="45"/>
      <c r="Q53" s="11">
        <f t="shared" ref="Q53:Q91" si="1">SUM(D53:P53)</f>
        <v>0</v>
      </c>
    </row>
    <row r="54" spans="3:17" outlineLevel="1" x14ac:dyDescent="0.25">
      <c r="C54" s="7" t="s">
        <v>0</v>
      </c>
      <c r="D54" s="3"/>
      <c r="E54" s="8"/>
      <c r="F54" s="8">
        <f>+$D$15*$F$30*$F$46</f>
        <v>0</v>
      </c>
      <c r="G54" s="8">
        <f>+$D$15*$F$30*$G$46</f>
        <v>0</v>
      </c>
      <c r="H54" s="8"/>
      <c r="I54" s="8"/>
      <c r="J54" s="8"/>
      <c r="N54" s="45"/>
      <c r="Q54" s="11">
        <f t="shared" si="1"/>
        <v>0</v>
      </c>
    </row>
    <row r="55" spans="3:17" outlineLevel="1" x14ac:dyDescent="0.25">
      <c r="C55" s="7" t="s">
        <v>0</v>
      </c>
      <c r="D55" s="39"/>
      <c r="E55" s="40"/>
      <c r="F55" s="40"/>
      <c r="G55" s="40">
        <f>+$D$15*$G$30*$G$47</f>
        <v>0</v>
      </c>
      <c r="H55" s="40"/>
      <c r="I55" s="40"/>
      <c r="J55" s="40"/>
      <c r="K55" s="29"/>
      <c r="L55" s="29"/>
      <c r="M55" s="29"/>
      <c r="N55" s="46"/>
      <c r="O55" s="29"/>
      <c r="P55" s="29"/>
      <c r="Q55" s="47">
        <f t="shared" si="1"/>
        <v>0</v>
      </c>
    </row>
    <row r="56" spans="3:17" outlineLevel="1" x14ac:dyDescent="0.25">
      <c r="C56" s="2" t="s">
        <v>1</v>
      </c>
      <c r="E56" s="8">
        <f>+$E$16*$E$31*D$44</f>
        <v>0</v>
      </c>
      <c r="F56" s="8">
        <f t="shared" ref="F56:H56" si="2">+$E$16*$E$31*E$44</f>
        <v>0</v>
      </c>
      <c r="G56" s="8">
        <f t="shared" si="2"/>
        <v>0</v>
      </c>
      <c r="H56" s="8">
        <f t="shared" si="2"/>
        <v>0</v>
      </c>
      <c r="I56" s="8"/>
      <c r="J56" s="8"/>
      <c r="K56" s="8"/>
      <c r="N56" s="10"/>
      <c r="Q56" s="11">
        <f t="shared" si="1"/>
        <v>0</v>
      </c>
    </row>
    <row r="57" spans="3:17" outlineLevel="1" x14ac:dyDescent="0.25">
      <c r="C57" s="2" t="s">
        <v>1</v>
      </c>
      <c r="E57" s="3"/>
      <c r="F57" s="8">
        <f>+$E$16*$F$31*E$45</f>
        <v>0</v>
      </c>
      <c r="G57" s="8">
        <f>+$E$16*$F$31*F$45</f>
        <v>0</v>
      </c>
      <c r="H57" s="8">
        <f>+$E$16*$F$31*G$45</f>
        <v>0</v>
      </c>
      <c r="I57" s="8"/>
      <c r="J57" s="8"/>
      <c r="K57" s="8"/>
      <c r="N57" s="10"/>
      <c r="Q57" s="11">
        <f t="shared" si="1"/>
        <v>0</v>
      </c>
    </row>
    <row r="58" spans="3:17" outlineLevel="1" x14ac:dyDescent="0.25">
      <c r="C58" s="2" t="s">
        <v>1</v>
      </c>
      <c r="E58" s="3"/>
      <c r="F58" s="8"/>
      <c r="G58" s="8">
        <f>+$E$16*$G$31*$F$46</f>
        <v>0</v>
      </c>
      <c r="H58" s="8">
        <f>+$E$16*$G$31*$G$46</f>
        <v>0</v>
      </c>
      <c r="I58" s="8"/>
      <c r="J58" s="8"/>
      <c r="K58" s="8"/>
      <c r="N58" s="10"/>
      <c r="Q58" s="11">
        <f t="shared" si="1"/>
        <v>0</v>
      </c>
    </row>
    <row r="59" spans="3:17" outlineLevel="1" x14ac:dyDescent="0.25">
      <c r="C59" s="2" t="s">
        <v>1</v>
      </c>
      <c r="E59" s="3"/>
      <c r="F59" s="8"/>
      <c r="G59" s="8"/>
      <c r="H59" s="8">
        <f>+$E$16*$H$31*$G$47</f>
        <v>0</v>
      </c>
      <c r="I59" s="8"/>
      <c r="J59" s="8"/>
      <c r="K59" s="8"/>
      <c r="N59" s="10"/>
      <c r="Q59" s="11">
        <f t="shared" si="1"/>
        <v>0</v>
      </c>
    </row>
    <row r="60" spans="3:17" outlineLevel="1" x14ac:dyDescent="0.25">
      <c r="C60" s="7" t="s">
        <v>2</v>
      </c>
      <c r="D60" s="28"/>
      <c r="E60" s="28"/>
      <c r="F60" s="37">
        <f>+$F$17*$F$32*D$44</f>
        <v>12.666666666666666</v>
      </c>
      <c r="G60" s="37">
        <f>+$F$17*$F$32*E$44</f>
        <v>12.666666666666666</v>
      </c>
      <c r="H60" s="37">
        <f>+$F$17*$F$32*F$44</f>
        <v>12.666666666666666</v>
      </c>
      <c r="I60" s="37">
        <f>+$F$17*$F$32*G$44</f>
        <v>38</v>
      </c>
      <c r="J60" s="28"/>
      <c r="K60" s="28"/>
      <c r="L60" s="28"/>
      <c r="M60" s="28"/>
      <c r="N60" s="43"/>
      <c r="O60" s="28"/>
      <c r="P60" s="28"/>
      <c r="Q60" s="44">
        <f t="shared" si="1"/>
        <v>76</v>
      </c>
    </row>
    <row r="61" spans="3:17" outlineLevel="1" x14ac:dyDescent="0.25">
      <c r="C61" s="7" t="s">
        <v>2</v>
      </c>
      <c r="F61" s="3"/>
      <c r="G61" s="8">
        <f>+$F$17*$G$32*E$45</f>
        <v>9.5</v>
      </c>
      <c r="H61" s="8">
        <f>+$F$17*$G$32*F$45</f>
        <v>9.5</v>
      </c>
      <c r="I61" s="8">
        <f>+$F$17*$G$32*G$45</f>
        <v>19</v>
      </c>
      <c r="J61" s="8"/>
      <c r="N61" s="45"/>
      <c r="Q61" s="11">
        <f t="shared" si="1"/>
        <v>38</v>
      </c>
    </row>
    <row r="62" spans="3:17" outlineLevel="1" x14ac:dyDescent="0.25">
      <c r="C62" s="7" t="s">
        <v>2</v>
      </c>
      <c r="F62" s="3"/>
      <c r="G62" s="8"/>
      <c r="H62" s="8">
        <f>+$F$17*$H$32*F$46</f>
        <v>19</v>
      </c>
      <c r="I62" s="8">
        <f>+$F$17*$H$32*G$46</f>
        <v>19</v>
      </c>
      <c r="K62" s="3"/>
      <c r="N62" s="45"/>
      <c r="Q62" s="11">
        <f t="shared" si="1"/>
        <v>38</v>
      </c>
    </row>
    <row r="63" spans="3:17" outlineLevel="1" x14ac:dyDescent="0.25">
      <c r="C63" s="7" t="s">
        <v>2</v>
      </c>
      <c r="D63" s="29"/>
      <c r="E63" s="29"/>
      <c r="F63" s="39"/>
      <c r="G63" s="40"/>
      <c r="H63" s="40"/>
      <c r="I63" s="40">
        <f>+$F$17*$I$32*$G$47</f>
        <v>38</v>
      </c>
      <c r="J63" s="29"/>
      <c r="K63" s="29"/>
      <c r="L63" s="39"/>
      <c r="M63" s="29"/>
      <c r="N63" s="46"/>
      <c r="O63" s="29"/>
      <c r="P63" s="29"/>
      <c r="Q63" s="47">
        <f t="shared" si="1"/>
        <v>38</v>
      </c>
    </row>
    <row r="64" spans="3:17" outlineLevel="1" x14ac:dyDescent="0.25">
      <c r="C64" s="2" t="s">
        <v>3</v>
      </c>
      <c r="G64" s="8">
        <f>+$G$18*$G$33*D$44</f>
        <v>0</v>
      </c>
      <c r="H64" s="8">
        <f>+$G$18*$G$33*E$44</f>
        <v>0</v>
      </c>
      <c r="I64" s="8">
        <f>+$G$18*$G$33*F$44</f>
        <v>0</v>
      </c>
      <c r="J64" s="8">
        <f>+$G$18*$G$33*G$44</f>
        <v>0</v>
      </c>
      <c r="M64" s="3"/>
      <c r="Q64" s="11">
        <f t="shared" si="1"/>
        <v>0</v>
      </c>
    </row>
    <row r="65" spans="3:17" outlineLevel="1" x14ac:dyDescent="0.25">
      <c r="C65" s="2" t="s">
        <v>3</v>
      </c>
      <c r="G65" s="3"/>
      <c r="H65" s="8">
        <f>+$G$18*$H$33*E$45</f>
        <v>0</v>
      </c>
      <c r="I65" s="8">
        <f>+$G$18*$H$33*F$45</f>
        <v>0</v>
      </c>
      <c r="J65" s="8">
        <f>+$G$18*$H$33*G$45</f>
        <v>0</v>
      </c>
      <c r="Q65" s="11">
        <f t="shared" si="1"/>
        <v>0</v>
      </c>
    </row>
    <row r="66" spans="3:17" outlineLevel="1" x14ac:dyDescent="0.25">
      <c r="C66" s="2" t="s">
        <v>3</v>
      </c>
      <c r="G66" s="3"/>
      <c r="H66" s="8"/>
      <c r="I66" s="8">
        <f>+$G$18*$I$33*F$46</f>
        <v>0</v>
      </c>
      <c r="J66" s="8">
        <f>+$G$18*$I$33*G$46</f>
        <v>0</v>
      </c>
      <c r="Q66" s="11">
        <f t="shared" si="1"/>
        <v>0</v>
      </c>
    </row>
    <row r="67" spans="3:17" outlineLevel="1" x14ac:dyDescent="0.25">
      <c r="C67" s="2" t="s">
        <v>3</v>
      </c>
      <c r="G67" s="3"/>
      <c r="H67" s="8"/>
      <c r="I67" s="8"/>
      <c r="J67" s="8">
        <f>+$G$18*$J$33*G$47</f>
        <v>0</v>
      </c>
      <c r="Q67" s="11">
        <f t="shared" si="1"/>
        <v>0</v>
      </c>
    </row>
    <row r="68" spans="3:17" outlineLevel="1" x14ac:dyDescent="0.25">
      <c r="C68" s="7" t="s">
        <v>4</v>
      </c>
      <c r="D68" s="28"/>
      <c r="E68" s="28"/>
      <c r="F68" s="28"/>
      <c r="G68" s="28"/>
      <c r="H68" s="37">
        <f>+$H$19*$H$34*D$44</f>
        <v>0</v>
      </c>
      <c r="I68" s="37">
        <f t="shared" ref="I68:K68" si="3">+$H$19*$H$34*E$44</f>
        <v>0</v>
      </c>
      <c r="J68" s="37">
        <f t="shared" si="3"/>
        <v>0</v>
      </c>
      <c r="K68" s="37">
        <f t="shared" si="3"/>
        <v>0</v>
      </c>
      <c r="L68" s="28"/>
      <c r="M68" s="28"/>
      <c r="N68" s="28"/>
      <c r="O68" s="28"/>
      <c r="P68" s="28"/>
      <c r="Q68" s="44">
        <f t="shared" si="1"/>
        <v>0</v>
      </c>
    </row>
    <row r="69" spans="3:17" outlineLevel="1" x14ac:dyDescent="0.25">
      <c r="C69" s="7" t="s">
        <v>4</v>
      </c>
      <c r="H69" s="3"/>
      <c r="I69" s="8">
        <f>+$H$19*$I$34*E$45</f>
        <v>0</v>
      </c>
      <c r="J69" s="8">
        <f t="shared" ref="J69:K69" si="4">+$H$19*$I$34*F$45</f>
        <v>0</v>
      </c>
      <c r="K69" s="8">
        <f t="shared" si="4"/>
        <v>0</v>
      </c>
      <c r="Q69" s="11">
        <f t="shared" si="1"/>
        <v>0</v>
      </c>
    </row>
    <row r="70" spans="3:17" outlineLevel="1" x14ac:dyDescent="0.25">
      <c r="C70" s="7" t="s">
        <v>4</v>
      </c>
      <c r="H70" s="3"/>
      <c r="I70" s="8"/>
      <c r="J70" s="8">
        <f>+$H$19*$J$34*F$46</f>
        <v>0</v>
      </c>
      <c r="K70" s="8">
        <f>+$H$19*$J$34*G$46</f>
        <v>0</v>
      </c>
      <c r="Q70" s="11">
        <f t="shared" si="1"/>
        <v>0</v>
      </c>
    </row>
    <row r="71" spans="3:17" outlineLevel="1" x14ac:dyDescent="0.25">
      <c r="C71" s="7" t="s">
        <v>4</v>
      </c>
      <c r="D71" s="29"/>
      <c r="E71" s="29"/>
      <c r="F71" s="29"/>
      <c r="G71" s="29"/>
      <c r="H71" s="39"/>
      <c r="I71" s="40"/>
      <c r="J71" s="40"/>
      <c r="K71" s="40">
        <f>+$H$19*$K$34*G$47</f>
        <v>0</v>
      </c>
      <c r="L71" s="29"/>
      <c r="M71" s="29"/>
      <c r="N71" s="29"/>
      <c r="O71" s="29"/>
      <c r="P71" s="29"/>
      <c r="Q71" s="47">
        <f t="shared" si="1"/>
        <v>0</v>
      </c>
    </row>
    <row r="72" spans="3:17" outlineLevel="1" x14ac:dyDescent="0.25">
      <c r="C72" s="2" t="s">
        <v>5</v>
      </c>
      <c r="I72" s="8">
        <f>+$I$20*$I$35*D$44</f>
        <v>0</v>
      </c>
      <c r="J72" s="8">
        <f t="shared" ref="J72:L72" si="5">+$I$20*$I$35*E$44</f>
        <v>0</v>
      </c>
      <c r="K72" s="8">
        <f t="shared" si="5"/>
        <v>0</v>
      </c>
      <c r="L72" s="8">
        <f t="shared" si="5"/>
        <v>0</v>
      </c>
      <c r="Q72" s="11">
        <f t="shared" si="1"/>
        <v>0</v>
      </c>
    </row>
    <row r="73" spans="3:17" outlineLevel="1" x14ac:dyDescent="0.25">
      <c r="C73" s="2" t="s">
        <v>5</v>
      </c>
      <c r="I73" s="3"/>
      <c r="J73" s="8">
        <f>+$I$20*$J$35*E$45</f>
        <v>0</v>
      </c>
      <c r="K73" s="8">
        <f t="shared" ref="K73:L73" si="6">+$I$20*$J$35*F$45</f>
        <v>0</v>
      </c>
      <c r="L73" s="8">
        <f t="shared" si="6"/>
        <v>0</v>
      </c>
      <c r="Q73" s="11">
        <f t="shared" si="1"/>
        <v>0</v>
      </c>
    </row>
    <row r="74" spans="3:17" outlineLevel="1" x14ac:dyDescent="0.25">
      <c r="C74" s="2" t="s">
        <v>5</v>
      </c>
      <c r="I74" s="3"/>
      <c r="J74" s="8"/>
      <c r="K74" s="8">
        <f>+$I$20*$K$35*F$46</f>
        <v>0</v>
      </c>
      <c r="L74" s="8">
        <f>+$I$20*$K$35*G$46</f>
        <v>0</v>
      </c>
      <c r="Q74" s="11">
        <f t="shared" si="1"/>
        <v>0</v>
      </c>
    </row>
    <row r="75" spans="3:17" outlineLevel="1" x14ac:dyDescent="0.25">
      <c r="C75" s="2" t="s">
        <v>5</v>
      </c>
      <c r="I75" s="3"/>
      <c r="J75" s="8"/>
      <c r="K75" s="8"/>
      <c r="L75" s="8">
        <f>+$I$20*$L$35*G$47</f>
        <v>0</v>
      </c>
      <c r="Q75" s="11">
        <f t="shared" si="1"/>
        <v>0</v>
      </c>
    </row>
    <row r="76" spans="3:17" outlineLevel="1" x14ac:dyDescent="0.25">
      <c r="C76" s="7" t="s">
        <v>6</v>
      </c>
      <c r="D76" s="28"/>
      <c r="E76" s="28"/>
      <c r="F76" s="28"/>
      <c r="G76" s="28"/>
      <c r="H76" s="28"/>
      <c r="I76" s="28"/>
      <c r="J76" s="37">
        <f>+$J$21*$J$36*D$44</f>
        <v>0</v>
      </c>
      <c r="K76" s="37">
        <f t="shared" ref="K76:M76" si="7">+$J$21*$J$36*E$44</f>
        <v>0</v>
      </c>
      <c r="L76" s="37">
        <f t="shared" si="7"/>
        <v>0</v>
      </c>
      <c r="M76" s="37">
        <f t="shared" si="7"/>
        <v>0</v>
      </c>
      <c r="N76" s="28"/>
      <c r="O76" s="28"/>
      <c r="P76" s="28"/>
      <c r="Q76" s="44">
        <f t="shared" si="1"/>
        <v>0</v>
      </c>
    </row>
    <row r="77" spans="3:17" outlineLevel="1" x14ac:dyDescent="0.25">
      <c r="C77" s="7" t="s">
        <v>6</v>
      </c>
      <c r="J77" s="3"/>
      <c r="K77" s="8">
        <f>+$J$21*$K$36*E$45</f>
        <v>0</v>
      </c>
      <c r="L77" s="8">
        <f t="shared" ref="L77:M77" si="8">+$J$21*$K$36*F$45</f>
        <v>0</v>
      </c>
      <c r="M77" s="8">
        <f t="shared" si="8"/>
        <v>0</v>
      </c>
      <c r="Q77" s="11">
        <f t="shared" si="1"/>
        <v>0</v>
      </c>
    </row>
    <row r="78" spans="3:17" outlineLevel="1" x14ac:dyDescent="0.25">
      <c r="C78" s="7" t="s">
        <v>6</v>
      </c>
      <c r="J78" s="3"/>
      <c r="K78" s="8"/>
      <c r="L78" s="8">
        <f>+$J$21*$L$36*F$46</f>
        <v>0</v>
      </c>
      <c r="M78" s="8">
        <f>+$J$21*$L$36*G$46</f>
        <v>0</v>
      </c>
      <c r="Q78" s="11">
        <f t="shared" si="1"/>
        <v>0</v>
      </c>
    </row>
    <row r="79" spans="3:17" outlineLevel="1" x14ac:dyDescent="0.25">
      <c r="C79" s="7" t="s">
        <v>6</v>
      </c>
      <c r="D79" s="29"/>
      <c r="E79" s="29"/>
      <c r="F79" s="29"/>
      <c r="G79" s="29"/>
      <c r="H79" s="29"/>
      <c r="I79" s="29"/>
      <c r="J79" s="39"/>
      <c r="K79" s="40"/>
      <c r="L79" s="40"/>
      <c r="M79" s="40">
        <f>+$J$21*$M$36*G$47</f>
        <v>0</v>
      </c>
      <c r="N79" s="29"/>
      <c r="O79" s="29"/>
      <c r="P79" s="29"/>
      <c r="Q79" s="47">
        <f t="shared" si="1"/>
        <v>0</v>
      </c>
    </row>
    <row r="80" spans="3:17" outlineLevel="1" x14ac:dyDescent="0.25">
      <c r="C80" s="2" t="s">
        <v>7</v>
      </c>
      <c r="K80" s="8">
        <f>+$K$22*$K$37*D$44</f>
        <v>0</v>
      </c>
      <c r="L80" s="8">
        <f t="shared" ref="L80:N80" si="9">+$K$22*$K$37*E$44</f>
        <v>0</v>
      </c>
      <c r="M80" s="8">
        <f t="shared" si="9"/>
        <v>0</v>
      </c>
      <c r="N80" s="8">
        <f t="shared" si="9"/>
        <v>0</v>
      </c>
      <c r="Q80" s="11">
        <f t="shared" si="1"/>
        <v>0</v>
      </c>
    </row>
    <row r="81" spans="3:17" outlineLevel="1" x14ac:dyDescent="0.25">
      <c r="C81" s="2" t="s">
        <v>7</v>
      </c>
      <c r="K81" s="3"/>
      <c r="L81" s="8">
        <f>+$K$22*$L$37*E$45</f>
        <v>0</v>
      </c>
      <c r="M81" s="8">
        <f t="shared" ref="M81:N81" si="10">+$K$22*$L$37*F$45</f>
        <v>0</v>
      </c>
      <c r="N81" s="8">
        <f t="shared" si="10"/>
        <v>0</v>
      </c>
      <c r="Q81" s="11">
        <f t="shared" si="1"/>
        <v>0</v>
      </c>
    </row>
    <row r="82" spans="3:17" outlineLevel="1" x14ac:dyDescent="0.25">
      <c r="C82" s="2" t="s">
        <v>7</v>
      </c>
      <c r="K82" s="3"/>
      <c r="L82" s="8"/>
      <c r="M82" s="8">
        <f>+$K$22*$M$37*F$46</f>
        <v>0</v>
      </c>
      <c r="N82" s="8">
        <f>+$K$22*$M$37*G$46</f>
        <v>0</v>
      </c>
      <c r="Q82" s="11">
        <f t="shared" si="1"/>
        <v>0</v>
      </c>
    </row>
    <row r="83" spans="3:17" outlineLevel="1" x14ac:dyDescent="0.25">
      <c r="C83" s="2" t="s">
        <v>7</v>
      </c>
      <c r="K83" s="3"/>
      <c r="L83" s="8"/>
      <c r="M83" s="8"/>
      <c r="N83" s="8">
        <f>+$K$22*$N$37*G$47</f>
        <v>0</v>
      </c>
      <c r="Q83" s="11">
        <f t="shared" si="1"/>
        <v>0</v>
      </c>
    </row>
    <row r="84" spans="3:17" outlineLevel="1" x14ac:dyDescent="0.25">
      <c r="C84" s="7" t="s">
        <v>8</v>
      </c>
      <c r="D84" s="28"/>
      <c r="E84" s="28"/>
      <c r="F84" s="28"/>
      <c r="G84" s="28"/>
      <c r="H84" s="28"/>
      <c r="I84" s="28"/>
      <c r="J84" s="28"/>
      <c r="K84" s="28"/>
      <c r="L84" s="37">
        <f>+$L$23*$L$38*D$44</f>
        <v>0</v>
      </c>
      <c r="M84" s="37">
        <f t="shared" ref="M84:O84" si="11">+$L$23*$L$38*E$44</f>
        <v>0</v>
      </c>
      <c r="N84" s="37">
        <f t="shared" si="11"/>
        <v>0</v>
      </c>
      <c r="O84" s="37">
        <f t="shared" si="11"/>
        <v>0</v>
      </c>
      <c r="P84" s="28"/>
      <c r="Q84" s="44">
        <f t="shared" si="1"/>
        <v>0</v>
      </c>
    </row>
    <row r="85" spans="3:17" outlineLevel="1" x14ac:dyDescent="0.25">
      <c r="C85" s="7" t="s">
        <v>8</v>
      </c>
      <c r="L85" s="3"/>
      <c r="M85" s="8">
        <f>+$L$23*$M$38*E$45</f>
        <v>0</v>
      </c>
      <c r="N85" s="8">
        <f t="shared" ref="N85:O85" si="12">+$L$23*$M$38*F$45</f>
        <v>0</v>
      </c>
      <c r="O85" s="8">
        <f t="shared" si="12"/>
        <v>0</v>
      </c>
      <c r="Q85" s="11">
        <f t="shared" si="1"/>
        <v>0</v>
      </c>
    </row>
    <row r="86" spans="3:17" outlineLevel="1" x14ac:dyDescent="0.25">
      <c r="C86" s="7" t="s">
        <v>8</v>
      </c>
      <c r="L86" s="3"/>
      <c r="M86" s="8"/>
      <c r="N86" s="8">
        <f>+$L$23*$N$38*F$46</f>
        <v>0</v>
      </c>
      <c r="O86" s="8">
        <f>+$L$23*$N$38*G$46</f>
        <v>0</v>
      </c>
      <c r="Q86" s="11">
        <f t="shared" si="1"/>
        <v>0</v>
      </c>
    </row>
    <row r="87" spans="3:17" outlineLevel="1" x14ac:dyDescent="0.25">
      <c r="C87" s="7" t="s">
        <v>8</v>
      </c>
      <c r="D87" s="29"/>
      <c r="E87" s="29"/>
      <c r="F87" s="29"/>
      <c r="G87" s="29"/>
      <c r="H87" s="29"/>
      <c r="I87" s="29"/>
      <c r="J87" s="29"/>
      <c r="K87" s="29"/>
      <c r="L87" s="39"/>
      <c r="M87" s="40"/>
      <c r="N87" s="40"/>
      <c r="O87" s="40">
        <f>+$L$23*$O$38*G$47</f>
        <v>0</v>
      </c>
      <c r="P87" s="29"/>
      <c r="Q87" s="47">
        <f t="shared" si="1"/>
        <v>0</v>
      </c>
    </row>
    <row r="88" spans="3:17" outlineLevel="1" x14ac:dyDescent="0.25">
      <c r="C88" s="2" t="s">
        <v>9</v>
      </c>
      <c r="D88" s="28"/>
      <c r="E88" s="28"/>
      <c r="F88" s="28"/>
      <c r="G88" s="28"/>
      <c r="H88" s="28"/>
      <c r="I88" s="28"/>
      <c r="J88" s="28"/>
      <c r="K88" s="28"/>
      <c r="L88" s="28"/>
      <c r="M88" s="37">
        <f>+$M$24*$M$39*D$44</f>
        <v>0</v>
      </c>
      <c r="N88" s="37">
        <f t="shared" ref="N88:P88" si="13">+$M$24*$M$39*E$44</f>
        <v>0</v>
      </c>
      <c r="O88" s="37">
        <f t="shared" si="13"/>
        <v>0</v>
      </c>
      <c r="P88" s="37">
        <f t="shared" si="13"/>
        <v>0</v>
      </c>
      <c r="Q88" s="44">
        <f t="shared" si="1"/>
        <v>0</v>
      </c>
    </row>
    <row r="89" spans="3:17" outlineLevel="1" x14ac:dyDescent="0.25">
      <c r="C89" s="2" t="s">
        <v>9</v>
      </c>
      <c r="M89" s="3"/>
      <c r="N89" s="8">
        <f>+$M$24*$N$39*E$45</f>
        <v>0</v>
      </c>
      <c r="O89" s="8">
        <f t="shared" ref="O89:P89" si="14">+$M$24*$N$39*F$45</f>
        <v>0</v>
      </c>
      <c r="P89" s="8">
        <f t="shared" si="14"/>
        <v>0</v>
      </c>
      <c r="Q89" s="11">
        <f t="shared" si="1"/>
        <v>0</v>
      </c>
    </row>
    <row r="90" spans="3:17" outlineLevel="1" x14ac:dyDescent="0.25">
      <c r="C90" s="2" t="s">
        <v>9</v>
      </c>
      <c r="M90" s="3"/>
      <c r="N90" s="8"/>
      <c r="O90" s="8">
        <f>+$M$24*$O$39*F$46</f>
        <v>0</v>
      </c>
      <c r="P90" s="8">
        <f>+$M$24*$O$39*G$46</f>
        <v>0</v>
      </c>
      <c r="Q90" s="11">
        <f t="shared" si="1"/>
        <v>0</v>
      </c>
    </row>
    <row r="91" spans="3:17" outlineLevel="1" x14ac:dyDescent="0.25">
      <c r="C91" s="2" t="s">
        <v>9</v>
      </c>
      <c r="D91" s="29"/>
      <c r="E91" s="29"/>
      <c r="F91" s="29"/>
      <c r="G91" s="29"/>
      <c r="H91" s="29"/>
      <c r="I91" s="29"/>
      <c r="J91" s="29"/>
      <c r="K91" s="29"/>
      <c r="L91" s="29"/>
      <c r="M91" s="39"/>
      <c r="N91" s="40"/>
      <c r="O91" s="40"/>
      <c r="P91" s="40">
        <f>+$M$24*$P$39*G$47</f>
        <v>0</v>
      </c>
      <c r="Q91" s="47">
        <f t="shared" si="1"/>
        <v>0</v>
      </c>
    </row>
    <row r="92" spans="3:17" x14ac:dyDescent="0.25">
      <c r="D92" s="69">
        <f>SUM(D52:D91)</f>
        <v>0</v>
      </c>
      <c r="E92" s="69">
        <f t="shared" ref="E92:M92" si="15">SUM(E52:E91)</f>
        <v>0</v>
      </c>
      <c r="F92" s="69">
        <f t="shared" si="15"/>
        <v>12.666666666666666</v>
      </c>
      <c r="G92" s="69">
        <f t="shared" si="15"/>
        <v>22.166666666666664</v>
      </c>
      <c r="H92" s="69">
        <f t="shared" si="15"/>
        <v>41.166666666666664</v>
      </c>
      <c r="I92" s="69">
        <f t="shared" si="15"/>
        <v>114</v>
      </c>
      <c r="J92" s="69">
        <f t="shared" si="15"/>
        <v>0</v>
      </c>
      <c r="K92" s="69">
        <f t="shared" si="15"/>
        <v>0</v>
      </c>
      <c r="L92" s="69">
        <f t="shared" si="15"/>
        <v>0</v>
      </c>
      <c r="M92" s="69">
        <f t="shared" si="15"/>
        <v>0</v>
      </c>
      <c r="N92" s="8"/>
      <c r="O92" s="8"/>
      <c r="P92" s="8"/>
      <c r="Q92" s="11"/>
    </row>
    <row r="94" spans="3:17" x14ac:dyDescent="0.25">
      <c r="C94" s="4" t="s">
        <v>25</v>
      </c>
      <c r="F94" s="142">
        <v>0.2</v>
      </c>
    </row>
    <row r="95" spans="3:17" ht="5.25" customHeight="1" x14ac:dyDescent="0.25">
      <c r="C95" s="4"/>
    </row>
    <row r="96" spans="3:17" ht="17.25" customHeight="1" x14ac:dyDescent="0.25">
      <c r="C96" s="4" t="s">
        <v>24</v>
      </c>
      <c r="F96" s="142">
        <v>0.2</v>
      </c>
    </row>
    <row r="97" spans="3:13" ht="5.25" customHeight="1" x14ac:dyDescent="0.25">
      <c r="C97" s="4"/>
    </row>
    <row r="98" spans="3:13" ht="15" customHeight="1" x14ac:dyDescent="0.25">
      <c r="C98" s="4" t="s">
        <v>26</v>
      </c>
      <c r="F98">
        <v>1</v>
      </c>
      <c r="G98" s="4" t="s">
        <v>27</v>
      </c>
    </row>
    <row r="99" spans="3:13" ht="4.5" customHeight="1" x14ac:dyDescent="0.25">
      <c r="C99" s="4"/>
      <c r="G99" s="4"/>
    </row>
    <row r="100" spans="3:13" x14ac:dyDescent="0.25">
      <c r="D100" s="2" t="s">
        <v>0</v>
      </c>
      <c r="E100" s="2" t="s">
        <v>1</v>
      </c>
      <c r="F100" s="2" t="s">
        <v>2</v>
      </c>
      <c r="G100" s="2" t="s">
        <v>3</v>
      </c>
      <c r="H100" s="2" t="s">
        <v>4</v>
      </c>
      <c r="I100" s="2" t="s">
        <v>5</v>
      </c>
      <c r="J100" s="2" t="s">
        <v>6</v>
      </c>
      <c r="K100" s="2" t="s">
        <v>7</v>
      </c>
      <c r="L100" s="2" t="s">
        <v>8</v>
      </c>
      <c r="M100" s="2" t="s">
        <v>9</v>
      </c>
    </row>
    <row r="101" spans="3:13" x14ac:dyDescent="0.25">
      <c r="C101" s="48" t="s">
        <v>28</v>
      </c>
      <c r="D101" s="70">
        <f>-$F$94*$F$96*D104</f>
        <v>0</v>
      </c>
      <c r="E101" s="70">
        <f t="shared" ref="E101:M101" si="16">-$F$94*$F$96*E104</f>
        <v>0</v>
      </c>
      <c r="F101" s="70">
        <f t="shared" si="16"/>
        <v>-0.50666666666666671</v>
      </c>
      <c r="G101" s="70">
        <f t="shared" si="16"/>
        <v>-0.88666666666666671</v>
      </c>
      <c r="H101" s="28">
        <f t="shared" si="16"/>
        <v>-1.6466666666666669</v>
      </c>
      <c r="I101" s="28">
        <f t="shared" si="16"/>
        <v>-4.5600000000000005</v>
      </c>
      <c r="J101" s="28">
        <f t="shared" si="16"/>
        <v>0</v>
      </c>
      <c r="K101" s="28">
        <f t="shared" si="16"/>
        <v>0</v>
      </c>
      <c r="L101" s="28">
        <f t="shared" si="16"/>
        <v>0</v>
      </c>
      <c r="M101" s="28">
        <f t="shared" si="16"/>
        <v>0</v>
      </c>
    </row>
    <row r="102" spans="3:13" x14ac:dyDescent="0.25">
      <c r="C102" s="49" t="s">
        <v>29</v>
      </c>
      <c r="D102" s="29">
        <f>-$F$94*$F$96*D25</f>
        <v>0</v>
      </c>
      <c r="E102" s="29">
        <f t="shared" ref="E102:M102" si="17">-$F$94*$F$96*E25</f>
        <v>0</v>
      </c>
      <c r="F102" s="29">
        <f t="shared" si="17"/>
        <v>-7.6000000000000014</v>
      </c>
      <c r="G102" s="29">
        <f t="shared" si="17"/>
        <v>0</v>
      </c>
      <c r="H102" s="29">
        <f t="shared" si="17"/>
        <v>0</v>
      </c>
      <c r="I102" s="29">
        <f t="shared" si="17"/>
        <v>0</v>
      </c>
      <c r="J102" s="29">
        <f t="shared" si="17"/>
        <v>0</v>
      </c>
      <c r="K102" s="29">
        <f t="shared" si="17"/>
        <v>0</v>
      </c>
      <c r="L102" s="29">
        <f t="shared" si="17"/>
        <v>0</v>
      </c>
      <c r="M102" s="29">
        <f t="shared" si="17"/>
        <v>0</v>
      </c>
    </row>
    <row r="104" spans="3:13" x14ac:dyDescent="0.25">
      <c r="C104" s="50" t="s">
        <v>16</v>
      </c>
      <c r="D104" s="51">
        <f>+D92</f>
        <v>0</v>
      </c>
      <c r="E104" s="51">
        <f t="shared" ref="E104:M104" si="18">+E92</f>
        <v>0</v>
      </c>
      <c r="F104" s="51">
        <f t="shared" si="18"/>
        <v>12.666666666666666</v>
      </c>
      <c r="G104" s="51">
        <f t="shared" si="18"/>
        <v>22.166666666666664</v>
      </c>
      <c r="H104" s="51">
        <f t="shared" si="18"/>
        <v>41.166666666666664</v>
      </c>
      <c r="I104" s="51">
        <f t="shared" si="18"/>
        <v>114</v>
      </c>
      <c r="J104" s="51">
        <f t="shared" si="18"/>
        <v>0</v>
      </c>
      <c r="K104" s="51">
        <f t="shared" si="18"/>
        <v>0</v>
      </c>
      <c r="L104" s="51">
        <f t="shared" si="18"/>
        <v>0</v>
      </c>
      <c r="M104" s="51">
        <f t="shared" si="18"/>
        <v>0</v>
      </c>
    </row>
    <row r="105" spans="3:13" x14ac:dyDescent="0.25">
      <c r="C105" s="71" t="s">
        <v>17</v>
      </c>
      <c r="D105" s="72"/>
      <c r="E105" s="73">
        <f t="shared" ref="E105:M105" si="19">IFERROR(E104/D104-1,0)</f>
        <v>0</v>
      </c>
      <c r="F105" s="73">
        <f t="shared" si="19"/>
        <v>0</v>
      </c>
      <c r="G105" s="73">
        <f t="shared" si="19"/>
        <v>0.75</v>
      </c>
      <c r="H105" s="73">
        <f t="shared" si="19"/>
        <v>0.85714285714285721</v>
      </c>
      <c r="I105" s="73">
        <f t="shared" si="19"/>
        <v>1.7692307692307696</v>
      </c>
      <c r="J105" s="73">
        <f t="shared" si="19"/>
        <v>-1</v>
      </c>
      <c r="K105" s="73">
        <f t="shared" si="19"/>
        <v>0</v>
      </c>
      <c r="L105" s="73">
        <f t="shared" si="19"/>
        <v>0</v>
      </c>
      <c r="M105" s="73">
        <f t="shared" si="19"/>
        <v>0</v>
      </c>
    </row>
    <row r="106" spans="3:13" x14ac:dyDescent="0.25">
      <c r="C106" s="13" t="s">
        <v>18</v>
      </c>
      <c r="D106" s="1">
        <f>-D107*D104</f>
        <v>0</v>
      </c>
      <c r="E106" s="1">
        <f t="shared" ref="E106:M106" si="20">-E107*E104</f>
        <v>0</v>
      </c>
      <c r="F106" s="1">
        <f t="shared" si="20"/>
        <v>-0.5066666666666666</v>
      </c>
      <c r="G106" s="1">
        <f t="shared" si="20"/>
        <v>-0.8866666666666666</v>
      </c>
      <c r="H106" s="1">
        <f t="shared" si="20"/>
        <v>-1.6466666666666665</v>
      </c>
      <c r="I106" s="1">
        <f t="shared" si="20"/>
        <v>-4.5600000000000005</v>
      </c>
      <c r="J106" s="1">
        <f t="shared" si="20"/>
        <v>0</v>
      </c>
      <c r="K106" s="1">
        <f t="shared" si="20"/>
        <v>0</v>
      </c>
      <c r="L106" s="1">
        <f t="shared" si="20"/>
        <v>0</v>
      </c>
      <c r="M106" s="1">
        <f t="shared" si="20"/>
        <v>0</v>
      </c>
    </row>
    <row r="107" spans="3:13" x14ac:dyDescent="0.25">
      <c r="C107" s="15" t="s">
        <v>19</v>
      </c>
      <c r="D107" s="143">
        <v>0.04</v>
      </c>
      <c r="E107" s="75">
        <f>+D107</f>
        <v>0.04</v>
      </c>
      <c r="F107" s="75">
        <f t="shared" ref="F107:M107" si="21">+E107</f>
        <v>0.04</v>
      </c>
      <c r="G107" s="75">
        <f t="shared" si="21"/>
        <v>0.04</v>
      </c>
      <c r="H107" s="75">
        <f t="shared" si="21"/>
        <v>0.04</v>
      </c>
      <c r="I107" s="75">
        <f t="shared" si="21"/>
        <v>0.04</v>
      </c>
      <c r="J107" s="75">
        <f t="shared" si="21"/>
        <v>0.04</v>
      </c>
      <c r="K107" s="75">
        <f t="shared" si="21"/>
        <v>0.04</v>
      </c>
      <c r="L107" s="75">
        <f t="shared" si="21"/>
        <v>0.04</v>
      </c>
      <c r="M107" s="75">
        <f t="shared" si="21"/>
        <v>0.04</v>
      </c>
    </row>
    <row r="108" spans="3:13" ht="6.75" customHeight="1" x14ac:dyDescent="0.25">
      <c r="C108" s="13"/>
    </row>
    <row r="109" spans="3:13" x14ac:dyDescent="0.25">
      <c r="C109" s="50" t="s">
        <v>20</v>
      </c>
      <c r="D109" s="51">
        <f>+D104+D106</f>
        <v>0</v>
      </c>
      <c r="E109" s="51">
        <f t="shared" ref="E109:M109" si="22">+E104+E106</f>
        <v>0</v>
      </c>
      <c r="F109" s="51">
        <f t="shared" si="22"/>
        <v>12.16</v>
      </c>
      <c r="G109" s="51">
        <f t="shared" si="22"/>
        <v>21.279999999999998</v>
      </c>
      <c r="H109" s="51">
        <f t="shared" si="22"/>
        <v>39.519999999999996</v>
      </c>
      <c r="I109" s="51">
        <f t="shared" si="22"/>
        <v>109.44</v>
      </c>
      <c r="J109" s="51">
        <f t="shared" si="22"/>
        <v>0</v>
      </c>
      <c r="K109" s="51">
        <f t="shared" si="22"/>
        <v>0</v>
      </c>
      <c r="L109" s="51">
        <f t="shared" si="22"/>
        <v>0</v>
      </c>
      <c r="M109" s="51">
        <f t="shared" si="22"/>
        <v>0</v>
      </c>
    </row>
    <row r="110" spans="3:13" x14ac:dyDescent="0.25">
      <c r="C110" s="13"/>
    </row>
    <row r="111" spans="3:13" x14ac:dyDescent="0.25">
      <c r="C111" s="50" t="s">
        <v>21</v>
      </c>
      <c r="D111" s="51">
        <f>D112+D113</f>
        <v>0</v>
      </c>
      <c r="E111" s="51">
        <f t="shared" ref="E111:M111" si="23">E112+E113</f>
        <v>0</v>
      </c>
      <c r="F111" s="51">
        <f t="shared" si="23"/>
        <v>-8.1066666666666674</v>
      </c>
      <c r="G111" s="51">
        <f t="shared" si="23"/>
        <v>-27.486666666666668</v>
      </c>
      <c r="H111" s="51">
        <f t="shared" si="23"/>
        <v>-41.546666666666667</v>
      </c>
      <c r="I111" s="51">
        <f t="shared" si="23"/>
        <v>-4.5600000000000005</v>
      </c>
      <c r="J111" s="51">
        <f t="shared" si="23"/>
        <v>0</v>
      </c>
      <c r="K111" s="51">
        <f t="shared" si="23"/>
        <v>0</v>
      </c>
      <c r="L111" s="51">
        <f t="shared" si="23"/>
        <v>0</v>
      </c>
      <c r="M111" s="51">
        <f t="shared" si="23"/>
        <v>0</v>
      </c>
    </row>
    <row r="112" spans="3:13" x14ac:dyDescent="0.25">
      <c r="C112" s="16" t="s">
        <v>22</v>
      </c>
      <c r="D112" s="55">
        <f>+D101+D102</f>
        <v>0</v>
      </c>
      <c r="E112" s="55">
        <f t="shared" ref="E112:M112" si="24">+E101+E102</f>
        <v>0</v>
      </c>
      <c r="F112" s="55">
        <f t="shared" si="24"/>
        <v>-8.1066666666666674</v>
      </c>
      <c r="G112" s="55">
        <f t="shared" si="24"/>
        <v>-0.88666666666666671</v>
      </c>
      <c r="H112" s="55">
        <f t="shared" si="24"/>
        <v>-1.6466666666666669</v>
      </c>
      <c r="I112" s="55">
        <f t="shared" si="24"/>
        <v>-4.5600000000000005</v>
      </c>
      <c r="J112" s="55">
        <f t="shared" si="24"/>
        <v>0</v>
      </c>
      <c r="K112" s="55">
        <f t="shared" si="24"/>
        <v>0</v>
      </c>
      <c r="L112" s="55">
        <f t="shared" si="24"/>
        <v>0</v>
      </c>
      <c r="M112" s="55">
        <f t="shared" si="24"/>
        <v>0</v>
      </c>
    </row>
    <row r="113" spans="3:13" x14ac:dyDescent="0.25">
      <c r="C113" s="52" t="s">
        <v>23</v>
      </c>
      <c r="D113" s="53">
        <f>+D134</f>
        <v>0</v>
      </c>
      <c r="E113" s="53">
        <f t="shared" ref="E113:M113" si="25">+E134</f>
        <v>0</v>
      </c>
      <c r="F113" s="53">
        <f t="shared" si="25"/>
        <v>0</v>
      </c>
      <c r="G113" s="53">
        <f t="shared" si="25"/>
        <v>-26.6</v>
      </c>
      <c r="H113" s="53">
        <f t="shared" si="25"/>
        <v>-39.9</v>
      </c>
      <c r="I113" s="53">
        <f t="shared" si="25"/>
        <v>0</v>
      </c>
      <c r="J113" s="53">
        <f t="shared" si="25"/>
        <v>0</v>
      </c>
      <c r="K113" s="53">
        <f t="shared" si="25"/>
        <v>0</v>
      </c>
      <c r="L113" s="53">
        <f t="shared" si="25"/>
        <v>0</v>
      </c>
      <c r="M113" s="53">
        <f t="shared" si="25"/>
        <v>0</v>
      </c>
    </row>
    <row r="114" spans="3:13" x14ac:dyDescent="0.25">
      <c r="C114" s="16"/>
    </row>
    <row r="115" spans="3:13" x14ac:dyDescent="0.25">
      <c r="C115" s="16"/>
      <c r="D115" s="144">
        <v>0.35</v>
      </c>
      <c r="E115" s="56" t="s">
        <v>33</v>
      </c>
    </row>
    <row r="116" spans="3:13" ht="5.25" customHeight="1" x14ac:dyDescent="0.25">
      <c r="C116" s="16"/>
    </row>
    <row r="117" spans="3:13" x14ac:dyDescent="0.25">
      <c r="C117" s="16"/>
      <c r="D117" s="5" t="s">
        <v>30</v>
      </c>
      <c r="E117" s="12" t="s">
        <v>31</v>
      </c>
    </row>
    <row r="118" spans="3:13" x14ac:dyDescent="0.25">
      <c r="D118" s="145">
        <v>0.4</v>
      </c>
      <c r="E118" s="145">
        <v>0.6</v>
      </c>
      <c r="F118" s="4" t="s">
        <v>32</v>
      </c>
    </row>
    <row r="119" spans="3:13" ht="4.5" customHeight="1" x14ac:dyDescent="0.25">
      <c r="D119" s="17"/>
      <c r="E119" s="17"/>
    </row>
    <row r="120" spans="3:13" ht="15" customHeight="1" x14ac:dyDescent="0.25">
      <c r="C120" s="4" t="s">
        <v>49</v>
      </c>
      <c r="D120" s="17"/>
      <c r="E120" s="17"/>
    </row>
    <row r="121" spans="3:13" ht="4.5" customHeight="1" x14ac:dyDescent="0.25">
      <c r="D121" s="17"/>
      <c r="E121" s="17"/>
    </row>
    <row r="122" spans="3:13" x14ac:dyDescent="0.25">
      <c r="D122" s="2" t="s">
        <v>0</v>
      </c>
      <c r="E122" s="2" t="s">
        <v>1</v>
      </c>
      <c r="F122" s="2" t="s">
        <v>2</v>
      </c>
      <c r="G122" s="2" t="s">
        <v>3</v>
      </c>
      <c r="H122" s="2" t="s">
        <v>4</v>
      </c>
      <c r="I122" s="2" t="s">
        <v>5</v>
      </c>
      <c r="J122" s="2" t="s">
        <v>6</v>
      </c>
      <c r="K122" s="2" t="s">
        <v>7</v>
      </c>
      <c r="L122" s="2" t="s">
        <v>8</v>
      </c>
      <c r="M122" s="2" t="s">
        <v>9</v>
      </c>
    </row>
    <row r="123" spans="3:13" outlineLevel="1" x14ac:dyDescent="0.25">
      <c r="C123" s="2" t="s">
        <v>0</v>
      </c>
      <c r="D123" s="61"/>
      <c r="E123" s="57">
        <f>-D15*$D$115*$D$118</f>
        <v>0</v>
      </c>
      <c r="F123" s="57">
        <f>-D15*$D$115*$E$118</f>
        <v>0</v>
      </c>
      <c r="G123" s="28"/>
      <c r="H123" s="28"/>
      <c r="I123" s="28"/>
      <c r="J123" s="28"/>
      <c r="K123" s="28"/>
      <c r="L123" s="28"/>
      <c r="M123" s="28"/>
    </row>
    <row r="124" spans="3:13" outlineLevel="1" x14ac:dyDescent="0.25">
      <c r="C124" s="2" t="s">
        <v>1</v>
      </c>
      <c r="E124" s="61"/>
      <c r="F124" s="21">
        <f>-E16*$D$115*$D$118</f>
        <v>0</v>
      </c>
      <c r="G124" s="21">
        <f>-E16*$D$115*$E$118</f>
        <v>0</v>
      </c>
    </row>
    <row r="125" spans="3:13" outlineLevel="1" x14ac:dyDescent="0.25">
      <c r="C125" s="2" t="s">
        <v>2</v>
      </c>
      <c r="F125" s="61"/>
      <c r="G125" s="21">
        <f>-F17*$D$115*$D$118</f>
        <v>-26.6</v>
      </c>
      <c r="H125" s="21">
        <f>-F17*$D$115*$E$118</f>
        <v>-39.9</v>
      </c>
    </row>
    <row r="126" spans="3:13" outlineLevel="1" x14ac:dyDescent="0.25">
      <c r="C126" s="2" t="s">
        <v>3</v>
      </c>
      <c r="G126" s="61"/>
      <c r="H126" s="21">
        <f>-G18*$D$115*$D$118</f>
        <v>0</v>
      </c>
      <c r="I126" s="21">
        <f>-G18*$D$115*$E$118</f>
        <v>0</v>
      </c>
    </row>
    <row r="127" spans="3:13" outlineLevel="1" x14ac:dyDescent="0.25">
      <c r="C127" s="2" t="s">
        <v>4</v>
      </c>
      <c r="H127" s="61"/>
      <c r="I127" s="21">
        <f>-H19*$D$115*$D$118</f>
        <v>0</v>
      </c>
      <c r="J127" s="21">
        <f>-H19*$D$115*$E$118</f>
        <v>0</v>
      </c>
    </row>
    <row r="128" spans="3:13" outlineLevel="1" x14ac:dyDescent="0.25">
      <c r="C128" s="2" t="s">
        <v>5</v>
      </c>
      <c r="I128" s="61"/>
      <c r="J128" s="21">
        <f>-I20*$D$115*$D$118</f>
        <v>0</v>
      </c>
      <c r="K128" s="21">
        <f>-I20*$D$115*$E$118</f>
        <v>0</v>
      </c>
    </row>
    <row r="129" spans="3:14" outlineLevel="1" x14ac:dyDescent="0.25">
      <c r="C129" s="2" t="s">
        <v>6</v>
      </c>
      <c r="J129" s="61"/>
      <c r="K129" s="21">
        <f>-J21*$D$115*$D$118</f>
        <v>0</v>
      </c>
      <c r="L129" s="21">
        <f>-J21*$D$115*$E$118</f>
        <v>0</v>
      </c>
    </row>
    <row r="130" spans="3:14" outlineLevel="1" x14ac:dyDescent="0.25">
      <c r="C130" s="2" t="s">
        <v>7</v>
      </c>
      <c r="K130" s="61"/>
      <c r="L130" s="21">
        <f>-K22*$D$115*$D$118</f>
        <v>0</v>
      </c>
      <c r="M130" s="21">
        <f>-K22*$D$115*$E$118</f>
        <v>0</v>
      </c>
    </row>
    <row r="131" spans="3:14" outlineLevel="1" x14ac:dyDescent="0.25">
      <c r="C131" s="2" t="s">
        <v>8</v>
      </c>
      <c r="L131" s="61"/>
      <c r="M131" s="21">
        <f>-L23*$D$115*$D$118</f>
        <v>0</v>
      </c>
      <c r="N131" s="21"/>
    </row>
    <row r="132" spans="3:14" outlineLevel="1" x14ac:dyDescent="0.25">
      <c r="C132" s="2" t="s">
        <v>9</v>
      </c>
      <c r="D132" s="29"/>
      <c r="E132" s="29"/>
      <c r="F132" s="29"/>
      <c r="G132" s="29"/>
      <c r="H132" s="29"/>
      <c r="I132" s="29"/>
      <c r="J132" s="29"/>
      <c r="K132" s="29"/>
      <c r="L132" s="29"/>
      <c r="M132" s="128"/>
    </row>
    <row r="133" spans="3:14" outlineLevel="1" x14ac:dyDescent="0.25"/>
    <row r="134" spans="3:14" x14ac:dyDescent="0.25">
      <c r="C134" s="2" t="s">
        <v>34</v>
      </c>
      <c r="D134" s="58">
        <f>SUM(D123:D132)</f>
        <v>0</v>
      </c>
      <c r="E134" s="58">
        <f t="shared" ref="E134:M134" si="26">SUM(E123:E132)</f>
        <v>0</v>
      </c>
      <c r="F134" s="58">
        <f t="shared" si="26"/>
        <v>0</v>
      </c>
      <c r="G134" s="58">
        <f t="shared" si="26"/>
        <v>-26.6</v>
      </c>
      <c r="H134" s="58">
        <f t="shared" si="26"/>
        <v>-39.9</v>
      </c>
      <c r="I134" s="58">
        <f t="shared" si="26"/>
        <v>0</v>
      </c>
      <c r="J134" s="58">
        <f t="shared" si="26"/>
        <v>0</v>
      </c>
      <c r="K134" s="58">
        <f t="shared" si="26"/>
        <v>0</v>
      </c>
      <c r="L134" s="58">
        <f t="shared" si="26"/>
        <v>0</v>
      </c>
      <c r="M134" s="58">
        <f t="shared" si="26"/>
        <v>0</v>
      </c>
    </row>
    <row r="135" spans="3:14" x14ac:dyDescent="0.25"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spans="3:14" x14ac:dyDescent="0.25">
      <c r="C136" s="27" t="s">
        <v>46</v>
      </c>
      <c r="D136" s="59">
        <f>+D134*(1-$D$138)</f>
        <v>0</v>
      </c>
      <c r="E136" s="59">
        <f t="shared" ref="E136:M136" si="27">+E134*(1-$D$138)</f>
        <v>0</v>
      </c>
      <c r="F136" s="59">
        <f t="shared" si="27"/>
        <v>0</v>
      </c>
      <c r="G136" s="59">
        <f t="shared" si="27"/>
        <v>-3.9900000000000007</v>
      </c>
      <c r="H136" s="59">
        <f t="shared" si="27"/>
        <v>-5.9850000000000003</v>
      </c>
      <c r="I136" s="59">
        <f t="shared" si="27"/>
        <v>0</v>
      </c>
      <c r="J136" s="59">
        <f t="shared" si="27"/>
        <v>0</v>
      </c>
      <c r="K136" s="59">
        <f t="shared" si="27"/>
        <v>0</v>
      </c>
      <c r="L136" s="59">
        <f t="shared" si="27"/>
        <v>0</v>
      </c>
      <c r="M136" s="59">
        <f t="shared" si="27"/>
        <v>0</v>
      </c>
    </row>
    <row r="138" spans="3:14" x14ac:dyDescent="0.25">
      <c r="C138" s="14" t="s">
        <v>35</v>
      </c>
      <c r="D138" s="145">
        <v>0.85</v>
      </c>
    </row>
    <row r="139" spans="3:14" x14ac:dyDescent="0.25">
      <c r="C139" s="27" t="s">
        <v>36</v>
      </c>
      <c r="D139" s="145">
        <v>8.5000000000000006E-2</v>
      </c>
      <c r="E139" t="s">
        <v>37</v>
      </c>
    </row>
    <row r="141" spans="3:14" x14ac:dyDescent="0.25">
      <c r="C141" s="23" t="s">
        <v>35</v>
      </c>
      <c r="D141" s="60"/>
      <c r="E141" s="59">
        <f>-E134*$D$138</f>
        <v>0</v>
      </c>
      <c r="F141" s="59">
        <f t="shared" ref="F141:M141" si="28">-F134*$D$138</f>
        <v>0</v>
      </c>
      <c r="G141" s="59">
        <f t="shared" si="28"/>
        <v>22.61</v>
      </c>
      <c r="H141" s="59">
        <f t="shared" si="28"/>
        <v>33.914999999999999</v>
      </c>
      <c r="I141" s="59">
        <f t="shared" si="28"/>
        <v>0</v>
      </c>
      <c r="J141" s="59">
        <f t="shared" si="28"/>
        <v>0</v>
      </c>
      <c r="K141" s="59">
        <f t="shared" si="28"/>
        <v>0</v>
      </c>
      <c r="L141" s="59">
        <f t="shared" si="28"/>
        <v>0</v>
      </c>
      <c r="M141" s="59">
        <f t="shared" si="28"/>
        <v>0</v>
      </c>
    </row>
    <row r="142" spans="3:14" x14ac:dyDescent="0.25">
      <c r="C142" s="23" t="s">
        <v>38</v>
      </c>
      <c r="D142" s="60"/>
      <c r="E142" s="59">
        <f>+E158</f>
        <v>0</v>
      </c>
      <c r="F142" s="59">
        <f t="shared" ref="F142:M142" si="29">+F158</f>
        <v>0</v>
      </c>
      <c r="G142" s="59">
        <f t="shared" si="29"/>
        <v>0</v>
      </c>
      <c r="H142" s="59">
        <f t="shared" si="29"/>
        <v>0</v>
      </c>
      <c r="I142" s="59">
        <f t="shared" si="29"/>
        <v>-74.605684999999994</v>
      </c>
      <c r="J142" s="59">
        <f t="shared" si="29"/>
        <v>0</v>
      </c>
      <c r="K142" s="59">
        <f t="shared" si="29"/>
        <v>0</v>
      </c>
      <c r="L142" s="59">
        <f t="shared" si="29"/>
        <v>0</v>
      </c>
      <c r="M142" s="59">
        <f t="shared" si="29"/>
        <v>0</v>
      </c>
    </row>
    <row r="144" spans="3:14" x14ac:dyDescent="0.25">
      <c r="D144" s="26" t="s">
        <v>50</v>
      </c>
    </row>
    <row r="146" spans="3:15" x14ac:dyDescent="0.25">
      <c r="D146" s="2" t="s">
        <v>0</v>
      </c>
      <c r="E146" s="2" t="s">
        <v>1</v>
      </c>
      <c r="F146" s="2" t="s">
        <v>2</v>
      </c>
      <c r="G146" s="2" t="s">
        <v>3</v>
      </c>
      <c r="H146" s="2" t="s">
        <v>4</v>
      </c>
      <c r="I146" s="2" t="s">
        <v>5</v>
      </c>
      <c r="J146" s="2" t="s">
        <v>6</v>
      </c>
      <c r="K146" s="2" t="s">
        <v>7</v>
      </c>
      <c r="L146" s="2" t="s">
        <v>8</v>
      </c>
      <c r="M146" s="2" t="s">
        <v>9</v>
      </c>
    </row>
    <row r="147" spans="3:15" outlineLevel="1" x14ac:dyDescent="0.25">
      <c r="C147" s="2" t="s">
        <v>0</v>
      </c>
      <c r="D147" s="129"/>
      <c r="E147" s="61"/>
      <c r="F147" s="61"/>
      <c r="G147" s="57">
        <f>(E123*(1+$D$139)^2)+(F123*(1+$D$139)^1)</f>
        <v>0</v>
      </c>
      <c r="H147" s="62"/>
      <c r="I147" s="62"/>
      <c r="J147" s="62"/>
      <c r="K147" s="62"/>
      <c r="L147" s="62"/>
      <c r="M147" s="62"/>
      <c r="N147" s="62"/>
      <c r="O147" s="62"/>
    </row>
    <row r="148" spans="3:15" outlineLevel="1" x14ac:dyDescent="0.25">
      <c r="C148" s="2" t="s">
        <v>1</v>
      </c>
      <c r="E148" s="129"/>
      <c r="F148" s="63"/>
      <c r="G148" s="63"/>
      <c r="H148" s="21">
        <f>(F124*(1+$D$139)^2)+(G124*(1+$D$139)^1)</f>
        <v>0</v>
      </c>
      <c r="I148" s="54"/>
      <c r="J148" s="54"/>
      <c r="K148" s="54"/>
      <c r="L148" s="54"/>
      <c r="M148" s="54"/>
      <c r="N148" s="54"/>
      <c r="O148" s="54"/>
    </row>
    <row r="149" spans="3:15" outlineLevel="1" x14ac:dyDescent="0.25">
      <c r="C149" s="2" t="s">
        <v>2</v>
      </c>
      <c r="F149" s="129"/>
      <c r="G149" s="63"/>
      <c r="H149" s="63"/>
      <c r="I149" s="21">
        <f>(G125*(1+$D$139)^2)+(H125*(1+$D$139)^1)</f>
        <v>-74.605684999999994</v>
      </c>
      <c r="J149" s="54"/>
      <c r="K149" s="54"/>
      <c r="L149" s="54"/>
      <c r="M149" s="54"/>
      <c r="N149" s="54"/>
      <c r="O149" s="54"/>
    </row>
    <row r="150" spans="3:15" outlineLevel="1" x14ac:dyDescent="0.25">
      <c r="C150" s="2" t="s">
        <v>3</v>
      </c>
      <c r="G150" s="129"/>
      <c r="H150" s="63"/>
      <c r="I150" s="63"/>
      <c r="J150" s="21">
        <f>(H126*(1+$D$139)^2)+(I126*(1+$D$139)^1)</f>
        <v>0</v>
      </c>
      <c r="K150" s="54"/>
      <c r="L150" s="54"/>
      <c r="M150" s="54"/>
      <c r="N150" s="54"/>
      <c r="O150" s="54"/>
    </row>
    <row r="151" spans="3:15" outlineLevel="1" x14ac:dyDescent="0.25">
      <c r="C151" s="2" t="s">
        <v>4</v>
      </c>
      <c r="G151" s="54"/>
      <c r="H151" s="129"/>
      <c r="I151" s="63"/>
      <c r="J151" s="63"/>
      <c r="K151" s="21">
        <f>(I127*(1+$D$139)^2)+(J127*(1+$D$139)^1)</f>
        <v>0</v>
      </c>
      <c r="L151" s="54"/>
      <c r="M151" s="54"/>
      <c r="N151" s="54"/>
      <c r="O151" s="54"/>
    </row>
    <row r="152" spans="3:15" outlineLevel="1" x14ac:dyDescent="0.25">
      <c r="C152" s="2" t="s">
        <v>5</v>
      </c>
      <c r="G152" s="54"/>
      <c r="H152" s="54"/>
      <c r="I152" s="129"/>
      <c r="J152" s="63"/>
      <c r="K152" s="63"/>
      <c r="L152" s="21">
        <f>(J128*(1+$D$139)^2)+(K128*(1+$D$139)^1)</f>
        <v>0</v>
      </c>
      <c r="M152" s="54"/>
      <c r="N152" s="54"/>
      <c r="O152" s="54"/>
    </row>
    <row r="153" spans="3:15" outlineLevel="1" x14ac:dyDescent="0.25">
      <c r="C153" s="2" t="s">
        <v>6</v>
      </c>
      <c r="G153" s="54"/>
      <c r="H153" s="54"/>
      <c r="I153" s="54"/>
      <c r="J153" s="129"/>
      <c r="K153" s="63"/>
      <c r="L153" s="63"/>
      <c r="M153" s="21">
        <f>(K129*(1+$D$139)^2)+(L129*(1+$D$139)^1)</f>
        <v>0</v>
      </c>
      <c r="N153" s="54"/>
      <c r="O153" s="54"/>
    </row>
    <row r="154" spans="3:15" outlineLevel="1" x14ac:dyDescent="0.25">
      <c r="C154" s="2" t="s">
        <v>7</v>
      </c>
      <c r="G154" s="54"/>
      <c r="H154" s="54"/>
      <c r="I154" s="54"/>
      <c r="J154" s="54"/>
      <c r="K154" s="129"/>
      <c r="L154" s="63"/>
      <c r="M154" s="63"/>
      <c r="N154" s="21">
        <f>(L130*(1+$D$139)^2)+(M130*(1+$D$139)^1)</f>
        <v>0</v>
      </c>
      <c r="O154" s="54"/>
    </row>
    <row r="155" spans="3:15" outlineLevel="1" x14ac:dyDescent="0.25">
      <c r="C155" s="2" t="s">
        <v>8</v>
      </c>
      <c r="G155" s="54"/>
      <c r="H155" s="54"/>
      <c r="I155" s="54"/>
      <c r="J155" s="54"/>
      <c r="K155" s="54"/>
      <c r="L155" s="129"/>
      <c r="M155" s="63"/>
      <c r="N155" s="63"/>
      <c r="O155" s="21">
        <f>(M131*(1+$D$139)^2)+(N131*(1+$D$139)^1)</f>
        <v>0</v>
      </c>
    </row>
    <row r="156" spans="3:15" outlineLevel="1" x14ac:dyDescent="0.25">
      <c r="C156" s="2" t="s">
        <v>9</v>
      </c>
      <c r="D156" s="29"/>
      <c r="E156" s="29"/>
      <c r="F156" s="29"/>
      <c r="G156" s="29"/>
      <c r="H156" s="29"/>
      <c r="I156" s="29"/>
      <c r="J156" s="29"/>
      <c r="K156" s="29"/>
      <c r="L156" s="29"/>
      <c r="M156" s="130"/>
      <c r="N156" s="29"/>
      <c r="O156" s="29"/>
    </row>
    <row r="157" spans="3:15" outlineLevel="1" x14ac:dyDescent="0.25"/>
    <row r="158" spans="3:15" x14ac:dyDescent="0.25">
      <c r="C158" s="2" t="s">
        <v>34</v>
      </c>
      <c r="D158" s="59">
        <f>SUM(D147:D156)</f>
        <v>0</v>
      </c>
      <c r="E158" s="59">
        <f t="shared" ref="E158:M158" si="30">SUM(E147:E156)</f>
        <v>0</v>
      </c>
      <c r="F158" s="59">
        <f t="shared" si="30"/>
        <v>0</v>
      </c>
      <c r="G158" s="59">
        <f t="shared" si="30"/>
        <v>0</v>
      </c>
      <c r="H158" s="59">
        <f t="shared" si="30"/>
        <v>0</v>
      </c>
      <c r="I158" s="59">
        <f t="shared" si="30"/>
        <v>-74.605684999999994</v>
      </c>
      <c r="J158" s="59">
        <f t="shared" si="30"/>
        <v>0</v>
      </c>
      <c r="K158" s="59">
        <f t="shared" si="30"/>
        <v>0</v>
      </c>
      <c r="L158" s="59">
        <f t="shared" si="30"/>
        <v>0</v>
      </c>
      <c r="M158" s="59">
        <f t="shared" si="30"/>
        <v>0</v>
      </c>
    </row>
    <row r="160" spans="3:15" x14ac:dyDescent="0.25">
      <c r="C160" s="50" t="s">
        <v>39</v>
      </c>
      <c r="D160" s="78">
        <f>-D161*D104</f>
        <v>0</v>
      </c>
      <c r="E160" s="78">
        <f t="shared" ref="E160:M160" si="31">-E161*E104</f>
        <v>0</v>
      </c>
      <c r="F160" s="78">
        <f t="shared" si="31"/>
        <v>-0.6333333333333333</v>
      </c>
      <c r="G160" s="78">
        <f t="shared" si="31"/>
        <v>-1.1083333333333332</v>
      </c>
      <c r="H160" s="78">
        <f t="shared" si="31"/>
        <v>-2.0583333333333331</v>
      </c>
      <c r="I160" s="78">
        <f t="shared" si="31"/>
        <v>-5.7</v>
      </c>
      <c r="J160" s="78">
        <f t="shared" si="31"/>
        <v>0</v>
      </c>
      <c r="K160" s="78">
        <f t="shared" si="31"/>
        <v>0</v>
      </c>
      <c r="L160" s="78">
        <f t="shared" si="31"/>
        <v>0</v>
      </c>
      <c r="M160" s="78">
        <f t="shared" si="31"/>
        <v>0</v>
      </c>
    </row>
    <row r="161" spans="3:14" x14ac:dyDescent="0.25">
      <c r="C161" s="15" t="s">
        <v>41</v>
      </c>
      <c r="D161" s="146">
        <v>0.05</v>
      </c>
      <c r="E161" s="25">
        <f>+D161</f>
        <v>0.05</v>
      </c>
      <c r="F161" s="25">
        <f t="shared" ref="F161:M161" si="32">+E161</f>
        <v>0.05</v>
      </c>
      <c r="G161" s="25">
        <f t="shared" si="32"/>
        <v>0.05</v>
      </c>
      <c r="H161" s="25">
        <f t="shared" si="32"/>
        <v>0.05</v>
      </c>
      <c r="I161" s="25">
        <f t="shared" si="32"/>
        <v>0.05</v>
      </c>
      <c r="J161" s="25">
        <f t="shared" si="32"/>
        <v>0.05</v>
      </c>
      <c r="K161" s="25">
        <f t="shared" si="32"/>
        <v>0.05</v>
      </c>
      <c r="L161" s="25">
        <f t="shared" si="32"/>
        <v>0.05</v>
      </c>
      <c r="M161" s="25">
        <f t="shared" si="32"/>
        <v>0.05</v>
      </c>
    </row>
    <row r="162" spans="3:14" x14ac:dyDescent="0.25">
      <c r="C162" s="16"/>
    </row>
    <row r="163" spans="3:14" x14ac:dyDescent="0.25">
      <c r="C163" s="64" t="s">
        <v>106</v>
      </c>
      <c r="D163" s="79">
        <f>-D164*D104</f>
        <v>0</v>
      </c>
      <c r="E163" s="79">
        <f t="shared" ref="E163:M163" si="33">-E164*E104</f>
        <v>0</v>
      </c>
      <c r="F163" s="79">
        <f t="shared" si="33"/>
        <v>-0.2533333333333333</v>
      </c>
      <c r="G163" s="79">
        <f t="shared" si="33"/>
        <v>-0.4433333333333333</v>
      </c>
      <c r="H163" s="79">
        <f t="shared" si="33"/>
        <v>-0.82333333333333325</v>
      </c>
      <c r="I163" s="79">
        <f t="shared" si="33"/>
        <v>-2.2800000000000002</v>
      </c>
      <c r="J163" s="79">
        <f t="shared" si="33"/>
        <v>0</v>
      </c>
      <c r="K163" s="79">
        <f t="shared" si="33"/>
        <v>0</v>
      </c>
      <c r="L163" s="79">
        <f t="shared" si="33"/>
        <v>0</v>
      </c>
      <c r="M163" s="79">
        <f t="shared" si="33"/>
        <v>0</v>
      </c>
    </row>
    <row r="164" spans="3:14" x14ac:dyDescent="0.25">
      <c r="C164" s="22" t="s">
        <v>107</v>
      </c>
      <c r="D164" s="146">
        <v>0.02</v>
      </c>
      <c r="E164" s="25">
        <f t="shared" ref="E164:M164" si="34">+D164</f>
        <v>0.02</v>
      </c>
      <c r="F164" s="25">
        <f t="shared" si="34"/>
        <v>0.02</v>
      </c>
      <c r="G164" s="25">
        <f t="shared" si="34"/>
        <v>0.02</v>
      </c>
      <c r="H164" s="25">
        <f t="shared" si="34"/>
        <v>0.02</v>
      </c>
      <c r="I164" s="25">
        <f t="shared" si="34"/>
        <v>0.02</v>
      </c>
      <c r="J164" s="25">
        <f t="shared" si="34"/>
        <v>0.02</v>
      </c>
      <c r="K164" s="25">
        <f t="shared" si="34"/>
        <v>0.02</v>
      </c>
      <c r="L164" s="25">
        <f t="shared" si="34"/>
        <v>0.02</v>
      </c>
      <c r="M164" s="25">
        <f t="shared" si="34"/>
        <v>0.02</v>
      </c>
    </row>
    <row r="166" spans="3:14" x14ac:dyDescent="0.25">
      <c r="C166" s="65" t="s">
        <v>42</v>
      </c>
      <c r="D166" s="51">
        <f>+D109+D111+D160+D163</f>
        <v>0</v>
      </c>
      <c r="E166" s="51">
        <f t="shared" ref="E166:M166" si="35">+E109+E111+E160+E163</f>
        <v>0</v>
      </c>
      <c r="F166" s="51">
        <f t="shared" si="35"/>
        <v>3.1666666666666661</v>
      </c>
      <c r="G166" s="51">
        <f t="shared" si="35"/>
        <v>-7.7583333333333373</v>
      </c>
      <c r="H166" s="51">
        <f t="shared" si="35"/>
        <v>-4.9083333333333377</v>
      </c>
      <c r="I166" s="51">
        <f t="shared" si="35"/>
        <v>96.899999999999991</v>
      </c>
      <c r="J166" s="51">
        <f t="shared" si="35"/>
        <v>0</v>
      </c>
      <c r="K166" s="51">
        <f t="shared" si="35"/>
        <v>0</v>
      </c>
      <c r="L166" s="51">
        <f t="shared" si="35"/>
        <v>0</v>
      </c>
      <c r="M166" s="51">
        <f t="shared" si="35"/>
        <v>0</v>
      </c>
    </row>
    <row r="169" spans="3:14" x14ac:dyDescent="0.25">
      <c r="C169" s="64" t="s">
        <v>35</v>
      </c>
      <c r="D169" s="66">
        <f>+D170+D171</f>
        <v>0</v>
      </c>
      <c r="E169" s="66">
        <f t="shared" ref="E169:M169" si="36">+E170+E171</f>
        <v>0</v>
      </c>
      <c r="F169" s="66">
        <f t="shared" si="36"/>
        <v>0</v>
      </c>
      <c r="G169" s="66">
        <f t="shared" si="36"/>
        <v>22.61</v>
      </c>
      <c r="H169" s="66">
        <f t="shared" si="36"/>
        <v>33.914999999999999</v>
      </c>
      <c r="I169" s="66">
        <f t="shared" si="36"/>
        <v>-74.605684999999994</v>
      </c>
      <c r="J169" s="66">
        <f t="shared" si="36"/>
        <v>0</v>
      </c>
      <c r="K169" s="66">
        <f t="shared" si="36"/>
        <v>0</v>
      </c>
      <c r="L169" s="66">
        <f t="shared" si="36"/>
        <v>0</v>
      </c>
      <c r="M169" s="66">
        <f t="shared" si="36"/>
        <v>0</v>
      </c>
    </row>
    <row r="170" spans="3:14" x14ac:dyDescent="0.25">
      <c r="C170" s="22" t="s">
        <v>43</v>
      </c>
      <c r="D170" s="9">
        <f>+D141</f>
        <v>0</v>
      </c>
      <c r="E170" s="9">
        <f t="shared" ref="E170:M171" si="37">+E141</f>
        <v>0</v>
      </c>
      <c r="F170" s="9">
        <f t="shared" si="37"/>
        <v>0</v>
      </c>
      <c r="G170" s="9">
        <f t="shared" si="37"/>
        <v>22.61</v>
      </c>
      <c r="H170" s="9">
        <f t="shared" si="37"/>
        <v>33.914999999999999</v>
      </c>
      <c r="I170" s="9">
        <f t="shared" si="37"/>
        <v>0</v>
      </c>
      <c r="J170" s="9">
        <f t="shared" si="37"/>
        <v>0</v>
      </c>
      <c r="K170" s="9">
        <f t="shared" si="37"/>
        <v>0</v>
      </c>
      <c r="L170" s="9">
        <f t="shared" si="37"/>
        <v>0</v>
      </c>
      <c r="M170" s="9">
        <f t="shared" si="37"/>
        <v>0</v>
      </c>
    </row>
    <row r="171" spans="3:14" x14ac:dyDescent="0.25">
      <c r="C171" s="22" t="s">
        <v>44</v>
      </c>
      <c r="D171" s="9">
        <f>+D142</f>
        <v>0</v>
      </c>
      <c r="E171" s="9">
        <f t="shared" si="37"/>
        <v>0</v>
      </c>
      <c r="F171" s="9">
        <f t="shared" si="37"/>
        <v>0</v>
      </c>
      <c r="G171" s="9">
        <f t="shared" si="37"/>
        <v>0</v>
      </c>
      <c r="H171" s="9">
        <f t="shared" si="37"/>
        <v>0</v>
      </c>
      <c r="I171" s="9">
        <f t="shared" si="37"/>
        <v>-74.605684999999994</v>
      </c>
      <c r="J171" s="9">
        <f t="shared" si="37"/>
        <v>0</v>
      </c>
      <c r="K171" s="9">
        <f t="shared" si="37"/>
        <v>0</v>
      </c>
      <c r="L171" s="9">
        <f t="shared" si="37"/>
        <v>0</v>
      </c>
      <c r="M171" s="9">
        <f t="shared" si="37"/>
        <v>0</v>
      </c>
    </row>
    <row r="173" spans="3:14" x14ac:dyDescent="0.25">
      <c r="C173" s="64" t="s">
        <v>45</v>
      </c>
      <c r="D173" s="67">
        <f>+D166+D169</f>
        <v>0</v>
      </c>
      <c r="E173" s="67">
        <f t="shared" ref="E173:M173" si="38">+E166+E169</f>
        <v>0</v>
      </c>
      <c r="F173" s="67">
        <f t="shared" si="38"/>
        <v>3.1666666666666661</v>
      </c>
      <c r="G173" s="67">
        <f t="shared" si="38"/>
        <v>14.851666666666663</v>
      </c>
      <c r="H173" s="67">
        <f t="shared" si="38"/>
        <v>29.006666666666661</v>
      </c>
      <c r="I173" s="67">
        <f t="shared" si="38"/>
        <v>22.294314999999997</v>
      </c>
      <c r="J173" s="67">
        <f t="shared" si="38"/>
        <v>0</v>
      </c>
      <c r="K173" s="67">
        <f t="shared" si="38"/>
        <v>0</v>
      </c>
      <c r="L173" s="67">
        <f t="shared" si="38"/>
        <v>0</v>
      </c>
      <c r="M173" s="67">
        <f t="shared" si="38"/>
        <v>0</v>
      </c>
      <c r="N173" s="76"/>
    </row>
  </sheetData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73"/>
  <sheetViews>
    <sheetView showGridLines="0" workbookViewId="0">
      <selection activeCell="G8" sqref="G8:M8"/>
    </sheetView>
  </sheetViews>
  <sheetFormatPr defaultColWidth="8.85546875" defaultRowHeight="15" outlineLevelRow="1" x14ac:dyDescent="0.25"/>
  <cols>
    <col min="1" max="1" width="1.42578125" customWidth="1"/>
    <col min="2" max="2" width="16.85546875" customWidth="1"/>
    <col min="4" max="4" width="12.42578125" bestFit="1" customWidth="1"/>
    <col min="13" max="13" width="9.42578125" bestFit="1" customWidth="1"/>
  </cols>
  <sheetData>
    <row r="2" spans="2:13" x14ac:dyDescent="0.25">
      <c r="B2" s="1" t="s">
        <v>116</v>
      </c>
      <c r="C2" s="1"/>
    </row>
    <row r="3" spans="2:13" x14ac:dyDescent="0.25">
      <c r="B3" s="4" t="s">
        <v>10</v>
      </c>
    </row>
    <row r="4" spans="2:13" ht="4.5" customHeight="1" x14ac:dyDescent="0.25"/>
    <row r="5" spans="2:13" x14ac:dyDescent="0.25">
      <c r="C5" s="4" t="s">
        <v>12</v>
      </c>
    </row>
    <row r="6" spans="2:13" ht="3" customHeight="1" x14ac:dyDescent="0.25">
      <c r="C6" s="4"/>
    </row>
    <row r="7" spans="2:13" x14ac:dyDescent="0.25">
      <c r="D7" s="2" t="s">
        <v>0</v>
      </c>
      <c r="E7" s="2" t="s">
        <v>1</v>
      </c>
      <c r="F7" s="2" t="s">
        <v>2</v>
      </c>
      <c r="G7" s="2" t="s">
        <v>3</v>
      </c>
      <c r="H7" s="2" t="s">
        <v>4</v>
      </c>
      <c r="I7" s="2" t="s">
        <v>5</v>
      </c>
      <c r="J7" s="2" t="s">
        <v>6</v>
      </c>
      <c r="K7" s="2" t="s">
        <v>7</v>
      </c>
      <c r="L7" s="2" t="s">
        <v>8</v>
      </c>
      <c r="M7" s="2" t="s">
        <v>9</v>
      </c>
    </row>
    <row r="8" spans="2:13" x14ac:dyDescent="0.25">
      <c r="D8" s="137"/>
      <c r="E8" s="137"/>
      <c r="F8" s="137"/>
      <c r="G8" s="137">
        <v>250</v>
      </c>
      <c r="H8" s="137">
        <v>200</v>
      </c>
      <c r="I8" s="137">
        <v>250</v>
      </c>
      <c r="J8" s="137">
        <v>300</v>
      </c>
      <c r="K8" s="137">
        <v>350</v>
      </c>
      <c r="L8" s="137">
        <v>400</v>
      </c>
      <c r="M8" s="137">
        <v>450</v>
      </c>
    </row>
    <row r="10" spans="2:13" x14ac:dyDescent="0.25">
      <c r="C10" t="s">
        <v>40</v>
      </c>
      <c r="E10" s="138">
        <v>5.2499999999999998E-2</v>
      </c>
    </row>
    <row r="12" spans="2:13" x14ac:dyDescent="0.25">
      <c r="C12" s="4" t="s">
        <v>12</v>
      </c>
    </row>
    <row r="13" spans="2:13" ht="3" customHeight="1" x14ac:dyDescent="0.25">
      <c r="C13" s="4"/>
    </row>
    <row r="14" spans="2:13" outlineLevel="1" x14ac:dyDescent="0.25">
      <c r="D14" s="2" t="s">
        <v>0</v>
      </c>
      <c r="E14" s="2" t="s">
        <v>1</v>
      </c>
      <c r="F14" s="2" t="s">
        <v>2</v>
      </c>
      <c r="G14" s="2" t="s">
        <v>3</v>
      </c>
      <c r="H14" s="2" t="s">
        <v>4</v>
      </c>
      <c r="I14" s="2" t="s">
        <v>5</v>
      </c>
      <c r="J14" s="2" t="s">
        <v>6</v>
      </c>
      <c r="K14" s="2" t="s">
        <v>7</v>
      </c>
      <c r="L14" s="2" t="s">
        <v>8</v>
      </c>
      <c r="M14" s="2" t="s">
        <v>9</v>
      </c>
    </row>
    <row r="15" spans="2:13" outlineLevel="1" x14ac:dyDescent="0.25">
      <c r="C15" s="2" t="s">
        <v>0</v>
      </c>
      <c r="D15" s="77">
        <f>+D$8*(1-$E$10)</f>
        <v>0</v>
      </c>
      <c r="E15" s="28"/>
      <c r="F15" s="28"/>
      <c r="G15" s="28"/>
      <c r="H15" s="28"/>
      <c r="I15" s="28"/>
      <c r="J15" s="28"/>
      <c r="K15" s="28"/>
      <c r="L15" s="28"/>
      <c r="M15" s="28"/>
    </row>
    <row r="16" spans="2:13" outlineLevel="1" x14ac:dyDescent="0.25">
      <c r="C16" s="2" t="s">
        <v>1</v>
      </c>
      <c r="E16" s="3">
        <f>+E$8*(1-$E$10)</f>
        <v>0</v>
      </c>
    </row>
    <row r="17" spans="3:16" outlineLevel="1" x14ac:dyDescent="0.25">
      <c r="C17" s="2" t="s">
        <v>2</v>
      </c>
      <c r="F17" s="3">
        <f>+F$8*(1-$E$10)</f>
        <v>0</v>
      </c>
    </row>
    <row r="18" spans="3:16" outlineLevel="1" x14ac:dyDescent="0.25">
      <c r="C18" s="2" t="s">
        <v>3</v>
      </c>
      <c r="G18" s="3">
        <f>+G$8*(1-$E$10)</f>
        <v>236.875</v>
      </c>
    </row>
    <row r="19" spans="3:16" outlineLevel="1" x14ac:dyDescent="0.25">
      <c r="C19" s="2" t="s">
        <v>4</v>
      </c>
      <c r="H19" s="3">
        <f>+H$8*(1-$E$10)</f>
        <v>189.5</v>
      </c>
    </row>
    <row r="20" spans="3:16" outlineLevel="1" x14ac:dyDescent="0.25">
      <c r="C20" s="2" t="s">
        <v>5</v>
      </c>
      <c r="I20" s="3">
        <f>+I$8*(1-$E$10)</f>
        <v>236.875</v>
      </c>
    </row>
    <row r="21" spans="3:16" outlineLevel="1" x14ac:dyDescent="0.25">
      <c r="C21" s="2" t="s">
        <v>6</v>
      </c>
      <c r="J21" s="3">
        <f>+J$8*(1-$E$10)</f>
        <v>284.25</v>
      </c>
    </row>
    <row r="22" spans="3:16" outlineLevel="1" x14ac:dyDescent="0.25">
      <c r="C22" s="2" t="s">
        <v>7</v>
      </c>
      <c r="K22" s="3">
        <f>+K$8*(1-$E$10)</f>
        <v>331.625</v>
      </c>
    </row>
    <row r="23" spans="3:16" outlineLevel="1" x14ac:dyDescent="0.25">
      <c r="C23" s="2" t="s">
        <v>8</v>
      </c>
      <c r="L23" s="3">
        <f>+L$8*(1-$E$10)</f>
        <v>379</v>
      </c>
    </row>
    <row r="24" spans="3:16" outlineLevel="1" x14ac:dyDescent="0.25">
      <c r="C24" s="2" t="s">
        <v>9</v>
      </c>
      <c r="D24" s="29"/>
      <c r="E24" s="29"/>
      <c r="F24" s="29"/>
      <c r="G24" s="29"/>
      <c r="H24" s="29"/>
      <c r="I24" s="29"/>
      <c r="J24" s="29"/>
      <c r="K24" s="29"/>
      <c r="L24" s="29"/>
      <c r="M24" s="39">
        <f>+M$8*(1-$E$10)</f>
        <v>426.375</v>
      </c>
    </row>
    <row r="25" spans="3:16" x14ac:dyDescent="0.25">
      <c r="D25" s="30">
        <f>SUM(D15:D24)</f>
        <v>0</v>
      </c>
      <c r="E25" s="30">
        <f t="shared" ref="E25:M25" si="0">SUM(E15:E24)</f>
        <v>0</v>
      </c>
      <c r="F25" s="30">
        <f t="shared" si="0"/>
        <v>0</v>
      </c>
      <c r="G25" s="30">
        <f t="shared" si="0"/>
        <v>236.875</v>
      </c>
      <c r="H25" s="30">
        <f t="shared" si="0"/>
        <v>189.5</v>
      </c>
      <c r="I25" s="30">
        <f t="shared" si="0"/>
        <v>236.875</v>
      </c>
      <c r="J25" s="30">
        <f t="shared" si="0"/>
        <v>284.25</v>
      </c>
      <c r="K25" s="30">
        <f t="shared" si="0"/>
        <v>331.625</v>
      </c>
      <c r="L25" s="30">
        <f t="shared" si="0"/>
        <v>379</v>
      </c>
      <c r="M25" s="30">
        <f t="shared" si="0"/>
        <v>426.375</v>
      </c>
    </row>
    <row r="27" spans="3:16" x14ac:dyDescent="0.25">
      <c r="C27" s="4" t="s">
        <v>11</v>
      </c>
    </row>
    <row r="28" spans="3:16" ht="4.5" customHeight="1" x14ac:dyDescent="0.25">
      <c r="C28" s="4"/>
    </row>
    <row r="29" spans="3:16" outlineLevel="1" x14ac:dyDescent="0.25">
      <c r="D29" s="2" t="s">
        <v>0</v>
      </c>
      <c r="E29" s="2" t="s">
        <v>1</v>
      </c>
      <c r="F29" s="2" t="s">
        <v>2</v>
      </c>
      <c r="G29" s="2" t="s">
        <v>3</v>
      </c>
      <c r="H29" s="2" t="s">
        <v>4</v>
      </c>
      <c r="I29" s="2" t="s">
        <v>5</v>
      </c>
      <c r="J29" s="2" t="s">
        <v>6</v>
      </c>
      <c r="K29" s="2" t="s">
        <v>7</v>
      </c>
      <c r="L29" s="2" t="s">
        <v>8</v>
      </c>
      <c r="M29" s="2" t="s">
        <v>9</v>
      </c>
    </row>
    <row r="30" spans="3:16" outlineLevel="1" x14ac:dyDescent="0.25">
      <c r="C30" s="2" t="s">
        <v>0</v>
      </c>
      <c r="D30" s="139"/>
      <c r="E30" s="139"/>
      <c r="F30" s="139"/>
      <c r="G30" s="139"/>
      <c r="H30" s="31"/>
      <c r="I30" s="31"/>
      <c r="J30" s="31"/>
      <c r="K30" s="31"/>
      <c r="L30" s="31"/>
      <c r="M30" s="31"/>
      <c r="N30" s="32"/>
      <c r="O30" s="28"/>
      <c r="P30" s="28"/>
    </row>
    <row r="31" spans="3:16" outlineLevel="1" x14ac:dyDescent="0.25">
      <c r="C31" s="2" t="s">
        <v>1</v>
      </c>
      <c r="D31" s="33"/>
      <c r="E31" s="140"/>
      <c r="F31" s="140"/>
      <c r="G31" s="140"/>
      <c r="H31" s="141"/>
      <c r="I31" s="33"/>
      <c r="J31" s="33"/>
      <c r="K31" s="33"/>
      <c r="L31" s="33"/>
      <c r="M31" s="33"/>
      <c r="N31" s="34"/>
    </row>
    <row r="32" spans="3:16" outlineLevel="1" x14ac:dyDescent="0.25">
      <c r="C32" s="2" t="s">
        <v>2</v>
      </c>
      <c r="D32" s="33"/>
      <c r="E32" s="33"/>
      <c r="F32" s="140"/>
      <c r="G32" s="140"/>
      <c r="H32" s="140"/>
      <c r="I32" s="141"/>
      <c r="J32" s="33"/>
      <c r="K32" s="33"/>
      <c r="L32" s="33"/>
      <c r="M32" s="33"/>
      <c r="N32" s="34"/>
    </row>
    <row r="33" spans="3:16" outlineLevel="1" x14ac:dyDescent="0.25">
      <c r="C33" s="2" t="s">
        <v>3</v>
      </c>
      <c r="D33" s="33"/>
      <c r="E33" s="33"/>
      <c r="F33" s="33"/>
      <c r="G33" s="140">
        <v>0.5</v>
      </c>
      <c r="H33" s="140">
        <v>0.2</v>
      </c>
      <c r="I33" s="140">
        <v>0.2</v>
      </c>
      <c r="J33" s="169">
        <v>0.1</v>
      </c>
      <c r="K33" s="135"/>
      <c r="L33" s="135"/>
      <c r="M33" s="135"/>
      <c r="N33" s="34"/>
      <c r="O33" s="3"/>
      <c r="P33" s="3"/>
    </row>
    <row r="34" spans="3:16" outlineLevel="1" x14ac:dyDescent="0.25">
      <c r="C34" s="2" t="s">
        <v>4</v>
      </c>
      <c r="D34" s="33"/>
      <c r="E34" s="33"/>
      <c r="F34" s="33"/>
      <c r="G34" s="135"/>
      <c r="H34" s="140">
        <v>0.5</v>
      </c>
      <c r="I34" s="140">
        <v>0.2</v>
      </c>
      <c r="J34" s="140">
        <v>0.2</v>
      </c>
      <c r="K34" s="169">
        <v>0.1</v>
      </c>
      <c r="L34" s="135"/>
      <c r="M34" s="135"/>
      <c r="N34" s="34"/>
      <c r="O34" s="3"/>
      <c r="P34" s="3"/>
    </row>
    <row r="35" spans="3:16" outlineLevel="1" x14ac:dyDescent="0.25">
      <c r="C35" s="2" t="s">
        <v>5</v>
      </c>
      <c r="D35" s="33"/>
      <c r="E35" s="33"/>
      <c r="F35" s="33"/>
      <c r="G35" s="135"/>
      <c r="H35" s="135"/>
      <c r="I35" s="140">
        <v>0.5</v>
      </c>
      <c r="J35" s="140">
        <v>0.2</v>
      </c>
      <c r="K35" s="140">
        <v>0.2</v>
      </c>
      <c r="L35" s="169">
        <v>0.1</v>
      </c>
      <c r="M35" s="135"/>
      <c r="N35" s="34"/>
      <c r="O35" s="3"/>
      <c r="P35" s="3"/>
    </row>
    <row r="36" spans="3:16" outlineLevel="1" x14ac:dyDescent="0.25">
      <c r="C36" s="2" t="s">
        <v>6</v>
      </c>
      <c r="D36" s="33"/>
      <c r="E36" s="33"/>
      <c r="F36" s="33"/>
      <c r="G36" s="135"/>
      <c r="H36" s="135"/>
      <c r="I36" s="135"/>
      <c r="J36" s="140">
        <v>0.5</v>
      </c>
      <c r="K36" s="140">
        <v>0.2</v>
      </c>
      <c r="L36" s="140">
        <v>0.2</v>
      </c>
      <c r="M36" s="169">
        <v>0.1</v>
      </c>
      <c r="N36" s="34"/>
      <c r="O36" s="3"/>
      <c r="P36" s="3"/>
    </row>
    <row r="37" spans="3:16" outlineLevel="1" x14ac:dyDescent="0.25">
      <c r="C37" s="2" t="s">
        <v>7</v>
      </c>
      <c r="D37" s="33"/>
      <c r="E37" s="33"/>
      <c r="F37" s="33"/>
      <c r="G37" s="135"/>
      <c r="H37" s="135"/>
      <c r="I37" s="135"/>
      <c r="J37" s="135"/>
      <c r="K37" s="140">
        <v>0.5</v>
      </c>
      <c r="L37" s="140">
        <v>0.2</v>
      </c>
      <c r="M37" s="140">
        <v>0.2</v>
      </c>
      <c r="N37" s="140">
        <v>0.1</v>
      </c>
      <c r="O37" s="3"/>
      <c r="P37" s="3"/>
    </row>
    <row r="38" spans="3:16" outlineLevel="1" x14ac:dyDescent="0.25">
      <c r="C38" s="2" t="s">
        <v>8</v>
      </c>
      <c r="D38" s="33"/>
      <c r="E38" s="33"/>
      <c r="F38" s="33"/>
      <c r="G38" s="135"/>
      <c r="H38" s="135"/>
      <c r="I38" s="135"/>
      <c r="J38" s="135"/>
      <c r="K38" s="135"/>
      <c r="L38" s="140">
        <v>0.5</v>
      </c>
      <c r="M38" s="140">
        <v>0.2</v>
      </c>
      <c r="N38" s="140">
        <v>0.2</v>
      </c>
      <c r="O38" s="140">
        <v>0.1</v>
      </c>
      <c r="P38" s="3"/>
    </row>
    <row r="39" spans="3:16" outlineLevel="1" x14ac:dyDescent="0.25">
      <c r="C39" s="2" t="s">
        <v>9</v>
      </c>
      <c r="D39" s="35"/>
      <c r="E39" s="35"/>
      <c r="F39" s="35"/>
      <c r="G39" s="136"/>
      <c r="H39" s="136"/>
      <c r="I39" s="136"/>
      <c r="J39" s="136"/>
      <c r="K39" s="136"/>
      <c r="L39" s="136"/>
      <c r="M39" s="167">
        <v>0.5</v>
      </c>
      <c r="N39" s="167">
        <v>0.2</v>
      </c>
      <c r="O39" s="167">
        <v>0.2</v>
      </c>
      <c r="P39" s="140">
        <v>0.1</v>
      </c>
    </row>
    <row r="41" spans="3:16" x14ac:dyDescent="0.25">
      <c r="C41" s="6" t="s">
        <v>14</v>
      </c>
      <c r="F41" s="140"/>
    </row>
    <row r="42" spans="3:16" ht="5.25" customHeight="1" x14ac:dyDescent="0.25"/>
    <row r="43" spans="3:16" outlineLevel="1" x14ac:dyDescent="0.25">
      <c r="D43" s="2" t="s">
        <v>0</v>
      </c>
      <c r="E43" s="2" t="s">
        <v>1</v>
      </c>
      <c r="F43" s="2" t="s">
        <v>2</v>
      </c>
      <c r="G43" s="2" t="s">
        <v>3</v>
      </c>
      <c r="H43" s="2" t="s">
        <v>4</v>
      </c>
      <c r="I43" s="2" t="s">
        <v>5</v>
      </c>
      <c r="J43" s="2" t="s">
        <v>6</v>
      </c>
      <c r="K43" s="2" t="s">
        <v>7</v>
      </c>
      <c r="L43" s="2" t="s">
        <v>8</v>
      </c>
      <c r="M43" s="2" t="s">
        <v>9</v>
      </c>
      <c r="N43" s="2" t="s">
        <v>15</v>
      </c>
    </row>
    <row r="44" spans="3:16" outlineLevel="1" x14ac:dyDescent="0.25">
      <c r="C44" s="7">
        <v>1</v>
      </c>
      <c r="D44" s="36">
        <f>+$F$41/3</f>
        <v>0</v>
      </c>
      <c r="E44" s="36">
        <f>+F41/3</f>
        <v>0</v>
      </c>
      <c r="F44" s="36">
        <f>+F41/3</f>
        <v>0</v>
      </c>
      <c r="G44" s="36">
        <f>+(1-$F$41)</f>
        <v>1</v>
      </c>
      <c r="H44" s="37"/>
      <c r="I44" s="37"/>
      <c r="J44" s="37"/>
      <c r="K44" s="28"/>
      <c r="L44" s="28"/>
      <c r="M44" s="28"/>
      <c r="N44" s="32">
        <f>SUM(D44:M44)</f>
        <v>1</v>
      </c>
    </row>
    <row r="45" spans="3:16" outlineLevel="1" x14ac:dyDescent="0.25">
      <c r="C45" s="7">
        <v>2</v>
      </c>
      <c r="D45" s="3"/>
      <c r="E45" s="38">
        <f>+$F$41/2</f>
        <v>0</v>
      </c>
      <c r="F45" s="38">
        <f>+$F$41/2</f>
        <v>0</v>
      </c>
      <c r="G45" s="38">
        <f>+(1-$F$41)</f>
        <v>1</v>
      </c>
      <c r="H45" s="8"/>
      <c r="I45" s="8"/>
      <c r="J45" s="8"/>
      <c r="N45" s="34">
        <f>SUM(D45:M45)</f>
        <v>1</v>
      </c>
    </row>
    <row r="46" spans="3:16" outlineLevel="1" x14ac:dyDescent="0.25">
      <c r="C46" s="7">
        <v>3</v>
      </c>
      <c r="D46" s="3"/>
      <c r="E46" s="8"/>
      <c r="F46" s="38">
        <f>+$F$41</f>
        <v>0</v>
      </c>
      <c r="G46" s="38">
        <f>+(1-$F$41)</f>
        <v>1</v>
      </c>
      <c r="H46" s="8"/>
      <c r="I46" s="8"/>
      <c r="J46" s="8"/>
      <c r="N46" s="34">
        <f>SUM(D46:M46)</f>
        <v>1</v>
      </c>
    </row>
    <row r="47" spans="3:16" outlineLevel="1" x14ac:dyDescent="0.25">
      <c r="C47" s="7">
        <v>4</v>
      </c>
      <c r="D47" s="39"/>
      <c r="E47" s="40"/>
      <c r="F47" s="40"/>
      <c r="G47" s="41">
        <v>1</v>
      </c>
      <c r="H47" s="40"/>
      <c r="I47" s="40"/>
      <c r="J47" s="40"/>
      <c r="K47" s="29"/>
      <c r="L47" s="29"/>
      <c r="M47" s="29"/>
      <c r="N47" s="42">
        <f>SUM(D47:M47)</f>
        <v>1</v>
      </c>
    </row>
    <row r="48" spans="3:16" x14ac:dyDescent="0.25">
      <c r="D48" s="3"/>
      <c r="E48" s="8"/>
      <c r="F48" s="8"/>
      <c r="G48" s="8"/>
      <c r="H48" s="8"/>
      <c r="I48" s="8"/>
      <c r="J48" s="8"/>
      <c r="N48" s="10"/>
    </row>
    <row r="49" spans="3:17" x14ac:dyDescent="0.25">
      <c r="C49" s="4" t="s">
        <v>13</v>
      </c>
    </row>
    <row r="50" spans="3:17" ht="5.25" customHeight="1" x14ac:dyDescent="0.25">
      <c r="C50" s="4"/>
    </row>
    <row r="51" spans="3:17" x14ac:dyDescent="0.25">
      <c r="D51" s="2" t="s">
        <v>0</v>
      </c>
      <c r="E51" s="2" t="s">
        <v>1</v>
      </c>
      <c r="F51" s="2" t="s">
        <v>2</v>
      </c>
      <c r="G51" s="2" t="s">
        <v>3</v>
      </c>
      <c r="H51" s="2" t="s">
        <v>4</v>
      </c>
      <c r="I51" s="2" t="s">
        <v>5</v>
      </c>
      <c r="J51" s="2" t="s">
        <v>6</v>
      </c>
      <c r="K51" s="2" t="s">
        <v>7</v>
      </c>
      <c r="L51" s="2" t="s">
        <v>8</v>
      </c>
      <c r="M51" s="2" t="s">
        <v>9</v>
      </c>
      <c r="Q51" s="2" t="s">
        <v>15</v>
      </c>
    </row>
    <row r="52" spans="3:17" outlineLevel="1" x14ac:dyDescent="0.25">
      <c r="C52" s="7" t="s">
        <v>0</v>
      </c>
      <c r="D52" s="37">
        <f>+$D$15*$D$30*D$44</f>
        <v>0</v>
      </c>
      <c r="E52" s="37">
        <f>+$D$15*$D$30*E$44</f>
        <v>0</v>
      </c>
      <c r="F52" s="37">
        <f>+$D$15*$D$30*F$44</f>
        <v>0</v>
      </c>
      <c r="G52" s="37">
        <f>+$D$15*$D$30*G$44</f>
        <v>0</v>
      </c>
      <c r="H52" s="37"/>
      <c r="I52" s="37"/>
      <c r="J52" s="37"/>
      <c r="K52" s="28"/>
      <c r="L52" s="28"/>
      <c r="M52" s="28"/>
      <c r="N52" s="43"/>
      <c r="O52" s="28"/>
      <c r="P52" s="28"/>
      <c r="Q52" s="44">
        <f>SUM(D52:P52)</f>
        <v>0</v>
      </c>
    </row>
    <row r="53" spans="3:17" outlineLevel="1" x14ac:dyDescent="0.25">
      <c r="C53" s="7" t="s">
        <v>0</v>
      </c>
      <c r="D53" s="3"/>
      <c r="E53" s="8">
        <f>+$D$15*$E$30*$E$45</f>
        <v>0</v>
      </c>
      <c r="F53" s="8">
        <f>+$D$15*$E$30*$F$45</f>
        <v>0</v>
      </c>
      <c r="G53" s="8">
        <f>+$D$15*$E$30*$G$45</f>
        <v>0</v>
      </c>
      <c r="H53" s="8"/>
      <c r="I53" s="8"/>
      <c r="J53" s="8"/>
      <c r="N53" s="45"/>
      <c r="Q53" s="11">
        <f t="shared" ref="Q53:Q91" si="1">SUM(D53:P53)</f>
        <v>0</v>
      </c>
    </row>
    <row r="54" spans="3:17" outlineLevel="1" x14ac:dyDescent="0.25">
      <c r="C54" s="7" t="s">
        <v>0</v>
      </c>
      <c r="D54" s="3"/>
      <c r="E54" s="8"/>
      <c r="F54" s="8">
        <f>+$D$15*$F$30*$F$46</f>
        <v>0</v>
      </c>
      <c r="G54" s="8">
        <f>+$D$15*$F$30*$G$46</f>
        <v>0</v>
      </c>
      <c r="H54" s="8"/>
      <c r="I54" s="8"/>
      <c r="J54" s="8"/>
      <c r="N54" s="45"/>
      <c r="Q54" s="11">
        <f t="shared" si="1"/>
        <v>0</v>
      </c>
    </row>
    <row r="55" spans="3:17" outlineLevel="1" x14ac:dyDescent="0.25">
      <c r="C55" s="7" t="s">
        <v>0</v>
      </c>
      <c r="D55" s="39"/>
      <c r="E55" s="40"/>
      <c r="F55" s="40"/>
      <c r="G55" s="40">
        <f>+$D$15*$G$30*$G$47</f>
        <v>0</v>
      </c>
      <c r="H55" s="40"/>
      <c r="I55" s="40"/>
      <c r="J55" s="40"/>
      <c r="K55" s="29"/>
      <c r="L55" s="29"/>
      <c r="M55" s="29"/>
      <c r="N55" s="46"/>
      <c r="O55" s="29"/>
      <c r="P55" s="29"/>
      <c r="Q55" s="47">
        <f t="shared" si="1"/>
        <v>0</v>
      </c>
    </row>
    <row r="56" spans="3:17" outlineLevel="1" x14ac:dyDescent="0.25">
      <c r="C56" s="2" t="s">
        <v>1</v>
      </c>
      <c r="E56" s="8">
        <f>+$E$16*$E$31*D$44</f>
        <v>0</v>
      </c>
      <c r="F56" s="8">
        <f t="shared" ref="F56:H56" si="2">+$E$16*$E$31*E$44</f>
        <v>0</v>
      </c>
      <c r="G56" s="8">
        <f t="shared" si="2"/>
        <v>0</v>
      </c>
      <c r="H56" s="8">
        <f t="shared" si="2"/>
        <v>0</v>
      </c>
      <c r="I56" s="8"/>
      <c r="J56" s="8"/>
      <c r="K56" s="8"/>
      <c r="N56" s="10"/>
      <c r="Q56" s="11">
        <f t="shared" si="1"/>
        <v>0</v>
      </c>
    </row>
    <row r="57" spans="3:17" outlineLevel="1" x14ac:dyDescent="0.25">
      <c r="C57" s="2" t="s">
        <v>1</v>
      </c>
      <c r="E57" s="3"/>
      <c r="F57" s="8">
        <f>+$E$16*$F$31*E$45</f>
        <v>0</v>
      </c>
      <c r="G57" s="8">
        <f>+$E$16*$F$31*F$45</f>
        <v>0</v>
      </c>
      <c r="H57" s="8">
        <f>+$E$16*$F$31*G$45</f>
        <v>0</v>
      </c>
      <c r="I57" s="8"/>
      <c r="J57" s="8"/>
      <c r="K57" s="8"/>
      <c r="N57" s="10"/>
      <c r="Q57" s="11">
        <f t="shared" si="1"/>
        <v>0</v>
      </c>
    </row>
    <row r="58" spans="3:17" outlineLevel="1" x14ac:dyDescent="0.25">
      <c r="C58" s="2" t="s">
        <v>1</v>
      </c>
      <c r="E58" s="3"/>
      <c r="F58" s="8"/>
      <c r="G58" s="8">
        <f>+$E$16*$G$31*$F$46</f>
        <v>0</v>
      </c>
      <c r="H58" s="8">
        <f>+$E$16*$G$31*$G$46</f>
        <v>0</v>
      </c>
      <c r="I58" s="8"/>
      <c r="J58" s="8"/>
      <c r="K58" s="8"/>
      <c r="N58" s="10"/>
      <c r="Q58" s="11">
        <f t="shared" si="1"/>
        <v>0</v>
      </c>
    </row>
    <row r="59" spans="3:17" outlineLevel="1" x14ac:dyDescent="0.25">
      <c r="C59" s="2" t="s">
        <v>1</v>
      </c>
      <c r="E59" s="3"/>
      <c r="F59" s="8"/>
      <c r="G59" s="8"/>
      <c r="H59" s="8">
        <f>+$E$16*$H$31*$G$47</f>
        <v>0</v>
      </c>
      <c r="I59" s="8"/>
      <c r="J59" s="8"/>
      <c r="K59" s="8"/>
      <c r="N59" s="10"/>
      <c r="Q59" s="11">
        <f t="shared" si="1"/>
        <v>0</v>
      </c>
    </row>
    <row r="60" spans="3:17" outlineLevel="1" x14ac:dyDescent="0.25">
      <c r="C60" s="7" t="s">
        <v>2</v>
      </c>
      <c r="D60" s="28"/>
      <c r="E60" s="28"/>
      <c r="F60" s="37">
        <f>+$F$17*$F$32*D$44</f>
        <v>0</v>
      </c>
      <c r="G60" s="37">
        <f>+$F$17*$F$32*E$44</f>
        <v>0</v>
      </c>
      <c r="H60" s="37">
        <f>+$F$17*$F$32*F$44</f>
        <v>0</v>
      </c>
      <c r="I60" s="37">
        <f>+$F$17*$F$32*G$44</f>
        <v>0</v>
      </c>
      <c r="J60" s="28"/>
      <c r="K60" s="28"/>
      <c r="L60" s="28"/>
      <c r="M60" s="28"/>
      <c r="N60" s="43"/>
      <c r="O60" s="28"/>
      <c r="P60" s="28"/>
      <c r="Q60" s="44">
        <f t="shared" si="1"/>
        <v>0</v>
      </c>
    </row>
    <row r="61" spans="3:17" outlineLevel="1" x14ac:dyDescent="0.25">
      <c r="C61" s="7" t="s">
        <v>2</v>
      </c>
      <c r="F61" s="3"/>
      <c r="G61" s="8">
        <f>+$F$17*$G$32*E$45</f>
        <v>0</v>
      </c>
      <c r="H61" s="8">
        <f>+$F$17*$G$32*F$45</f>
        <v>0</v>
      </c>
      <c r="I61" s="8">
        <f>+$F$17*$G$32*G$45</f>
        <v>0</v>
      </c>
      <c r="J61" s="8"/>
      <c r="N61" s="45"/>
      <c r="Q61" s="11">
        <f t="shared" si="1"/>
        <v>0</v>
      </c>
    </row>
    <row r="62" spans="3:17" outlineLevel="1" x14ac:dyDescent="0.25">
      <c r="C62" s="7" t="s">
        <v>2</v>
      </c>
      <c r="F62" s="3"/>
      <c r="G62" s="8"/>
      <c r="H62" s="8">
        <f>+$F$17*$H$32*F$46</f>
        <v>0</v>
      </c>
      <c r="I62" s="8">
        <f>+$F$17*$H$32*G$46</f>
        <v>0</v>
      </c>
      <c r="K62" s="3"/>
      <c r="N62" s="45"/>
      <c r="Q62" s="11">
        <f t="shared" si="1"/>
        <v>0</v>
      </c>
    </row>
    <row r="63" spans="3:17" outlineLevel="1" x14ac:dyDescent="0.25">
      <c r="C63" s="7" t="s">
        <v>2</v>
      </c>
      <c r="D63" s="29"/>
      <c r="E63" s="29"/>
      <c r="F63" s="39"/>
      <c r="G63" s="40"/>
      <c r="H63" s="40"/>
      <c r="I63" s="40">
        <f>+$F$17*$I$32*$G$47</f>
        <v>0</v>
      </c>
      <c r="J63" s="29"/>
      <c r="K63" s="29"/>
      <c r="L63" s="39"/>
      <c r="M63" s="29"/>
      <c r="N63" s="46"/>
      <c r="O63" s="29"/>
      <c r="P63" s="29"/>
      <c r="Q63" s="47">
        <f t="shared" si="1"/>
        <v>0</v>
      </c>
    </row>
    <row r="64" spans="3:17" outlineLevel="1" x14ac:dyDescent="0.25">
      <c r="C64" s="2" t="s">
        <v>3</v>
      </c>
      <c r="G64" s="8">
        <f>+$G$18*$G$33*D$44</f>
        <v>0</v>
      </c>
      <c r="H64" s="8">
        <f>+$G$18*$G$33*E$44</f>
        <v>0</v>
      </c>
      <c r="I64" s="8">
        <f>+$G$18*$G$33*F$44</f>
        <v>0</v>
      </c>
      <c r="J64" s="8">
        <f>+$G$18*$G$33*G$44</f>
        <v>118.4375</v>
      </c>
      <c r="M64" s="3"/>
      <c r="Q64" s="11">
        <f t="shared" si="1"/>
        <v>118.4375</v>
      </c>
    </row>
    <row r="65" spans="3:17" outlineLevel="1" x14ac:dyDescent="0.25">
      <c r="C65" s="2" t="s">
        <v>3</v>
      </c>
      <c r="G65" s="3"/>
      <c r="H65" s="8">
        <f>+$G$18*$H$33*E$45</f>
        <v>0</v>
      </c>
      <c r="I65" s="8">
        <f>+$G$18*$H$33*F$45</f>
        <v>0</v>
      </c>
      <c r="J65" s="8">
        <f>+$G$18*$H$33*G$45</f>
        <v>47.375</v>
      </c>
      <c r="Q65" s="11">
        <f t="shared" si="1"/>
        <v>47.375</v>
      </c>
    </row>
    <row r="66" spans="3:17" outlineLevel="1" x14ac:dyDescent="0.25">
      <c r="C66" s="2" t="s">
        <v>3</v>
      </c>
      <c r="G66" s="3"/>
      <c r="H66" s="8"/>
      <c r="I66" s="8">
        <f>+$G$18*$I$33*F$46</f>
        <v>0</v>
      </c>
      <c r="J66" s="8">
        <f>+$G$18*$I$33*G$46</f>
        <v>47.375</v>
      </c>
      <c r="Q66" s="11">
        <f t="shared" si="1"/>
        <v>47.375</v>
      </c>
    </row>
    <row r="67" spans="3:17" outlineLevel="1" x14ac:dyDescent="0.25">
      <c r="C67" s="2" t="s">
        <v>3</v>
      </c>
      <c r="G67" s="3"/>
      <c r="H67" s="8"/>
      <c r="I67" s="8"/>
      <c r="J67" s="8">
        <f>+$G$18*$J$33*G$47</f>
        <v>23.6875</v>
      </c>
      <c r="Q67" s="11">
        <f t="shared" si="1"/>
        <v>23.6875</v>
      </c>
    </row>
    <row r="68" spans="3:17" outlineLevel="1" x14ac:dyDescent="0.25">
      <c r="C68" s="7" t="s">
        <v>4</v>
      </c>
      <c r="D68" s="28"/>
      <c r="E68" s="28"/>
      <c r="F68" s="28"/>
      <c r="G68" s="28"/>
      <c r="H68" s="37">
        <f>+$H$19*$H$34*D$44</f>
        <v>0</v>
      </c>
      <c r="I68" s="37">
        <f t="shared" ref="I68:K68" si="3">+$H$19*$H$34*E$44</f>
        <v>0</v>
      </c>
      <c r="J68" s="37">
        <f t="shared" si="3"/>
        <v>0</v>
      </c>
      <c r="K68" s="37">
        <f t="shared" si="3"/>
        <v>94.75</v>
      </c>
      <c r="L68" s="28"/>
      <c r="M68" s="28"/>
      <c r="N68" s="28"/>
      <c r="O68" s="28"/>
      <c r="P68" s="28"/>
      <c r="Q68" s="44">
        <f t="shared" si="1"/>
        <v>94.75</v>
      </c>
    </row>
    <row r="69" spans="3:17" outlineLevel="1" x14ac:dyDescent="0.25">
      <c r="C69" s="7" t="s">
        <v>4</v>
      </c>
      <c r="H69" s="3"/>
      <c r="I69" s="8">
        <f>+$H$19*$I$34*E$45</f>
        <v>0</v>
      </c>
      <c r="J69" s="8">
        <f t="shared" ref="J69:K69" si="4">+$H$19*$I$34*F$45</f>
        <v>0</v>
      </c>
      <c r="K69" s="8">
        <f t="shared" si="4"/>
        <v>37.9</v>
      </c>
      <c r="Q69" s="11">
        <f t="shared" si="1"/>
        <v>37.9</v>
      </c>
    </row>
    <row r="70" spans="3:17" outlineLevel="1" x14ac:dyDescent="0.25">
      <c r="C70" s="7" t="s">
        <v>4</v>
      </c>
      <c r="H70" s="3"/>
      <c r="I70" s="8"/>
      <c r="J70" s="8">
        <f>+$H$19*$J$34*F$46</f>
        <v>0</v>
      </c>
      <c r="K70" s="8">
        <f>+$H$19*$J$34*G$46</f>
        <v>37.9</v>
      </c>
      <c r="Q70" s="11">
        <f t="shared" si="1"/>
        <v>37.9</v>
      </c>
    </row>
    <row r="71" spans="3:17" outlineLevel="1" x14ac:dyDescent="0.25">
      <c r="C71" s="7" t="s">
        <v>4</v>
      </c>
      <c r="D71" s="29"/>
      <c r="E71" s="29"/>
      <c r="F71" s="29"/>
      <c r="G71" s="29"/>
      <c r="H71" s="39"/>
      <c r="I71" s="40"/>
      <c r="J71" s="40"/>
      <c r="K71" s="40">
        <f>+$H$19*$K$34*G$47</f>
        <v>18.95</v>
      </c>
      <c r="L71" s="29"/>
      <c r="M71" s="29"/>
      <c r="N71" s="29"/>
      <c r="O71" s="29"/>
      <c r="P71" s="29"/>
      <c r="Q71" s="47">
        <f t="shared" si="1"/>
        <v>18.95</v>
      </c>
    </row>
    <row r="72" spans="3:17" outlineLevel="1" x14ac:dyDescent="0.25">
      <c r="C72" s="2" t="s">
        <v>5</v>
      </c>
      <c r="I72" s="8">
        <f>+$I$20*$I$35*D$44</f>
        <v>0</v>
      </c>
      <c r="J72" s="8">
        <f t="shared" ref="J72:L72" si="5">+$I$20*$I$35*E$44</f>
        <v>0</v>
      </c>
      <c r="K72" s="8">
        <f t="shared" si="5"/>
        <v>0</v>
      </c>
      <c r="L72" s="8">
        <f t="shared" si="5"/>
        <v>118.4375</v>
      </c>
      <c r="Q72" s="11">
        <f t="shared" si="1"/>
        <v>118.4375</v>
      </c>
    </row>
    <row r="73" spans="3:17" outlineLevel="1" x14ac:dyDescent="0.25">
      <c r="C73" s="2" t="s">
        <v>5</v>
      </c>
      <c r="I73" s="3"/>
      <c r="J73" s="8">
        <f>+$I$20*$J$35*E$45</f>
        <v>0</v>
      </c>
      <c r="K73" s="8">
        <f t="shared" ref="K73:L73" si="6">+$I$20*$J$35*F$45</f>
        <v>0</v>
      </c>
      <c r="L73" s="8">
        <f t="shared" si="6"/>
        <v>47.375</v>
      </c>
      <c r="Q73" s="11">
        <f t="shared" si="1"/>
        <v>47.375</v>
      </c>
    </row>
    <row r="74" spans="3:17" outlineLevel="1" x14ac:dyDescent="0.25">
      <c r="C74" s="2" t="s">
        <v>5</v>
      </c>
      <c r="I74" s="3"/>
      <c r="J74" s="8"/>
      <c r="K74" s="8">
        <f>+$I$20*$K$35*F$46</f>
        <v>0</v>
      </c>
      <c r="L74" s="8">
        <f>+$I$20*$K$35*G$46</f>
        <v>47.375</v>
      </c>
      <c r="Q74" s="11">
        <f t="shared" si="1"/>
        <v>47.375</v>
      </c>
    </row>
    <row r="75" spans="3:17" outlineLevel="1" x14ac:dyDescent="0.25">
      <c r="C75" s="2" t="s">
        <v>5</v>
      </c>
      <c r="I75" s="3"/>
      <c r="J75" s="8"/>
      <c r="K75" s="8"/>
      <c r="L75" s="8">
        <f>+$I$20*$L$35*G$47</f>
        <v>23.6875</v>
      </c>
      <c r="Q75" s="11">
        <f t="shared" si="1"/>
        <v>23.6875</v>
      </c>
    </row>
    <row r="76" spans="3:17" outlineLevel="1" x14ac:dyDescent="0.25">
      <c r="C76" s="7" t="s">
        <v>6</v>
      </c>
      <c r="D76" s="28"/>
      <c r="E76" s="28"/>
      <c r="F76" s="28"/>
      <c r="G76" s="28"/>
      <c r="H76" s="28"/>
      <c r="I76" s="28"/>
      <c r="J76" s="37">
        <f>+$J$21*$J$36*D$44</f>
        <v>0</v>
      </c>
      <c r="K76" s="37">
        <f t="shared" ref="K76:M76" si="7">+$J$21*$J$36*E$44</f>
        <v>0</v>
      </c>
      <c r="L76" s="37">
        <f t="shared" si="7"/>
        <v>0</v>
      </c>
      <c r="M76" s="37">
        <f t="shared" si="7"/>
        <v>142.125</v>
      </c>
      <c r="N76" s="28"/>
      <c r="O76" s="28"/>
      <c r="P76" s="28"/>
      <c r="Q76" s="44">
        <f t="shared" si="1"/>
        <v>142.125</v>
      </c>
    </row>
    <row r="77" spans="3:17" outlineLevel="1" x14ac:dyDescent="0.25">
      <c r="C77" s="7" t="s">
        <v>6</v>
      </c>
      <c r="J77" s="3"/>
      <c r="K77" s="8">
        <f>+$J$21*$K$36*E$45</f>
        <v>0</v>
      </c>
      <c r="L77" s="8">
        <f t="shared" ref="L77:M77" si="8">+$J$21*$K$36*F$45</f>
        <v>0</v>
      </c>
      <c r="M77" s="8">
        <f t="shared" si="8"/>
        <v>56.85</v>
      </c>
      <c r="Q77" s="11">
        <f t="shared" si="1"/>
        <v>56.85</v>
      </c>
    </row>
    <row r="78" spans="3:17" outlineLevel="1" x14ac:dyDescent="0.25">
      <c r="C78" s="7" t="s">
        <v>6</v>
      </c>
      <c r="J78" s="3"/>
      <c r="K78" s="8"/>
      <c r="L78" s="8">
        <f>+$J$21*$L$36*F$46</f>
        <v>0</v>
      </c>
      <c r="M78" s="8">
        <f>+$J$21*$L$36*G$46</f>
        <v>56.85</v>
      </c>
      <c r="Q78" s="11">
        <f t="shared" si="1"/>
        <v>56.85</v>
      </c>
    </row>
    <row r="79" spans="3:17" outlineLevel="1" x14ac:dyDescent="0.25">
      <c r="C79" s="7" t="s">
        <v>6</v>
      </c>
      <c r="D79" s="29"/>
      <c r="E79" s="29"/>
      <c r="F79" s="29"/>
      <c r="G79" s="29"/>
      <c r="H79" s="29"/>
      <c r="I79" s="29"/>
      <c r="J79" s="39"/>
      <c r="K79" s="40"/>
      <c r="L79" s="40"/>
      <c r="M79" s="40">
        <f>+$J$21*$M$36*G$47</f>
        <v>28.425000000000001</v>
      </c>
      <c r="N79" s="29"/>
      <c r="O79" s="29"/>
      <c r="P79" s="29"/>
      <c r="Q79" s="47">
        <f t="shared" si="1"/>
        <v>28.425000000000001</v>
      </c>
    </row>
    <row r="80" spans="3:17" outlineLevel="1" x14ac:dyDescent="0.25">
      <c r="C80" s="2" t="s">
        <v>7</v>
      </c>
      <c r="K80" s="8">
        <f>+$K$22*$K$37*D$44</f>
        <v>0</v>
      </c>
      <c r="L80" s="8">
        <f t="shared" ref="L80:N80" si="9">+$K$22*$K$37*E$44</f>
        <v>0</v>
      </c>
      <c r="M80" s="8">
        <f t="shared" si="9"/>
        <v>0</v>
      </c>
      <c r="N80" s="8">
        <f t="shared" si="9"/>
        <v>165.8125</v>
      </c>
      <c r="Q80" s="11">
        <f t="shared" si="1"/>
        <v>165.8125</v>
      </c>
    </row>
    <row r="81" spans="3:17" outlineLevel="1" x14ac:dyDescent="0.25">
      <c r="C81" s="2" t="s">
        <v>7</v>
      </c>
      <c r="K81" s="3"/>
      <c r="L81" s="8">
        <f>+$K$22*$L$37*E$45</f>
        <v>0</v>
      </c>
      <c r="M81" s="8">
        <f t="shared" ref="M81:N81" si="10">+$K$22*$L$37*F$45</f>
        <v>0</v>
      </c>
      <c r="N81" s="8">
        <f t="shared" si="10"/>
        <v>66.325000000000003</v>
      </c>
      <c r="Q81" s="11">
        <f t="shared" si="1"/>
        <v>66.325000000000003</v>
      </c>
    </row>
    <row r="82" spans="3:17" outlineLevel="1" x14ac:dyDescent="0.25">
      <c r="C82" s="2" t="s">
        <v>7</v>
      </c>
      <c r="K82" s="3"/>
      <c r="L82" s="8"/>
      <c r="M82" s="8">
        <f>+$K$22*$M$37*F$46</f>
        <v>0</v>
      </c>
      <c r="N82" s="8">
        <f>+$K$22*$M$37*G$46</f>
        <v>66.325000000000003</v>
      </c>
      <c r="Q82" s="11">
        <f t="shared" si="1"/>
        <v>66.325000000000003</v>
      </c>
    </row>
    <row r="83" spans="3:17" outlineLevel="1" x14ac:dyDescent="0.25">
      <c r="C83" s="2" t="s">
        <v>7</v>
      </c>
      <c r="K83" s="3"/>
      <c r="L83" s="8"/>
      <c r="M83" s="8"/>
      <c r="N83" s="8">
        <f>+$K$22*$N$37*G$47</f>
        <v>33.162500000000001</v>
      </c>
      <c r="Q83" s="11">
        <f t="shared" si="1"/>
        <v>33.162500000000001</v>
      </c>
    </row>
    <row r="84" spans="3:17" outlineLevel="1" x14ac:dyDescent="0.25">
      <c r="C84" s="7" t="s">
        <v>8</v>
      </c>
      <c r="D84" s="28"/>
      <c r="E84" s="28"/>
      <c r="F84" s="28"/>
      <c r="G84" s="28"/>
      <c r="H84" s="28"/>
      <c r="I84" s="28"/>
      <c r="J84" s="28"/>
      <c r="K84" s="28"/>
      <c r="L84" s="37">
        <f>+$L$23*$L$38*D$44</f>
        <v>0</v>
      </c>
      <c r="M84" s="37">
        <f t="shared" ref="M84:O84" si="11">+$L$23*$L$38*E$44</f>
        <v>0</v>
      </c>
      <c r="N84" s="37">
        <f t="shared" si="11"/>
        <v>0</v>
      </c>
      <c r="O84" s="37">
        <f t="shared" si="11"/>
        <v>189.5</v>
      </c>
      <c r="P84" s="28"/>
      <c r="Q84" s="44">
        <f t="shared" si="1"/>
        <v>189.5</v>
      </c>
    </row>
    <row r="85" spans="3:17" outlineLevel="1" x14ac:dyDescent="0.25">
      <c r="C85" s="7" t="s">
        <v>8</v>
      </c>
      <c r="L85" s="3"/>
      <c r="M85" s="8">
        <f>+$L$23*$M$38*E$45</f>
        <v>0</v>
      </c>
      <c r="N85" s="8">
        <f t="shared" ref="N85:O85" si="12">+$L$23*$M$38*F$45</f>
        <v>0</v>
      </c>
      <c r="O85" s="8">
        <f t="shared" si="12"/>
        <v>75.8</v>
      </c>
      <c r="Q85" s="11">
        <f t="shared" si="1"/>
        <v>75.8</v>
      </c>
    </row>
    <row r="86" spans="3:17" outlineLevel="1" x14ac:dyDescent="0.25">
      <c r="C86" s="7" t="s">
        <v>8</v>
      </c>
      <c r="L86" s="3"/>
      <c r="M86" s="8"/>
      <c r="N86" s="8">
        <f>+$L$23*$N$38*F$46</f>
        <v>0</v>
      </c>
      <c r="O86" s="8">
        <f>+$L$23*$N$38*G$46</f>
        <v>75.8</v>
      </c>
      <c r="Q86" s="11">
        <f t="shared" si="1"/>
        <v>75.8</v>
      </c>
    </row>
    <row r="87" spans="3:17" outlineLevel="1" x14ac:dyDescent="0.25">
      <c r="C87" s="7" t="s">
        <v>8</v>
      </c>
      <c r="D87" s="29"/>
      <c r="E87" s="29"/>
      <c r="F87" s="29"/>
      <c r="G87" s="29"/>
      <c r="H87" s="29"/>
      <c r="I87" s="29"/>
      <c r="J87" s="29"/>
      <c r="K87" s="29"/>
      <c r="L87" s="39"/>
      <c r="M87" s="40"/>
      <c r="N87" s="40"/>
      <c r="O87" s="40">
        <f>+$L$23*$O$38*G$47</f>
        <v>37.9</v>
      </c>
      <c r="P87" s="29"/>
      <c r="Q87" s="47">
        <f t="shared" si="1"/>
        <v>37.9</v>
      </c>
    </row>
    <row r="88" spans="3:17" outlineLevel="1" x14ac:dyDescent="0.25">
      <c r="C88" s="2" t="s">
        <v>9</v>
      </c>
      <c r="D88" s="28"/>
      <c r="E88" s="28"/>
      <c r="F88" s="28"/>
      <c r="G88" s="28"/>
      <c r="H88" s="28"/>
      <c r="I88" s="28"/>
      <c r="J88" s="28"/>
      <c r="K88" s="28"/>
      <c r="L88" s="28"/>
      <c r="M88" s="37">
        <f>+$M$24*$M$39*D$44</f>
        <v>0</v>
      </c>
      <c r="N88" s="37">
        <f t="shared" ref="N88:P88" si="13">+$M$24*$M$39*E$44</f>
        <v>0</v>
      </c>
      <c r="O88" s="37">
        <f t="shared" si="13"/>
        <v>0</v>
      </c>
      <c r="P88" s="37">
        <f t="shared" si="13"/>
        <v>213.1875</v>
      </c>
      <c r="Q88" s="44">
        <f t="shared" si="1"/>
        <v>213.1875</v>
      </c>
    </row>
    <row r="89" spans="3:17" outlineLevel="1" x14ac:dyDescent="0.25">
      <c r="C89" s="2" t="s">
        <v>9</v>
      </c>
      <c r="M89" s="3"/>
      <c r="N89" s="8">
        <f>+$M$24*$N$39*E$45</f>
        <v>0</v>
      </c>
      <c r="O89" s="8">
        <f t="shared" ref="O89:P89" si="14">+$M$24*$N$39*F$45</f>
        <v>0</v>
      </c>
      <c r="P89" s="8">
        <f t="shared" si="14"/>
        <v>85.275000000000006</v>
      </c>
      <c r="Q89" s="11">
        <f t="shared" si="1"/>
        <v>85.275000000000006</v>
      </c>
    </row>
    <row r="90" spans="3:17" outlineLevel="1" x14ac:dyDescent="0.25">
      <c r="C90" s="2" t="s">
        <v>9</v>
      </c>
      <c r="M90" s="3"/>
      <c r="N90" s="8"/>
      <c r="O90" s="8">
        <f>+$M$24*$O$39*F$46</f>
        <v>0</v>
      </c>
      <c r="P90" s="8">
        <f>+$M$24*$O$39*G$46</f>
        <v>85.275000000000006</v>
      </c>
      <c r="Q90" s="11">
        <f t="shared" si="1"/>
        <v>85.275000000000006</v>
      </c>
    </row>
    <row r="91" spans="3:17" outlineLevel="1" x14ac:dyDescent="0.25">
      <c r="C91" s="2" t="s">
        <v>9</v>
      </c>
      <c r="D91" s="29"/>
      <c r="E91" s="29"/>
      <c r="F91" s="29"/>
      <c r="G91" s="29"/>
      <c r="H91" s="29"/>
      <c r="I91" s="29"/>
      <c r="J91" s="29"/>
      <c r="K91" s="29"/>
      <c r="L91" s="29"/>
      <c r="M91" s="39"/>
      <c r="N91" s="40"/>
      <c r="O91" s="40"/>
      <c r="P91" s="40">
        <f>+$M$24*$P$39*G$47</f>
        <v>42.637500000000003</v>
      </c>
      <c r="Q91" s="47">
        <f t="shared" si="1"/>
        <v>42.637500000000003</v>
      </c>
    </row>
    <row r="92" spans="3:17" x14ac:dyDescent="0.25">
      <c r="D92" s="69">
        <f>SUM(D52:D91)</f>
        <v>0</v>
      </c>
      <c r="E92" s="69">
        <f t="shared" ref="E92:M92" si="15">SUM(E52:E91)</f>
        <v>0</v>
      </c>
      <c r="F92" s="69">
        <f t="shared" si="15"/>
        <v>0</v>
      </c>
      <c r="G92" s="69">
        <f t="shared" si="15"/>
        <v>0</v>
      </c>
      <c r="H92" s="69">
        <f t="shared" si="15"/>
        <v>0</v>
      </c>
      <c r="I92" s="69">
        <f t="shared" si="15"/>
        <v>0</v>
      </c>
      <c r="J92" s="69">
        <f t="shared" si="15"/>
        <v>236.875</v>
      </c>
      <c r="K92" s="69">
        <f t="shared" si="15"/>
        <v>189.5</v>
      </c>
      <c r="L92" s="69">
        <f t="shared" si="15"/>
        <v>236.875</v>
      </c>
      <c r="M92" s="69">
        <f t="shared" si="15"/>
        <v>284.25</v>
      </c>
      <c r="N92" s="8"/>
      <c r="O92" s="8"/>
      <c r="P92" s="8"/>
      <c r="Q92" s="11"/>
    </row>
    <row r="94" spans="3:17" x14ac:dyDescent="0.25">
      <c r="C94" s="4" t="s">
        <v>25</v>
      </c>
      <c r="F94" s="18"/>
    </row>
    <row r="95" spans="3:17" ht="5.25" customHeight="1" x14ac:dyDescent="0.25">
      <c r="C95" s="4"/>
    </row>
    <row r="96" spans="3:17" ht="17.25" customHeight="1" x14ac:dyDescent="0.25">
      <c r="C96" s="4" t="s">
        <v>24</v>
      </c>
      <c r="F96" s="18"/>
    </row>
    <row r="97" spans="3:13" ht="5.25" customHeight="1" x14ac:dyDescent="0.25">
      <c r="C97" s="4"/>
    </row>
    <row r="98" spans="3:13" ht="15" customHeight="1" x14ac:dyDescent="0.25">
      <c r="C98" s="4" t="s">
        <v>26</v>
      </c>
      <c r="F98">
        <v>1</v>
      </c>
      <c r="G98" s="4" t="s">
        <v>27</v>
      </c>
    </row>
    <row r="99" spans="3:13" ht="4.5" customHeight="1" x14ac:dyDescent="0.25">
      <c r="C99" s="4"/>
      <c r="G99" s="4"/>
    </row>
    <row r="100" spans="3:13" x14ac:dyDescent="0.25">
      <c r="D100" s="2" t="s">
        <v>0</v>
      </c>
      <c r="E100" s="2" t="s">
        <v>1</v>
      </c>
      <c r="F100" s="2" t="s">
        <v>2</v>
      </c>
      <c r="G100" s="2" t="s">
        <v>3</v>
      </c>
      <c r="H100" s="2" t="s">
        <v>4</v>
      </c>
      <c r="I100" s="2" t="s">
        <v>5</v>
      </c>
      <c r="J100" s="2" t="s">
        <v>6</v>
      </c>
      <c r="K100" s="2" t="s">
        <v>7</v>
      </c>
      <c r="L100" s="2" t="s">
        <v>8</v>
      </c>
      <c r="M100" s="2" t="s">
        <v>9</v>
      </c>
    </row>
    <row r="101" spans="3:13" x14ac:dyDescent="0.25">
      <c r="C101" s="48" t="s">
        <v>28</v>
      </c>
      <c r="D101" s="70">
        <f>-$F$94*$F$96*D104</f>
        <v>0</v>
      </c>
      <c r="E101" s="70">
        <f t="shared" ref="E101:M101" si="16">-$F$94*$F$96*E104</f>
        <v>0</v>
      </c>
      <c r="F101" s="70">
        <f t="shared" si="16"/>
        <v>0</v>
      </c>
      <c r="G101" s="70">
        <f t="shared" si="16"/>
        <v>0</v>
      </c>
      <c r="H101" s="28">
        <f t="shared" si="16"/>
        <v>0</v>
      </c>
      <c r="I101" s="28">
        <f t="shared" si="16"/>
        <v>0</v>
      </c>
      <c r="J101" s="28">
        <f t="shared" si="16"/>
        <v>0</v>
      </c>
      <c r="K101" s="28">
        <f t="shared" si="16"/>
        <v>0</v>
      </c>
      <c r="L101" s="28">
        <f t="shared" si="16"/>
        <v>0</v>
      </c>
      <c r="M101" s="28">
        <f t="shared" si="16"/>
        <v>0</v>
      </c>
    </row>
    <row r="102" spans="3:13" x14ac:dyDescent="0.25">
      <c r="C102" s="49" t="s">
        <v>29</v>
      </c>
      <c r="D102" s="29">
        <f>-$F$94*$F$96*D25</f>
        <v>0</v>
      </c>
      <c r="E102" s="29">
        <f t="shared" ref="E102:M102" si="17">-$F$94*$F$96*E25</f>
        <v>0</v>
      </c>
      <c r="F102" s="29">
        <f t="shared" si="17"/>
        <v>0</v>
      </c>
      <c r="G102" s="29">
        <f t="shared" si="17"/>
        <v>0</v>
      </c>
      <c r="H102" s="29">
        <f t="shared" si="17"/>
        <v>0</v>
      </c>
      <c r="I102" s="29">
        <f t="shared" si="17"/>
        <v>0</v>
      </c>
      <c r="J102" s="29">
        <f t="shared" si="17"/>
        <v>0</v>
      </c>
      <c r="K102" s="29">
        <f t="shared" si="17"/>
        <v>0</v>
      </c>
      <c r="L102" s="29">
        <f t="shared" si="17"/>
        <v>0</v>
      </c>
      <c r="M102" s="29">
        <f t="shared" si="17"/>
        <v>0</v>
      </c>
    </row>
    <row r="104" spans="3:13" x14ac:dyDescent="0.25">
      <c r="C104" s="50" t="s">
        <v>16</v>
      </c>
      <c r="D104" s="51">
        <f>+D92</f>
        <v>0</v>
      </c>
      <c r="E104" s="51">
        <f t="shared" ref="E104:M104" si="18">+E92</f>
        <v>0</v>
      </c>
      <c r="F104" s="51">
        <f t="shared" si="18"/>
        <v>0</v>
      </c>
      <c r="G104" s="51">
        <f t="shared" si="18"/>
        <v>0</v>
      </c>
      <c r="H104" s="51">
        <f t="shared" si="18"/>
        <v>0</v>
      </c>
      <c r="I104" s="51">
        <f t="shared" si="18"/>
        <v>0</v>
      </c>
      <c r="J104" s="51">
        <f t="shared" si="18"/>
        <v>236.875</v>
      </c>
      <c r="K104" s="51">
        <f t="shared" si="18"/>
        <v>189.5</v>
      </c>
      <c r="L104" s="51">
        <f t="shared" si="18"/>
        <v>236.875</v>
      </c>
      <c r="M104" s="51">
        <f t="shared" si="18"/>
        <v>284.25</v>
      </c>
    </row>
    <row r="105" spans="3:13" x14ac:dyDescent="0.25">
      <c r="C105" s="71" t="s">
        <v>17</v>
      </c>
      <c r="D105" s="72"/>
      <c r="E105" s="73">
        <f t="shared" ref="E105:M105" si="19">IFERROR(E104/D104-1,0)</f>
        <v>0</v>
      </c>
      <c r="F105" s="73">
        <f t="shared" si="19"/>
        <v>0</v>
      </c>
      <c r="G105" s="73">
        <f t="shared" si="19"/>
        <v>0</v>
      </c>
      <c r="H105" s="73">
        <f t="shared" si="19"/>
        <v>0</v>
      </c>
      <c r="I105" s="73">
        <f t="shared" si="19"/>
        <v>0</v>
      </c>
      <c r="J105" s="73">
        <f t="shared" si="19"/>
        <v>0</v>
      </c>
      <c r="K105" s="73">
        <f t="shared" si="19"/>
        <v>-0.19999999999999996</v>
      </c>
      <c r="L105" s="73">
        <f t="shared" si="19"/>
        <v>0.25</v>
      </c>
      <c r="M105" s="73">
        <f t="shared" si="19"/>
        <v>0.19999999999999996</v>
      </c>
    </row>
    <row r="106" spans="3:13" x14ac:dyDescent="0.25">
      <c r="C106" s="13" t="s">
        <v>18</v>
      </c>
      <c r="D106" s="1">
        <f>-D107*D104</f>
        <v>0</v>
      </c>
      <c r="E106" s="1">
        <f t="shared" ref="E106:M106" si="20">-E107*E104</f>
        <v>0</v>
      </c>
      <c r="F106" s="1">
        <f t="shared" si="20"/>
        <v>0</v>
      </c>
      <c r="G106" s="1">
        <f t="shared" si="20"/>
        <v>0</v>
      </c>
      <c r="H106" s="1">
        <f t="shared" si="20"/>
        <v>0</v>
      </c>
      <c r="I106" s="1">
        <f t="shared" si="20"/>
        <v>0</v>
      </c>
      <c r="J106" s="1">
        <f t="shared" si="20"/>
        <v>0</v>
      </c>
      <c r="K106" s="1">
        <f t="shared" si="20"/>
        <v>0</v>
      </c>
      <c r="L106" s="1">
        <f t="shared" si="20"/>
        <v>0</v>
      </c>
      <c r="M106" s="1">
        <f t="shared" si="20"/>
        <v>0</v>
      </c>
    </row>
    <row r="107" spans="3:13" x14ac:dyDescent="0.25">
      <c r="C107" s="15" t="s">
        <v>19</v>
      </c>
      <c r="D107" s="74"/>
      <c r="E107" s="75">
        <f>+D107</f>
        <v>0</v>
      </c>
      <c r="F107" s="75">
        <f t="shared" ref="F107:M107" si="21">+E107</f>
        <v>0</v>
      </c>
      <c r="G107" s="75">
        <f t="shared" si="21"/>
        <v>0</v>
      </c>
      <c r="H107" s="75">
        <f t="shared" si="21"/>
        <v>0</v>
      </c>
      <c r="I107" s="75">
        <f t="shared" si="21"/>
        <v>0</v>
      </c>
      <c r="J107" s="75">
        <f t="shared" si="21"/>
        <v>0</v>
      </c>
      <c r="K107" s="75">
        <f t="shared" si="21"/>
        <v>0</v>
      </c>
      <c r="L107" s="75">
        <f t="shared" si="21"/>
        <v>0</v>
      </c>
      <c r="M107" s="75">
        <f t="shared" si="21"/>
        <v>0</v>
      </c>
    </row>
    <row r="108" spans="3:13" ht="6.75" customHeight="1" x14ac:dyDescent="0.25">
      <c r="C108" s="13"/>
    </row>
    <row r="109" spans="3:13" x14ac:dyDescent="0.25">
      <c r="C109" s="50" t="s">
        <v>20</v>
      </c>
      <c r="D109" s="51">
        <f>+D104+D106</f>
        <v>0</v>
      </c>
      <c r="E109" s="51">
        <f t="shared" ref="E109:M109" si="22">+E104+E106</f>
        <v>0</v>
      </c>
      <c r="F109" s="51">
        <f t="shared" si="22"/>
        <v>0</v>
      </c>
      <c r="G109" s="51">
        <f t="shared" si="22"/>
        <v>0</v>
      </c>
      <c r="H109" s="51">
        <f t="shared" si="22"/>
        <v>0</v>
      </c>
      <c r="I109" s="51">
        <f t="shared" si="22"/>
        <v>0</v>
      </c>
      <c r="J109" s="51">
        <f t="shared" si="22"/>
        <v>236.875</v>
      </c>
      <c r="K109" s="51">
        <f t="shared" si="22"/>
        <v>189.5</v>
      </c>
      <c r="L109" s="51">
        <f t="shared" si="22"/>
        <v>236.875</v>
      </c>
      <c r="M109" s="51">
        <f t="shared" si="22"/>
        <v>284.25</v>
      </c>
    </row>
    <row r="110" spans="3:13" x14ac:dyDescent="0.25">
      <c r="C110" s="13"/>
    </row>
    <row r="111" spans="3:13" x14ac:dyDescent="0.25">
      <c r="C111" s="50" t="s">
        <v>21</v>
      </c>
      <c r="D111" s="51">
        <f>D112+D113</f>
        <v>0</v>
      </c>
      <c r="E111" s="51">
        <f t="shared" ref="E111:M111" si="23">E112+E113</f>
        <v>0</v>
      </c>
      <c r="F111" s="51">
        <f t="shared" si="23"/>
        <v>0</v>
      </c>
      <c r="G111" s="51">
        <f t="shared" si="23"/>
        <v>0</v>
      </c>
      <c r="H111" s="51">
        <f t="shared" si="23"/>
        <v>0</v>
      </c>
      <c r="I111" s="51">
        <f t="shared" si="23"/>
        <v>0</v>
      </c>
      <c r="J111" s="51">
        <f t="shared" si="23"/>
        <v>0</v>
      </c>
      <c r="K111" s="51">
        <f t="shared" si="23"/>
        <v>0</v>
      </c>
      <c r="L111" s="51">
        <f t="shared" si="23"/>
        <v>0</v>
      </c>
      <c r="M111" s="51">
        <f t="shared" si="23"/>
        <v>0</v>
      </c>
    </row>
    <row r="112" spans="3:13" x14ac:dyDescent="0.25">
      <c r="C112" s="16" t="s">
        <v>22</v>
      </c>
      <c r="D112" s="55">
        <f>+D101+D102</f>
        <v>0</v>
      </c>
      <c r="E112" s="55">
        <f t="shared" ref="E112:M112" si="24">+E101+E102</f>
        <v>0</v>
      </c>
      <c r="F112" s="55">
        <f t="shared" si="24"/>
        <v>0</v>
      </c>
      <c r="G112" s="55">
        <f t="shared" si="24"/>
        <v>0</v>
      </c>
      <c r="H112" s="55">
        <f t="shared" si="24"/>
        <v>0</v>
      </c>
      <c r="I112" s="55">
        <f t="shared" si="24"/>
        <v>0</v>
      </c>
      <c r="J112" s="55">
        <f t="shared" si="24"/>
        <v>0</v>
      </c>
      <c r="K112" s="55">
        <f t="shared" si="24"/>
        <v>0</v>
      </c>
      <c r="L112" s="55">
        <f t="shared" si="24"/>
        <v>0</v>
      </c>
      <c r="M112" s="55">
        <f t="shared" si="24"/>
        <v>0</v>
      </c>
    </row>
    <row r="113" spans="3:13" x14ac:dyDescent="0.25">
      <c r="C113" s="52" t="s">
        <v>23</v>
      </c>
      <c r="D113" s="53">
        <f>+D134</f>
        <v>0</v>
      </c>
      <c r="E113" s="53">
        <f t="shared" ref="E113:M113" si="25">+E134</f>
        <v>0</v>
      </c>
      <c r="F113" s="53">
        <f t="shared" si="25"/>
        <v>0</v>
      </c>
      <c r="G113" s="53">
        <f t="shared" si="25"/>
        <v>0</v>
      </c>
      <c r="H113" s="53">
        <f t="shared" si="25"/>
        <v>0</v>
      </c>
      <c r="I113" s="53">
        <f t="shared" si="25"/>
        <v>0</v>
      </c>
      <c r="J113" s="53">
        <f t="shared" si="25"/>
        <v>0</v>
      </c>
      <c r="K113" s="53">
        <f t="shared" si="25"/>
        <v>0</v>
      </c>
      <c r="L113" s="53">
        <f t="shared" si="25"/>
        <v>0</v>
      </c>
      <c r="M113" s="53">
        <f t="shared" si="25"/>
        <v>0</v>
      </c>
    </row>
    <row r="114" spans="3:13" x14ac:dyDescent="0.25">
      <c r="C114" s="16"/>
    </row>
    <row r="115" spans="3:13" x14ac:dyDescent="0.25">
      <c r="C115" s="16"/>
      <c r="D115" s="20"/>
      <c r="E115" s="56" t="s">
        <v>33</v>
      </c>
    </row>
    <row r="116" spans="3:13" ht="5.25" customHeight="1" x14ac:dyDescent="0.25">
      <c r="C116" s="16"/>
    </row>
    <row r="117" spans="3:13" x14ac:dyDescent="0.25">
      <c r="C117" s="16"/>
      <c r="D117" s="5" t="s">
        <v>30</v>
      </c>
      <c r="E117" s="12" t="s">
        <v>31</v>
      </c>
    </row>
    <row r="118" spans="3:13" x14ac:dyDescent="0.25">
      <c r="D118" s="19"/>
      <c r="E118" s="19"/>
      <c r="F118" s="4" t="s">
        <v>32</v>
      </c>
    </row>
    <row r="119" spans="3:13" ht="4.5" customHeight="1" x14ac:dyDescent="0.25">
      <c r="D119" s="17"/>
      <c r="E119" s="17"/>
    </row>
    <row r="120" spans="3:13" ht="15" customHeight="1" x14ac:dyDescent="0.25">
      <c r="C120" s="4" t="s">
        <v>49</v>
      </c>
      <c r="D120" s="17"/>
      <c r="E120" s="17"/>
    </row>
    <row r="121" spans="3:13" ht="4.5" customHeight="1" x14ac:dyDescent="0.25">
      <c r="D121" s="17"/>
      <c r="E121" s="17"/>
    </row>
    <row r="122" spans="3:13" x14ac:dyDescent="0.25">
      <c r="D122" s="2" t="s">
        <v>0</v>
      </c>
      <c r="E122" s="2" t="s">
        <v>1</v>
      </c>
      <c r="F122" s="2" t="s">
        <v>2</v>
      </c>
      <c r="G122" s="2" t="s">
        <v>3</v>
      </c>
      <c r="H122" s="2" t="s">
        <v>4</v>
      </c>
      <c r="I122" s="2" t="s">
        <v>5</v>
      </c>
      <c r="J122" s="2" t="s">
        <v>6</v>
      </c>
      <c r="K122" s="2" t="s">
        <v>7</v>
      </c>
      <c r="L122" s="2" t="s">
        <v>8</v>
      </c>
      <c r="M122" s="2" t="s">
        <v>9</v>
      </c>
    </row>
    <row r="123" spans="3:13" outlineLevel="1" x14ac:dyDescent="0.25">
      <c r="C123" s="2" t="s">
        <v>0</v>
      </c>
      <c r="D123" s="63"/>
      <c r="E123" s="57">
        <f>-D15*$D$115*$D$118</f>
        <v>0</v>
      </c>
      <c r="F123" s="57">
        <f>-D15*$D$115*$E$118</f>
        <v>0</v>
      </c>
      <c r="G123" s="28"/>
      <c r="H123" s="28"/>
      <c r="I123" s="28"/>
      <c r="J123" s="28"/>
      <c r="K123" s="28"/>
      <c r="L123" s="28"/>
      <c r="M123" s="28"/>
    </row>
    <row r="124" spans="3:13" outlineLevel="1" x14ac:dyDescent="0.25">
      <c r="C124" s="2" t="s">
        <v>1</v>
      </c>
      <c r="E124" s="63"/>
      <c r="F124" s="21">
        <f>-E16*$D$115*$D$118</f>
        <v>0</v>
      </c>
      <c r="G124" s="21">
        <f>-E16*$D$115*$E$118</f>
        <v>0</v>
      </c>
    </row>
    <row r="125" spans="3:13" outlineLevel="1" x14ac:dyDescent="0.25">
      <c r="C125" s="2" t="s">
        <v>2</v>
      </c>
      <c r="F125" s="63"/>
      <c r="G125" s="21">
        <f>-F17*$D$115*$D$118</f>
        <v>0</v>
      </c>
      <c r="H125" s="21">
        <f>-F17*$D$115*$E$118</f>
        <v>0</v>
      </c>
    </row>
    <row r="126" spans="3:13" outlineLevel="1" x14ac:dyDescent="0.25">
      <c r="C126" s="2" t="s">
        <v>3</v>
      </c>
      <c r="G126" s="63"/>
      <c r="H126" s="21">
        <f>-G18*$D$115*$D$118</f>
        <v>0</v>
      </c>
      <c r="I126" s="21">
        <f>-G18*$D$115*$E$118</f>
        <v>0</v>
      </c>
    </row>
    <row r="127" spans="3:13" outlineLevel="1" x14ac:dyDescent="0.25">
      <c r="C127" s="2" t="s">
        <v>4</v>
      </c>
      <c r="H127" s="63"/>
      <c r="I127" s="21">
        <f>-H19*$D$115*$D$118</f>
        <v>0</v>
      </c>
      <c r="J127" s="21">
        <f>-H19*$D$115*$E$118</f>
        <v>0</v>
      </c>
    </row>
    <row r="128" spans="3:13" outlineLevel="1" x14ac:dyDescent="0.25">
      <c r="C128" s="2" t="s">
        <v>5</v>
      </c>
      <c r="I128" s="63"/>
      <c r="J128" s="21">
        <f>-I20*$D$115*$D$118</f>
        <v>0</v>
      </c>
      <c r="K128" s="21">
        <f>-I20*$D$115*$E$118</f>
        <v>0</v>
      </c>
    </row>
    <row r="129" spans="3:14" outlineLevel="1" x14ac:dyDescent="0.25">
      <c r="C129" s="2" t="s">
        <v>6</v>
      </c>
      <c r="J129" s="63"/>
      <c r="K129" s="21">
        <f>-J21*$D$115*$D$118</f>
        <v>0</v>
      </c>
      <c r="L129" s="21">
        <f>-J21*$D$115*$E$118</f>
        <v>0</v>
      </c>
    </row>
    <row r="130" spans="3:14" outlineLevel="1" x14ac:dyDescent="0.25">
      <c r="C130" s="2" t="s">
        <v>7</v>
      </c>
      <c r="K130" s="63"/>
      <c r="L130" s="21">
        <f>-K22*$D$115*$D$118</f>
        <v>0</v>
      </c>
      <c r="M130" s="21">
        <f>-K22*$D$115*$E$118</f>
        <v>0</v>
      </c>
    </row>
    <row r="131" spans="3:14" outlineLevel="1" x14ac:dyDescent="0.25">
      <c r="C131" s="2" t="s">
        <v>8</v>
      </c>
      <c r="L131" s="63"/>
      <c r="M131" s="21">
        <f>-L23*$D$115*$D$118</f>
        <v>0</v>
      </c>
      <c r="N131" s="21"/>
    </row>
    <row r="132" spans="3:14" outlineLevel="1" x14ac:dyDescent="0.25">
      <c r="C132" s="2" t="s">
        <v>9</v>
      </c>
      <c r="D132" s="29"/>
      <c r="E132" s="29"/>
      <c r="F132" s="29"/>
      <c r="G132" s="29"/>
      <c r="H132" s="29"/>
      <c r="I132" s="29"/>
      <c r="J132" s="29"/>
      <c r="K132" s="29"/>
      <c r="L132" s="29"/>
      <c r="M132" s="131"/>
    </row>
    <row r="133" spans="3:14" outlineLevel="1" x14ac:dyDescent="0.25"/>
    <row r="134" spans="3:14" x14ac:dyDescent="0.25">
      <c r="C134" s="2" t="s">
        <v>34</v>
      </c>
      <c r="D134" s="58">
        <f>SUM(D123:D132)</f>
        <v>0</v>
      </c>
      <c r="E134" s="58">
        <f t="shared" ref="E134:M134" si="26">SUM(E123:E132)</f>
        <v>0</v>
      </c>
      <c r="F134" s="58">
        <f t="shared" si="26"/>
        <v>0</v>
      </c>
      <c r="G134" s="58">
        <f t="shared" si="26"/>
        <v>0</v>
      </c>
      <c r="H134" s="58">
        <f t="shared" si="26"/>
        <v>0</v>
      </c>
      <c r="I134" s="58">
        <f t="shared" si="26"/>
        <v>0</v>
      </c>
      <c r="J134" s="58">
        <f t="shared" si="26"/>
        <v>0</v>
      </c>
      <c r="K134" s="58">
        <f t="shared" si="26"/>
        <v>0</v>
      </c>
      <c r="L134" s="58">
        <f t="shared" si="26"/>
        <v>0</v>
      </c>
      <c r="M134" s="58">
        <f t="shared" si="26"/>
        <v>0</v>
      </c>
    </row>
    <row r="135" spans="3:14" x14ac:dyDescent="0.25"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spans="3:14" x14ac:dyDescent="0.25">
      <c r="C136" s="27" t="s">
        <v>46</v>
      </c>
      <c r="D136" s="59">
        <f>+D134*(1-$D$138)</f>
        <v>0</v>
      </c>
      <c r="E136" s="59">
        <f t="shared" ref="E136:M136" si="27">+E134*(1-$D$138)</f>
        <v>0</v>
      </c>
      <c r="F136" s="59">
        <f t="shared" si="27"/>
        <v>0</v>
      </c>
      <c r="G136" s="59">
        <f t="shared" si="27"/>
        <v>0</v>
      </c>
      <c r="H136" s="59">
        <f t="shared" si="27"/>
        <v>0</v>
      </c>
      <c r="I136" s="59">
        <f t="shared" si="27"/>
        <v>0</v>
      </c>
      <c r="J136" s="59">
        <f t="shared" si="27"/>
        <v>0</v>
      </c>
      <c r="K136" s="59">
        <f t="shared" si="27"/>
        <v>0</v>
      </c>
      <c r="L136" s="59">
        <f t="shared" si="27"/>
        <v>0</v>
      </c>
      <c r="M136" s="59">
        <f t="shared" si="27"/>
        <v>0</v>
      </c>
    </row>
    <row r="138" spans="3:14" x14ac:dyDescent="0.25">
      <c r="C138" s="14" t="s">
        <v>35</v>
      </c>
      <c r="D138" s="19"/>
    </row>
    <row r="139" spans="3:14" x14ac:dyDescent="0.25">
      <c r="C139" s="27" t="s">
        <v>36</v>
      </c>
      <c r="D139" s="19"/>
      <c r="E139" t="s">
        <v>37</v>
      </c>
    </row>
    <row r="141" spans="3:14" x14ac:dyDescent="0.25">
      <c r="C141" s="23" t="s">
        <v>35</v>
      </c>
      <c r="D141" s="60"/>
      <c r="E141" s="59">
        <f>-E134*$D$138</f>
        <v>0</v>
      </c>
      <c r="F141" s="59">
        <f t="shared" ref="F141:M141" si="28">-F134*$D$138</f>
        <v>0</v>
      </c>
      <c r="G141" s="59">
        <f t="shared" si="28"/>
        <v>0</v>
      </c>
      <c r="H141" s="59">
        <f t="shared" si="28"/>
        <v>0</v>
      </c>
      <c r="I141" s="59">
        <f t="shared" si="28"/>
        <v>0</v>
      </c>
      <c r="J141" s="59">
        <f t="shared" si="28"/>
        <v>0</v>
      </c>
      <c r="K141" s="59">
        <f t="shared" si="28"/>
        <v>0</v>
      </c>
      <c r="L141" s="59">
        <f t="shared" si="28"/>
        <v>0</v>
      </c>
      <c r="M141" s="59">
        <f t="shared" si="28"/>
        <v>0</v>
      </c>
    </row>
    <row r="142" spans="3:14" x14ac:dyDescent="0.25">
      <c r="C142" s="23" t="s">
        <v>38</v>
      </c>
      <c r="D142" s="60"/>
      <c r="E142" s="59">
        <f>+E158</f>
        <v>0</v>
      </c>
      <c r="F142" s="59">
        <f t="shared" ref="F142:M142" si="29">+F158</f>
        <v>0</v>
      </c>
      <c r="G142" s="59">
        <f t="shared" si="29"/>
        <v>0</v>
      </c>
      <c r="H142" s="59">
        <f t="shared" si="29"/>
        <v>0</v>
      </c>
      <c r="I142" s="59">
        <f t="shared" si="29"/>
        <v>0</v>
      </c>
      <c r="J142" s="59">
        <f t="shared" si="29"/>
        <v>0</v>
      </c>
      <c r="K142" s="59">
        <f t="shared" si="29"/>
        <v>0</v>
      </c>
      <c r="L142" s="59">
        <f t="shared" si="29"/>
        <v>0</v>
      </c>
      <c r="M142" s="59">
        <f t="shared" si="29"/>
        <v>0</v>
      </c>
    </row>
    <row r="144" spans="3:14" x14ac:dyDescent="0.25">
      <c r="D144" s="26" t="s">
        <v>50</v>
      </c>
    </row>
    <row r="146" spans="3:15" x14ac:dyDescent="0.25">
      <c r="D146" s="2" t="s">
        <v>0</v>
      </c>
      <c r="E146" s="2" t="s">
        <v>1</v>
      </c>
      <c r="F146" s="2" t="s">
        <v>2</v>
      </c>
      <c r="G146" s="2" t="s">
        <v>3</v>
      </c>
      <c r="H146" s="2" t="s">
        <v>4</v>
      </c>
      <c r="I146" s="2" t="s">
        <v>5</v>
      </c>
      <c r="J146" s="2" t="s">
        <v>6</v>
      </c>
      <c r="K146" s="2" t="s">
        <v>7</v>
      </c>
      <c r="L146" s="2" t="s">
        <v>8</v>
      </c>
      <c r="M146" s="2" t="s">
        <v>9</v>
      </c>
    </row>
    <row r="147" spans="3:15" outlineLevel="1" x14ac:dyDescent="0.25">
      <c r="C147" s="2" t="s">
        <v>0</v>
      </c>
      <c r="D147" s="129"/>
      <c r="E147" s="61"/>
      <c r="F147" s="61"/>
      <c r="G147" s="57">
        <f>(E123*(1+$D$139)^2)+(F123*(1+$D$139)^1)</f>
        <v>0</v>
      </c>
      <c r="H147" s="62"/>
      <c r="I147" s="62"/>
      <c r="J147" s="62"/>
      <c r="K147" s="62"/>
      <c r="L147" s="62"/>
      <c r="M147" s="62"/>
      <c r="N147" s="62"/>
      <c r="O147" s="62"/>
    </row>
    <row r="148" spans="3:15" outlineLevel="1" x14ac:dyDescent="0.25">
      <c r="C148" s="2" t="s">
        <v>1</v>
      </c>
      <c r="E148" s="129"/>
      <c r="F148" s="63"/>
      <c r="G148" s="63"/>
      <c r="H148" s="21">
        <f>(F124*(1+$D$139)^2)+(G124*(1+$D$139)^1)</f>
        <v>0</v>
      </c>
      <c r="I148" s="54"/>
      <c r="J148" s="54"/>
      <c r="K148" s="54"/>
      <c r="L148" s="54"/>
      <c r="M148" s="54"/>
      <c r="N148" s="54"/>
      <c r="O148" s="54"/>
    </row>
    <row r="149" spans="3:15" outlineLevel="1" x14ac:dyDescent="0.25">
      <c r="C149" s="2" t="s">
        <v>2</v>
      </c>
      <c r="F149" s="129"/>
      <c r="G149" s="63"/>
      <c r="H149" s="63"/>
      <c r="I149" s="21">
        <f>(G125*(1+$D$139)^2)+(H125*(1+$D$139)^1)</f>
        <v>0</v>
      </c>
      <c r="J149" s="54"/>
      <c r="K149" s="54"/>
      <c r="L149" s="54"/>
      <c r="M149" s="54"/>
      <c r="N149" s="54"/>
      <c r="O149" s="54"/>
    </row>
    <row r="150" spans="3:15" outlineLevel="1" x14ac:dyDescent="0.25">
      <c r="C150" s="2" t="s">
        <v>3</v>
      </c>
      <c r="G150" s="129"/>
      <c r="H150" s="63"/>
      <c r="I150" s="63"/>
      <c r="J150" s="21">
        <f>(H126*(1+$D$139)^2)+(I126*(1+$D$139)^1)</f>
        <v>0</v>
      </c>
      <c r="K150" s="54"/>
      <c r="L150" s="54"/>
      <c r="M150" s="54"/>
      <c r="N150" s="54"/>
      <c r="O150" s="54"/>
    </row>
    <row r="151" spans="3:15" outlineLevel="1" x14ac:dyDescent="0.25">
      <c r="C151" s="2" t="s">
        <v>4</v>
      </c>
      <c r="G151" s="54"/>
      <c r="H151" s="129"/>
      <c r="I151" s="63"/>
      <c r="J151" s="63"/>
      <c r="K151" s="21">
        <f>(I127*(1+$D$139)^2)+(J127*(1+$D$139)^1)</f>
        <v>0</v>
      </c>
      <c r="L151" s="54"/>
      <c r="M151" s="54"/>
      <c r="N151" s="54"/>
      <c r="O151" s="54"/>
    </row>
    <row r="152" spans="3:15" outlineLevel="1" x14ac:dyDescent="0.25">
      <c r="C152" s="2" t="s">
        <v>5</v>
      </c>
      <c r="G152" s="54"/>
      <c r="H152" s="54"/>
      <c r="I152" s="129"/>
      <c r="J152" s="63"/>
      <c r="K152" s="63"/>
      <c r="L152" s="21">
        <f>(J128*(1+$D$139)^2)+(K128*(1+$D$139)^1)</f>
        <v>0</v>
      </c>
      <c r="M152" s="54"/>
      <c r="N152" s="54"/>
      <c r="O152" s="54"/>
    </row>
    <row r="153" spans="3:15" outlineLevel="1" x14ac:dyDescent="0.25">
      <c r="C153" s="2" t="s">
        <v>6</v>
      </c>
      <c r="G153" s="54"/>
      <c r="H153" s="54"/>
      <c r="I153" s="54"/>
      <c r="J153" s="129"/>
      <c r="K153" s="63"/>
      <c r="L153" s="63"/>
      <c r="M153" s="21">
        <f>(K129*(1+$D$139)^2)+(L129*(1+$D$139)^1)</f>
        <v>0</v>
      </c>
      <c r="N153" s="54"/>
      <c r="O153" s="54"/>
    </row>
    <row r="154" spans="3:15" outlineLevel="1" x14ac:dyDescent="0.25">
      <c r="C154" s="2" t="s">
        <v>7</v>
      </c>
      <c r="G154" s="54"/>
      <c r="H154" s="54"/>
      <c r="I154" s="54"/>
      <c r="J154" s="54"/>
      <c r="K154" s="129"/>
      <c r="L154" s="63"/>
      <c r="M154" s="63"/>
      <c r="N154" s="21">
        <f>(L130*(1+$D$139)^2)+(M130*(1+$D$139)^1)</f>
        <v>0</v>
      </c>
      <c r="O154" s="54"/>
    </row>
    <row r="155" spans="3:15" outlineLevel="1" x14ac:dyDescent="0.25">
      <c r="C155" s="2" t="s">
        <v>8</v>
      </c>
      <c r="G155" s="54"/>
      <c r="H155" s="54"/>
      <c r="I155" s="54"/>
      <c r="J155" s="54"/>
      <c r="K155" s="54"/>
      <c r="L155" s="129"/>
      <c r="M155" s="63"/>
      <c r="N155" s="63"/>
      <c r="O155" s="21">
        <f>(M131*(1+$D$139)^2)+(N131*(1+$D$139)^1)</f>
        <v>0</v>
      </c>
    </row>
    <row r="156" spans="3:15" outlineLevel="1" x14ac:dyDescent="0.25">
      <c r="C156" s="2" t="s">
        <v>9</v>
      </c>
      <c r="D156" s="29"/>
      <c r="E156" s="29"/>
      <c r="F156" s="29"/>
      <c r="G156" s="29"/>
      <c r="H156" s="29"/>
      <c r="I156" s="29"/>
      <c r="J156" s="29"/>
      <c r="K156" s="29"/>
      <c r="L156" s="29"/>
      <c r="M156" s="129"/>
      <c r="N156" s="29"/>
      <c r="O156" s="29"/>
    </row>
    <row r="157" spans="3:15" outlineLevel="1" x14ac:dyDescent="0.25"/>
    <row r="158" spans="3:15" x14ac:dyDescent="0.25">
      <c r="C158" s="2" t="s">
        <v>34</v>
      </c>
      <c r="D158" s="59">
        <f>SUM(D147:D156)</f>
        <v>0</v>
      </c>
      <c r="E158" s="59">
        <f t="shared" ref="E158:M158" si="30">SUM(E147:E156)</f>
        <v>0</v>
      </c>
      <c r="F158" s="59">
        <f t="shared" si="30"/>
        <v>0</v>
      </c>
      <c r="G158" s="59">
        <f t="shared" si="30"/>
        <v>0</v>
      </c>
      <c r="H158" s="59">
        <f t="shared" si="30"/>
        <v>0</v>
      </c>
      <c r="I158" s="59">
        <f t="shared" si="30"/>
        <v>0</v>
      </c>
      <c r="J158" s="59">
        <f t="shared" si="30"/>
        <v>0</v>
      </c>
      <c r="K158" s="59">
        <f t="shared" si="30"/>
        <v>0</v>
      </c>
      <c r="L158" s="59">
        <f t="shared" si="30"/>
        <v>0</v>
      </c>
      <c r="M158" s="59">
        <f t="shared" si="30"/>
        <v>0</v>
      </c>
    </row>
    <row r="160" spans="3:15" x14ac:dyDescent="0.25">
      <c r="C160" s="50" t="s">
        <v>39</v>
      </c>
      <c r="D160" s="78">
        <f>-D161*D104</f>
        <v>0</v>
      </c>
      <c r="E160" s="78">
        <f t="shared" ref="E160:M160" si="31">-E161*E104</f>
        <v>0</v>
      </c>
      <c r="F160" s="78">
        <f t="shared" si="31"/>
        <v>0</v>
      </c>
      <c r="G160" s="78">
        <f t="shared" si="31"/>
        <v>0</v>
      </c>
      <c r="H160" s="78">
        <f t="shared" si="31"/>
        <v>0</v>
      </c>
      <c r="I160" s="78">
        <f t="shared" si="31"/>
        <v>0</v>
      </c>
      <c r="J160" s="78">
        <f t="shared" si="31"/>
        <v>0</v>
      </c>
      <c r="K160" s="78">
        <f t="shared" si="31"/>
        <v>0</v>
      </c>
      <c r="L160" s="78">
        <f t="shared" si="31"/>
        <v>0</v>
      </c>
      <c r="M160" s="78">
        <f t="shared" si="31"/>
        <v>0</v>
      </c>
    </row>
    <row r="161" spans="3:14" x14ac:dyDescent="0.25">
      <c r="C161" s="15" t="s">
        <v>41</v>
      </c>
      <c r="D161" s="24"/>
      <c r="E161" s="25">
        <f>+D161</f>
        <v>0</v>
      </c>
      <c r="F161" s="25">
        <f t="shared" ref="F161:M161" si="32">+E161</f>
        <v>0</v>
      </c>
      <c r="G161" s="25">
        <f t="shared" si="32"/>
        <v>0</v>
      </c>
      <c r="H161" s="25">
        <f t="shared" si="32"/>
        <v>0</v>
      </c>
      <c r="I161" s="25">
        <f t="shared" si="32"/>
        <v>0</v>
      </c>
      <c r="J161" s="25">
        <f t="shared" si="32"/>
        <v>0</v>
      </c>
      <c r="K161" s="25">
        <f t="shared" si="32"/>
        <v>0</v>
      </c>
      <c r="L161" s="25">
        <f t="shared" si="32"/>
        <v>0</v>
      </c>
      <c r="M161" s="25">
        <f t="shared" si="32"/>
        <v>0</v>
      </c>
    </row>
    <row r="162" spans="3:14" x14ac:dyDescent="0.25">
      <c r="C162" s="16"/>
    </row>
    <row r="163" spans="3:14" x14ac:dyDescent="0.25">
      <c r="C163" s="64" t="s">
        <v>106</v>
      </c>
      <c r="D163" s="79">
        <f>-D164*D104</f>
        <v>0</v>
      </c>
      <c r="E163" s="79">
        <f t="shared" ref="E163:M163" si="33">-E164*E104</f>
        <v>0</v>
      </c>
      <c r="F163" s="79">
        <f t="shared" si="33"/>
        <v>0</v>
      </c>
      <c r="G163" s="79">
        <f t="shared" si="33"/>
        <v>0</v>
      </c>
      <c r="H163" s="79">
        <f t="shared" si="33"/>
        <v>0</v>
      </c>
      <c r="I163" s="79">
        <f t="shared" si="33"/>
        <v>0</v>
      </c>
      <c r="J163" s="79">
        <f t="shared" si="33"/>
        <v>0</v>
      </c>
      <c r="K163" s="79">
        <f t="shared" si="33"/>
        <v>0</v>
      </c>
      <c r="L163" s="79">
        <f t="shared" si="33"/>
        <v>0</v>
      </c>
      <c r="M163" s="79">
        <f t="shared" si="33"/>
        <v>0</v>
      </c>
    </row>
    <row r="164" spans="3:14" x14ac:dyDescent="0.25">
      <c r="C164" s="22" t="s">
        <v>107</v>
      </c>
      <c r="D164" s="24"/>
      <c r="E164" s="25">
        <f t="shared" ref="E164:M164" si="34">+D164</f>
        <v>0</v>
      </c>
      <c r="F164" s="25">
        <f t="shared" si="34"/>
        <v>0</v>
      </c>
      <c r="G164" s="25">
        <f t="shared" si="34"/>
        <v>0</v>
      </c>
      <c r="H164" s="25">
        <f t="shared" si="34"/>
        <v>0</v>
      </c>
      <c r="I164" s="25">
        <f t="shared" si="34"/>
        <v>0</v>
      </c>
      <c r="J164" s="25">
        <f t="shared" si="34"/>
        <v>0</v>
      </c>
      <c r="K164" s="25">
        <f t="shared" si="34"/>
        <v>0</v>
      </c>
      <c r="L164" s="25">
        <f t="shared" si="34"/>
        <v>0</v>
      </c>
      <c r="M164" s="25">
        <f t="shared" si="34"/>
        <v>0</v>
      </c>
    </row>
    <row r="166" spans="3:14" x14ac:dyDescent="0.25">
      <c r="C166" s="65" t="s">
        <v>42</v>
      </c>
      <c r="D166" s="51">
        <f>+D109+D111+D160+D163</f>
        <v>0</v>
      </c>
      <c r="E166" s="51">
        <f t="shared" ref="E166:M166" si="35">+E109+E111+E160+E163</f>
        <v>0</v>
      </c>
      <c r="F166" s="51">
        <f t="shared" si="35"/>
        <v>0</v>
      </c>
      <c r="G166" s="51">
        <f t="shared" si="35"/>
        <v>0</v>
      </c>
      <c r="H166" s="51">
        <f t="shared" si="35"/>
        <v>0</v>
      </c>
      <c r="I166" s="51">
        <f t="shared" si="35"/>
        <v>0</v>
      </c>
      <c r="J166" s="51">
        <f t="shared" si="35"/>
        <v>236.875</v>
      </c>
      <c r="K166" s="51">
        <f t="shared" si="35"/>
        <v>189.5</v>
      </c>
      <c r="L166" s="51">
        <f t="shared" si="35"/>
        <v>236.875</v>
      </c>
      <c r="M166" s="51">
        <f t="shared" si="35"/>
        <v>284.25</v>
      </c>
    </row>
    <row r="169" spans="3:14" x14ac:dyDescent="0.25">
      <c r="C169" s="64" t="s">
        <v>35</v>
      </c>
      <c r="D169" s="66">
        <f>+D170+D171</f>
        <v>0</v>
      </c>
      <c r="E169" s="66">
        <f t="shared" ref="E169:M169" si="36">+E170+E171</f>
        <v>0</v>
      </c>
      <c r="F169" s="66">
        <f t="shared" si="36"/>
        <v>0</v>
      </c>
      <c r="G169" s="66">
        <f t="shared" si="36"/>
        <v>0</v>
      </c>
      <c r="H169" s="66">
        <f t="shared" si="36"/>
        <v>0</v>
      </c>
      <c r="I169" s="66">
        <f t="shared" si="36"/>
        <v>0</v>
      </c>
      <c r="J169" s="66">
        <f t="shared" si="36"/>
        <v>0</v>
      </c>
      <c r="K169" s="66">
        <f t="shared" si="36"/>
        <v>0</v>
      </c>
      <c r="L169" s="66">
        <f t="shared" si="36"/>
        <v>0</v>
      </c>
      <c r="M169" s="66">
        <f t="shared" si="36"/>
        <v>0</v>
      </c>
    </row>
    <row r="170" spans="3:14" x14ac:dyDescent="0.25">
      <c r="C170" s="22" t="s">
        <v>43</v>
      </c>
      <c r="D170" s="9">
        <f>+D141</f>
        <v>0</v>
      </c>
      <c r="E170" s="9">
        <f t="shared" ref="E170:M171" si="37">+E141</f>
        <v>0</v>
      </c>
      <c r="F170" s="9">
        <f t="shared" si="37"/>
        <v>0</v>
      </c>
      <c r="G170" s="9">
        <f t="shared" si="37"/>
        <v>0</v>
      </c>
      <c r="H170" s="9">
        <f t="shared" si="37"/>
        <v>0</v>
      </c>
      <c r="I170" s="9">
        <f t="shared" si="37"/>
        <v>0</v>
      </c>
      <c r="J170" s="9">
        <f t="shared" si="37"/>
        <v>0</v>
      </c>
      <c r="K170" s="9">
        <f t="shared" si="37"/>
        <v>0</v>
      </c>
      <c r="L170" s="9">
        <f t="shared" si="37"/>
        <v>0</v>
      </c>
      <c r="M170" s="9">
        <f t="shared" si="37"/>
        <v>0</v>
      </c>
    </row>
    <row r="171" spans="3:14" x14ac:dyDescent="0.25">
      <c r="C171" s="22" t="s">
        <v>44</v>
      </c>
      <c r="D171" s="9">
        <f>+D142</f>
        <v>0</v>
      </c>
      <c r="E171" s="9">
        <f t="shared" si="37"/>
        <v>0</v>
      </c>
      <c r="F171" s="9">
        <f t="shared" si="37"/>
        <v>0</v>
      </c>
      <c r="G171" s="9">
        <f t="shared" si="37"/>
        <v>0</v>
      </c>
      <c r="H171" s="9">
        <f t="shared" si="37"/>
        <v>0</v>
      </c>
      <c r="I171" s="9">
        <f t="shared" si="37"/>
        <v>0</v>
      </c>
      <c r="J171" s="9">
        <f t="shared" si="37"/>
        <v>0</v>
      </c>
      <c r="K171" s="9">
        <f t="shared" si="37"/>
        <v>0</v>
      </c>
      <c r="L171" s="9">
        <f t="shared" si="37"/>
        <v>0</v>
      </c>
      <c r="M171" s="9">
        <f t="shared" si="37"/>
        <v>0</v>
      </c>
    </row>
    <row r="173" spans="3:14" x14ac:dyDescent="0.25">
      <c r="C173" s="64" t="s">
        <v>45</v>
      </c>
      <c r="D173" s="67">
        <f>+D166+D169</f>
        <v>0</v>
      </c>
      <c r="E173" s="67">
        <f t="shared" ref="E173:M173" si="38">+E166+E169</f>
        <v>0</v>
      </c>
      <c r="F173" s="67">
        <f t="shared" si="38"/>
        <v>0</v>
      </c>
      <c r="G173" s="67">
        <f t="shared" si="38"/>
        <v>0</v>
      </c>
      <c r="H173" s="67">
        <f t="shared" si="38"/>
        <v>0</v>
      </c>
      <c r="I173" s="67">
        <f t="shared" si="38"/>
        <v>0</v>
      </c>
      <c r="J173" s="67">
        <f t="shared" si="38"/>
        <v>236.875</v>
      </c>
      <c r="K173" s="67">
        <f t="shared" si="38"/>
        <v>189.5</v>
      </c>
      <c r="L173" s="67">
        <f t="shared" si="38"/>
        <v>236.875</v>
      </c>
      <c r="M173" s="67">
        <f t="shared" si="38"/>
        <v>284.25</v>
      </c>
      <c r="N173" s="76"/>
    </row>
  </sheetData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53"/>
  <sheetViews>
    <sheetView showGridLines="0" workbookViewId="0">
      <selection activeCell="C9" sqref="C9:C18"/>
    </sheetView>
  </sheetViews>
  <sheetFormatPr defaultColWidth="8.85546875" defaultRowHeight="15" outlineLevelRow="1" x14ac:dyDescent="0.25"/>
  <cols>
    <col min="1" max="1" width="16.5703125" customWidth="1"/>
    <col min="2" max="2" width="16.85546875" customWidth="1"/>
    <col min="4" max="4" width="12.42578125" bestFit="1" customWidth="1"/>
    <col min="13" max="13" width="9.42578125" bestFit="1" customWidth="1"/>
  </cols>
  <sheetData>
    <row r="2" spans="1:14" x14ac:dyDescent="0.25">
      <c r="A2" s="80" t="s">
        <v>117</v>
      </c>
      <c r="C2" s="1"/>
    </row>
    <row r="3" spans="1:14" x14ac:dyDescent="0.25">
      <c r="A3" s="81" t="s">
        <v>10</v>
      </c>
    </row>
    <row r="4" spans="1:14" ht="4.5" customHeight="1" x14ac:dyDescent="0.25"/>
    <row r="6" spans="1:14" x14ac:dyDescent="0.25">
      <c r="C6" s="4" t="s">
        <v>65</v>
      </c>
    </row>
    <row r="7" spans="1:14" ht="3" customHeight="1" x14ac:dyDescent="0.25">
      <c r="C7" s="4"/>
    </row>
    <row r="8" spans="1:14" outlineLevel="1" x14ac:dyDescent="0.25">
      <c r="A8" s="83" t="s">
        <v>61</v>
      </c>
      <c r="B8" s="83" t="s">
        <v>62</v>
      </c>
      <c r="C8" s="4" t="s">
        <v>63</v>
      </c>
      <c r="D8" s="89" t="s">
        <v>0</v>
      </c>
      <c r="E8" s="2" t="s">
        <v>1</v>
      </c>
      <c r="F8" s="2" t="s">
        <v>2</v>
      </c>
      <c r="G8" s="2" t="s">
        <v>3</v>
      </c>
      <c r="H8" s="2" t="s">
        <v>4</v>
      </c>
      <c r="I8" s="2" t="s">
        <v>5</v>
      </c>
      <c r="J8" s="2" t="s">
        <v>6</v>
      </c>
      <c r="K8" s="2" t="s">
        <v>7</v>
      </c>
      <c r="L8" s="2" t="s">
        <v>8</v>
      </c>
      <c r="M8" s="2" t="s">
        <v>9</v>
      </c>
      <c r="N8" s="2" t="s">
        <v>15</v>
      </c>
    </row>
    <row r="9" spans="1:14" outlineLevel="1" x14ac:dyDescent="0.25">
      <c r="A9" s="2" t="s">
        <v>51</v>
      </c>
      <c r="B9" s="82">
        <v>43070</v>
      </c>
      <c r="C9" s="159">
        <v>25</v>
      </c>
      <c r="D9" s="139">
        <v>0.5</v>
      </c>
      <c r="E9" s="139">
        <v>0.35</v>
      </c>
      <c r="F9" s="139">
        <v>0.15</v>
      </c>
      <c r="G9" s="139"/>
      <c r="H9" s="139"/>
      <c r="I9" s="139"/>
      <c r="J9" s="139"/>
      <c r="K9" s="139"/>
      <c r="L9" s="139"/>
      <c r="M9" s="139"/>
      <c r="N9" s="17">
        <f>SUM(D9:M9)</f>
        <v>1</v>
      </c>
    </row>
    <row r="10" spans="1:14" outlineLevel="1" x14ac:dyDescent="0.25">
      <c r="A10" s="2" t="s">
        <v>52</v>
      </c>
      <c r="B10" s="82">
        <v>42887</v>
      </c>
      <c r="C10" s="159">
        <v>20</v>
      </c>
      <c r="D10" s="139">
        <v>0.15</v>
      </c>
      <c r="E10" s="139">
        <v>0.25</v>
      </c>
      <c r="F10" s="139">
        <v>0.5</v>
      </c>
      <c r="G10" s="139"/>
      <c r="H10" s="139"/>
      <c r="I10" s="139"/>
      <c r="J10" s="139"/>
      <c r="K10" s="139"/>
      <c r="L10" s="139"/>
      <c r="M10" s="139"/>
      <c r="N10" s="17">
        <f t="shared" ref="N10:N18" si="0">SUM(D10:M10)</f>
        <v>0.9</v>
      </c>
    </row>
    <row r="11" spans="1:14" outlineLevel="1" x14ac:dyDescent="0.25">
      <c r="A11" s="2" t="s">
        <v>53</v>
      </c>
      <c r="B11" s="82">
        <v>42795</v>
      </c>
      <c r="C11" s="159">
        <v>15</v>
      </c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7">
        <f t="shared" si="0"/>
        <v>0</v>
      </c>
    </row>
    <row r="12" spans="1:14" outlineLevel="1" x14ac:dyDescent="0.25">
      <c r="A12" s="2" t="s">
        <v>54</v>
      </c>
      <c r="B12" s="82">
        <v>42736</v>
      </c>
      <c r="C12" s="159">
        <v>12</v>
      </c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7">
        <f t="shared" si="0"/>
        <v>0</v>
      </c>
    </row>
    <row r="13" spans="1:14" outlineLevel="1" x14ac:dyDescent="0.25">
      <c r="A13" s="2" t="s">
        <v>55</v>
      </c>
      <c r="B13" s="82">
        <v>42705</v>
      </c>
      <c r="C13" s="159">
        <v>10</v>
      </c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7">
        <f t="shared" si="0"/>
        <v>0</v>
      </c>
    </row>
    <row r="14" spans="1:14" outlineLevel="1" x14ac:dyDescent="0.25">
      <c r="A14" s="2" t="s">
        <v>56</v>
      </c>
      <c r="B14" s="82">
        <v>42552</v>
      </c>
      <c r="C14" s="159">
        <v>8</v>
      </c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7">
        <f t="shared" si="0"/>
        <v>0</v>
      </c>
    </row>
    <row r="15" spans="1:14" outlineLevel="1" x14ac:dyDescent="0.25">
      <c r="A15" s="2" t="s">
        <v>57</v>
      </c>
      <c r="B15" s="82">
        <v>42278</v>
      </c>
      <c r="C15" s="159">
        <v>5</v>
      </c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7">
        <f t="shared" si="0"/>
        <v>0</v>
      </c>
    </row>
    <row r="16" spans="1:14" outlineLevel="1" x14ac:dyDescent="0.25">
      <c r="A16" s="2" t="s">
        <v>58</v>
      </c>
      <c r="B16" s="82">
        <v>42186</v>
      </c>
      <c r="C16" s="159">
        <v>10</v>
      </c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7">
        <f t="shared" si="0"/>
        <v>0</v>
      </c>
    </row>
    <row r="17" spans="1:14" outlineLevel="1" x14ac:dyDescent="0.25">
      <c r="A17" s="2" t="s">
        <v>60</v>
      </c>
      <c r="B17" s="82">
        <v>41913</v>
      </c>
      <c r="C17" s="159">
        <v>10</v>
      </c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7">
        <f t="shared" si="0"/>
        <v>0</v>
      </c>
    </row>
    <row r="18" spans="1:14" outlineLevel="1" x14ac:dyDescent="0.25">
      <c r="A18" s="2" t="s">
        <v>59</v>
      </c>
      <c r="B18" s="82">
        <v>41456</v>
      </c>
      <c r="C18" s="159">
        <v>5</v>
      </c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7">
        <f t="shared" si="0"/>
        <v>0</v>
      </c>
    </row>
    <row r="20" spans="1:14" x14ac:dyDescent="0.25">
      <c r="C20" s="4" t="s">
        <v>64</v>
      </c>
    </row>
    <row r="21" spans="1:14" ht="4.5" customHeight="1" x14ac:dyDescent="0.25">
      <c r="C21" s="4"/>
    </row>
    <row r="22" spans="1:14" outlineLevel="1" x14ac:dyDescent="0.25">
      <c r="A22" s="83" t="s">
        <v>61</v>
      </c>
      <c r="B22" s="83" t="s">
        <v>62</v>
      </c>
      <c r="C22" s="4" t="s">
        <v>63</v>
      </c>
      <c r="D22" s="2" t="s">
        <v>0</v>
      </c>
      <c r="E22" s="2" t="s">
        <v>1</v>
      </c>
      <c r="F22" s="2" t="s">
        <v>2</v>
      </c>
      <c r="G22" s="2" t="s">
        <v>3</v>
      </c>
      <c r="H22" s="2" t="s">
        <v>4</v>
      </c>
      <c r="I22" s="2" t="s">
        <v>5</v>
      </c>
      <c r="J22" s="2" t="s">
        <v>6</v>
      </c>
      <c r="K22" s="2" t="s">
        <v>7</v>
      </c>
      <c r="L22" s="2" t="s">
        <v>8</v>
      </c>
      <c r="M22" s="2" t="s">
        <v>9</v>
      </c>
      <c r="N22" s="2" t="s">
        <v>15</v>
      </c>
    </row>
    <row r="23" spans="1:14" outlineLevel="1" x14ac:dyDescent="0.25">
      <c r="A23" s="86" t="s">
        <v>51</v>
      </c>
      <c r="B23" s="87">
        <v>43070</v>
      </c>
      <c r="C23" s="88">
        <f>C9</f>
        <v>25</v>
      </c>
      <c r="D23" s="84">
        <f t="shared" ref="D23:M23" si="1">+$C23*D9</f>
        <v>12.5</v>
      </c>
      <c r="E23" s="84">
        <f t="shared" si="1"/>
        <v>8.75</v>
      </c>
      <c r="F23" s="84">
        <f t="shared" si="1"/>
        <v>3.75</v>
      </c>
      <c r="G23" s="84">
        <f t="shared" si="1"/>
        <v>0</v>
      </c>
      <c r="H23" s="84">
        <f t="shared" si="1"/>
        <v>0</v>
      </c>
      <c r="I23" s="84">
        <f t="shared" si="1"/>
        <v>0</v>
      </c>
      <c r="J23" s="84">
        <f t="shared" si="1"/>
        <v>0</v>
      </c>
      <c r="K23" s="84">
        <f t="shared" si="1"/>
        <v>0</v>
      </c>
      <c r="L23" s="84">
        <f t="shared" si="1"/>
        <v>0</v>
      </c>
      <c r="M23" s="84">
        <f t="shared" si="1"/>
        <v>0</v>
      </c>
      <c r="N23" s="94">
        <f>SUM(D23:M23)</f>
        <v>25</v>
      </c>
    </row>
    <row r="24" spans="1:14" outlineLevel="1" x14ac:dyDescent="0.25">
      <c r="A24" s="2" t="s">
        <v>52</v>
      </c>
      <c r="B24" s="82">
        <v>42887</v>
      </c>
      <c r="C24" s="85">
        <f t="shared" ref="C24:C32" si="2">C10</f>
        <v>20</v>
      </c>
      <c r="D24" s="84">
        <f t="shared" ref="D24:M24" si="3">+$C24*D10</f>
        <v>3</v>
      </c>
      <c r="E24" s="84">
        <f t="shared" si="3"/>
        <v>5</v>
      </c>
      <c r="F24" s="84">
        <f t="shared" si="3"/>
        <v>10</v>
      </c>
      <c r="G24" s="84">
        <f t="shared" si="3"/>
        <v>0</v>
      </c>
      <c r="H24" s="84">
        <f t="shared" si="3"/>
        <v>0</v>
      </c>
      <c r="I24" s="84">
        <f t="shared" si="3"/>
        <v>0</v>
      </c>
      <c r="J24" s="84">
        <f t="shared" si="3"/>
        <v>0</v>
      </c>
      <c r="K24" s="84">
        <f t="shared" si="3"/>
        <v>0</v>
      </c>
      <c r="L24" s="84">
        <f t="shared" si="3"/>
        <v>0</v>
      </c>
      <c r="M24" s="84">
        <f t="shared" si="3"/>
        <v>0</v>
      </c>
      <c r="N24" s="94">
        <f t="shared" ref="N24:N33" si="4">SUM(D24:M24)</f>
        <v>18</v>
      </c>
    </row>
    <row r="25" spans="1:14" outlineLevel="1" x14ac:dyDescent="0.25">
      <c r="A25" s="2" t="s">
        <v>53</v>
      </c>
      <c r="B25" s="82">
        <v>42795</v>
      </c>
      <c r="C25" s="85">
        <f t="shared" si="2"/>
        <v>15</v>
      </c>
      <c r="D25" s="84">
        <f t="shared" ref="D25:M25" si="5">+$C25*D11</f>
        <v>0</v>
      </c>
      <c r="E25" s="84">
        <f t="shared" si="5"/>
        <v>0</v>
      </c>
      <c r="F25" s="84">
        <f t="shared" si="5"/>
        <v>0</v>
      </c>
      <c r="G25" s="84">
        <f t="shared" si="5"/>
        <v>0</v>
      </c>
      <c r="H25" s="84">
        <f t="shared" si="5"/>
        <v>0</v>
      </c>
      <c r="I25" s="84">
        <f t="shared" si="5"/>
        <v>0</v>
      </c>
      <c r="J25" s="84">
        <f t="shared" si="5"/>
        <v>0</v>
      </c>
      <c r="K25" s="84">
        <f t="shared" si="5"/>
        <v>0</v>
      </c>
      <c r="L25" s="84">
        <f t="shared" si="5"/>
        <v>0</v>
      </c>
      <c r="M25" s="84">
        <f t="shared" si="5"/>
        <v>0</v>
      </c>
      <c r="N25" s="94">
        <f t="shared" si="4"/>
        <v>0</v>
      </c>
    </row>
    <row r="26" spans="1:14" outlineLevel="1" x14ac:dyDescent="0.25">
      <c r="A26" s="2" t="s">
        <v>54</v>
      </c>
      <c r="B26" s="82">
        <v>42736</v>
      </c>
      <c r="C26" s="85">
        <f t="shared" si="2"/>
        <v>12</v>
      </c>
      <c r="D26" s="84">
        <f t="shared" ref="D26:M26" si="6">+$C26*D12</f>
        <v>0</v>
      </c>
      <c r="E26" s="84">
        <f t="shared" si="6"/>
        <v>0</v>
      </c>
      <c r="F26" s="84">
        <f t="shared" si="6"/>
        <v>0</v>
      </c>
      <c r="G26" s="84">
        <f t="shared" si="6"/>
        <v>0</v>
      </c>
      <c r="H26" s="84">
        <f t="shared" si="6"/>
        <v>0</v>
      </c>
      <c r="I26" s="84">
        <f t="shared" si="6"/>
        <v>0</v>
      </c>
      <c r="J26" s="84">
        <f t="shared" si="6"/>
        <v>0</v>
      </c>
      <c r="K26" s="84">
        <f t="shared" si="6"/>
        <v>0</v>
      </c>
      <c r="L26" s="84">
        <f t="shared" si="6"/>
        <v>0</v>
      </c>
      <c r="M26" s="84">
        <f t="shared" si="6"/>
        <v>0</v>
      </c>
      <c r="N26" s="94">
        <f t="shared" si="4"/>
        <v>0</v>
      </c>
    </row>
    <row r="27" spans="1:14" outlineLevel="1" x14ac:dyDescent="0.25">
      <c r="A27" s="2" t="s">
        <v>55</v>
      </c>
      <c r="B27" s="82">
        <v>42705</v>
      </c>
      <c r="C27" s="85">
        <f t="shared" si="2"/>
        <v>10</v>
      </c>
      <c r="D27" s="84">
        <f t="shared" ref="D27:M27" si="7">+$C27*D13</f>
        <v>0</v>
      </c>
      <c r="E27" s="84">
        <f t="shared" si="7"/>
        <v>0</v>
      </c>
      <c r="F27" s="84">
        <f t="shared" si="7"/>
        <v>0</v>
      </c>
      <c r="G27" s="84">
        <f t="shared" si="7"/>
        <v>0</v>
      </c>
      <c r="H27" s="84">
        <f t="shared" si="7"/>
        <v>0</v>
      </c>
      <c r="I27" s="84">
        <f t="shared" si="7"/>
        <v>0</v>
      </c>
      <c r="J27" s="84">
        <f t="shared" si="7"/>
        <v>0</v>
      </c>
      <c r="K27" s="84">
        <f t="shared" si="7"/>
        <v>0</v>
      </c>
      <c r="L27" s="84">
        <f t="shared" si="7"/>
        <v>0</v>
      </c>
      <c r="M27" s="84">
        <f t="shared" si="7"/>
        <v>0</v>
      </c>
      <c r="N27" s="94">
        <f t="shared" si="4"/>
        <v>0</v>
      </c>
    </row>
    <row r="28" spans="1:14" outlineLevel="1" x14ac:dyDescent="0.25">
      <c r="A28" s="2" t="s">
        <v>56</v>
      </c>
      <c r="B28" s="82">
        <v>42552</v>
      </c>
      <c r="C28" s="85">
        <f t="shared" si="2"/>
        <v>8</v>
      </c>
      <c r="D28" s="84">
        <f t="shared" ref="D28:M28" si="8">+$C28*D14</f>
        <v>0</v>
      </c>
      <c r="E28" s="84">
        <f t="shared" si="8"/>
        <v>0</v>
      </c>
      <c r="F28" s="84">
        <f t="shared" si="8"/>
        <v>0</v>
      </c>
      <c r="G28" s="84">
        <f t="shared" si="8"/>
        <v>0</v>
      </c>
      <c r="H28" s="84">
        <f t="shared" si="8"/>
        <v>0</v>
      </c>
      <c r="I28" s="84">
        <f t="shared" si="8"/>
        <v>0</v>
      </c>
      <c r="J28" s="84">
        <f t="shared" si="8"/>
        <v>0</v>
      </c>
      <c r="K28" s="84">
        <f t="shared" si="8"/>
        <v>0</v>
      </c>
      <c r="L28" s="84">
        <f t="shared" si="8"/>
        <v>0</v>
      </c>
      <c r="M28" s="84">
        <f t="shared" si="8"/>
        <v>0</v>
      </c>
      <c r="N28" s="94">
        <f t="shared" si="4"/>
        <v>0</v>
      </c>
    </row>
    <row r="29" spans="1:14" outlineLevel="1" x14ac:dyDescent="0.25">
      <c r="A29" s="2" t="s">
        <v>57</v>
      </c>
      <c r="B29" s="82">
        <v>42278</v>
      </c>
      <c r="C29" s="85">
        <f t="shared" si="2"/>
        <v>5</v>
      </c>
      <c r="D29" s="84">
        <f t="shared" ref="D29:M29" si="9">+$C29*D15</f>
        <v>0</v>
      </c>
      <c r="E29" s="84">
        <f t="shared" si="9"/>
        <v>0</v>
      </c>
      <c r="F29" s="84">
        <f t="shared" si="9"/>
        <v>0</v>
      </c>
      <c r="G29" s="84">
        <f t="shared" si="9"/>
        <v>0</v>
      </c>
      <c r="H29" s="84">
        <f t="shared" si="9"/>
        <v>0</v>
      </c>
      <c r="I29" s="84">
        <f t="shared" si="9"/>
        <v>0</v>
      </c>
      <c r="J29" s="84">
        <f t="shared" si="9"/>
        <v>0</v>
      </c>
      <c r="K29" s="84">
        <f t="shared" si="9"/>
        <v>0</v>
      </c>
      <c r="L29" s="84">
        <f t="shared" si="9"/>
        <v>0</v>
      </c>
      <c r="M29" s="84">
        <f t="shared" si="9"/>
        <v>0</v>
      </c>
      <c r="N29" s="94">
        <f t="shared" si="4"/>
        <v>0</v>
      </c>
    </row>
    <row r="30" spans="1:14" outlineLevel="1" x14ac:dyDescent="0.25">
      <c r="A30" s="2" t="s">
        <v>58</v>
      </c>
      <c r="B30" s="82">
        <v>42186</v>
      </c>
      <c r="C30" s="85">
        <f t="shared" si="2"/>
        <v>10</v>
      </c>
      <c r="D30" s="84">
        <f t="shared" ref="D30:M30" si="10">+$C30*D16</f>
        <v>0</v>
      </c>
      <c r="E30" s="84">
        <f t="shared" si="10"/>
        <v>0</v>
      </c>
      <c r="F30" s="84">
        <f t="shared" si="10"/>
        <v>0</v>
      </c>
      <c r="G30" s="84">
        <f t="shared" si="10"/>
        <v>0</v>
      </c>
      <c r="H30" s="84">
        <f t="shared" si="10"/>
        <v>0</v>
      </c>
      <c r="I30" s="84">
        <f t="shared" si="10"/>
        <v>0</v>
      </c>
      <c r="J30" s="84">
        <f t="shared" si="10"/>
        <v>0</v>
      </c>
      <c r="K30" s="84">
        <f t="shared" si="10"/>
        <v>0</v>
      </c>
      <c r="L30" s="84">
        <f t="shared" si="10"/>
        <v>0</v>
      </c>
      <c r="M30" s="84">
        <f t="shared" si="10"/>
        <v>0</v>
      </c>
      <c r="N30" s="94">
        <f t="shared" si="4"/>
        <v>0</v>
      </c>
    </row>
    <row r="31" spans="1:14" outlineLevel="1" x14ac:dyDescent="0.25">
      <c r="A31" s="2" t="s">
        <v>60</v>
      </c>
      <c r="B31" s="82">
        <v>41913</v>
      </c>
      <c r="C31" s="85">
        <f t="shared" si="2"/>
        <v>10</v>
      </c>
      <c r="D31" s="84">
        <f t="shared" ref="D31:M31" si="11">+$C31*D17</f>
        <v>0</v>
      </c>
      <c r="E31" s="84">
        <f t="shared" si="11"/>
        <v>0</v>
      </c>
      <c r="F31" s="84">
        <f t="shared" si="11"/>
        <v>0</v>
      </c>
      <c r="G31" s="84">
        <f t="shared" si="11"/>
        <v>0</v>
      </c>
      <c r="H31" s="84">
        <f t="shared" si="11"/>
        <v>0</v>
      </c>
      <c r="I31" s="84">
        <f t="shared" si="11"/>
        <v>0</v>
      </c>
      <c r="J31" s="84">
        <f t="shared" si="11"/>
        <v>0</v>
      </c>
      <c r="K31" s="84">
        <f t="shared" si="11"/>
        <v>0</v>
      </c>
      <c r="L31" s="84">
        <f t="shared" si="11"/>
        <v>0</v>
      </c>
      <c r="M31" s="84">
        <f t="shared" si="11"/>
        <v>0</v>
      </c>
      <c r="N31" s="94">
        <f t="shared" si="4"/>
        <v>0</v>
      </c>
    </row>
    <row r="32" spans="1:14" outlineLevel="1" x14ac:dyDescent="0.25">
      <c r="A32" s="89" t="s">
        <v>59</v>
      </c>
      <c r="B32" s="90">
        <v>41456</v>
      </c>
      <c r="C32" s="91">
        <f t="shared" si="2"/>
        <v>5</v>
      </c>
      <c r="D32" s="84">
        <f t="shared" ref="D32:M32" si="12">+$C32*D18</f>
        <v>0</v>
      </c>
      <c r="E32" s="84">
        <f t="shared" si="12"/>
        <v>0</v>
      </c>
      <c r="F32" s="84">
        <f t="shared" si="12"/>
        <v>0</v>
      </c>
      <c r="G32" s="84">
        <f t="shared" si="12"/>
        <v>0</v>
      </c>
      <c r="H32" s="84">
        <f t="shared" si="12"/>
        <v>0</v>
      </c>
      <c r="I32" s="84">
        <f t="shared" si="12"/>
        <v>0</v>
      </c>
      <c r="J32" s="84">
        <f t="shared" si="12"/>
        <v>0</v>
      </c>
      <c r="K32" s="84">
        <f t="shared" si="12"/>
        <v>0</v>
      </c>
      <c r="L32" s="84">
        <f t="shared" si="12"/>
        <v>0</v>
      </c>
      <c r="M32" s="84">
        <f t="shared" si="12"/>
        <v>0</v>
      </c>
      <c r="N32" s="94">
        <f t="shared" si="4"/>
        <v>0</v>
      </c>
    </row>
    <row r="33" spans="1:14" outlineLevel="1" x14ac:dyDescent="0.25">
      <c r="B33" s="82"/>
      <c r="C33" s="30">
        <f>SUM(C23:C32)</f>
        <v>120</v>
      </c>
      <c r="D33" s="92">
        <f>SUM(D23:D32)</f>
        <v>15.5</v>
      </c>
      <c r="E33" s="92">
        <f t="shared" ref="E33:M33" si="13">SUM(E23:E32)</f>
        <v>13.75</v>
      </c>
      <c r="F33" s="92">
        <f t="shared" si="13"/>
        <v>13.75</v>
      </c>
      <c r="G33" s="92">
        <f t="shared" si="13"/>
        <v>0</v>
      </c>
      <c r="H33" s="92">
        <f t="shared" si="13"/>
        <v>0</v>
      </c>
      <c r="I33" s="92">
        <f t="shared" si="13"/>
        <v>0</v>
      </c>
      <c r="J33" s="92">
        <f t="shared" si="13"/>
        <v>0</v>
      </c>
      <c r="K33" s="92">
        <f t="shared" si="13"/>
        <v>0</v>
      </c>
      <c r="L33" s="92">
        <f t="shared" si="13"/>
        <v>0</v>
      </c>
      <c r="M33" s="92">
        <f t="shared" si="13"/>
        <v>0</v>
      </c>
      <c r="N33" s="93">
        <f t="shared" si="4"/>
        <v>43</v>
      </c>
    </row>
    <row r="35" spans="1:14" x14ac:dyDescent="0.25">
      <c r="C35" t="s">
        <v>40</v>
      </c>
      <c r="E35" s="138">
        <v>0.06</v>
      </c>
    </row>
    <row r="36" spans="1:14" x14ac:dyDescent="0.25">
      <c r="C36" s="98" t="s">
        <v>67</v>
      </c>
      <c r="E36" s="138">
        <v>0.01</v>
      </c>
    </row>
    <row r="37" spans="1:14" x14ac:dyDescent="0.25">
      <c r="C37" s="98"/>
    </row>
    <row r="38" spans="1:14" x14ac:dyDescent="0.25">
      <c r="C38" s="4" t="s">
        <v>66</v>
      </c>
    </row>
    <row r="39" spans="1:14" ht="4.5" customHeight="1" x14ac:dyDescent="0.25">
      <c r="C39" s="4"/>
    </row>
    <row r="40" spans="1:14" outlineLevel="1" x14ac:dyDescent="0.25">
      <c r="A40" s="83" t="s">
        <v>61</v>
      </c>
      <c r="B40" s="83" t="s">
        <v>62</v>
      </c>
      <c r="C40" s="4" t="s">
        <v>63</v>
      </c>
      <c r="D40" s="2" t="s">
        <v>0</v>
      </c>
      <c r="E40" s="2" t="s">
        <v>1</v>
      </c>
      <c r="F40" s="2" t="s">
        <v>2</v>
      </c>
      <c r="G40" s="2" t="s">
        <v>3</v>
      </c>
      <c r="H40" s="2" t="s">
        <v>4</v>
      </c>
      <c r="I40" s="2" t="s">
        <v>5</v>
      </c>
      <c r="J40" s="2" t="s">
        <v>6</v>
      </c>
      <c r="K40" s="2" t="s">
        <v>7</v>
      </c>
      <c r="L40" s="2" t="s">
        <v>8</v>
      </c>
      <c r="M40" s="2" t="s">
        <v>9</v>
      </c>
      <c r="N40" s="2" t="s">
        <v>15</v>
      </c>
    </row>
    <row r="41" spans="1:14" outlineLevel="1" x14ac:dyDescent="0.25">
      <c r="A41" s="86" t="s">
        <v>51</v>
      </c>
      <c r="B41" s="87">
        <v>43070</v>
      </c>
      <c r="C41" s="88">
        <f>SUM(D41:M41)</f>
        <v>23.250000000000004</v>
      </c>
      <c r="D41" s="84">
        <f>+D23*(1-($E$35+$E$36))</f>
        <v>11.625</v>
      </c>
      <c r="E41" s="84">
        <f t="shared" ref="E41:M41" si="14">+E23*(1-($E$35+$E$36))</f>
        <v>8.1375000000000011</v>
      </c>
      <c r="F41" s="84">
        <f t="shared" si="14"/>
        <v>3.4875000000000003</v>
      </c>
      <c r="G41" s="84">
        <f t="shared" si="14"/>
        <v>0</v>
      </c>
      <c r="H41" s="84">
        <f t="shared" si="14"/>
        <v>0</v>
      </c>
      <c r="I41" s="84">
        <f t="shared" si="14"/>
        <v>0</v>
      </c>
      <c r="J41" s="84">
        <f t="shared" si="14"/>
        <v>0</v>
      </c>
      <c r="K41" s="84">
        <f t="shared" si="14"/>
        <v>0</v>
      </c>
      <c r="L41" s="84">
        <f t="shared" si="14"/>
        <v>0</v>
      </c>
      <c r="M41" s="84">
        <f t="shared" si="14"/>
        <v>0</v>
      </c>
      <c r="N41" s="94">
        <f>SUM(D41:M41)</f>
        <v>23.250000000000004</v>
      </c>
    </row>
    <row r="42" spans="1:14" outlineLevel="1" x14ac:dyDescent="0.25">
      <c r="A42" s="2" t="s">
        <v>52</v>
      </c>
      <c r="B42" s="82">
        <v>42887</v>
      </c>
      <c r="C42" s="88">
        <f t="shared" ref="C42:C50" si="15">SUM(D42:M42)</f>
        <v>16.740000000000002</v>
      </c>
      <c r="D42" s="84">
        <f t="shared" ref="D42:M42" si="16">+D24*(1-($E$35+$E$36))</f>
        <v>2.79</v>
      </c>
      <c r="E42" s="84">
        <f t="shared" si="16"/>
        <v>4.6500000000000004</v>
      </c>
      <c r="F42" s="84">
        <f t="shared" si="16"/>
        <v>9.3000000000000007</v>
      </c>
      <c r="G42" s="84">
        <f t="shared" si="16"/>
        <v>0</v>
      </c>
      <c r="H42" s="84">
        <f t="shared" si="16"/>
        <v>0</v>
      </c>
      <c r="I42" s="84">
        <f t="shared" si="16"/>
        <v>0</v>
      </c>
      <c r="J42" s="84">
        <f t="shared" si="16"/>
        <v>0</v>
      </c>
      <c r="K42" s="84">
        <f t="shared" si="16"/>
        <v>0</v>
      </c>
      <c r="L42" s="84">
        <f t="shared" si="16"/>
        <v>0</v>
      </c>
      <c r="M42" s="84">
        <f t="shared" si="16"/>
        <v>0</v>
      </c>
      <c r="N42" s="94">
        <f t="shared" ref="N42:N51" si="17">SUM(D42:M42)</f>
        <v>16.740000000000002</v>
      </c>
    </row>
    <row r="43" spans="1:14" outlineLevel="1" x14ac:dyDescent="0.25">
      <c r="A43" s="2" t="s">
        <v>53</v>
      </c>
      <c r="B43" s="82">
        <v>42795</v>
      </c>
      <c r="C43" s="88">
        <f t="shared" si="15"/>
        <v>0</v>
      </c>
      <c r="D43" s="84">
        <f t="shared" ref="D43:M43" si="18">+D25*(1-($E$35+$E$36))</f>
        <v>0</v>
      </c>
      <c r="E43" s="84">
        <f t="shared" si="18"/>
        <v>0</v>
      </c>
      <c r="F43" s="84">
        <f t="shared" si="18"/>
        <v>0</v>
      </c>
      <c r="G43" s="84">
        <f t="shared" si="18"/>
        <v>0</v>
      </c>
      <c r="H43" s="84">
        <f t="shared" si="18"/>
        <v>0</v>
      </c>
      <c r="I43" s="84">
        <f t="shared" si="18"/>
        <v>0</v>
      </c>
      <c r="J43" s="84">
        <f t="shared" si="18"/>
        <v>0</v>
      </c>
      <c r="K43" s="84">
        <f t="shared" si="18"/>
        <v>0</v>
      </c>
      <c r="L43" s="84">
        <f t="shared" si="18"/>
        <v>0</v>
      </c>
      <c r="M43" s="84">
        <f t="shared" si="18"/>
        <v>0</v>
      </c>
      <c r="N43" s="94">
        <f t="shared" si="17"/>
        <v>0</v>
      </c>
    </row>
    <row r="44" spans="1:14" outlineLevel="1" x14ac:dyDescent="0.25">
      <c r="A44" s="2" t="s">
        <v>54</v>
      </c>
      <c r="B44" s="82">
        <v>42736</v>
      </c>
      <c r="C44" s="88">
        <f t="shared" si="15"/>
        <v>0</v>
      </c>
      <c r="D44" s="84">
        <f t="shared" ref="D44:M44" si="19">+D26*(1-($E$35+$E$36))</f>
        <v>0</v>
      </c>
      <c r="E44" s="84">
        <f t="shared" si="19"/>
        <v>0</v>
      </c>
      <c r="F44" s="84">
        <f t="shared" si="19"/>
        <v>0</v>
      </c>
      <c r="G44" s="84">
        <f t="shared" si="19"/>
        <v>0</v>
      </c>
      <c r="H44" s="84">
        <f t="shared" si="19"/>
        <v>0</v>
      </c>
      <c r="I44" s="84">
        <f t="shared" si="19"/>
        <v>0</v>
      </c>
      <c r="J44" s="84">
        <f t="shared" si="19"/>
        <v>0</v>
      </c>
      <c r="K44" s="84">
        <f t="shared" si="19"/>
        <v>0</v>
      </c>
      <c r="L44" s="84">
        <f t="shared" si="19"/>
        <v>0</v>
      </c>
      <c r="M44" s="84">
        <f t="shared" si="19"/>
        <v>0</v>
      </c>
      <c r="N44" s="94">
        <f t="shared" si="17"/>
        <v>0</v>
      </c>
    </row>
    <row r="45" spans="1:14" outlineLevel="1" x14ac:dyDescent="0.25">
      <c r="A45" s="2" t="s">
        <v>55</v>
      </c>
      <c r="B45" s="82">
        <v>42705</v>
      </c>
      <c r="C45" s="88">
        <f t="shared" si="15"/>
        <v>0</v>
      </c>
      <c r="D45" s="84">
        <f t="shared" ref="D45:M45" si="20">+D27*(1-($E$35+$E$36))</f>
        <v>0</v>
      </c>
      <c r="E45" s="84">
        <f t="shared" si="20"/>
        <v>0</v>
      </c>
      <c r="F45" s="84">
        <f t="shared" si="20"/>
        <v>0</v>
      </c>
      <c r="G45" s="84">
        <f t="shared" si="20"/>
        <v>0</v>
      </c>
      <c r="H45" s="84">
        <f t="shared" si="20"/>
        <v>0</v>
      </c>
      <c r="I45" s="84">
        <f t="shared" si="20"/>
        <v>0</v>
      </c>
      <c r="J45" s="84">
        <f t="shared" si="20"/>
        <v>0</v>
      </c>
      <c r="K45" s="84">
        <f t="shared" si="20"/>
        <v>0</v>
      </c>
      <c r="L45" s="84">
        <f t="shared" si="20"/>
        <v>0</v>
      </c>
      <c r="M45" s="84">
        <f t="shared" si="20"/>
        <v>0</v>
      </c>
      <c r="N45" s="94">
        <f t="shared" si="17"/>
        <v>0</v>
      </c>
    </row>
    <row r="46" spans="1:14" outlineLevel="1" x14ac:dyDescent="0.25">
      <c r="A46" s="2" t="s">
        <v>56</v>
      </c>
      <c r="B46" s="82">
        <v>42552</v>
      </c>
      <c r="C46" s="88">
        <f t="shared" si="15"/>
        <v>0</v>
      </c>
      <c r="D46" s="84">
        <f t="shared" ref="D46:M46" si="21">+D28*(1-($E$35+$E$36))</f>
        <v>0</v>
      </c>
      <c r="E46" s="84">
        <f t="shared" si="21"/>
        <v>0</v>
      </c>
      <c r="F46" s="84">
        <f t="shared" si="21"/>
        <v>0</v>
      </c>
      <c r="G46" s="84">
        <f t="shared" si="21"/>
        <v>0</v>
      </c>
      <c r="H46" s="84">
        <f t="shared" si="21"/>
        <v>0</v>
      </c>
      <c r="I46" s="84">
        <f t="shared" si="21"/>
        <v>0</v>
      </c>
      <c r="J46" s="84">
        <f t="shared" si="21"/>
        <v>0</v>
      </c>
      <c r="K46" s="84">
        <f t="shared" si="21"/>
        <v>0</v>
      </c>
      <c r="L46" s="84">
        <f t="shared" si="21"/>
        <v>0</v>
      </c>
      <c r="M46" s="84">
        <f t="shared" si="21"/>
        <v>0</v>
      </c>
      <c r="N46" s="94">
        <f t="shared" si="17"/>
        <v>0</v>
      </c>
    </row>
    <row r="47" spans="1:14" outlineLevel="1" x14ac:dyDescent="0.25">
      <c r="A47" s="2" t="s">
        <v>57</v>
      </c>
      <c r="B47" s="82">
        <v>42278</v>
      </c>
      <c r="C47" s="88">
        <f t="shared" si="15"/>
        <v>0</v>
      </c>
      <c r="D47" s="84">
        <f t="shared" ref="D47:M47" si="22">+D29*(1-($E$35+$E$36))</f>
        <v>0</v>
      </c>
      <c r="E47" s="84">
        <f t="shared" si="22"/>
        <v>0</v>
      </c>
      <c r="F47" s="84">
        <f t="shared" si="22"/>
        <v>0</v>
      </c>
      <c r="G47" s="84">
        <f t="shared" si="22"/>
        <v>0</v>
      </c>
      <c r="H47" s="84">
        <f t="shared" si="22"/>
        <v>0</v>
      </c>
      <c r="I47" s="84">
        <f t="shared" si="22"/>
        <v>0</v>
      </c>
      <c r="J47" s="84">
        <f t="shared" si="22"/>
        <v>0</v>
      </c>
      <c r="K47" s="84">
        <f t="shared" si="22"/>
        <v>0</v>
      </c>
      <c r="L47" s="84">
        <f t="shared" si="22"/>
        <v>0</v>
      </c>
      <c r="M47" s="84">
        <f t="shared" si="22"/>
        <v>0</v>
      </c>
      <c r="N47" s="94">
        <f t="shared" si="17"/>
        <v>0</v>
      </c>
    </row>
    <row r="48" spans="1:14" outlineLevel="1" x14ac:dyDescent="0.25">
      <c r="A48" s="2" t="s">
        <v>58</v>
      </c>
      <c r="B48" s="82">
        <v>42186</v>
      </c>
      <c r="C48" s="88">
        <f t="shared" si="15"/>
        <v>0</v>
      </c>
      <c r="D48" s="84">
        <f t="shared" ref="D48:M48" si="23">+D30*(1-($E$35+$E$36))</f>
        <v>0</v>
      </c>
      <c r="E48" s="84">
        <f t="shared" si="23"/>
        <v>0</v>
      </c>
      <c r="F48" s="84">
        <f t="shared" si="23"/>
        <v>0</v>
      </c>
      <c r="G48" s="84">
        <f t="shared" si="23"/>
        <v>0</v>
      </c>
      <c r="H48" s="84">
        <f t="shared" si="23"/>
        <v>0</v>
      </c>
      <c r="I48" s="84">
        <f t="shared" si="23"/>
        <v>0</v>
      </c>
      <c r="J48" s="84">
        <f t="shared" si="23"/>
        <v>0</v>
      </c>
      <c r="K48" s="84">
        <f t="shared" si="23"/>
        <v>0</v>
      </c>
      <c r="L48" s="84">
        <f t="shared" si="23"/>
        <v>0</v>
      </c>
      <c r="M48" s="84">
        <f t="shared" si="23"/>
        <v>0</v>
      </c>
      <c r="N48" s="94">
        <f t="shared" si="17"/>
        <v>0</v>
      </c>
    </row>
    <row r="49" spans="1:14" outlineLevel="1" x14ac:dyDescent="0.25">
      <c r="A49" s="2" t="s">
        <v>60</v>
      </c>
      <c r="B49" s="82">
        <v>41913</v>
      </c>
      <c r="C49" s="88">
        <f t="shared" si="15"/>
        <v>0</v>
      </c>
      <c r="D49" s="84">
        <f t="shared" ref="D49:M49" si="24">+D31*(1-($E$35+$E$36))</f>
        <v>0</v>
      </c>
      <c r="E49" s="84">
        <f t="shared" si="24"/>
        <v>0</v>
      </c>
      <c r="F49" s="84">
        <f t="shared" si="24"/>
        <v>0</v>
      </c>
      <c r="G49" s="84">
        <f t="shared" si="24"/>
        <v>0</v>
      </c>
      <c r="H49" s="84">
        <f t="shared" si="24"/>
        <v>0</v>
      </c>
      <c r="I49" s="84">
        <f t="shared" si="24"/>
        <v>0</v>
      </c>
      <c r="J49" s="84">
        <f t="shared" si="24"/>
        <v>0</v>
      </c>
      <c r="K49" s="84">
        <f t="shared" si="24"/>
        <v>0</v>
      </c>
      <c r="L49" s="84">
        <f t="shared" si="24"/>
        <v>0</v>
      </c>
      <c r="M49" s="84">
        <f t="shared" si="24"/>
        <v>0</v>
      </c>
      <c r="N49" s="94">
        <f t="shared" si="17"/>
        <v>0</v>
      </c>
    </row>
    <row r="50" spans="1:14" outlineLevel="1" x14ac:dyDescent="0.25">
      <c r="A50" s="89" t="s">
        <v>59</v>
      </c>
      <c r="B50" s="90">
        <v>41456</v>
      </c>
      <c r="C50" s="88">
        <f t="shared" si="15"/>
        <v>0</v>
      </c>
      <c r="D50" s="84">
        <f t="shared" ref="D50:M50" si="25">+D32*(1-($E$35+$E$36))</f>
        <v>0</v>
      </c>
      <c r="E50" s="84">
        <f t="shared" si="25"/>
        <v>0</v>
      </c>
      <c r="F50" s="84">
        <f t="shared" si="25"/>
        <v>0</v>
      </c>
      <c r="G50" s="84">
        <f t="shared" si="25"/>
        <v>0</v>
      </c>
      <c r="H50" s="84">
        <f t="shared" si="25"/>
        <v>0</v>
      </c>
      <c r="I50" s="84">
        <f t="shared" si="25"/>
        <v>0</v>
      </c>
      <c r="J50" s="84">
        <f t="shared" si="25"/>
        <v>0</v>
      </c>
      <c r="K50" s="84">
        <f t="shared" si="25"/>
        <v>0</v>
      </c>
      <c r="L50" s="84">
        <f t="shared" si="25"/>
        <v>0</v>
      </c>
      <c r="M50" s="84">
        <f t="shared" si="25"/>
        <v>0</v>
      </c>
      <c r="N50" s="94">
        <f t="shared" si="17"/>
        <v>0</v>
      </c>
    </row>
    <row r="51" spans="1:14" outlineLevel="1" x14ac:dyDescent="0.25">
      <c r="B51" s="82"/>
      <c r="C51" s="30">
        <f>SUM(C41:C50)</f>
        <v>39.990000000000009</v>
      </c>
      <c r="D51" s="92">
        <f>SUM(D41:D50)</f>
        <v>14.414999999999999</v>
      </c>
      <c r="E51" s="92">
        <f t="shared" ref="E51:M51" si="26">SUM(E41:E50)</f>
        <v>12.787500000000001</v>
      </c>
      <c r="F51" s="92">
        <f t="shared" si="26"/>
        <v>12.787500000000001</v>
      </c>
      <c r="G51" s="92">
        <f t="shared" si="26"/>
        <v>0</v>
      </c>
      <c r="H51" s="92">
        <f t="shared" si="26"/>
        <v>0</v>
      </c>
      <c r="I51" s="92">
        <f t="shared" si="26"/>
        <v>0</v>
      </c>
      <c r="J51" s="92">
        <f t="shared" si="26"/>
        <v>0</v>
      </c>
      <c r="K51" s="92">
        <f t="shared" si="26"/>
        <v>0</v>
      </c>
      <c r="L51" s="92">
        <f t="shared" si="26"/>
        <v>0</v>
      </c>
      <c r="M51" s="92">
        <f t="shared" si="26"/>
        <v>0</v>
      </c>
      <c r="N51" s="93">
        <f t="shared" si="17"/>
        <v>39.99</v>
      </c>
    </row>
    <row r="52" spans="1:14" outlineLevel="1" x14ac:dyDescent="0.25">
      <c r="B52" s="82"/>
      <c r="C52" s="95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7"/>
    </row>
    <row r="53" spans="1:14" outlineLevel="1" x14ac:dyDescent="0.25">
      <c r="B53" s="82"/>
      <c r="C53" s="95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7"/>
    </row>
  </sheetData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100"/>
  <sheetViews>
    <sheetView showGridLines="0" workbookViewId="0">
      <selection activeCell="H19" sqref="H19"/>
    </sheetView>
  </sheetViews>
  <sheetFormatPr defaultColWidth="8.85546875" defaultRowHeight="15" outlineLevelRow="1" x14ac:dyDescent="0.25"/>
  <cols>
    <col min="1" max="1" width="18.140625" customWidth="1"/>
    <col min="2" max="2" width="15.42578125" customWidth="1"/>
    <col min="4" max="4" width="12.42578125" bestFit="1" customWidth="1"/>
    <col min="13" max="13" width="9.42578125" bestFit="1" customWidth="1"/>
  </cols>
  <sheetData>
    <row r="2" spans="1:13" x14ac:dyDescent="0.25">
      <c r="A2" s="80" t="s">
        <v>118</v>
      </c>
      <c r="C2" s="1"/>
    </row>
    <row r="3" spans="1:13" x14ac:dyDescent="0.25">
      <c r="A3" s="81" t="s">
        <v>10</v>
      </c>
    </row>
    <row r="4" spans="1:13" ht="4.5" customHeight="1" x14ac:dyDescent="0.25"/>
    <row r="6" spans="1:13" x14ac:dyDescent="0.25">
      <c r="C6" t="s">
        <v>40</v>
      </c>
      <c r="E6" s="138">
        <v>0.04</v>
      </c>
    </row>
    <row r="8" spans="1:13" x14ac:dyDescent="0.25">
      <c r="C8" s="4" t="s">
        <v>73</v>
      </c>
    </row>
    <row r="9" spans="1:13" ht="3" customHeight="1" x14ac:dyDescent="0.25">
      <c r="C9" s="4"/>
    </row>
    <row r="10" spans="1:13" outlineLevel="1" x14ac:dyDescent="0.25">
      <c r="A10" s="101" t="s">
        <v>61</v>
      </c>
      <c r="B10" s="101" t="s">
        <v>68</v>
      </c>
      <c r="C10" s="56" t="s">
        <v>63</v>
      </c>
      <c r="D10" s="1" t="s">
        <v>73</v>
      </c>
      <c r="E10" s="4"/>
    </row>
    <row r="11" spans="1:13" outlineLevel="1" x14ac:dyDescent="0.25">
      <c r="A11" s="2" t="s">
        <v>71</v>
      </c>
      <c r="B11" s="100" t="s">
        <v>69</v>
      </c>
      <c r="C11" s="159">
        <v>120</v>
      </c>
      <c r="D11" s="140">
        <v>0.65</v>
      </c>
    </row>
    <row r="12" spans="1:13" outlineLevel="1" x14ac:dyDescent="0.25">
      <c r="A12" s="2" t="s">
        <v>72</v>
      </c>
      <c r="B12" s="100" t="s">
        <v>70</v>
      </c>
      <c r="C12" s="159">
        <v>100</v>
      </c>
      <c r="D12" s="140">
        <v>0.8</v>
      </c>
    </row>
    <row r="14" spans="1:13" x14ac:dyDescent="0.25">
      <c r="D14" s="95"/>
      <c r="E14" s="95"/>
      <c r="F14" s="95"/>
      <c r="G14" s="95"/>
      <c r="H14" s="95"/>
      <c r="I14" s="95"/>
      <c r="J14" s="95"/>
      <c r="K14" s="95"/>
      <c r="L14" s="95"/>
      <c r="M14" s="95"/>
    </row>
    <row r="15" spans="1:13" x14ac:dyDescent="0.25">
      <c r="D15" s="4"/>
    </row>
    <row r="16" spans="1:13" ht="3" customHeight="1" x14ac:dyDescent="0.25">
      <c r="C16" s="4"/>
    </row>
    <row r="17" spans="1:14" outlineLevel="1" x14ac:dyDescent="0.25">
      <c r="A17" s="83" t="s">
        <v>61</v>
      </c>
      <c r="B17" s="101" t="s">
        <v>68</v>
      </c>
      <c r="C17" s="4" t="s">
        <v>63</v>
      </c>
      <c r="D17" s="4" t="s">
        <v>121</v>
      </c>
      <c r="E17" s="3"/>
      <c r="F17" s="3"/>
      <c r="G17" s="3"/>
      <c r="H17" s="3"/>
      <c r="I17" s="3"/>
      <c r="J17" s="3"/>
      <c r="K17" s="3"/>
      <c r="L17" s="3"/>
      <c r="M17" s="3"/>
    </row>
    <row r="18" spans="1:14" outlineLevel="1" x14ac:dyDescent="0.25">
      <c r="A18" s="2" t="s">
        <v>71</v>
      </c>
      <c r="B18" s="100" t="s">
        <v>69</v>
      </c>
      <c r="C18" s="164">
        <f>C11</f>
        <v>120</v>
      </c>
      <c r="D18" s="102">
        <f>C18*(1-D11)</f>
        <v>42</v>
      </c>
      <c r="E18" s="3"/>
      <c r="F18" s="3"/>
      <c r="G18" s="3"/>
      <c r="H18" s="3"/>
      <c r="I18" s="3"/>
      <c r="J18" s="3"/>
      <c r="K18" s="3"/>
      <c r="L18" s="3"/>
      <c r="M18" s="3"/>
    </row>
    <row r="19" spans="1:14" outlineLevel="1" x14ac:dyDescent="0.25">
      <c r="A19" s="2" t="s">
        <v>72</v>
      </c>
      <c r="B19" s="100" t="s">
        <v>70</v>
      </c>
      <c r="C19" s="164">
        <f>C12</f>
        <v>100</v>
      </c>
      <c r="D19" s="103">
        <f>C19*(1-D12)</f>
        <v>19.999999999999996</v>
      </c>
      <c r="E19" s="3"/>
    </row>
    <row r="21" spans="1:14" x14ac:dyDescent="0.25">
      <c r="C21" s="6" t="s">
        <v>14</v>
      </c>
      <c r="F21" s="140">
        <v>0.3</v>
      </c>
    </row>
    <row r="22" spans="1:14" ht="5.25" customHeight="1" x14ac:dyDescent="0.25"/>
    <row r="23" spans="1:14" outlineLevel="1" x14ac:dyDescent="0.25">
      <c r="D23" s="2" t="s">
        <v>0</v>
      </c>
      <c r="E23" s="2" t="s">
        <v>1</v>
      </c>
      <c r="F23" s="2" t="s">
        <v>2</v>
      </c>
      <c r="G23" s="2" t="s">
        <v>3</v>
      </c>
      <c r="H23" s="2" t="s">
        <v>4</v>
      </c>
      <c r="I23" s="2" t="s">
        <v>5</v>
      </c>
      <c r="J23" s="2" t="s">
        <v>6</v>
      </c>
      <c r="K23" s="2" t="s">
        <v>7</v>
      </c>
      <c r="L23" s="2" t="s">
        <v>8</v>
      </c>
      <c r="M23" s="2" t="s">
        <v>9</v>
      </c>
      <c r="N23" s="2" t="s">
        <v>15</v>
      </c>
    </row>
    <row r="24" spans="1:14" outlineLevel="1" x14ac:dyDescent="0.25">
      <c r="C24" s="7">
        <v>1</v>
      </c>
      <c r="D24" s="36">
        <f>+$F$21/3</f>
        <v>9.9999999999999992E-2</v>
      </c>
      <c r="E24" s="36">
        <f>+F21/3</f>
        <v>9.9999999999999992E-2</v>
      </c>
      <c r="F24" s="36">
        <f>+F21/3</f>
        <v>9.9999999999999992E-2</v>
      </c>
      <c r="G24" s="36">
        <f>+(1-$F$21)</f>
        <v>0.7</v>
      </c>
      <c r="H24" s="37"/>
      <c r="I24" s="37"/>
      <c r="J24" s="37"/>
      <c r="K24" s="28"/>
      <c r="L24" s="28"/>
      <c r="M24" s="28"/>
      <c r="N24" s="32">
        <f>SUM(D24:M24)</f>
        <v>1</v>
      </c>
    </row>
    <row r="25" spans="1:14" outlineLevel="1" x14ac:dyDescent="0.25">
      <c r="C25" s="7">
        <v>2</v>
      </c>
      <c r="D25" s="3"/>
      <c r="E25" s="38">
        <f>+$F$21/2</f>
        <v>0.15</v>
      </c>
      <c r="F25" s="38">
        <f>+$F$21/2</f>
        <v>0.15</v>
      </c>
      <c r="G25" s="38">
        <f>+(1-$F$21)</f>
        <v>0.7</v>
      </c>
      <c r="H25" s="8"/>
      <c r="I25" s="8"/>
      <c r="J25" s="8"/>
      <c r="N25" s="34">
        <f>SUM(D25:M25)</f>
        <v>1</v>
      </c>
    </row>
    <row r="26" spans="1:14" outlineLevel="1" x14ac:dyDescent="0.25">
      <c r="C26" s="7">
        <v>3</v>
      </c>
      <c r="D26" s="3"/>
      <c r="E26" s="8"/>
      <c r="F26" s="38">
        <f>+$F$21</f>
        <v>0.3</v>
      </c>
      <c r="G26" s="38">
        <f>+(1-$F$21)</f>
        <v>0.7</v>
      </c>
      <c r="H26" s="8"/>
      <c r="I26" s="8"/>
      <c r="J26" s="8"/>
      <c r="N26" s="34">
        <f>SUM(D26:M26)</f>
        <v>1</v>
      </c>
    </row>
    <row r="27" spans="1:14" outlineLevel="1" x14ac:dyDescent="0.25">
      <c r="C27" s="7">
        <v>4</v>
      </c>
      <c r="D27" s="39"/>
      <c r="E27" s="40"/>
      <c r="F27" s="40"/>
      <c r="G27" s="41">
        <v>1</v>
      </c>
      <c r="H27" s="40"/>
      <c r="I27" s="40"/>
      <c r="J27" s="40"/>
      <c r="K27" s="29"/>
      <c r="L27" s="29"/>
      <c r="M27" s="29"/>
      <c r="N27" s="42">
        <f>SUM(D27:M27)</f>
        <v>1</v>
      </c>
    </row>
    <row r="28" spans="1:14" x14ac:dyDescent="0.25">
      <c r="D28" s="3"/>
      <c r="E28" s="8"/>
      <c r="F28" s="8"/>
      <c r="G28" s="8"/>
      <c r="H28" s="8"/>
      <c r="I28" s="8"/>
      <c r="J28" s="8"/>
      <c r="N28" s="10"/>
    </row>
    <row r="29" spans="1:14" x14ac:dyDescent="0.25">
      <c r="C29" s="4" t="s">
        <v>13</v>
      </c>
    </row>
    <row r="30" spans="1:14" ht="5.25" customHeight="1" x14ac:dyDescent="0.25">
      <c r="C30" s="4"/>
    </row>
    <row r="31" spans="1:14" x14ac:dyDescent="0.25">
      <c r="D31" s="2" t="s">
        <v>0</v>
      </c>
      <c r="E31" s="2" t="s">
        <v>1</v>
      </c>
      <c r="F31" s="2" t="s">
        <v>2</v>
      </c>
      <c r="G31" s="2" t="s">
        <v>3</v>
      </c>
      <c r="H31" s="2" t="s">
        <v>4</v>
      </c>
      <c r="I31" s="2" t="s">
        <v>5</v>
      </c>
      <c r="J31" s="2" t="s">
        <v>6</v>
      </c>
      <c r="K31" s="2" t="s">
        <v>7</v>
      </c>
      <c r="L31" s="2" t="s">
        <v>8</v>
      </c>
      <c r="M31" s="2" t="s">
        <v>9</v>
      </c>
    </row>
    <row r="32" spans="1:14" outlineLevel="1" x14ac:dyDescent="0.25">
      <c r="B32" t="s">
        <v>74</v>
      </c>
      <c r="C32" s="2" t="s">
        <v>71</v>
      </c>
      <c r="D32" s="37">
        <f>+$C$11*(1-$E$6)*E24</f>
        <v>11.519999999999998</v>
      </c>
      <c r="E32" s="37">
        <f t="shared" ref="E32:F32" si="0">+$C$11*(1-$E$6)*F24</f>
        <v>11.519999999999998</v>
      </c>
      <c r="F32" s="37">
        <f t="shared" si="0"/>
        <v>80.639999999999986</v>
      </c>
      <c r="G32" s="37"/>
      <c r="H32" s="37"/>
      <c r="I32" s="37"/>
      <c r="J32" s="37"/>
      <c r="K32" s="28"/>
      <c r="L32" s="28"/>
      <c r="M32" s="28"/>
    </row>
    <row r="33" spans="2:13" outlineLevel="1" x14ac:dyDescent="0.25">
      <c r="B33" t="s">
        <v>75</v>
      </c>
      <c r="C33" s="7" t="s">
        <v>71</v>
      </c>
      <c r="D33" s="40">
        <f>+$D$18*(1-$E$6)*E25</f>
        <v>6.048</v>
      </c>
      <c r="E33" s="40">
        <f t="shared" ref="E33:F33" si="1">+$D$18*(1-$E$6)*F25</f>
        <v>6.048</v>
      </c>
      <c r="F33" s="40">
        <f t="shared" si="1"/>
        <v>28.223999999999997</v>
      </c>
      <c r="G33" s="40"/>
      <c r="H33" s="40"/>
      <c r="I33" s="40"/>
      <c r="J33" s="40"/>
      <c r="K33" s="29"/>
      <c r="L33" s="29"/>
      <c r="M33" s="29"/>
    </row>
    <row r="34" spans="2:13" outlineLevel="1" x14ac:dyDescent="0.25">
      <c r="E34" s="8"/>
      <c r="F34" s="8"/>
      <c r="G34" s="8"/>
      <c r="H34" s="8"/>
      <c r="I34" s="8"/>
      <c r="J34" s="8"/>
    </row>
    <row r="35" spans="2:13" outlineLevel="1" x14ac:dyDescent="0.25">
      <c r="B35" t="s">
        <v>74</v>
      </c>
      <c r="C35" s="86" t="s">
        <v>72</v>
      </c>
      <c r="D35" s="37">
        <f>+$C$12*(1-$E$6)*F24</f>
        <v>9.6</v>
      </c>
      <c r="E35" s="37">
        <f>+$C$12*(1-$E$6)*G24</f>
        <v>67.199999999999989</v>
      </c>
      <c r="F35" s="37"/>
      <c r="G35" s="37"/>
      <c r="H35" s="37"/>
      <c r="I35" s="37"/>
      <c r="J35" s="37"/>
      <c r="K35" s="28"/>
      <c r="L35" s="28"/>
      <c r="M35" s="28"/>
    </row>
    <row r="36" spans="2:13" outlineLevel="1" x14ac:dyDescent="0.25">
      <c r="B36" t="s">
        <v>75</v>
      </c>
      <c r="C36" s="104" t="s">
        <v>72</v>
      </c>
      <c r="D36" s="40">
        <f>+$D$19*(1-$E$6)*F26</f>
        <v>5.7599999999999989</v>
      </c>
      <c r="E36" s="40">
        <f>+$D$19*(1-$E$6)*G26</f>
        <v>13.439999999999996</v>
      </c>
      <c r="F36" s="40"/>
      <c r="G36" s="40"/>
      <c r="H36" s="40"/>
      <c r="I36" s="40"/>
      <c r="J36" s="40"/>
      <c r="K36" s="29"/>
      <c r="L36" s="29"/>
      <c r="M36" s="29"/>
    </row>
    <row r="37" spans="2:13" outlineLevel="1" x14ac:dyDescent="0.25">
      <c r="D37" s="39"/>
      <c r="E37" s="40"/>
      <c r="F37" s="40"/>
      <c r="G37" s="40"/>
      <c r="H37" s="40"/>
      <c r="I37" s="40"/>
      <c r="J37" s="40"/>
      <c r="K37" s="29"/>
      <c r="L37" s="29"/>
      <c r="M37" s="29"/>
    </row>
    <row r="38" spans="2:13" x14ac:dyDescent="0.25">
      <c r="D38" s="105">
        <f t="shared" ref="D38:M38" si="2">SUM(D32:D37)</f>
        <v>32.927999999999997</v>
      </c>
      <c r="E38" s="105">
        <f t="shared" si="2"/>
        <v>98.207999999999984</v>
      </c>
      <c r="F38" s="105">
        <f t="shared" si="2"/>
        <v>108.86399999999998</v>
      </c>
      <c r="G38" s="105">
        <f t="shared" si="2"/>
        <v>0</v>
      </c>
      <c r="H38" s="105">
        <f t="shared" si="2"/>
        <v>0</v>
      </c>
      <c r="I38" s="105">
        <f t="shared" si="2"/>
        <v>0</v>
      </c>
      <c r="J38" s="105">
        <f t="shared" si="2"/>
        <v>0</v>
      </c>
      <c r="K38" s="105">
        <f t="shared" si="2"/>
        <v>0</v>
      </c>
      <c r="L38" s="105">
        <f t="shared" si="2"/>
        <v>0</v>
      </c>
      <c r="M38" s="105">
        <f t="shared" si="2"/>
        <v>0</v>
      </c>
    </row>
    <row r="40" spans="2:13" x14ac:dyDescent="0.25">
      <c r="C40" s="4" t="s">
        <v>25</v>
      </c>
      <c r="F40" s="142">
        <v>0.35</v>
      </c>
    </row>
    <row r="41" spans="2:13" ht="5.25" customHeight="1" x14ac:dyDescent="0.25">
      <c r="C41" s="4"/>
    </row>
    <row r="42" spans="2:13" ht="17.25" customHeight="1" x14ac:dyDescent="0.25">
      <c r="C42" s="4" t="s">
        <v>24</v>
      </c>
      <c r="F42" s="142">
        <v>0.15</v>
      </c>
    </row>
    <row r="43" spans="2:13" ht="5.25" customHeight="1" x14ac:dyDescent="0.25">
      <c r="C43" s="4"/>
    </row>
    <row r="44" spans="2:13" ht="15" customHeight="1" x14ac:dyDescent="0.25">
      <c r="C44" s="4" t="s">
        <v>26</v>
      </c>
      <c r="F44">
        <v>1</v>
      </c>
      <c r="G44" s="4" t="s">
        <v>27</v>
      </c>
    </row>
    <row r="45" spans="2:13" ht="4.5" customHeight="1" x14ac:dyDescent="0.25">
      <c r="C45" s="4"/>
      <c r="G45" s="4"/>
    </row>
    <row r="46" spans="2:13" x14ac:dyDescent="0.25">
      <c r="D46" s="2" t="s">
        <v>0</v>
      </c>
      <c r="E46" s="2" t="s">
        <v>1</v>
      </c>
      <c r="F46" s="2" t="s">
        <v>2</v>
      </c>
      <c r="G46" s="2" t="s">
        <v>3</v>
      </c>
      <c r="H46" s="2" t="s">
        <v>4</v>
      </c>
      <c r="I46" s="2" t="s">
        <v>5</v>
      </c>
      <c r="J46" s="2" t="s">
        <v>6</v>
      </c>
      <c r="K46" s="2" t="s">
        <v>7</v>
      </c>
      <c r="L46" s="2" t="s">
        <v>8</v>
      </c>
      <c r="M46" s="2" t="s">
        <v>9</v>
      </c>
    </row>
    <row r="47" spans="2:13" x14ac:dyDescent="0.25">
      <c r="C47" s="48" t="s">
        <v>28</v>
      </c>
      <c r="D47" s="70">
        <f>-$F$40*$F$42*D38</f>
        <v>-1.7287199999999998</v>
      </c>
      <c r="E47" s="70">
        <f t="shared" ref="E47:M47" si="3">-$F$40*$F$42*E38</f>
        <v>-5.1559199999999992</v>
      </c>
      <c r="F47" s="70">
        <f t="shared" si="3"/>
        <v>-5.7153599999999987</v>
      </c>
      <c r="G47" s="70">
        <f t="shared" si="3"/>
        <v>0</v>
      </c>
      <c r="H47" s="70">
        <f t="shared" si="3"/>
        <v>0</v>
      </c>
      <c r="I47" s="70">
        <f t="shared" si="3"/>
        <v>0</v>
      </c>
      <c r="J47" s="70">
        <f t="shared" si="3"/>
        <v>0</v>
      </c>
      <c r="K47" s="70">
        <f t="shared" si="3"/>
        <v>0</v>
      </c>
      <c r="L47" s="70">
        <f t="shared" si="3"/>
        <v>0</v>
      </c>
      <c r="M47" s="70">
        <f t="shared" si="3"/>
        <v>0</v>
      </c>
    </row>
    <row r="48" spans="2:13" x14ac:dyDescent="0.25">
      <c r="C48" s="49" t="s">
        <v>29</v>
      </c>
      <c r="D48" s="53">
        <f>-$F$40*(1-$F$42)*D38</f>
        <v>-9.7960799999999981</v>
      </c>
      <c r="E48" s="53">
        <f t="shared" ref="E48:M48" si="4">-$F$40*(1-$F$42)*E38</f>
        <v>-29.216879999999993</v>
      </c>
      <c r="F48" s="53">
        <f t="shared" si="4"/>
        <v>-32.387039999999992</v>
      </c>
      <c r="G48" s="53">
        <f t="shared" si="4"/>
        <v>0</v>
      </c>
      <c r="H48" s="53">
        <f t="shared" si="4"/>
        <v>0</v>
      </c>
      <c r="I48" s="53">
        <f t="shared" si="4"/>
        <v>0</v>
      </c>
      <c r="J48" s="53">
        <f t="shared" si="4"/>
        <v>0</v>
      </c>
      <c r="K48" s="53">
        <f t="shared" si="4"/>
        <v>0</v>
      </c>
      <c r="L48" s="53">
        <f t="shared" si="4"/>
        <v>0</v>
      </c>
      <c r="M48" s="53">
        <f t="shared" si="4"/>
        <v>0</v>
      </c>
    </row>
    <row r="50" spans="3:13" x14ac:dyDescent="0.25">
      <c r="C50" s="50" t="s">
        <v>16</v>
      </c>
      <c r="D50" s="51">
        <f>+D38</f>
        <v>32.927999999999997</v>
      </c>
      <c r="E50" s="51">
        <f t="shared" ref="E50:M50" si="5">+E38</f>
        <v>98.207999999999984</v>
      </c>
      <c r="F50" s="51">
        <f t="shared" si="5"/>
        <v>108.86399999999998</v>
      </c>
      <c r="G50" s="51">
        <f t="shared" si="5"/>
        <v>0</v>
      </c>
      <c r="H50" s="51">
        <f t="shared" si="5"/>
        <v>0</v>
      </c>
      <c r="I50" s="51">
        <f t="shared" si="5"/>
        <v>0</v>
      </c>
      <c r="J50" s="51">
        <f t="shared" si="5"/>
        <v>0</v>
      </c>
      <c r="K50" s="51">
        <f t="shared" si="5"/>
        <v>0</v>
      </c>
      <c r="L50" s="51">
        <f t="shared" si="5"/>
        <v>0</v>
      </c>
      <c r="M50" s="51">
        <f t="shared" si="5"/>
        <v>0</v>
      </c>
    </row>
    <row r="51" spans="3:13" x14ac:dyDescent="0.25">
      <c r="C51" s="71" t="s">
        <v>17</v>
      </c>
      <c r="D51" s="72"/>
      <c r="E51" s="73">
        <f t="shared" ref="E51:M51" si="6">IFERROR(E50/D50-1,0)</f>
        <v>1.9825072886297375</v>
      </c>
      <c r="F51" s="73">
        <f t="shared" si="6"/>
        <v>0.10850439882697938</v>
      </c>
      <c r="G51" s="73">
        <f t="shared" si="6"/>
        <v>-1</v>
      </c>
      <c r="H51" s="73">
        <f t="shared" si="6"/>
        <v>0</v>
      </c>
      <c r="I51" s="73">
        <f t="shared" si="6"/>
        <v>0</v>
      </c>
      <c r="J51" s="73">
        <f t="shared" si="6"/>
        <v>0</v>
      </c>
      <c r="K51" s="73">
        <f t="shared" si="6"/>
        <v>0</v>
      </c>
      <c r="L51" s="73">
        <f t="shared" si="6"/>
        <v>0</v>
      </c>
      <c r="M51" s="73">
        <f t="shared" si="6"/>
        <v>0</v>
      </c>
    </row>
    <row r="52" spans="3:13" x14ac:dyDescent="0.25">
      <c r="C52" s="13" t="s">
        <v>18</v>
      </c>
      <c r="D52" s="69">
        <f>-D53*D50</f>
        <v>-1.3171199999999998</v>
      </c>
      <c r="E52" s="69">
        <f t="shared" ref="E52:M52" si="7">-E53*E50</f>
        <v>-3.9283199999999994</v>
      </c>
      <c r="F52" s="69">
        <f t="shared" si="7"/>
        <v>-4.3545599999999993</v>
      </c>
      <c r="G52" s="69">
        <f t="shared" si="7"/>
        <v>0</v>
      </c>
      <c r="H52" s="69">
        <f t="shared" si="7"/>
        <v>0</v>
      </c>
      <c r="I52" s="69">
        <f t="shared" si="7"/>
        <v>0</v>
      </c>
      <c r="J52" s="69">
        <f t="shared" si="7"/>
        <v>0</v>
      </c>
      <c r="K52" s="69">
        <f t="shared" si="7"/>
        <v>0</v>
      </c>
      <c r="L52" s="69">
        <f t="shared" si="7"/>
        <v>0</v>
      </c>
      <c r="M52" s="69">
        <f t="shared" si="7"/>
        <v>0</v>
      </c>
    </row>
    <row r="53" spans="3:13" x14ac:dyDescent="0.25">
      <c r="C53" s="15" t="s">
        <v>19</v>
      </c>
      <c r="D53" s="143">
        <v>0.04</v>
      </c>
      <c r="E53" s="75">
        <f>+D53</f>
        <v>0.04</v>
      </c>
      <c r="F53" s="75">
        <f t="shared" ref="F53:M53" si="8">+E53</f>
        <v>0.04</v>
      </c>
      <c r="G53" s="75">
        <f t="shared" si="8"/>
        <v>0.04</v>
      </c>
      <c r="H53" s="75">
        <f t="shared" si="8"/>
        <v>0.04</v>
      </c>
      <c r="I53" s="75">
        <f t="shared" si="8"/>
        <v>0.04</v>
      </c>
      <c r="J53" s="75">
        <f t="shared" si="8"/>
        <v>0.04</v>
      </c>
      <c r="K53" s="75">
        <f t="shared" si="8"/>
        <v>0.04</v>
      </c>
      <c r="L53" s="75">
        <f t="shared" si="8"/>
        <v>0.04</v>
      </c>
      <c r="M53" s="75">
        <f t="shared" si="8"/>
        <v>0.04</v>
      </c>
    </row>
    <row r="54" spans="3:13" ht="6.75" customHeight="1" x14ac:dyDescent="0.25">
      <c r="C54" s="13"/>
    </row>
    <row r="55" spans="3:13" x14ac:dyDescent="0.25">
      <c r="C55" s="50" t="s">
        <v>20</v>
      </c>
      <c r="D55" s="51">
        <f>+D50+D52</f>
        <v>31.610879999999998</v>
      </c>
      <c r="E55" s="51">
        <f t="shared" ref="E55:M55" si="9">+E50+E52</f>
        <v>94.279679999999985</v>
      </c>
      <c r="F55" s="51">
        <f t="shared" si="9"/>
        <v>104.50943999999998</v>
      </c>
      <c r="G55" s="51">
        <f t="shared" si="9"/>
        <v>0</v>
      </c>
      <c r="H55" s="51">
        <f t="shared" si="9"/>
        <v>0</v>
      </c>
      <c r="I55" s="51">
        <f t="shared" si="9"/>
        <v>0</v>
      </c>
      <c r="J55" s="51">
        <f t="shared" si="9"/>
        <v>0</v>
      </c>
      <c r="K55" s="51">
        <f t="shared" si="9"/>
        <v>0</v>
      </c>
      <c r="L55" s="51">
        <f t="shared" si="9"/>
        <v>0</v>
      </c>
      <c r="M55" s="51">
        <f t="shared" si="9"/>
        <v>0</v>
      </c>
    </row>
    <row r="56" spans="3:13" x14ac:dyDescent="0.25">
      <c r="C56" s="13"/>
    </row>
    <row r="57" spans="3:13" x14ac:dyDescent="0.25">
      <c r="C57" s="50" t="s">
        <v>21</v>
      </c>
      <c r="D57" s="51">
        <f>D58+D59</f>
        <v>-33.124799999999993</v>
      </c>
      <c r="E57" s="51">
        <f t="shared" ref="E57:M57" si="10">E58+E59</f>
        <v>-66.772799999999989</v>
      </c>
      <c r="F57" s="51">
        <f t="shared" si="10"/>
        <v>-50.102399999999989</v>
      </c>
      <c r="G57" s="51">
        <f t="shared" si="10"/>
        <v>0</v>
      </c>
      <c r="H57" s="51">
        <f t="shared" si="10"/>
        <v>0</v>
      </c>
      <c r="I57" s="51">
        <f t="shared" si="10"/>
        <v>0</v>
      </c>
      <c r="J57" s="51">
        <f t="shared" si="10"/>
        <v>0</v>
      </c>
      <c r="K57" s="51">
        <f t="shared" si="10"/>
        <v>0</v>
      </c>
      <c r="L57" s="51">
        <f t="shared" si="10"/>
        <v>0</v>
      </c>
      <c r="M57" s="51">
        <f t="shared" si="10"/>
        <v>0</v>
      </c>
    </row>
    <row r="58" spans="3:13" x14ac:dyDescent="0.25">
      <c r="C58" s="16" t="s">
        <v>22</v>
      </c>
      <c r="D58" s="55">
        <f>+D47+D48</f>
        <v>-11.524799999999997</v>
      </c>
      <c r="E58" s="55">
        <f t="shared" ref="E58:M58" si="11">+E47+E48</f>
        <v>-34.372799999999991</v>
      </c>
      <c r="F58" s="55">
        <f t="shared" si="11"/>
        <v>-38.102399999999989</v>
      </c>
      <c r="G58" s="55">
        <f t="shared" si="11"/>
        <v>0</v>
      </c>
      <c r="H58" s="55">
        <f t="shared" si="11"/>
        <v>0</v>
      </c>
      <c r="I58" s="55">
        <f t="shared" si="11"/>
        <v>0</v>
      </c>
      <c r="J58" s="55">
        <f t="shared" si="11"/>
        <v>0</v>
      </c>
      <c r="K58" s="55">
        <f t="shared" si="11"/>
        <v>0</v>
      </c>
      <c r="L58" s="55">
        <f t="shared" si="11"/>
        <v>0</v>
      </c>
      <c r="M58" s="55">
        <f t="shared" si="11"/>
        <v>0</v>
      </c>
    </row>
    <row r="59" spans="3:13" x14ac:dyDescent="0.25">
      <c r="C59" s="52" t="s">
        <v>23</v>
      </c>
      <c r="D59" s="53">
        <f>+D72</f>
        <v>-21.599999999999998</v>
      </c>
      <c r="E59" s="53">
        <f t="shared" ref="E59:M59" si="12">+E72</f>
        <v>-32.4</v>
      </c>
      <c r="F59" s="53">
        <f t="shared" si="12"/>
        <v>-12</v>
      </c>
      <c r="G59" s="53">
        <f t="shared" si="12"/>
        <v>0</v>
      </c>
      <c r="H59" s="53">
        <f t="shared" si="12"/>
        <v>0</v>
      </c>
      <c r="I59" s="53">
        <f t="shared" si="12"/>
        <v>0</v>
      </c>
      <c r="J59" s="53">
        <f t="shared" si="12"/>
        <v>0</v>
      </c>
      <c r="K59" s="53">
        <f t="shared" si="12"/>
        <v>0</v>
      </c>
      <c r="L59" s="53">
        <f t="shared" si="12"/>
        <v>0</v>
      </c>
      <c r="M59" s="53">
        <f t="shared" si="12"/>
        <v>0</v>
      </c>
    </row>
    <row r="60" spans="3:13" x14ac:dyDescent="0.25">
      <c r="C60" s="16"/>
    </row>
    <row r="61" spans="3:13" x14ac:dyDescent="0.25">
      <c r="C61" s="16"/>
      <c r="D61" s="144">
        <v>0.3</v>
      </c>
      <c r="E61" s="56" t="s">
        <v>33</v>
      </c>
    </row>
    <row r="62" spans="3:13" ht="5.25" customHeight="1" x14ac:dyDescent="0.25">
      <c r="C62" s="16"/>
    </row>
    <row r="63" spans="3:13" x14ac:dyDescent="0.25">
      <c r="C63" s="16"/>
      <c r="D63" s="5" t="s">
        <v>30</v>
      </c>
      <c r="E63" s="12" t="s">
        <v>31</v>
      </c>
    </row>
    <row r="64" spans="3:13" x14ac:dyDescent="0.25">
      <c r="D64" s="145">
        <v>0.6</v>
      </c>
      <c r="E64" s="145">
        <v>0.4</v>
      </c>
      <c r="F64" s="4" t="s">
        <v>32</v>
      </c>
    </row>
    <row r="65" spans="3:13" ht="4.5" customHeight="1" x14ac:dyDescent="0.25">
      <c r="D65" s="17"/>
      <c r="E65" s="17"/>
    </row>
    <row r="66" spans="3:13" ht="15" customHeight="1" x14ac:dyDescent="0.25">
      <c r="C66" s="4" t="s">
        <v>49</v>
      </c>
      <c r="D66" s="17"/>
      <c r="E66" s="17"/>
    </row>
    <row r="67" spans="3:13" ht="4.5" customHeight="1" x14ac:dyDescent="0.25">
      <c r="D67" s="17"/>
      <c r="E67" s="17"/>
    </row>
    <row r="68" spans="3:13" x14ac:dyDescent="0.25">
      <c r="D68" s="2" t="s">
        <v>0</v>
      </c>
      <c r="E68" s="2" t="s">
        <v>1</v>
      </c>
      <c r="F68" s="2" t="s">
        <v>2</v>
      </c>
      <c r="G68" s="2" t="s">
        <v>3</v>
      </c>
      <c r="H68" s="2" t="s">
        <v>4</v>
      </c>
      <c r="I68" s="2" t="s">
        <v>5</v>
      </c>
      <c r="J68" s="2" t="s">
        <v>6</v>
      </c>
      <c r="K68" s="2" t="s">
        <v>7</v>
      </c>
      <c r="L68" s="2" t="s">
        <v>8</v>
      </c>
      <c r="M68" s="2" t="s">
        <v>9</v>
      </c>
    </row>
    <row r="69" spans="3:13" outlineLevel="1" x14ac:dyDescent="0.25">
      <c r="C69" s="2" t="s">
        <v>71</v>
      </c>
      <c r="D69" s="106">
        <f>-$C11*$D$61*$D$64</f>
        <v>-21.599999999999998</v>
      </c>
      <c r="E69" s="106">
        <f>-$C11*$D$61*$E$64</f>
        <v>-14.4</v>
      </c>
      <c r="F69" s="107"/>
      <c r="G69" s="107"/>
      <c r="H69" s="107"/>
      <c r="I69" s="107"/>
      <c r="J69" s="107"/>
      <c r="K69" s="107"/>
      <c r="L69" s="107"/>
      <c r="M69" s="107"/>
    </row>
    <row r="70" spans="3:13" outlineLevel="1" x14ac:dyDescent="0.25">
      <c r="C70" s="86" t="s">
        <v>72</v>
      </c>
      <c r="D70" s="108"/>
      <c r="E70" s="109">
        <f>-$C12*$D$61*$D$64</f>
        <v>-18</v>
      </c>
      <c r="F70" s="109">
        <f>-$C12*$D$61*$E$64</f>
        <v>-12</v>
      </c>
      <c r="G70" s="108"/>
      <c r="H70" s="108"/>
      <c r="I70" s="108"/>
      <c r="J70" s="108"/>
      <c r="K70" s="108"/>
      <c r="L70" s="108"/>
      <c r="M70" s="108"/>
    </row>
    <row r="71" spans="3:13" outlineLevel="1" x14ac:dyDescent="0.25"/>
    <row r="72" spans="3:13" x14ac:dyDescent="0.25">
      <c r="C72" s="2" t="s">
        <v>34</v>
      </c>
      <c r="D72" s="58">
        <f t="shared" ref="D72:M72" si="13">SUM(D69:D70)</f>
        <v>-21.599999999999998</v>
      </c>
      <c r="E72" s="58">
        <f t="shared" si="13"/>
        <v>-32.4</v>
      </c>
      <c r="F72" s="58">
        <f t="shared" si="13"/>
        <v>-12</v>
      </c>
      <c r="G72" s="58">
        <f t="shared" si="13"/>
        <v>0</v>
      </c>
      <c r="H72" s="58">
        <f t="shared" si="13"/>
        <v>0</v>
      </c>
      <c r="I72" s="58">
        <f t="shared" si="13"/>
        <v>0</v>
      </c>
      <c r="J72" s="58">
        <f t="shared" si="13"/>
        <v>0</v>
      </c>
      <c r="K72" s="58">
        <f t="shared" si="13"/>
        <v>0</v>
      </c>
      <c r="L72" s="58">
        <f t="shared" si="13"/>
        <v>0</v>
      </c>
      <c r="M72" s="58">
        <f t="shared" si="13"/>
        <v>0</v>
      </c>
    </row>
    <row r="73" spans="3:13" x14ac:dyDescent="0.25"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spans="3:13" x14ac:dyDescent="0.25">
      <c r="C74" s="27" t="s">
        <v>46</v>
      </c>
      <c r="D74" s="59">
        <f>+D72*(1-$D$76)</f>
        <v>-10.799999999999999</v>
      </c>
      <c r="E74" s="59">
        <f t="shared" ref="E74:M74" si="14">+E72*(1-$D$76)</f>
        <v>-16.2</v>
      </c>
      <c r="F74" s="59">
        <f t="shared" si="14"/>
        <v>-6</v>
      </c>
      <c r="G74" s="59">
        <f t="shared" si="14"/>
        <v>0</v>
      </c>
      <c r="H74" s="59">
        <f t="shared" si="14"/>
        <v>0</v>
      </c>
      <c r="I74" s="59">
        <f t="shared" si="14"/>
        <v>0</v>
      </c>
      <c r="J74" s="59">
        <f t="shared" si="14"/>
        <v>0</v>
      </c>
      <c r="K74" s="59">
        <f t="shared" si="14"/>
        <v>0</v>
      </c>
      <c r="L74" s="59">
        <f t="shared" si="14"/>
        <v>0</v>
      </c>
      <c r="M74" s="59">
        <f t="shared" si="14"/>
        <v>0</v>
      </c>
    </row>
    <row r="76" spans="3:13" x14ac:dyDescent="0.25">
      <c r="C76" s="14" t="s">
        <v>35</v>
      </c>
      <c r="D76" s="145">
        <v>0.5</v>
      </c>
    </row>
    <row r="77" spans="3:13" x14ac:dyDescent="0.25">
      <c r="C77" s="27" t="s">
        <v>36</v>
      </c>
      <c r="D77" s="145">
        <v>0.1</v>
      </c>
      <c r="E77" t="s">
        <v>37</v>
      </c>
    </row>
    <row r="79" spans="3:13" x14ac:dyDescent="0.25">
      <c r="C79" s="23" t="s">
        <v>35</v>
      </c>
      <c r="D79" s="59">
        <f>-D72*$D$76</f>
        <v>10.799999999999999</v>
      </c>
      <c r="E79" s="59">
        <f t="shared" ref="E79:M79" si="15">-E72*$D$76</f>
        <v>16.2</v>
      </c>
      <c r="F79" s="59">
        <f t="shared" si="15"/>
        <v>6</v>
      </c>
      <c r="G79" s="59">
        <f t="shared" si="15"/>
        <v>0</v>
      </c>
      <c r="H79" s="59">
        <f t="shared" si="15"/>
        <v>0</v>
      </c>
      <c r="I79" s="59">
        <f t="shared" si="15"/>
        <v>0</v>
      </c>
      <c r="J79" s="59">
        <f t="shared" si="15"/>
        <v>0</v>
      </c>
      <c r="K79" s="59">
        <f t="shared" si="15"/>
        <v>0</v>
      </c>
      <c r="L79" s="59">
        <f t="shared" si="15"/>
        <v>0</v>
      </c>
      <c r="M79" s="59">
        <f t="shared" si="15"/>
        <v>0</v>
      </c>
    </row>
    <row r="80" spans="3:13" x14ac:dyDescent="0.25">
      <c r="C80" s="23" t="s">
        <v>38</v>
      </c>
      <c r="D80" s="59">
        <f t="shared" ref="D80" si="16">+D88</f>
        <v>0</v>
      </c>
      <c r="E80" s="59">
        <f>+E88</f>
        <v>0</v>
      </c>
      <c r="F80" s="59">
        <f>+F88</f>
        <v>-41.976000000000006</v>
      </c>
      <c r="G80" s="59">
        <f t="shared" ref="F80:M80" si="17">+G88</f>
        <v>-34.980000000000004</v>
      </c>
      <c r="H80" s="59">
        <f t="shared" si="17"/>
        <v>0</v>
      </c>
      <c r="I80" s="59">
        <f t="shared" si="17"/>
        <v>0</v>
      </c>
      <c r="J80" s="59">
        <f t="shared" si="17"/>
        <v>0</v>
      </c>
      <c r="K80" s="59">
        <f t="shared" si="17"/>
        <v>0</v>
      </c>
      <c r="L80" s="59">
        <f t="shared" si="17"/>
        <v>0</v>
      </c>
      <c r="M80" s="59">
        <f t="shared" si="17"/>
        <v>0</v>
      </c>
    </row>
    <row r="82" spans="3:15" x14ac:dyDescent="0.25">
      <c r="D82" s="26" t="s">
        <v>50</v>
      </c>
    </row>
    <row r="84" spans="3:15" x14ac:dyDescent="0.25">
      <c r="D84" s="2" t="s">
        <v>0</v>
      </c>
      <c r="E84" s="2" t="s">
        <v>1</v>
      </c>
      <c r="F84" s="2" t="s">
        <v>2</v>
      </c>
      <c r="G84" s="2" t="s">
        <v>3</v>
      </c>
      <c r="H84" s="2" t="s">
        <v>4</v>
      </c>
      <c r="I84" s="2" t="s">
        <v>5</v>
      </c>
      <c r="J84" s="2" t="s">
        <v>6</v>
      </c>
      <c r="K84" s="2" t="s">
        <v>7</v>
      </c>
      <c r="L84" s="2" t="s">
        <v>8</v>
      </c>
      <c r="M84" s="2" t="s">
        <v>9</v>
      </c>
    </row>
    <row r="85" spans="3:15" outlineLevel="1" x14ac:dyDescent="0.25">
      <c r="C85" s="2" t="s">
        <v>71</v>
      </c>
      <c r="D85" s="129"/>
      <c r="E85" s="61"/>
      <c r="F85" s="161">
        <f>(D69*(1+$D$77)^2)+(E69*(1+$D$77)^1)</f>
        <v>-41.976000000000006</v>
      </c>
      <c r="G85" s="55"/>
      <c r="H85" s="62"/>
      <c r="I85" s="62"/>
      <c r="J85" s="62"/>
      <c r="K85" s="62"/>
      <c r="L85" s="62"/>
      <c r="M85" s="62"/>
      <c r="N85" s="62"/>
      <c r="O85" s="62"/>
    </row>
    <row r="86" spans="3:15" outlineLevel="1" x14ac:dyDescent="0.25">
      <c r="C86" s="86" t="s">
        <v>72</v>
      </c>
      <c r="E86" s="129"/>
      <c r="F86" s="162"/>
      <c r="G86" s="163">
        <f>(E70*(1+$D$77)^2)+(F70*(1+$D$77)^1)</f>
        <v>-34.980000000000004</v>
      </c>
      <c r="I86" s="54"/>
      <c r="J86" s="54"/>
      <c r="K86" s="54"/>
      <c r="L86" s="54"/>
      <c r="M86" s="54"/>
      <c r="N86" s="54"/>
      <c r="O86" s="54"/>
    </row>
    <row r="87" spans="3:15" outlineLevel="1" x14ac:dyDescent="0.25"/>
    <row r="88" spans="3:15" x14ac:dyDescent="0.25">
      <c r="C88" s="2" t="s">
        <v>34</v>
      </c>
      <c r="D88" s="59">
        <f t="shared" ref="D88:M88" si="18">SUM(D85:D86)</f>
        <v>0</v>
      </c>
      <c r="E88" s="59">
        <f t="shared" si="18"/>
        <v>0</v>
      </c>
      <c r="F88" s="59">
        <f t="shared" si="18"/>
        <v>-41.976000000000006</v>
      </c>
      <c r="G88" s="59">
        <f t="shared" si="18"/>
        <v>-34.980000000000004</v>
      </c>
      <c r="H88" s="59">
        <f t="shared" si="18"/>
        <v>0</v>
      </c>
      <c r="I88" s="59">
        <f t="shared" si="18"/>
        <v>0</v>
      </c>
      <c r="J88" s="59">
        <f t="shared" si="18"/>
        <v>0</v>
      </c>
      <c r="K88" s="59">
        <f t="shared" si="18"/>
        <v>0</v>
      </c>
      <c r="L88" s="59">
        <f t="shared" si="18"/>
        <v>0</v>
      </c>
      <c r="M88" s="59">
        <f t="shared" si="18"/>
        <v>0</v>
      </c>
    </row>
    <row r="90" spans="3:15" x14ac:dyDescent="0.25">
      <c r="C90" s="50" t="s">
        <v>39</v>
      </c>
      <c r="D90" s="78">
        <f t="shared" ref="D90:M90" si="19">-D91*D50</f>
        <v>-1.3171199999999998</v>
      </c>
      <c r="E90" s="78">
        <f t="shared" si="19"/>
        <v>-3.9283199999999994</v>
      </c>
      <c r="F90" s="78">
        <f t="shared" si="19"/>
        <v>-4.3545599999999993</v>
      </c>
      <c r="G90" s="78">
        <f t="shared" si="19"/>
        <v>0</v>
      </c>
      <c r="H90" s="78">
        <f t="shared" si="19"/>
        <v>0</v>
      </c>
      <c r="I90" s="78">
        <f t="shared" si="19"/>
        <v>0</v>
      </c>
      <c r="J90" s="78">
        <f t="shared" si="19"/>
        <v>0</v>
      </c>
      <c r="K90" s="78">
        <f t="shared" si="19"/>
        <v>0</v>
      </c>
      <c r="L90" s="78">
        <f t="shared" si="19"/>
        <v>0</v>
      </c>
      <c r="M90" s="78">
        <f t="shared" si="19"/>
        <v>0</v>
      </c>
    </row>
    <row r="91" spans="3:15" x14ac:dyDescent="0.25">
      <c r="C91" s="15" t="s">
        <v>41</v>
      </c>
      <c r="D91" s="146">
        <v>0.04</v>
      </c>
      <c r="E91" s="25">
        <f>+D91</f>
        <v>0.04</v>
      </c>
      <c r="F91" s="25">
        <f t="shared" ref="F91:M91" si="20">+E91</f>
        <v>0.04</v>
      </c>
      <c r="G91" s="25">
        <f t="shared" si="20"/>
        <v>0.04</v>
      </c>
      <c r="H91" s="25">
        <f t="shared" si="20"/>
        <v>0.04</v>
      </c>
      <c r="I91" s="25">
        <f t="shared" si="20"/>
        <v>0.04</v>
      </c>
      <c r="J91" s="25">
        <f t="shared" si="20"/>
        <v>0.04</v>
      </c>
      <c r="K91" s="25">
        <f t="shared" si="20"/>
        <v>0.04</v>
      </c>
      <c r="L91" s="25">
        <f t="shared" si="20"/>
        <v>0.04</v>
      </c>
      <c r="M91" s="25">
        <f t="shared" si="20"/>
        <v>0.04</v>
      </c>
    </row>
    <row r="92" spans="3:15" x14ac:dyDescent="0.25">
      <c r="C92" s="16"/>
    </row>
    <row r="93" spans="3:15" x14ac:dyDescent="0.25">
      <c r="C93" s="65" t="s">
        <v>42</v>
      </c>
      <c r="D93" s="51">
        <f>+D55+D57+D90</f>
        <v>-2.8310399999999953</v>
      </c>
      <c r="E93" s="51">
        <f>+E55+E57+E90</f>
        <v>23.578559999999996</v>
      </c>
      <c r="F93" s="51">
        <f t="shared" ref="F93:M93" si="21">+F55+F57+F90</f>
        <v>50.052479999999996</v>
      </c>
      <c r="G93" s="51">
        <f t="shared" si="21"/>
        <v>0</v>
      </c>
      <c r="H93" s="51">
        <f t="shared" si="21"/>
        <v>0</v>
      </c>
      <c r="I93" s="51">
        <f t="shared" si="21"/>
        <v>0</v>
      </c>
      <c r="J93" s="51">
        <f t="shared" si="21"/>
        <v>0</v>
      </c>
      <c r="K93" s="51">
        <f t="shared" si="21"/>
        <v>0</v>
      </c>
      <c r="L93" s="51">
        <f t="shared" si="21"/>
        <v>0</v>
      </c>
      <c r="M93" s="51">
        <f t="shared" si="21"/>
        <v>0</v>
      </c>
    </row>
    <row r="96" spans="3:15" x14ac:dyDescent="0.25">
      <c r="C96" s="64" t="s">
        <v>35</v>
      </c>
      <c r="D96" s="66">
        <f>D97+D98</f>
        <v>10.799999999999999</v>
      </c>
      <c r="E96" s="66">
        <f t="shared" ref="E96:M96" si="22">E97+E98</f>
        <v>16.2</v>
      </c>
      <c r="F96" s="66">
        <f t="shared" si="22"/>
        <v>-35.976000000000006</v>
      </c>
      <c r="G96" s="66">
        <f t="shared" si="22"/>
        <v>-34.980000000000004</v>
      </c>
      <c r="H96" s="66">
        <f t="shared" si="22"/>
        <v>0</v>
      </c>
      <c r="I96" s="66">
        <f t="shared" si="22"/>
        <v>0</v>
      </c>
      <c r="J96" s="66">
        <f t="shared" si="22"/>
        <v>0</v>
      </c>
      <c r="K96" s="66">
        <f t="shared" si="22"/>
        <v>0</v>
      </c>
      <c r="L96" s="66">
        <f t="shared" si="22"/>
        <v>0</v>
      </c>
      <c r="M96" s="66">
        <f t="shared" si="22"/>
        <v>0</v>
      </c>
    </row>
    <row r="97" spans="3:13" x14ac:dyDescent="0.25">
      <c r="C97" s="22" t="s">
        <v>43</v>
      </c>
      <c r="D97" s="9">
        <f>+D79</f>
        <v>10.799999999999999</v>
      </c>
      <c r="E97" s="9">
        <f t="shared" ref="E97:M97" si="23">+E79</f>
        <v>16.2</v>
      </c>
      <c r="F97" s="9">
        <f t="shared" si="23"/>
        <v>6</v>
      </c>
      <c r="G97" s="9">
        <f t="shared" si="23"/>
        <v>0</v>
      </c>
      <c r="H97" s="9">
        <f t="shared" si="23"/>
        <v>0</v>
      </c>
      <c r="I97" s="9">
        <f t="shared" si="23"/>
        <v>0</v>
      </c>
      <c r="J97" s="9">
        <f t="shared" si="23"/>
        <v>0</v>
      </c>
      <c r="K97" s="9">
        <f t="shared" si="23"/>
        <v>0</v>
      </c>
      <c r="L97" s="9">
        <f t="shared" si="23"/>
        <v>0</v>
      </c>
      <c r="M97" s="9">
        <f t="shared" si="23"/>
        <v>0</v>
      </c>
    </row>
    <row r="98" spans="3:13" x14ac:dyDescent="0.25">
      <c r="C98" s="22" t="s">
        <v>44</v>
      </c>
      <c r="D98" s="9">
        <f>+D80</f>
        <v>0</v>
      </c>
      <c r="E98" s="9">
        <f t="shared" ref="E98:M98" si="24">+E80</f>
        <v>0</v>
      </c>
      <c r="F98" s="9">
        <f t="shared" si="24"/>
        <v>-41.976000000000006</v>
      </c>
      <c r="G98" s="9">
        <f t="shared" si="24"/>
        <v>-34.980000000000004</v>
      </c>
      <c r="H98" s="9">
        <f t="shared" si="24"/>
        <v>0</v>
      </c>
      <c r="I98" s="9">
        <f t="shared" si="24"/>
        <v>0</v>
      </c>
      <c r="J98" s="9">
        <f t="shared" si="24"/>
        <v>0</v>
      </c>
      <c r="K98" s="9">
        <f t="shared" si="24"/>
        <v>0</v>
      </c>
      <c r="L98" s="9">
        <f t="shared" si="24"/>
        <v>0</v>
      </c>
      <c r="M98" s="9">
        <f t="shared" si="24"/>
        <v>0</v>
      </c>
    </row>
    <row r="100" spans="3:13" x14ac:dyDescent="0.25">
      <c r="C100" s="64" t="s">
        <v>45</v>
      </c>
      <c r="D100" s="67">
        <f>+D93+D96</f>
        <v>7.9689600000000036</v>
      </c>
      <c r="E100" s="67">
        <f t="shared" ref="E100:M100" si="25">+E93+E96</f>
        <v>39.778559999999999</v>
      </c>
      <c r="F100" s="67">
        <f t="shared" si="25"/>
        <v>14.076479999999989</v>
      </c>
      <c r="G100" s="67">
        <f t="shared" si="25"/>
        <v>-34.980000000000004</v>
      </c>
      <c r="H100" s="67">
        <f t="shared" si="25"/>
        <v>0</v>
      </c>
      <c r="I100" s="67">
        <f t="shared" si="25"/>
        <v>0</v>
      </c>
      <c r="J100" s="67">
        <f t="shared" si="25"/>
        <v>0</v>
      </c>
      <c r="K100" s="67">
        <f t="shared" si="25"/>
        <v>0</v>
      </c>
      <c r="L100" s="67">
        <f t="shared" si="25"/>
        <v>0</v>
      </c>
      <c r="M100" s="67">
        <f t="shared" si="25"/>
        <v>0</v>
      </c>
    </row>
  </sheetData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80"/>
  <sheetViews>
    <sheetView showGridLines="0" topLeftCell="A43" workbookViewId="0">
      <selection activeCell="O9" sqref="O9"/>
    </sheetView>
  </sheetViews>
  <sheetFormatPr defaultColWidth="8.85546875" defaultRowHeight="15" x14ac:dyDescent="0.25"/>
  <cols>
    <col min="1" max="1" width="0.85546875" customWidth="1"/>
    <col min="2" max="2" width="10.42578125" customWidth="1"/>
    <col min="3" max="3" width="14.42578125" customWidth="1"/>
    <col min="4" max="4" width="12.140625" bestFit="1" customWidth="1"/>
    <col min="5" max="13" width="10.42578125" bestFit="1" customWidth="1"/>
  </cols>
  <sheetData>
    <row r="2" spans="2:13" x14ac:dyDescent="0.25">
      <c r="B2" s="1" t="s">
        <v>120</v>
      </c>
    </row>
    <row r="3" spans="2:13" x14ac:dyDescent="0.25">
      <c r="B3" s="4" t="s">
        <v>10</v>
      </c>
    </row>
    <row r="5" spans="2:13" x14ac:dyDescent="0.25">
      <c r="D5" s="2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  <c r="J5" s="2" t="s">
        <v>6</v>
      </c>
      <c r="K5" s="2" t="s">
        <v>7</v>
      </c>
      <c r="L5" s="2" t="s">
        <v>8</v>
      </c>
      <c r="M5" s="2" t="s">
        <v>9</v>
      </c>
    </row>
    <row r="6" spans="2:13" x14ac:dyDescent="0.25">
      <c r="B6" s="28"/>
      <c r="C6" s="112" t="s">
        <v>76</v>
      </c>
      <c r="D6" s="152">
        <v>1</v>
      </c>
      <c r="E6" s="152">
        <v>1</v>
      </c>
      <c r="F6" s="152">
        <v>1</v>
      </c>
      <c r="G6" s="152">
        <v>1</v>
      </c>
      <c r="H6" s="152">
        <v>1</v>
      </c>
      <c r="I6" s="152">
        <v>1</v>
      </c>
      <c r="J6" s="152">
        <v>1</v>
      </c>
      <c r="K6" s="152">
        <v>1</v>
      </c>
      <c r="L6" s="152">
        <v>1</v>
      </c>
      <c r="M6" s="152">
        <v>1</v>
      </c>
    </row>
    <row r="7" spans="2:13" x14ac:dyDescent="0.25">
      <c r="C7" s="22" t="s">
        <v>77</v>
      </c>
      <c r="D7" s="160">
        <v>1</v>
      </c>
      <c r="E7" s="160">
        <v>1</v>
      </c>
      <c r="F7" s="160">
        <v>1</v>
      </c>
      <c r="G7" s="160">
        <v>1</v>
      </c>
      <c r="H7" s="160">
        <v>1</v>
      </c>
      <c r="I7" s="160">
        <v>1</v>
      </c>
      <c r="J7" s="160">
        <v>1</v>
      </c>
      <c r="K7" s="160">
        <v>1</v>
      </c>
      <c r="L7" s="160">
        <v>1</v>
      </c>
      <c r="M7" s="160">
        <v>1</v>
      </c>
    </row>
    <row r="8" spans="2:13" x14ac:dyDescent="0.25">
      <c r="C8" s="22" t="s">
        <v>78</v>
      </c>
      <c r="D8" s="160">
        <v>1</v>
      </c>
      <c r="E8" s="160">
        <v>1</v>
      </c>
      <c r="F8" s="160">
        <v>1</v>
      </c>
      <c r="G8" s="160">
        <v>1</v>
      </c>
      <c r="H8" s="160">
        <v>1</v>
      </c>
      <c r="I8" s="160">
        <v>1</v>
      </c>
      <c r="J8" s="160">
        <v>1</v>
      </c>
      <c r="K8" s="160">
        <v>1</v>
      </c>
      <c r="L8" s="160">
        <v>1</v>
      </c>
      <c r="M8" s="160">
        <v>1</v>
      </c>
    </row>
    <row r="9" spans="2:13" x14ac:dyDescent="0.25">
      <c r="C9" s="22" t="s">
        <v>79</v>
      </c>
      <c r="D9" s="160">
        <v>1</v>
      </c>
      <c r="E9" s="160">
        <v>1</v>
      </c>
      <c r="F9" s="160">
        <v>1</v>
      </c>
      <c r="G9" s="160">
        <v>1</v>
      </c>
      <c r="H9" s="160">
        <v>1</v>
      </c>
      <c r="I9" s="160">
        <v>1</v>
      </c>
      <c r="J9" s="160">
        <v>1</v>
      </c>
      <c r="K9" s="160">
        <v>1</v>
      </c>
      <c r="L9" s="160">
        <v>1</v>
      </c>
      <c r="M9" s="160">
        <v>1</v>
      </c>
    </row>
    <row r="10" spans="2:13" x14ac:dyDescent="0.25">
      <c r="C10" s="22" t="s">
        <v>80</v>
      </c>
      <c r="D10" s="153">
        <v>1</v>
      </c>
      <c r="E10" s="153">
        <v>1</v>
      </c>
      <c r="F10" s="153">
        <v>1</v>
      </c>
      <c r="G10" s="153">
        <v>1</v>
      </c>
      <c r="H10" s="153">
        <v>1</v>
      </c>
      <c r="I10" s="153">
        <v>1</v>
      </c>
      <c r="J10" s="153">
        <v>1</v>
      </c>
      <c r="K10" s="153">
        <v>1</v>
      </c>
      <c r="L10" s="153">
        <v>1</v>
      </c>
      <c r="M10" s="153">
        <v>1</v>
      </c>
    </row>
    <row r="11" spans="2:13" x14ac:dyDescent="0.25">
      <c r="C11" s="22" t="s">
        <v>81</v>
      </c>
      <c r="D11" s="153">
        <v>1</v>
      </c>
      <c r="E11" s="153">
        <v>1</v>
      </c>
      <c r="F11" s="153">
        <v>1</v>
      </c>
      <c r="G11" s="153">
        <v>1</v>
      </c>
      <c r="H11" s="153">
        <v>1</v>
      </c>
      <c r="I11" s="153">
        <v>1</v>
      </c>
      <c r="J11" s="153">
        <v>1</v>
      </c>
      <c r="K11" s="153">
        <v>1</v>
      </c>
      <c r="L11" s="153">
        <v>1</v>
      </c>
      <c r="M11" s="153">
        <v>1</v>
      </c>
    </row>
    <row r="12" spans="2:13" x14ac:dyDescent="0.25">
      <c r="C12" s="22" t="s">
        <v>82</v>
      </c>
      <c r="D12" s="153">
        <v>1</v>
      </c>
      <c r="E12" s="153">
        <v>1</v>
      </c>
      <c r="F12" s="153">
        <v>1</v>
      </c>
      <c r="G12" s="153">
        <v>1</v>
      </c>
      <c r="H12" s="153">
        <v>1</v>
      </c>
      <c r="I12" s="153">
        <v>1</v>
      </c>
      <c r="J12" s="153">
        <v>1</v>
      </c>
      <c r="K12" s="153">
        <v>1</v>
      </c>
      <c r="L12" s="153">
        <v>1</v>
      </c>
      <c r="M12" s="153">
        <v>1</v>
      </c>
    </row>
    <row r="13" spans="2:13" x14ac:dyDescent="0.25">
      <c r="C13" s="22" t="s">
        <v>83</v>
      </c>
      <c r="D13" s="153"/>
      <c r="E13" s="153"/>
      <c r="F13" s="153"/>
      <c r="G13" s="153"/>
      <c r="H13" s="153"/>
      <c r="I13" s="153"/>
      <c r="J13" s="153"/>
      <c r="K13" s="153"/>
      <c r="L13" s="153"/>
      <c r="M13" s="153"/>
    </row>
    <row r="14" spans="2:13" x14ac:dyDescent="0.25">
      <c r="C14" s="26" t="s">
        <v>84</v>
      </c>
      <c r="D14" s="153"/>
      <c r="E14" s="153"/>
      <c r="F14" s="153"/>
      <c r="G14" s="153"/>
      <c r="H14" s="153"/>
      <c r="I14" s="153"/>
      <c r="J14" s="153"/>
      <c r="K14" s="153"/>
      <c r="L14" s="153"/>
      <c r="M14" s="153"/>
    </row>
    <row r="15" spans="2:13" x14ac:dyDescent="0.25">
      <c r="C15" s="26" t="s">
        <v>84</v>
      </c>
      <c r="D15" s="153"/>
      <c r="E15" s="153"/>
      <c r="F15" s="153"/>
      <c r="G15" s="153"/>
      <c r="H15" s="153"/>
      <c r="I15" s="153"/>
      <c r="J15" s="153"/>
      <c r="K15" s="153"/>
      <c r="L15" s="153"/>
      <c r="M15" s="153"/>
    </row>
    <row r="16" spans="2:13" x14ac:dyDescent="0.25">
      <c r="C16" s="26" t="s">
        <v>84</v>
      </c>
      <c r="D16" s="153"/>
      <c r="E16" s="153"/>
      <c r="F16" s="153"/>
      <c r="G16" s="153"/>
      <c r="H16" s="153"/>
      <c r="I16" s="153"/>
      <c r="J16" s="153"/>
      <c r="K16" s="153"/>
      <c r="L16" s="153"/>
      <c r="M16" s="153"/>
    </row>
    <row r="17" spans="2:13" x14ac:dyDescent="0.25">
      <c r="C17" s="26" t="s">
        <v>84</v>
      </c>
      <c r="D17" s="153"/>
      <c r="E17" s="153"/>
      <c r="F17" s="153"/>
      <c r="G17" s="153"/>
      <c r="H17" s="153"/>
      <c r="I17" s="153"/>
      <c r="J17" s="153"/>
      <c r="K17" s="153"/>
      <c r="L17" s="153"/>
      <c r="M17" s="153"/>
    </row>
    <row r="18" spans="2:13" x14ac:dyDescent="0.25">
      <c r="C18" s="26" t="s">
        <v>84</v>
      </c>
      <c r="D18" s="153"/>
      <c r="E18" s="153"/>
      <c r="F18" s="153"/>
      <c r="G18" s="153"/>
      <c r="H18" s="153"/>
      <c r="I18" s="153"/>
      <c r="J18" s="153"/>
      <c r="K18" s="153"/>
      <c r="L18" s="153"/>
      <c r="M18" s="153"/>
    </row>
    <row r="19" spans="2:13" x14ac:dyDescent="0.25">
      <c r="C19" s="26" t="s">
        <v>84</v>
      </c>
      <c r="D19" s="153"/>
      <c r="E19" s="153"/>
      <c r="F19" s="153"/>
      <c r="G19" s="153"/>
      <c r="H19" s="153"/>
      <c r="I19" s="153"/>
      <c r="J19" s="153"/>
      <c r="K19" s="153"/>
      <c r="L19" s="153"/>
      <c r="M19" s="153"/>
    </row>
    <row r="20" spans="2:13" x14ac:dyDescent="0.25">
      <c r="B20" s="29"/>
      <c r="C20" s="113" t="s">
        <v>84</v>
      </c>
      <c r="D20" s="154"/>
      <c r="E20" s="154"/>
      <c r="F20" s="154"/>
      <c r="G20" s="154"/>
      <c r="H20" s="154"/>
      <c r="I20" s="154"/>
      <c r="J20" s="154"/>
      <c r="K20" s="154"/>
      <c r="L20" s="154"/>
      <c r="M20" s="154"/>
    </row>
    <row r="23" spans="2:13" x14ac:dyDescent="0.25">
      <c r="B23" s="114"/>
      <c r="C23" s="110" t="s">
        <v>85</v>
      </c>
      <c r="D23" s="114"/>
      <c r="E23" s="156">
        <v>0.01</v>
      </c>
      <c r="F23" s="156">
        <f t="shared" ref="F23:M23" si="0">E23</f>
        <v>0.01</v>
      </c>
      <c r="G23" s="156">
        <f t="shared" si="0"/>
        <v>0.01</v>
      </c>
      <c r="H23" s="156">
        <f t="shared" si="0"/>
        <v>0.01</v>
      </c>
      <c r="I23" s="156">
        <f t="shared" si="0"/>
        <v>0.01</v>
      </c>
      <c r="J23" s="156">
        <f t="shared" si="0"/>
        <v>0.01</v>
      </c>
      <c r="K23" s="156">
        <f t="shared" si="0"/>
        <v>0.01</v>
      </c>
      <c r="L23" s="156">
        <f t="shared" si="0"/>
        <v>0.01</v>
      </c>
      <c r="M23" s="156">
        <f t="shared" si="0"/>
        <v>0.01</v>
      </c>
    </row>
    <row r="24" spans="2:13" x14ac:dyDescent="0.25"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</row>
    <row r="25" spans="2:13" x14ac:dyDescent="0.25">
      <c r="D25" s="27" t="s">
        <v>109</v>
      </c>
    </row>
    <row r="26" spans="2:13" x14ac:dyDescent="0.25">
      <c r="B26" s="28"/>
      <c r="C26" s="28"/>
      <c r="D26" s="86" t="s">
        <v>0</v>
      </c>
      <c r="E26" s="86" t="s">
        <v>1</v>
      </c>
      <c r="F26" s="86" t="s">
        <v>2</v>
      </c>
      <c r="G26" s="86" t="s">
        <v>3</v>
      </c>
      <c r="H26" s="86" t="s">
        <v>4</v>
      </c>
      <c r="I26" s="86" t="s">
        <v>5</v>
      </c>
      <c r="J26" s="86" t="s">
        <v>6</v>
      </c>
      <c r="K26" s="86" t="s">
        <v>7</v>
      </c>
      <c r="L26" s="86" t="s">
        <v>8</v>
      </c>
      <c r="M26" s="86" t="s">
        <v>9</v>
      </c>
    </row>
    <row r="27" spans="2:13" x14ac:dyDescent="0.25">
      <c r="C27" s="22" t="s">
        <v>76</v>
      </c>
      <c r="D27" s="155">
        <v>35000</v>
      </c>
      <c r="E27" s="115">
        <f>D27*(1+E$23)</f>
        <v>35350</v>
      </c>
      <c r="F27" s="115">
        <f t="shared" ref="F27:M27" si="1">E27*(1+F$23)</f>
        <v>35703.5</v>
      </c>
      <c r="G27" s="115">
        <f t="shared" si="1"/>
        <v>36060.535000000003</v>
      </c>
      <c r="H27" s="115">
        <f t="shared" si="1"/>
        <v>36421.140350000001</v>
      </c>
      <c r="I27" s="115">
        <f t="shared" si="1"/>
        <v>36785.351753499999</v>
      </c>
      <c r="J27" s="115">
        <f t="shared" si="1"/>
        <v>37153.205271034996</v>
      </c>
      <c r="K27" s="115">
        <f t="shared" si="1"/>
        <v>37524.737323745343</v>
      </c>
      <c r="L27" s="115">
        <f t="shared" si="1"/>
        <v>37899.9846969828</v>
      </c>
      <c r="M27" s="115">
        <f t="shared" si="1"/>
        <v>38278.984543952625</v>
      </c>
    </row>
    <row r="28" spans="2:13" x14ac:dyDescent="0.25">
      <c r="C28" s="22" t="s">
        <v>77</v>
      </c>
      <c r="D28" s="155">
        <v>25000</v>
      </c>
      <c r="E28" s="115">
        <f t="shared" ref="E28:M28" si="2">D28*(1+E$23)</f>
        <v>25250</v>
      </c>
      <c r="F28" s="115">
        <f t="shared" si="2"/>
        <v>25502.5</v>
      </c>
      <c r="G28" s="115">
        <f t="shared" si="2"/>
        <v>25757.525000000001</v>
      </c>
      <c r="H28" s="115">
        <f t="shared" si="2"/>
        <v>26015.100250000003</v>
      </c>
      <c r="I28" s="115">
        <f t="shared" si="2"/>
        <v>26275.251252500002</v>
      </c>
      <c r="J28" s="115">
        <f t="shared" si="2"/>
        <v>26538.003765025001</v>
      </c>
      <c r="K28" s="115">
        <f t="shared" si="2"/>
        <v>26803.383802675253</v>
      </c>
      <c r="L28" s="115">
        <f t="shared" si="2"/>
        <v>27071.417640702006</v>
      </c>
      <c r="M28" s="115">
        <f t="shared" si="2"/>
        <v>27342.131817109028</v>
      </c>
    </row>
    <row r="29" spans="2:13" x14ac:dyDescent="0.25">
      <c r="C29" s="22" t="s">
        <v>78</v>
      </c>
      <c r="D29" s="155">
        <v>25000</v>
      </c>
      <c r="E29" s="115">
        <f t="shared" ref="E29:M29" si="3">D29*(1+E$23)</f>
        <v>25250</v>
      </c>
      <c r="F29" s="115">
        <f t="shared" si="3"/>
        <v>25502.5</v>
      </c>
      <c r="G29" s="115">
        <f t="shared" si="3"/>
        <v>25757.525000000001</v>
      </c>
      <c r="H29" s="115">
        <f t="shared" si="3"/>
        <v>26015.100250000003</v>
      </c>
      <c r="I29" s="115">
        <f t="shared" si="3"/>
        <v>26275.251252500002</v>
      </c>
      <c r="J29" s="115">
        <f t="shared" si="3"/>
        <v>26538.003765025001</v>
      </c>
      <c r="K29" s="115">
        <f t="shared" si="3"/>
        <v>26803.383802675253</v>
      </c>
      <c r="L29" s="115">
        <f t="shared" si="3"/>
        <v>27071.417640702006</v>
      </c>
      <c r="M29" s="115">
        <f t="shared" si="3"/>
        <v>27342.131817109028</v>
      </c>
    </row>
    <row r="30" spans="2:13" x14ac:dyDescent="0.25">
      <c r="C30" s="22" t="s">
        <v>79</v>
      </c>
      <c r="D30" s="155">
        <v>25000</v>
      </c>
      <c r="E30" s="115">
        <f t="shared" ref="E30:M30" si="4">D30*(1+E$23)</f>
        <v>25250</v>
      </c>
      <c r="F30" s="115">
        <f t="shared" si="4"/>
        <v>25502.5</v>
      </c>
      <c r="G30" s="115">
        <f t="shared" si="4"/>
        <v>25757.525000000001</v>
      </c>
      <c r="H30" s="115">
        <f t="shared" si="4"/>
        <v>26015.100250000003</v>
      </c>
      <c r="I30" s="115">
        <f t="shared" si="4"/>
        <v>26275.251252500002</v>
      </c>
      <c r="J30" s="115">
        <f t="shared" si="4"/>
        <v>26538.003765025001</v>
      </c>
      <c r="K30" s="115">
        <f t="shared" si="4"/>
        <v>26803.383802675253</v>
      </c>
      <c r="L30" s="115">
        <f t="shared" si="4"/>
        <v>27071.417640702006</v>
      </c>
      <c r="M30" s="115">
        <f t="shared" si="4"/>
        <v>27342.131817109028</v>
      </c>
    </row>
    <row r="31" spans="2:13" x14ac:dyDescent="0.25">
      <c r="C31" s="22" t="s">
        <v>80</v>
      </c>
      <c r="D31" s="155">
        <v>15000</v>
      </c>
      <c r="E31" s="115">
        <f t="shared" ref="E31:M31" si="5">D31*(1+E$23)</f>
        <v>15150</v>
      </c>
      <c r="F31" s="115">
        <f t="shared" si="5"/>
        <v>15301.5</v>
      </c>
      <c r="G31" s="115">
        <f t="shared" si="5"/>
        <v>15454.514999999999</v>
      </c>
      <c r="H31" s="115">
        <f t="shared" si="5"/>
        <v>15609.060149999999</v>
      </c>
      <c r="I31" s="115">
        <f t="shared" si="5"/>
        <v>15765.150751499999</v>
      </c>
      <c r="J31" s="115">
        <f t="shared" si="5"/>
        <v>15922.802259014999</v>
      </c>
      <c r="K31" s="115">
        <f t="shared" si="5"/>
        <v>16082.03028160515</v>
      </c>
      <c r="L31" s="115">
        <f t="shared" si="5"/>
        <v>16242.850584421201</v>
      </c>
      <c r="M31" s="115">
        <f t="shared" si="5"/>
        <v>16405.279090265412</v>
      </c>
    </row>
    <row r="32" spans="2:13" x14ac:dyDescent="0.25">
      <c r="C32" s="22" t="s">
        <v>81</v>
      </c>
      <c r="D32" s="155">
        <v>15000</v>
      </c>
      <c r="E32" s="115">
        <f t="shared" ref="E32:M32" si="6">D32*(1+E$23)</f>
        <v>15150</v>
      </c>
      <c r="F32" s="115">
        <f t="shared" si="6"/>
        <v>15301.5</v>
      </c>
      <c r="G32" s="115">
        <f t="shared" si="6"/>
        <v>15454.514999999999</v>
      </c>
      <c r="H32" s="115">
        <f t="shared" si="6"/>
        <v>15609.060149999999</v>
      </c>
      <c r="I32" s="115">
        <f t="shared" si="6"/>
        <v>15765.150751499999</v>
      </c>
      <c r="J32" s="115">
        <f t="shared" si="6"/>
        <v>15922.802259014999</v>
      </c>
      <c r="K32" s="115">
        <f t="shared" si="6"/>
        <v>16082.03028160515</v>
      </c>
      <c r="L32" s="115">
        <f t="shared" si="6"/>
        <v>16242.850584421201</v>
      </c>
      <c r="M32" s="115">
        <f t="shared" si="6"/>
        <v>16405.279090265412</v>
      </c>
    </row>
    <row r="33" spans="2:13" x14ac:dyDescent="0.25">
      <c r="C33" s="22" t="s">
        <v>82</v>
      </c>
      <c r="D33" s="155">
        <v>15000</v>
      </c>
      <c r="E33" s="115">
        <f t="shared" ref="E33:M33" si="7">D33*(1+E$23)</f>
        <v>15150</v>
      </c>
      <c r="F33" s="115">
        <f t="shared" si="7"/>
        <v>15301.5</v>
      </c>
      <c r="G33" s="115">
        <f t="shared" si="7"/>
        <v>15454.514999999999</v>
      </c>
      <c r="H33" s="115">
        <f t="shared" si="7"/>
        <v>15609.060149999999</v>
      </c>
      <c r="I33" s="115">
        <f t="shared" si="7"/>
        <v>15765.150751499999</v>
      </c>
      <c r="J33" s="115">
        <f t="shared" si="7"/>
        <v>15922.802259014999</v>
      </c>
      <c r="K33" s="115">
        <f t="shared" si="7"/>
        <v>16082.03028160515</v>
      </c>
      <c r="L33" s="115">
        <f t="shared" si="7"/>
        <v>16242.850584421201</v>
      </c>
      <c r="M33" s="115">
        <f t="shared" si="7"/>
        <v>16405.279090265412</v>
      </c>
    </row>
    <row r="34" spans="2:13" x14ac:dyDescent="0.25">
      <c r="C34" s="22" t="s">
        <v>83</v>
      </c>
      <c r="D34" s="153"/>
      <c r="E34" s="115">
        <f t="shared" ref="E34:M34" si="8">D34*(1+E$23)</f>
        <v>0</v>
      </c>
      <c r="F34" s="115">
        <f t="shared" si="8"/>
        <v>0</v>
      </c>
      <c r="G34" s="115">
        <f t="shared" si="8"/>
        <v>0</v>
      </c>
      <c r="H34" s="115">
        <f t="shared" si="8"/>
        <v>0</v>
      </c>
      <c r="I34" s="115">
        <f t="shared" si="8"/>
        <v>0</v>
      </c>
      <c r="J34" s="115">
        <f t="shared" si="8"/>
        <v>0</v>
      </c>
      <c r="K34" s="115">
        <f t="shared" si="8"/>
        <v>0</v>
      </c>
      <c r="L34" s="115">
        <f t="shared" si="8"/>
        <v>0</v>
      </c>
      <c r="M34" s="115">
        <f t="shared" si="8"/>
        <v>0</v>
      </c>
    </row>
    <row r="35" spans="2:13" x14ac:dyDescent="0.25">
      <c r="C35" s="26" t="s">
        <v>84</v>
      </c>
      <c r="D35" s="153"/>
      <c r="E35" s="115">
        <f t="shared" ref="E35:M35" si="9">D35*(1+E$23)</f>
        <v>0</v>
      </c>
      <c r="F35" s="115">
        <f t="shared" si="9"/>
        <v>0</v>
      </c>
      <c r="G35" s="115">
        <f t="shared" si="9"/>
        <v>0</v>
      </c>
      <c r="H35" s="115">
        <f t="shared" si="9"/>
        <v>0</v>
      </c>
      <c r="I35" s="115">
        <f t="shared" si="9"/>
        <v>0</v>
      </c>
      <c r="J35" s="115">
        <f t="shared" si="9"/>
        <v>0</v>
      </c>
      <c r="K35" s="115">
        <f t="shared" si="9"/>
        <v>0</v>
      </c>
      <c r="L35" s="115">
        <f t="shared" si="9"/>
        <v>0</v>
      </c>
      <c r="M35" s="115">
        <f t="shared" si="9"/>
        <v>0</v>
      </c>
    </row>
    <row r="36" spans="2:13" x14ac:dyDescent="0.25">
      <c r="C36" s="26" t="s">
        <v>84</v>
      </c>
      <c r="D36" s="153"/>
      <c r="E36" s="115">
        <f t="shared" ref="E36:M36" si="10">D36*(1+E$23)</f>
        <v>0</v>
      </c>
      <c r="F36" s="115">
        <f t="shared" si="10"/>
        <v>0</v>
      </c>
      <c r="G36" s="115">
        <f t="shared" si="10"/>
        <v>0</v>
      </c>
      <c r="H36" s="115">
        <f t="shared" si="10"/>
        <v>0</v>
      </c>
      <c r="I36" s="115">
        <f t="shared" si="10"/>
        <v>0</v>
      </c>
      <c r="J36" s="115">
        <f t="shared" si="10"/>
        <v>0</v>
      </c>
      <c r="K36" s="115">
        <f t="shared" si="10"/>
        <v>0</v>
      </c>
      <c r="L36" s="115">
        <f t="shared" si="10"/>
        <v>0</v>
      </c>
      <c r="M36" s="115">
        <f t="shared" si="10"/>
        <v>0</v>
      </c>
    </row>
    <row r="37" spans="2:13" x14ac:dyDescent="0.25">
      <c r="C37" s="26" t="s">
        <v>84</v>
      </c>
      <c r="D37" s="153"/>
      <c r="E37" s="115">
        <f t="shared" ref="E37:M37" si="11">D37*(1+E$23)</f>
        <v>0</v>
      </c>
      <c r="F37" s="115">
        <f t="shared" si="11"/>
        <v>0</v>
      </c>
      <c r="G37" s="115">
        <f t="shared" si="11"/>
        <v>0</v>
      </c>
      <c r="H37" s="115">
        <f t="shared" si="11"/>
        <v>0</v>
      </c>
      <c r="I37" s="115">
        <f t="shared" si="11"/>
        <v>0</v>
      </c>
      <c r="J37" s="115">
        <f t="shared" si="11"/>
        <v>0</v>
      </c>
      <c r="K37" s="115">
        <f t="shared" si="11"/>
        <v>0</v>
      </c>
      <c r="L37" s="115">
        <f t="shared" si="11"/>
        <v>0</v>
      </c>
      <c r="M37" s="115">
        <f t="shared" si="11"/>
        <v>0</v>
      </c>
    </row>
    <row r="38" spans="2:13" x14ac:dyDescent="0.25">
      <c r="C38" s="26" t="s">
        <v>84</v>
      </c>
      <c r="D38" s="153"/>
      <c r="E38" s="115">
        <f t="shared" ref="E38:M38" si="12">D38*(1+E$23)</f>
        <v>0</v>
      </c>
      <c r="F38" s="115">
        <f t="shared" si="12"/>
        <v>0</v>
      </c>
      <c r="G38" s="115">
        <f t="shared" si="12"/>
        <v>0</v>
      </c>
      <c r="H38" s="115">
        <f t="shared" si="12"/>
        <v>0</v>
      </c>
      <c r="I38" s="115">
        <f t="shared" si="12"/>
        <v>0</v>
      </c>
      <c r="J38" s="115">
        <f t="shared" si="12"/>
        <v>0</v>
      </c>
      <c r="K38" s="115">
        <f t="shared" si="12"/>
        <v>0</v>
      </c>
      <c r="L38" s="115">
        <f t="shared" si="12"/>
        <v>0</v>
      </c>
      <c r="M38" s="115">
        <f t="shared" si="12"/>
        <v>0</v>
      </c>
    </row>
    <row r="39" spans="2:13" x14ac:dyDescent="0.25">
      <c r="C39" s="26" t="s">
        <v>84</v>
      </c>
      <c r="D39" s="153"/>
      <c r="E39" s="115">
        <f t="shared" ref="E39:M39" si="13">D39*(1+E$23)</f>
        <v>0</v>
      </c>
      <c r="F39" s="115">
        <f t="shared" si="13"/>
        <v>0</v>
      </c>
      <c r="G39" s="115">
        <f t="shared" si="13"/>
        <v>0</v>
      </c>
      <c r="H39" s="115">
        <f t="shared" si="13"/>
        <v>0</v>
      </c>
      <c r="I39" s="115">
        <f t="shared" si="13"/>
        <v>0</v>
      </c>
      <c r="J39" s="115">
        <f t="shared" si="13"/>
        <v>0</v>
      </c>
      <c r="K39" s="115">
        <f t="shared" si="13"/>
        <v>0</v>
      </c>
      <c r="L39" s="115">
        <f t="shared" si="13"/>
        <v>0</v>
      </c>
      <c r="M39" s="115">
        <f t="shared" si="13"/>
        <v>0</v>
      </c>
    </row>
    <row r="40" spans="2:13" x14ac:dyDescent="0.25">
      <c r="C40" s="26" t="s">
        <v>84</v>
      </c>
      <c r="D40" s="153"/>
      <c r="E40" s="115">
        <f t="shared" ref="E40:M40" si="14">D40*(1+E$23)</f>
        <v>0</v>
      </c>
      <c r="F40" s="115">
        <f t="shared" si="14"/>
        <v>0</v>
      </c>
      <c r="G40" s="115">
        <f t="shared" si="14"/>
        <v>0</v>
      </c>
      <c r="H40" s="115">
        <f t="shared" si="14"/>
        <v>0</v>
      </c>
      <c r="I40" s="115">
        <f t="shared" si="14"/>
        <v>0</v>
      </c>
      <c r="J40" s="115">
        <f t="shared" si="14"/>
        <v>0</v>
      </c>
      <c r="K40" s="115">
        <f t="shared" si="14"/>
        <v>0</v>
      </c>
      <c r="L40" s="115">
        <f t="shared" si="14"/>
        <v>0</v>
      </c>
      <c r="M40" s="115">
        <f t="shared" si="14"/>
        <v>0</v>
      </c>
    </row>
    <row r="41" spans="2:13" x14ac:dyDescent="0.25">
      <c r="B41" s="29"/>
      <c r="C41" s="113" t="s">
        <v>84</v>
      </c>
      <c r="D41" s="154"/>
      <c r="E41" s="116">
        <f t="shared" ref="E41:M41" si="15">D41*(1+E$23)</f>
        <v>0</v>
      </c>
      <c r="F41" s="116">
        <f t="shared" si="15"/>
        <v>0</v>
      </c>
      <c r="G41" s="116">
        <f t="shared" si="15"/>
        <v>0</v>
      </c>
      <c r="H41" s="116">
        <f t="shared" si="15"/>
        <v>0</v>
      </c>
      <c r="I41" s="116">
        <f t="shared" si="15"/>
        <v>0</v>
      </c>
      <c r="J41" s="116">
        <f t="shared" si="15"/>
        <v>0</v>
      </c>
      <c r="K41" s="116">
        <f t="shared" si="15"/>
        <v>0</v>
      </c>
      <c r="L41" s="116">
        <f t="shared" si="15"/>
        <v>0</v>
      </c>
      <c r="M41" s="116">
        <f t="shared" si="15"/>
        <v>0</v>
      </c>
    </row>
    <row r="43" spans="2:13" x14ac:dyDescent="0.25">
      <c r="D43" s="56" t="s">
        <v>86</v>
      </c>
    </row>
    <row r="44" spans="2:13" x14ac:dyDescent="0.25">
      <c r="B44" s="28"/>
      <c r="C44" s="28"/>
      <c r="D44" s="86" t="s">
        <v>0</v>
      </c>
      <c r="E44" s="86" t="s">
        <v>1</v>
      </c>
      <c r="F44" s="86" t="s">
        <v>2</v>
      </c>
      <c r="G44" s="86" t="s">
        <v>3</v>
      </c>
      <c r="H44" s="86" t="s">
        <v>4</v>
      </c>
      <c r="I44" s="86" t="s">
        <v>5</v>
      </c>
      <c r="J44" s="86" t="s">
        <v>6</v>
      </c>
      <c r="K44" s="86" t="s">
        <v>7</v>
      </c>
      <c r="L44" s="86" t="s">
        <v>8</v>
      </c>
      <c r="M44" s="86" t="s">
        <v>9</v>
      </c>
    </row>
    <row r="45" spans="2:13" x14ac:dyDescent="0.25">
      <c r="C45" s="22" t="s">
        <v>76</v>
      </c>
      <c r="D45" s="157">
        <v>1.7</v>
      </c>
      <c r="E45" s="118">
        <f>D45</f>
        <v>1.7</v>
      </c>
      <c r="F45" s="118">
        <f t="shared" ref="F45:M45" si="16">E45</f>
        <v>1.7</v>
      </c>
      <c r="G45" s="118">
        <f t="shared" si="16"/>
        <v>1.7</v>
      </c>
      <c r="H45" s="118">
        <f t="shared" si="16"/>
        <v>1.7</v>
      </c>
      <c r="I45" s="118">
        <f t="shared" si="16"/>
        <v>1.7</v>
      </c>
      <c r="J45" s="118">
        <f t="shared" si="16"/>
        <v>1.7</v>
      </c>
      <c r="K45" s="118">
        <f t="shared" si="16"/>
        <v>1.7</v>
      </c>
      <c r="L45" s="118">
        <f t="shared" si="16"/>
        <v>1.7</v>
      </c>
      <c r="M45" s="118">
        <f t="shared" si="16"/>
        <v>1.7</v>
      </c>
    </row>
    <row r="46" spans="2:13" x14ac:dyDescent="0.25">
      <c r="C46" s="22" t="s">
        <v>77</v>
      </c>
      <c r="D46" s="157">
        <v>1.7</v>
      </c>
      <c r="E46" s="118">
        <f t="shared" ref="E46:M46" si="17">D46</f>
        <v>1.7</v>
      </c>
      <c r="F46" s="118">
        <f t="shared" si="17"/>
        <v>1.7</v>
      </c>
      <c r="G46" s="118">
        <f t="shared" si="17"/>
        <v>1.7</v>
      </c>
      <c r="H46" s="118">
        <f t="shared" si="17"/>
        <v>1.7</v>
      </c>
      <c r="I46" s="118">
        <f t="shared" si="17"/>
        <v>1.7</v>
      </c>
      <c r="J46" s="118">
        <f t="shared" si="17"/>
        <v>1.7</v>
      </c>
      <c r="K46" s="118">
        <f t="shared" si="17"/>
        <v>1.7</v>
      </c>
      <c r="L46" s="118">
        <f t="shared" si="17"/>
        <v>1.7</v>
      </c>
      <c r="M46" s="118">
        <f t="shared" si="17"/>
        <v>1.7</v>
      </c>
    </row>
    <row r="47" spans="2:13" x14ac:dyDescent="0.25">
      <c r="C47" s="22" t="s">
        <v>78</v>
      </c>
      <c r="D47" s="157">
        <v>1.7</v>
      </c>
      <c r="E47" s="118">
        <f t="shared" ref="E47:M47" si="18">D47</f>
        <v>1.7</v>
      </c>
      <c r="F47" s="118">
        <f t="shared" si="18"/>
        <v>1.7</v>
      </c>
      <c r="G47" s="118">
        <f t="shared" si="18"/>
        <v>1.7</v>
      </c>
      <c r="H47" s="118">
        <f t="shared" si="18"/>
        <v>1.7</v>
      </c>
      <c r="I47" s="118">
        <f t="shared" si="18"/>
        <v>1.7</v>
      </c>
      <c r="J47" s="118">
        <f t="shared" si="18"/>
        <v>1.7</v>
      </c>
      <c r="K47" s="118">
        <f t="shared" si="18"/>
        <v>1.7</v>
      </c>
      <c r="L47" s="118">
        <f t="shared" si="18"/>
        <v>1.7</v>
      </c>
      <c r="M47" s="118">
        <f t="shared" si="18"/>
        <v>1.7</v>
      </c>
    </row>
    <row r="48" spans="2:13" x14ac:dyDescent="0.25">
      <c r="C48" s="22" t="s">
        <v>79</v>
      </c>
      <c r="D48" s="157">
        <v>1.7</v>
      </c>
      <c r="E48" s="118">
        <f t="shared" ref="E48:M48" si="19">D48</f>
        <v>1.7</v>
      </c>
      <c r="F48" s="118">
        <f t="shared" si="19"/>
        <v>1.7</v>
      </c>
      <c r="G48" s="118">
        <f t="shared" si="19"/>
        <v>1.7</v>
      </c>
      <c r="H48" s="118">
        <f t="shared" si="19"/>
        <v>1.7</v>
      </c>
      <c r="I48" s="118">
        <f t="shared" si="19"/>
        <v>1.7</v>
      </c>
      <c r="J48" s="118">
        <f t="shared" si="19"/>
        <v>1.7</v>
      </c>
      <c r="K48" s="118">
        <f t="shared" si="19"/>
        <v>1.7</v>
      </c>
      <c r="L48" s="118">
        <f t="shared" si="19"/>
        <v>1.7</v>
      </c>
      <c r="M48" s="118">
        <f t="shared" si="19"/>
        <v>1.7</v>
      </c>
    </row>
    <row r="49" spans="2:14" x14ac:dyDescent="0.25">
      <c r="C49" s="22" t="s">
        <v>80</v>
      </c>
      <c r="D49" s="157">
        <v>1.7</v>
      </c>
      <c r="E49" s="118">
        <f t="shared" ref="E49:M49" si="20">D49</f>
        <v>1.7</v>
      </c>
      <c r="F49" s="118">
        <f t="shared" si="20"/>
        <v>1.7</v>
      </c>
      <c r="G49" s="118">
        <f t="shared" si="20"/>
        <v>1.7</v>
      </c>
      <c r="H49" s="118">
        <f t="shared" si="20"/>
        <v>1.7</v>
      </c>
      <c r="I49" s="118">
        <f t="shared" si="20"/>
        <v>1.7</v>
      </c>
      <c r="J49" s="118">
        <f t="shared" si="20"/>
        <v>1.7</v>
      </c>
      <c r="K49" s="118">
        <f t="shared" si="20"/>
        <v>1.7</v>
      </c>
      <c r="L49" s="118">
        <f t="shared" si="20"/>
        <v>1.7</v>
      </c>
      <c r="M49" s="118">
        <f t="shared" si="20"/>
        <v>1.7</v>
      </c>
    </row>
    <row r="50" spans="2:14" x14ac:dyDescent="0.25">
      <c r="C50" s="22" t="s">
        <v>81</v>
      </c>
      <c r="D50" s="157">
        <v>1.7</v>
      </c>
      <c r="E50" s="118">
        <f t="shared" ref="E50:M50" si="21">D50</f>
        <v>1.7</v>
      </c>
      <c r="F50" s="118">
        <f t="shared" si="21"/>
        <v>1.7</v>
      </c>
      <c r="G50" s="118">
        <f t="shared" si="21"/>
        <v>1.7</v>
      </c>
      <c r="H50" s="118">
        <f t="shared" si="21"/>
        <v>1.7</v>
      </c>
      <c r="I50" s="118">
        <f t="shared" si="21"/>
        <v>1.7</v>
      </c>
      <c r="J50" s="118">
        <f t="shared" si="21"/>
        <v>1.7</v>
      </c>
      <c r="K50" s="118">
        <f t="shared" si="21"/>
        <v>1.7</v>
      </c>
      <c r="L50" s="118">
        <f t="shared" si="21"/>
        <v>1.7</v>
      </c>
      <c r="M50" s="118">
        <f t="shared" si="21"/>
        <v>1.7</v>
      </c>
    </row>
    <row r="51" spans="2:14" x14ac:dyDescent="0.25">
      <c r="C51" s="22" t="s">
        <v>82</v>
      </c>
      <c r="D51" s="157">
        <v>1.7</v>
      </c>
      <c r="E51" s="118">
        <f t="shared" ref="E51:M51" si="22">D51</f>
        <v>1.7</v>
      </c>
      <c r="F51" s="118">
        <f t="shared" si="22"/>
        <v>1.7</v>
      </c>
      <c r="G51" s="118">
        <f t="shared" si="22"/>
        <v>1.7</v>
      </c>
      <c r="H51" s="118">
        <f t="shared" si="22"/>
        <v>1.7</v>
      </c>
      <c r="I51" s="118">
        <f t="shared" si="22"/>
        <v>1.7</v>
      </c>
      <c r="J51" s="118">
        <f t="shared" si="22"/>
        <v>1.7</v>
      </c>
      <c r="K51" s="118">
        <f t="shared" si="22"/>
        <v>1.7</v>
      </c>
      <c r="L51" s="118">
        <f t="shared" si="22"/>
        <v>1.7</v>
      </c>
      <c r="M51" s="118">
        <f t="shared" si="22"/>
        <v>1.7</v>
      </c>
      <c r="N51" s="117"/>
    </row>
    <row r="52" spans="2:14" x14ac:dyDescent="0.25">
      <c r="C52" s="22" t="s">
        <v>83</v>
      </c>
      <c r="D52" s="157">
        <v>1.7</v>
      </c>
      <c r="E52" s="118">
        <f t="shared" ref="E52:M52" si="23">D52</f>
        <v>1.7</v>
      </c>
      <c r="F52" s="118">
        <f t="shared" si="23"/>
        <v>1.7</v>
      </c>
      <c r="G52" s="118">
        <f t="shared" si="23"/>
        <v>1.7</v>
      </c>
      <c r="H52" s="118">
        <f t="shared" si="23"/>
        <v>1.7</v>
      </c>
      <c r="I52" s="118">
        <f t="shared" si="23"/>
        <v>1.7</v>
      </c>
      <c r="J52" s="118">
        <f t="shared" si="23"/>
        <v>1.7</v>
      </c>
      <c r="K52" s="118">
        <f t="shared" si="23"/>
        <v>1.7</v>
      </c>
      <c r="L52" s="118">
        <f t="shared" si="23"/>
        <v>1.7</v>
      </c>
      <c r="M52" s="118">
        <f t="shared" si="23"/>
        <v>1.7</v>
      </c>
    </row>
    <row r="53" spans="2:14" x14ac:dyDescent="0.25">
      <c r="C53" s="26" t="s">
        <v>84</v>
      </c>
      <c r="D53" s="157">
        <v>1.7</v>
      </c>
      <c r="E53" s="118">
        <f t="shared" ref="E53:M53" si="24">D53</f>
        <v>1.7</v>
      </c>
      <c r="F53" s="118">
        <f t="shared" si="24"/>
        <v>1.7</v>
      </c>
      <c r="G53" s="118">
        <f t="shared" si="24"/>
        <v>1.7</v>
      </c>
      <c r="H53" s="118">
        <f t="shared" si="24"/>
        <v>1.7</v>
      </c>
      <c r="I53" s="118">
        <f t="shared" si="24"/>
        <v>1.7</v>
      </c>
      <c r="J53" s="118">
        <f t="shared" si="24"/>
        <v>1.7</v>
      </c>
      <c r="K53" s="118">
        <f t="shared" si="24"/>
        <v>1.7</v>
      </c>
      <c r="L53" s="118">
        <f t="shared" si="24"/>
        <v>1.7</v>
      </c>
      <c r="M53" s="118">
        <f t="shared" si="24"/>
        <v>1.7</v>
      </c>
    </row>
    <row r="54" spans="2:14" x14ac:dyDescent="0.25">
      <c r="C54" s="26" t="s">
        <v>84</v>
      </c>
      <c r="D54" s="157">
        <v>1.7</v>
      </c>
      <c r="E54" s="118">
        <f t="shared" ref="E54:M54" si="25">D54</f>
        <v>1.7</v>
      </c>
      <c r="F54" s="118">
        <f t="shared" si="25"/>
        <v>1.7</v>
      </c>
      <c r="G54" s="118">
        <f t="shared" si="25"/>
        <v>1.7</v>
      </c>
      <c r="H54" s="118">
        <f t="shared" si="25"/>
        <v>1.7</v>
      </c>
      <c r="I54" s="118">
        <f t="shared" si="25"/>
        <v>1.7</v>
      </c>
      <c r="J54" s="118">
        <f t="shared" si="25"/>
        <v>1.7</v>
      </c>
      <c r="K54" s="118">
        <f t="shared" si="25"/>
        <v>1.7</v>
      </c>
      <c r="L54" s="118">
        <f t="shared" si="25"/>
        <v>1.7</v>
      </c>
      <c r="M54" s="118">
        <f t="shared" si="25"/>
        <v>1.7</v>
      </c>
    </row>
    <row r="55" spans="2:14" x14ac:dyDescent="0.25">
      <c r="C55" s="26" t="s">
        <v>84</v>
      </c>
      <c r="D55" s="157">
        <v>1.7</v>
      </c>
      <c r="E55" s="118">
        <f t="shared" ref="E55:M55" si="26">D55</f>
        <v>1.7</v>
      </c>
      <c r="F55" s="118">
        <f t="shared" si="26"/>
        <v>1.7</v>
      </c>
      <c r="G55" s="118">
        <f t="shared" si="26"/>
        <v>1.7</v>
      </c>
      <c r="H55" s="118">
        <f t="shared" si="26"/>
        <v>1.7</v>
      </c>
      <c r="I55" s="118">
        <f t="shared" si="26"/>
        <v>1.7</v>
      </c>
      <c r="J55" s="118">
        <f t="shared" si="26"/>
        <v>1.7</v>
      </c>
      <c r="K55" s="118">
        <f t="shared" si="26"/>
        <v>1.7</v>
      </c>
      <c r="L55" s="118">
        <f t="shared" si="26"/>
        <v>1.7</v>
      </c>
      <c r="M55" s="118">
        <f t="shared" si="26"/>
        <v>1.7</v>
      </c>
    </row>
    <row r="56" spans="2:14" x14ac:dyDescent="0.25">
      <c r="C56" s="26" t="s">
        <v>84</v>
      </c>
      <c r="D56" s="157">
        <v>1.7</v>
      </c>
      <c r="E56" s="118">
        <f t="shared" ref="E56:M56" si="27">D56</f>
        <v>1.7</v>
      </c>
      <c r="F56" s="118">
        <f t="shared" si="27"/>
        <v>1.7</v>
      </c>
      <c r="G56" s="118">
        <f t="shared" si="27"/>
        <v>1.7</v>
      </c>
      <c r="H56" s="118">
        <f t="shared" si="27"/>
        <v>1.7</v>
      </c>
      <c r="I56" s="118">
        <f t="shared" si="27"/>
        <v>1.7</v>
      </c>
      <c r="J56" s="118">
        <f t="shared" si="27"/>
        <v>1.7</v>
      </c>
      <c r="K56" s="118">
        <f t="shared" si="27"/>
        <v>1.7</v>
      </c>
      <c r="L56" s="118">
        <f t="shared" si="27"/>
        <v>1.7</v>
      </c>
      <c r="M56" s="118">
        <f t="shared" si="27"/>
        <v>1.7</v>
      </c>
    </row>
    <row r="57" spans="2:14" x14ac:dyDescent="0.25">
      <c r="C57" s="26" t="s">
        <v>84</v>
      </c>
      <c r="D57" s="157">
        <v>1.7</v>
      </c>
      <c r="E57" s="118">
        <f t="shared" ref="E57:M57" si="28">D57</f>
        <v>1.7</v>
      </c>
      <c r="F57" s="118">
        <f t="shared" si="28"/>
        <v>1.7</v>
      </c>
      <c r="G57" s="118">
        <f t="shared" si="28"/>
        <v>1.7</v>
      </c>
      <c r="H57" s="118">
        <f t="shared" si="28"/>
        <v>1.7</v>
      </c>
      <c r="I57" s="118">
        <f t="shared" si="28"/>
        <v>1.7</v>
      </c>
      <c r="J57" s="118">
        <f t="shared" si="28"/>
        <v>1.7</v>
      </c>
      <c r="K57" s="118">
        <f t="shared" si="28"/>
        <v>1.7</v>
      </c>
      <c r="L57" s="118">
        <f t="shared" si="28"/>
        <v>1.7</v>
      </c>
      <c r="M57" s="118">
        <f t="shared" si="28"/>
        <v>1.7</v>
      </c>
    </row>
    <row r="58" spans="2:14" x14ac:dyDescent="0.25">
      <c r="C58" s="26" t="s">
        <v>84</v>
      </c>
      <c r="D58" s="157">
        <v>1.7</v>
      </c>
      <c r="E58" s="118">
        <f t="shared" ref="E58:M58" si="29">D58</f>
        <v>1.7</v>
      </c>
      <c r="F58" s="118">
        <f t="shared" si="29"/>
        <v>1.7</v>
      </c>
      <c r="G58" s="118">
        <f t="shared" si="29"/>
        <v>1.7</v>
      </c>
      <c r="H58" s="118">
        <f t="shared" si="29"/>
        <v>1.7</v>
      </c>
      <c r="I58" s="118">
        <f t="shared" si="29"/>
        <v>1.7</v>
      </c>
      <c r="J58" s="118">
        <f t="shared" si="29"/>
        <v>1.7</v>
      </c>
      <c r="K58" s="118">
        <f t="shared" si="29"/>
        <v>1.7</v>
      </c>
      <c r="L58" s="118">
        <f t="shared" si="29"/>
        <v>1.7</v>
      </c>
      <c r="M58" s="118">
        <f t="shared" si="29"/>
        <v>1.7</v>
      </c>
    </row>
    <row r="59" spans="2:14" x14ac:dyDescent="0.25">
      <c r="B59" s="29"/>
      <c r="C59" s="113" t="s">
        <v>84</v>
      </c>
      <c r="D59" s="158">
        <v>1.7</v>
      </c>
      <c r="E59" s="119">
        <f t="shared" ref="E59:M59" si="30">D59</f>
        <v>1.7</v>
      </c>
      <c r="F59" s="119">
        <f t="shared" si="30"/>
        <v>1.7</v>
      </c>
      <c r="G59" s="119">
        <f t="shared" si="30"/>
        <v>1.7</v>
      </c>
      <c r="H59" s="119">
        <f t="shared" si="30"/>
        <v>1.7</v>
      </c>
      <c r="I59" s="119">
        <f t="shared" si="30"/>
        <v>1.7</v>
      </c>
      <c r="J59" s="119">
        <f t="shared" si="30"/>
        <v>1.7</v>
      </c>
      <c r="K59" s="119">
        <f t="shared" si="30"/>
        <v>1.7</v>
      </c>
      <c r="L59" s="119">
        <f t="shared" si="30"/>
        <v>1.7</v>
      </c>
      <c r="M59" s="119">
        <f t="shared" si="30"/>
        <v>1.7</v>
      </c>
    </row>
    <row r="60" spans="2:14" x14ac:dyDescent="0.25">
      <c r="C60" s="26"/>
      <c r="D60" s="115"/>
      <c r="E60" s="115"/>
      <c r="F60" s="115"/>
      <c r="G60" s="115"/>
      <c r="H60" s="115"/>
      <c r="I60" s="115"/>
      <c r="J60" s="115"/>
      <c r="K60" s="115"/>
      <c r="L60" s="115"/>
      <c r="M60" s="115"/>
    </row>
    <row r="61" spans="2:14" x14ac:dyDescent="0.25">
      <c r="D61" s="56" t="s">
        <v>110</v>
      </c>
    </row>
    <row r="62" spans="2:14" x14ac:dyDescent="0.25">
      <c r="B62" s="28"/>
      <c r="C62" s="28"/>
      <c r="D62" s="86" t="s">
        <v>0</v>
      </c>
      <c r="E62" s="86" t="s">
        <v>1</v>
      </c>
      <c r="F62" s="86" t="s">
        <v>2</v>
      </c>
      <c r="G62" s="86" t="s">
        <v>3</v>
      </c>
      <c r="H62" s="86" t="s">
        <v>4</v>
      </c>
      <c r="I62" s="86" t="s">
        <v>5</v>
      </c>
      <c r="J62" s="86" t="s">
        <v>6</v>
      </c>
      <c r="K62" s="86" t="s">
        <v>7</v>
      </c>
      <c r="L62" s="86" t="s">
        <v>8</v>
      </c>
      <c r="M62" s="86" t="s">
        <v>9</v>
      </c>
    </row>
    <row r="63" spans="2:14" x14ac:dyDescent="0.25">
      <c r="C63" s="22" t="s">
        <v>76</v>
      </c>
      <c r="D63" s="155">
        <f>+D6*D27*D45*12</f>
        <v>714000</v>
      </c>
      <c r="E63" s="155">
        <f t="shared" ref="E63:M63" si="31">+E6*E27*E45*12</f>
        <v>721140</v>
      </c>
      <c r="F63" s="155">
        <f t="shared" si="31"/>
        <v>728351.39999999991</v>
      </c>
      <c r="G63" s="155">
        <f t="shared" si="31"/>
        <v>735634.91399999999</v>
      </c>
      <c r="H63" s="155">
        <f t="shared" si="31"/>
        <v>742991.26313999994</v>
      </c>
      <c r="I63" s="155">
        <f t="shared" si="31"/>
        <v>750421.17577139998</v>
      </c>
      <c r="J63" s="155">
        <f t="shared" si="31"/>
        <v>757925.38752911391</v>
      </c>
      <c r="K63" s="155">
        <f t="shared" si="31"/>
        <v>765504.641404405</v>
      </c>
      <c r="L63" s="155">
        <f t="shared" si="31"/>
        <v>773159.68781844899</v>
      </c>
      <c r="M63" s="155">
        <f t="shared" si="31"/>
        <v>780891.28469663346</v>
      </c>
    </row>
    <row r="64" spans="2:14" x14ac:dyDescent="0.25">
      <c r="C64" s="22" t="s">
        <v>77</v>
      </c>
      <c r="D64" s="155">
        <f t="shared" ref="D64:M64" si="32">+D7*D28*D46*12</f>
        <v>510000</v>
      </c>
      <c r="E64" s="155">
        <f t="shared" si="32"/>
        <v>515100</v>
      </c>
      <c r="F64" s="155">
        <f t="shared" si="32"/>
        <v>520251</v>
      </c>
      <c r="G64" s="155">
        <f t="shared" si="32"/>
        <v>525453.51</v>
      </c>
      <c r="H64" s="155">
        <f t="shared" si="32"/>
        <v>530708.04509999999</v>
      </c>
      <c r="I64" s="155">
        <f t="shared" si="32"/>
        <v>536015.125551</v>
      </c>
      <c r="J64" s="155">
        <f t="shared" si="32"/>
        <v>541375.27680651005</v>
      </c>
      <c r="K64" s="155">
        <f t="shared" si="32"/>
        <v>546789.02957457514</v>
      </c>
      <c r="L64" s="155">
        <f t="shared" si="32"/>
        <v>552256.91987032094</v>
      </c>
      <c r="M64" s="155">
        <f t="shared" si="32"/>
        <v>557779.4890690241</v>
      </c>
    </row>
    <row r="65" spans="2:13" x14ac:dyDescent="0.25">
      <c r="C65" s="22" t="s">
        <v>78</v>
      </c>
      <c r="D65" s="155">
        <f t="shared" ref="D65:M65" si="33">+D8*D29*D47*12</f>
        <v>510000</v>
      </c>
      <c r="E65" s="155">
        <f t="shared" si="33"/>
        <v>515100</v>
      </c>
      <c r="F65" s="155">
        <f t="shared" si="33"/>
        <v>520251</v>
      </c>
      <c r="G65" s="155">
        <f t="shared" si="33"/>
        <v>525453.51</v>
      </c>
      <c r="H65" s="155">
        <f t="shared" si="33"/>
        <v>530708.04509999999</v>
      </c>
      <c r="I65" s="155">
        <f t="shared" si="33"/>
        <v>536015.125551</v>
      </c>
      <c r="J65" s="155">
        <f t="shared" si="33"/>
        <v>541375.27680651005</v>
      </c>
      <c r="K65" s="155">
        <f t="shared" si="33"/>
        <v>546789.02957457514</v>
      </c>
      <c r="L65" s="155">
        <f t="shared" si="33"/>
        <v>552256.91987032094</v>
      </c>
      <c r="M65" s="155">
        <f t="shared" si="33"/>
        <v>557779.4890690241</v>
      </c>
    </row>
    <row r="66" spans="2:13" x14ac:dyDescent="0.25">
      <c r="C66" s="22" t="s">
        <v>79</v>
      </c>
      <c r="D66" s="155">
        <f t="shared" ref="D66:M66" si="34">+D9*D30*D48*12</f>
        <v>510000</v>
      </c>
      <c r="E66" s="155">
        <f t="shared" si="34"/>
        <v>515100</v>
      </c>
      <c r="F66" s="155">
        <f t="shared" si="34"/>
        <v>520251</v>
      </c>
      <c r="G66" s="155">
        <f t="shared" si="34"/>
        <v>525453.51</v>
      </c>
      <c r="H66" s="155">
        <f t="shared" si="34"/>
        <v>530708.04509999999</v>
      </c>
      <c r="I66" s="155">
        <f t="shared" si="34"/>
        <v>536015.125551</v>
      </c>
      <c r="J66" s="155">
        <f t="shared" si="34"/>
        <v>541375.27680651005</v>
      </c>
      <c r="K66" s="155">
        <f t="shared" si="34"/>
        <v>546789.02957457514</v>
      </c>
      <c r="L66" s="155">
        <f t="shared" si="34"/>
        <v>552256.91987032094</v>
      </c>
      <c r="M66" s="155">
        <f t="shared" si="34"/>
        <v>557779.4890690241</v>
      </c>
    </row>
    <row r="67" spans="2:13" x14ac:dyDescent="0.25">
      <c r="C67" s="22" t="s">
        <v>80</v>
      </c>
      <c r="D67" s="155">
        <f t="shared" ref="D67:M67" si="35">+D10*D31*D49*12</f>
        <v>306000</v>
      </c>
      <c r="E67" s="155">
        <f t="shared" si="35"/>
        <v>309060</v>
      </c>
      <c r="F67" s="155">
        <f t="shared" si="35"/>
        <v>312150.59999999998</v>
      </c>
      <c r="G67" s="155">
        <f t="shared" si="35"/>
        <v>315272.10599999997</v>
      </c>
      <c r="H67" s="155">
        <f t="shared" si="35"/>
        <v>318424.82705999998</v>
      </c>
      <c r="I67" s="155">
        <f t="shared" si="35"/>
        <v>321609.07533059997</v>
      </c>
      <c r="J67" s="155">
        <f t="shared" si="35"/>
        <v>324825.16608390596</v>
      </c>
      <c r="K67" s="155">
        <f t="shared" si="35"/>
        <v>328073.41774474503</v>
      </c>
      <c r="L67" s="155">
        <f t="shared" si="35"/>
        <v>331354.15192219254</v>
      </c>
      <c r="M67" s="155">
        <f t="shared" si="35"/>
        <v>334667.69344141439</v>
      </c>
    </row>
    <row r="68" spans="2:13" x14ac:dyDescent="0.25">
      <c r="C68" s="22" t="s">
        <v>81</v>
      </c>
      <c r="D68" s="155">
        <f t="shared" ref="D68:M68" si="36">+D11*D32*D50*12</f>
        <v>306000</v>
      </c>
      <c r="E68" s="155">
        <f t="shared" si="36"/>
        <v>309060</v>
      </c>
      <c r="F68" s="155">
        <f t="shared" si="36"/>
        <v>312150.59999999998</v>
      </c>
      <c r="G68" s="155">
        <f t="shared" si="36"/>
        <v>315272.10599999997</v>
      </c>
      <c r="H68" s="155">
        <f t="shared" si="36"/>
        <v>318424.82705999998</v>
      </c>
      <c r="I68" s="155">
        <f t="shared" si="36"/>
        <v>321609.07533059997</v>
      </c>
      <c r="J68" s="155">
        <f t="shared" si="36"/>
        <v>324825.16608390596</v>
      </c>
      <c r="K68" s="155">
        <f t="shared" si="36"/>
        <v>328073.41774474503</v>
      </c>
      <c r="L68" s="155">
        <f t="shared" si="36"/>
        <v>331354.15192219254</v>
      </c>
      <c r="M68" s="155">
        <f t="shared" si="36"/>
        <v>334667.69344141439</v>
      </c>
    </row>
    <row r="69" spans="2:13" x14ac:dyDescent="0.25">
      <c r="C69" s="22" t="s">
        <v>82</v>
      </c>
      <c r="D69" s="155">
        <f t="shared" ref="D69:M69" si="37">+D12*D33*D51*12</f>
        <v>306000</v>
      </c>
      <c r="E69" s="155">
        <f t="shared" si="37"/>
        <v>309060</v>
      </c>
      <c r="F69" s="155">
        <f t="shared" si="37"/>
        <v>312150.59999999998</v>
      </c>
      <c r="G69" s="155">
        <f t="shared" si="37"/>
        <v>315272.10599999997</v>
      </c>
      <c r="H69" s="155">
        <f t="shared" si="37"/>
        <v>318424.82705999998</v>
      </c>
      <c r="I69" s="155">
        <f t="shared" si="37"/>
        <v>321609.07533059997</v>
      </c>
      <c r="J69" s="155">
        <f t="shared" si="37"/>
        <v>324825.16608390596</v>
      </c>
      <c r="K69" s="155">
        <f t="shared" si="37"/>
        <v>328073.41774474503</v>
      </c>
      <c r="L69" s="155">
        <f t="shared" si="37"/>
        <v>331354.15192219254</v>
      </c>
      <c r="M69" s="155">
        <f t="shared" si="37"/>
        <v>334667.69344141439</v>
      </c>
    </row>
    <row r="70" spans="2:13" x14ac:dyDescent="0.25">
      <c r="C70" s="22" t="s">
        <v>83</v>
      </c>
      <c r="D70" s="155">
        <f t="shared" ref="D70:M70" si="38">+D13*D34*D52*12</f>
        <v>0</v>
      </c>
      <c r="E70" s="155">
        <f t="shared" si="38"/>
        <v>0</v>
      </c>
      <c r="F70" s="155">
        <f t="shared" si="38"/>
        <v>0</v>
      </c>
      <c r="G70" s="155">
        <f t="shared" si="38"/>
        <v>0</v>
      </c>
      <c r="H70" s="155">
        <f t="shared" si="38"/>
        <v>0</v>
      </c>
      <c r="I70" s="155">
        <f t="shared" si="38"/>
        <v>0</v>
      </c>
      <c r="J70" s="155">
        <f t="shared" si="38"/>
        <v>0</v>
      </c>
      <c r="K70" s="155">
        <f t="shared" si="38"/>
        <v>0</v>
      </c>
      <c r="L70" s="155">
        <f t="shared" si="38"/>
        <v>0</v>
      </c>
      <c r="M70" s="155">
        <f t="shared" si="38"/>
        <v>0</v>
      </c>
    </row>
    <row r="71" spans="2:13" x14ac:dyDescent="0.25">
      <c r="C71" s="26" t="s">
        <v>84</v>
      </c>
      <c r="D71" s="155">
        <f t="shared" ref="D71:M71" si="39">+D14*D35*D53*12</f>
        <v>0</v>
      </c>
      <c r="E71" s="155">
        <f t="shared" si="39"/>
        <v>0</v>
      </c>
      <c r="F71" s="155">
        <f t="shared" si="39"/>
        <v>0</v>
      </c>
      <c r="G71" s="155">
        <f t="shared" si="39"/>
        <v>0</v>
      </c>
      <c r="H71" s="155">
        <f t="shared" si="39"/>
        <v>0</v>
      </c>
      <c r="I71" s="155">
        <f t="shared" si="39"/>
        <v>0</v>
      </c>
      <c r="J71" s="155">
        <f t="shared" si="39"/>
        <v>0</v>
      </c>
      <c r="K71" s="155">
        <f t="shared" si="39"/>
        <v>0</v>
      </c>
      <c r="L71" s="155">
        <f t="shared" si="39"/>
        <v>0</v>
      </c>
      <c r="M71" s="155">
        <f t="shared" si="39"/>
        <v>0</v>
      </c>
    </row>
    <row r="72" spans="2:13" x14ac:dyDescent="0.25">
      <c r="C72" s="26" t="s">
        <v>84</v>
      </c>
      <c r="D72" s="155">
        <f t="shared" ref="D72:M72" si="40">+D15*D36*D54*12</f>
        <v>0</v>
      </c>
      <c r="E72" s="155">
        <f t="shared" si="40"/>
        <v>0</v>
      </c>
      <c r="F72" s="155">
        <f t="shared" si="40"/>
        <v>0</v>
      </c>
      <c r="G72" s="155">
        <f t="shared" si="40"/>
        <v>0</v>
      </c>
      <c r="H72" s="155">
        <f t="shared" si="40"/>
        <v>0</v>
      </c>
      <c r="I72" s="155">
        <f t="shared" si="40"/>
        <v>0</v>
      </c>
      <c r="J72" s="155">
        <f t="shared" si="40"/>
        <v>0</v>
      </c>
      <c r="K72" s="155">
        <f t="shared" si="40"/>
        <v>0</v>
      </c>
      <c r="L72" s="155">
        <f t="shared" si="40"/>
        <v>0</v>
      </c>
      <c r="M72" s="155">
        <f t="shared" si="40"/>
        <v>0</v>
      </c>
    </row>
    <row r="73" spans="2:13" x14ac:dyDescent="0.25">
      <c r="C73" s="26" t="s">
        <v>84</v>
      </c>
      <c r="D73" s="155">
        <f t="shared" ref="D73:M73" si="41">+D16*D37*D55*12</f>
        <v>0</v>
      </c>
      <c r="E73" s="155">
        <f t="shared" si="41"/>
        <v>0</v>
      </c>
      <c r="F73" s="155">
        <f t="shared" si="41"/>
        <v>0</v>
      </c>
      <c r="G73" s="155">
        <f t="shared" si="41"/>
        <v>0</v>
      </c>
      <c r="H73" s="155">
        <f t="shared" si="41"/>
        <v>0</v>
      </c>
      <c r="I73" s="155">
        <f t="shared" si="41"/>
        <v>0</v>
      </c>
      <c r="J73" s="155">
        <f t="shared" si="41"/>
        <v>0</v>
      </c>
      <c r="K73" s="155">
        <f t="shared" si="41"/>
        <v>0</v>
      </c>
      <c r="L73" s="155">
        <f t="shared" si="41"/>
        <v>0</v>
      </c>
      <c r="M73" s="155">
        <f t="shared" si="41"/>
        <v>0</v>
      </c>
    </row>
    <row r="74" spans="2:13" x14ac:dyDescent="0.25">
      <c r="C74" s="26" t="s">
        <v>84</v>
      </c>
      <c r="D74" s="155">
        <f t="shared" ref="D74:M74" si="42">+D17*D38*D56*12</f>
        <v>0</v>
      </c>
      <c r="E74" s="155">
        <f t="shared" si="42"/>
        <v>0</v>
      </c>
      <c r="F74" s="155">
        <f t="shared" si="42"/>
        <v>0</v>
      </c>
      <c r="G74" s="155">
        <f t="shared" si="42"/>
        <v>0</v>
      </c>
      <c r="H74" s="155">
        <f t="shared" si="42"/>
        <v>0</v>
      </c>
      <c r="I74" s="155">
        <f t="shared" si="42"/>
        <v>0</v>
      </c>
      <c r="J74" s="155">
        <f t="shared" si="42"/>
        <v>0</v>
      </c>
      <c r="K74" s="155">
        <f t="shared" si="42"/>
        <v>0</v>
      </c>
      <c r="L74" s="155">
        <f t="shared" si="42"/>
        <v>0</v>
      </c>
      <c r="M74" s="155">
        <f t="shared" si="42"/>
        <v>0</v>
      </c>
    </row>
    <row r="75" spans="2:13" x14ac:dyDescent="0.25">
      <c r="C75" s="26" t="s">
        <v>84</v>
      </c>
      <c r="D75" s="155">
        <f t="shared" ref="D75:M75" si="43">+D18*D39*D57*12</f>
        <v>0</v>
      </c>
      <c r="E75" s="155">
        <f t="shared" si="43"/>
        <v>0</v>
      </c>
      <c r="F75" s="155">
        <f t="shared" si="43"/>
        <v>0</v>
      </c>
      <c r="G75" s="155">
        <f t="shared" si="43"/>
        <v>0</v>
      </c>
      <c r="H75" s="155">
        <f t="shared" si="43"/>
        <v>0</v>
      </c>
      <c r="I75" s="155">
        <f t="shared" si="43"/>
        <v>0</v>
      </c>
      <c r="J75" s="155">
        <f t="shared" si="43"/>
        <v>0</v>
      </c>
      <c r="K75" s="155">
        <f t="shared" si="43"/>
        <v>0</v>
      </c>
      <c r="L75" s="155">
        <f t="shared" si="43"/>
        <v>0</v>
      </c>
      <c r="M75" s="155">
        <f t="shared" si="43"/>
        <v>0</v>
      </c>
    </row>
    <row r="76" spans="2:13" x14ac:dyDescent="0.25">
      <c r="C76" s="26" t="s">
        <v>84</v>
      </c>
      <c r="D76" s="155">
        <f t="shared" ref="D76:M76" si="44">+D19*D40*D58*12</f>
        <v>0</v>
      </c>
      <c r="E76" s="155">
        <f t="shared" si="44"/>
        <v>0</v>
      </c>
      <c r="F76" s="155">
        <f t="shared" si="44"/>
        <v>0</v>
      </c>
      <c r="G76" s="155">
        <f t="shared" si="44"/>
        <v>0</v>
      </c>
      <c r="H76" s="155">
        <f t="shared" si="44"/>
        <v>0</v>
      </c>
      <c r="I76" s="155">
        <f t="shared" si="44"/>
        <v>0</v>
      </c>
      <c r="J76" s="155">
        <f t="shared" si="44"/>
        <v>0</v>
      </c>
      <c r="K76" s="155">
        <f t="shared" si="44"/>
        <v>0</v>
      </c>
      <c r="L76" s="155">
        <f t="shared" si="44"/>
        <v>0</v>
      </c>
      <c r="M76" s="155">
        <f t="shared" si="44"/>
        <v>0</v>
      </c>
    </row>
    <row r="77" spans="2:13" x14ac:dyDescent="0.25">
      <c r="B77" s="29"/>
      <c r="C77" s="113" t="s">
        <v>84</v>
      </c>
      <c r="D77" s="155">
        <f t="shared" ref="D77:M77" si="45">+D20*D41*D59*12</f>
        <v>0</v>
      </c>
      <c r="E77" s="155">
        <f t="shared" si="45"/>
        <v>0</v>
      </c>
      <c r="F77" s="155">
        <f t="shared" si="45"/>
        <v>0</v>
      </c>
      <c r="G77" s="155">
        <f t="shared" si="45"/>
        <v>0</v>
      </c>
      <c r="H77" s="155">
        <f t="shared" si="45"/>
        <v>0</v>
      </c>
      <c r="I77" s="155">
        <f t="shared" si="45"/>
        <v>0</v>
      </c>
      <c r="J77" s="155">
        <f t="shared" si="45"/>
        <v>0</v>
      </c>
      <c r="K77" s="155">
        <f t="shared" si="45"/>
        <v>0</v>
      </c>
      <c r="L77" s="155">
        <f t="shared" si="45"/>
        <v>0</v>
      </c>
      <c r="M77" s="155">
        <f t="shared" si="45"/>
        <v>0</v>
      </c>
    </row>
    <row r="79" spans="2:13" x14ac:dyDescent="0.25">
      <c r="C79" s="110" t="s">
        <v>15</v>
      </c>
      <c r="D79" s="111">
        <f>SUM(D63:D77)</f>
        <v>3162000</v>
      </c>
      <c r="E79" s="111">
        <f t="shared" ref="E79:M79" si="46">SUM(E63:E77)</f>
        <v>3193620</v>
      </c>
      <c r="F79" s="111">
        <f t="shared" si="46"/>
        <v>3225556.2</v>
      </c>
      <c r="G79" s="111">
        <f t="shared" si="46"/>
        <v>3257811.7620000006</v>
      </c>
      <c r="H79" s="111">
        <f t="shared" si="46"/>
        <v>3290389.8796199998</v>
      </c>
      <c r="I79" s="111">
        <f t="shared" si="46"/>
        <v>3323293.7784162005</v>
      </c>
      <c r="J79" s="111">
        <f t="shared" si="46"/>
        <v>3356526.7162003615</v>
      </c>
      <c r="K79" s="111">
        <f t="shared" si="46"/>
        <v>3390091.9833623655</v>
      </c>
      <c r="L79" s="111">
        <f t="shared" si="46"/>
        <v>3423992.9031959893</v>
      </c>
      <c r="M79" s="111">
        <f t="shared" si="46"/>
        <v>3458232.8322279486</v>
      </c>
    </row>
    <row r="80" spans="2:13" x14ac:dyDescent="0.25">
      <c r="C80" s="110" t="s">
        <v>111</v>
      </c>
      <c r="D80" s="127">
        <f>+D79/1000000</f>
        <v>3.1619999999999999</v>
      </c>
      <c r="E80" s="127">
        <f t="shared" ref="E80:M80" si="47">+E79/1000000</f>
        <v>3.1936200000000001</v>
      </c>
      <c r="F80" s="127">
        <f t="shared" si="47"/>
        <v>3.2255562000000002</v>
      </c>
      <c r="G80" s="127">
        <f t="shared" si="47"/>
        <v>3.2578117620000007</v>
      </c>
      <c r="H80" s="127">
        <f t="shared" si="47"/>
        <v>3.2903898796199997</v>
      </c>
      <c r="I80" s="127">
        <f t="shared" si="47"/>
        <v>3.3232937784162004</v>
      </c>
      <c r="J80" s="127">
        <f t="shared" si="47"/>
        <v>3.3565267162003614</v>
      </c>
      <c r="K80" s="127">
        <f t="shared" si="47"/>
        <v>3.3900919833623657</v>
      </c>
      <c r="L80" s="127">
        <f t="shared" si="47"/>
        <v>3.4239929031959893</v>
      </c>
      <c r="M80" s="127">
        <f t="shared" si="47"/>
        <v>3.4582328322279485</v>
      </c>
    </row>
  </sheetData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32"/>
  <sheetViews>
    <sheetView showGridLines="0" workbookViewId="0">
      <selection activeCell="P19" sqref="P19"/>
    </sheetView>
  </sheetViews>
  <sheetFormatPr defaultColWidth="8.85546875" defaultRowHeight="15" x14ac:dyDescent="0.25"/>
  <cols>
    <col min="1" max="1" width="1.7109375" customWidth="1"/>
    <col min="3" max="3" width="23.42578125" customWidth="1"/>
    <col min="4" max="4" width="9.5703125" bestFit="1" customWidth="1"/>
  </cols>
  <sheetData>
    <row r="2" spans="2:13" x14ac:dyDescent="0.25">
      <c r="B2" s="1" t="s">
        <v>119</v>
      </c>
      <c r="C2" s="1"/>
    </row>
    <row r="3" spans="2:13" x14ac:dyDescent="0.25">
      <c r="B3" s="4" t="s">
        <v>10</v>
      </c>
    </row>
    <row r="5" spans="2:13" x14ac:dyDescent="0.25">
      <c r="C5" s="4"/>
      <c r="D5" s="120"/>
    </row>
    <row r="6" spans="2:13" x14ac:dyDescent="0.25">
      <c r="C6" s="29"/>
      <c r="D6" s="89" t="s">
        <v>0</v>
      </c>
      <c r="E6" s="89" t="s">
        <v>1</v>
      </c>
      <c r="F6" s="89" t="s">
        <v>2</v>
      </c>
      <c r="G6" s="89" t="s">
        <v>3</v>
      </c>
      <c r="H6" s="89" t="s">
        <v>4</v>
      </c>
      <c r="I6" s="89" t="s">
        <v>5</v>
      </c>
      <c r="J6" s="89" t="s">
        <v>6</v>
      </c>
      <c r="K6" s="89" t="s">
        <v>7</v>
      </c>
      <c r="L6" s="89" t="s">
        <v>8</v>
      </c>
      <c r="M6" s="89" t="s">
        <v>9</v>
      </c>
    </row>
    <row r="7" spans="2:13" x14ac:dyDescent="0.25">
      <c r="C7" s="4" t="s">
        <v>87</v>
      </c>
      <c r="D7" s="120">
        <f>'PROJETO 1'!D173</f>
        <v>4.032</v>
      </c>
      <c r="E7" s="120">
        <f>'PROJETO 1'!E173</f>
        <v>12.336000000000002</v>
      </c>
      <c r="F7" s="120">
        <f>'PROJETO 1'!F173</f>
        <v>31.967999999999996</v>
      </c>
      <c r="G7" s="120">
        <f>'PROJETO 1'!G173</f>
        <v>-37.994880000000002</v>
      </c>
      <c r="H7" s="120">
        <f>'PROJETO 1'!H173</f>
        <v>0</v>
      </c>
      <c r="I7" s="120">
        <f>'PROJETO 1'!I173</f>
        <v>0</v>
      </c>
      <c r="J7" s="120">
        <f>'PROJETO 1'!J173</f>
        <v>0</v>
      </c>
      <c r="K7" s="120">
        <f>'PROJETO 1'!K173</f>
        <v>0</v>
      </c>
      <c r="L7" s="120">
        <f>'PROJETO 1'!L173</f>
        <v>0</v>
      </c>
      <c r="M7" s="120">
        <f>'PROJETO 1'!M173</f>
        <v>0</v>
      </c>
    </row>
    <row r="8" spans="2:13" x14ac:dyDescent="0.25">
      <c r="C8" s="4" t="s">
        <v>88</v>
      </c>
      <c r="D8" s="120">
        <f>'PROJETO 2'!D173</f>
        <v>-0.46906249999999994</v>
      </c>
      <c r="E8" s="120">
        <f>'PROJETO 2'!E173</f>
        <v>1.5856093749999989</v>
      </c>
      <c r="F8" s="120">
        <f>'PROJETO 2'!F173</f>
        <v>2.2304218749999984</v>
      </c>
      <c r="G8" s="120">
        <f>'PROJETO 2'!G173</f>
        <v>7.6943112499999948</v>
      </c>
      <c r="H8" s="120">
        <f>'PROJETO 2'!H173</f>
        <v>0</v>
      </c>
      <c r="I8" s="120">
        <f>'PROJETO 2'!I173</f>
        <v>0</v>
      </c>
      <c r="J8" s="120">
        <f>'PROJETO 2'!J173</f>
        <v>0</v>
      </c>
      <c r="K8" s="120">
        <f>'PROJETO 2'!K173</f>
        <v>0</v>
      </c>
      <c r="L8" s="120">
        <f>'PROJETO 2'!L173</f>
        <v>0</v>
      </c>
      <c r="M8" s="120">
        <f>'PROJETO 2'!M173</f>
        <v>0</v>
      </c>
    </row>
    <row r="9" spans="2:13" x14ac:dyDescent="0.25">
      <c r="C9" s="4" t="s">
        <v>89</v>
      </c>
      <c r="D9" s="120">
        <f>'PROJETO 3'!D173</f>
        <v>0</v>
      </c>
      <c r="E9" s="120">
        <f>'PROJETO 3'!E173</f>
        <v>1.0314000000000028</v>
      </c>
      <c r="F9" s="120">
        <f>'PROJETO 3'!F173</f>
        <v>13.880925000000005</v>
      </c>
      <c r="G9" s="120">
        <f>'PROJETO 3'!G173</f>
        <v>6.718425000000007</v>
      </c>
      <c r="H9" s="120">
        <f>'PROJETO 3'!H173</f>
        <v>-6.5313046874999827</v>
      </c>
      <c r="I9" s="120">
        <f>'PROJETO 3'!I173</f>
        <v>0</v>
      </c>
      <c r="J9" s="120">
        <f>'PROJETO 3'!J173</f>
        <v>0</v>
      </c>
      <c r="K9" s="120">
        <f>'PROJETO 3'!K173</f>
        <v>0</v>
      </c>
      <c r="L9" s="120">
        <f>'PROJETO 3'!L173</f>
        <v>0</v>
      </c>
      <c r="M9" s="120">
        <f>'PROJETO 3'!M173</f>
        <v>0</v>
      </c>
    </row>
    <row r="10" spans="2:13" x14ac:dyDescent="0.25">
      <c r="C10" s="4" t="s">
        <v>90</v>
      </c>
      <c r="D10" s="120">
        <f>'PROJETO 4'!D173</f>
        <v>0</v>
      </c>
      <c r="E10" s="120">
        <f>'PROJETO 4'!E173</f>
        <v>0</v>
      </c>
      <c r="F10" s="120">
        <f>'PROJETO 4'!F173</f>
        <v>3.1666666666666661</v>
      </c>
      <c r="G10" s="120">
        <f>'PROJETO 4'!G173</f>
        <v>14.851666666666663</v>
      </c>
      <c r="H10" s="120">
        <f>'PROJETO 4'!H173</f>
        <v>29.006666666666661</v>
      </c>
      <c r="I10" s="120">
        <f>'PROJETO 4'!I173</f>
        <v>22.294314999999997</v>
      </c>
      <c r="J10" s="120">
        <f>'PROJETO 4'!J173</f>
        <v>0</v>
      </c>
      <c r="K10" s="120">
        <f>'PROJETO 4'!K173</f>
        <v>0</v>
      </c>
      <c r="L10" s="120">
        <f>'PROJETO 4'!L173</f>
        <v>0</v>
      </c>
      <c r="M10" s="120">
        <f>'PROJETO 4'!M173</f>
        <v>0</v>
      </c>
    </row>
    <row r="11" spans="2:13" x14ac:dyDescent="0.25">
      <c r="C11" s="4" t="s">
        <v>91</v>
      </c>
      <c r="D11" s="120">
        <f>'A CONTRATAR'!D173</f>
        <v>0</v>
      </c>
      <c r="E11" s="120">
        <f>'A CONTRATAR'!E173</f>
        <v>0</v>
      </c>
      <c r="F11" s="120">
        <f>'A CONTRATAR'!F173</f>
        <v>0</v>
      </c>
      <c r="G11" s="120">
        <f>'A CONTRATAR'!G173</f>
        <v>0</v>
      </c>
      <c r="H11" s="120">
        <f>'A CONTRATAR'!H173</f>
        <v>0</v>
      </c>
      <c r="I11" s="120">
        <f>'A CONTRATAR'!I173</f>
        <v>0</v>
      </c>
      <c r="J11" s="120">
        <f>'A CONTRATAR'!J173</f>
        <v>236.875</v>
      </c>
      <c r="K11" s="120">
        <f>'A CONTRATAR'!K173</f>
        <v>189.5</v>
      </c>
      <c r="L11" s="120">
        <f>'A CONTRATAR'!L173</f>
        <v>236.875</v>
      </c>
      <c r="M11" s="120">
        <f>'A CONTRATAR'!M173</f>
        <v>284.25</v>
      </c>
    </row>
    <row r="12" spans="2:13" x14ac:dyDescent="0.25">
      <c r="C12" s="4" t="s">
        <v>92</v>
      </c>
      <c r="D12" s="99">
        <f>'ESTOQUE PRONTO'!D51</f>
        <v>14.414999999999999</v>
      </c>
      <c r="E12" s="99">
        <f>'ESTOQUE PRONTO'!E51</f>
        <v>12.787500000000001</v>
      </c>
      <c r="F12" s="99">
        <f>'ESTOQUE PRONTO'!F51</f>
        <v>12.787500000000001</v>
      </c>
      <c r="G12" s="99">
        <f>'ESTOQUE PRONTO'!G51</f>
        <v>0</v>
      </c>
      <c r="H12" s="99">
        <f>'ESTOQUE PRONTO'!H51</f>
        <v>0</v>
      </c>
      <c r="I12" s="99">
        <f>'ESTOQUE PRONTO'!I51</f>
        <v>0</v>
      </c>
      <c r="J12" s="99">
        <f>'ESTOQUE PRONTO'!J51</f>
        <v>0</v>
      </c>
      <c r="K12" s="99">
        <f>'ESTOQUE PRONTO'!K51</f>
        <v>0</v>
      </c>
      <c r="L12" s="99">
        <f>'ESTOQUE PRONTO'!L51</f>
        <v>0</v>
      </c>
      <c r="M12" s="99">
        <f>'ESTOQUE PRONTO'!M51</f>
        <v>0</v>
      </c>
    </row>
    <row r="13" spans="2:13" x14ac:dyDescent="0.25">
      <c r="C13" s="49" t="s">
        <v>93</v>
      </c>
      <c r="D13" s="124">
        <f>'JA LANÇADOS'!D100</f>
        <v>7.9689600000000036</v>
      </c>
      <c r="E13" s="124">
        <f>'JA LANÇADOS'!E100</f>
        <v>39.778559999999999</v>
      </c>
      <c r="F13" s="124">
        <f>'JA LANÇADOS'!F100</f>
        <v>14.076479999999989</v>
      </c>
      <c r="G13" s="124">
        <f>'JA LANÇADOS'!G100</f>
        <v>-34.980000000000004</v>
      </c>
      <c r="H13" s="124">
        <f>'JA LANÇADOS'!H100</f>
        <v>0</v>
      </c>
      <c r="I13" s="124">
        <f>'JA LANÇADOS'!I100</f>
        <v>0</v>
      </c>
      <c r="J13" s="124">
        <f>'JA LANÇADOS'!J100</f>
        <v>0</v>
      </c>
      <c r="K13" s="124">
        <f>'JA LANÇADOS'!K100</f>
        <v>0</v>
      </c>
      <c r="L13" s="124">
        <f>'JA LANÇADOS'!L100</f>
        <v>0</v>
      </c>
      <c r="M13" s="124">
        <f>'JA LANÇADOS'!M100</f>
        <v>0</v>
      </c>
    </row>
    <row r="14" spans="2:13" x14ac:dyDescent="0.25">
      <c r="C14" s="56" t="s">
        <v>105</v>
      </c>
      <c r="D14" s="126">
        <f>SUM(D7:D13)</f>
        <v>25.946897500000002</v>
      </c>
      <c r="E14" s="126">
        <f t="shared" ref="E14:M14" si="0">SUM(E7:E13)</f>
        <v>67.519069375000001</v>
      </c>
      <c r="F14" s="126">
        <f t="shared" si="0"/>
        <v>78.109993541666654</v>
      </c>
      <c r="G14" s="126">
        <f t="shared" si="0"/>
        <v>-43.710477083333345</v>
      </c>
      <c r="H14" s="126">
        <f t="shared" si="0"/>
        <v>22.475361979166678</v>
      </c>
      <c r="I14" s="126">
        <f t="shared" si="0"/>
        <v>22.294314999999997</v>
      </c>
      <c r="J14" s="126">
        <f t="shared" si="0"/>
        <v>236.875</v>
      </c>
      <c r="K14" s="126">
        <f t="shared" si="0"/>
        <v>189.5</v>
      </c>
      <c r="L14" s="126">
        <f t="shared" si="0"/>
        <v>236.875</v>
      </c>
      <c r="M14" s="126">
        <f t="shared" si="0"/>
        <v>284.25</v>
      </c>
    </row>
    <row r="15" spans="2:13" x14ac:dyDescent="0.25">
      <c r="C15" s="4"/>
    </row>
    <row r="16" spans="2:13" x14ac:dyDescent="0.25">
      <c r="C16" s="125" t="s">
        <v>94</v>
      </c>
      <c r="D16" s="51">
        <f>-'ESTRUT. ADM (G&amp;A)'!D80</f>
        <v>-3.1619999999999999</v>
      </c>
      <c r="E16" s="51">
        <f>-'ESTRUT. ADM (G&amp;A)'!E80</f>
        <v>-3.1936200000000001</v>
      </c>
      <c r="F16" s="51">
        <f>-'ESTRUT. ADM (G&amp;A)'!F80</f>
        <v>-3.2255562000000002</v>
      </c>
      <c r="G16" s="51">
        <f>-'ESTRUT. ADM (G&amp;A)'!G80</f>
        <v>-3.2578117620000007</v>
      </c>
      <c r="H16" s="51">
        <f>-'ESTRUT. ADM (G&amp;A)'!H80</f>
        <v>-3.2903898796199997</v>
      </c>
      <c r="I16" s="51">
        <f>-'ESTRUT. ADM (G&amp;A)'!I80</f>
        <v>-3.3232937784162004</v>
      </c>
      <c r="J16" s="51">
        <f>-'ESTRUT. ADM (G&amp;A)'!J80</f>
        <v>-3.3565267162003614</v>
      </c>
      <c r="K16" s="51">
        <f>-'ESTRUT. ADM (G&amp;A)'!K80</f>
        <v>-3.3900919833623657</v>
      </c>
      <c r="L16" s="51">
        <f>-'ESTRUT. ADM (G&amp;A)'!L80</f>
        <v>-3.4239929031959893</v>
      </c>
      <c r="M16" s="51">
        <f>-'ESTRUT. ADM (G&amp;A)'!M80</f>
        <v>-3.4582328322279485</v>
      </c>
    </row>
    <row r="17" spans="3:14" x14ac:dyDescent="0.25">
      <c r="C17" s="4"/>
      <c r="D17" s="55"/>
      <c r="E17" s="55"/>
      <c r="F17" s="55"/>
      <c r="G17" s="55"/>
      <c r="H17" s="55"/>
      <c r="I17" s="55"/>
      <c r="J17" s="55"/>
      <c r="K17" s="55"/>
      <c r="L17" s="55"/>
      <c r="M17" s="55"/>
    </row>
    <row r="18" spans="3:14" x14ac:dyDescent="0.25">
      <c r="C18" s="125" t="s">
        <v>99</v>
      </c>
      <c r="D18" s="51">
        <f>SUM(D20:D23)</f>
        <v>-2.58</v>
      </c>
      <c r="E18" s="51">
        <f>D18*(1+E19)</f>
        <v>-2.6316000000000002</v>
      </c>
      <c r="F18" s="51">
        <f t="shared" ref="F18:M18" si="1">E18*(1+F19)</f>
        <v>-2.6842320000000002</v>
      </c>
      <c r="G18" s="51">
        <f t="shared" si="1"/>
        <v>-2.7379166400000003</v>
      </c>
      <c r="H18" s="51">
        <f t="shared" si="1"/>
        <v>-2.7926749728000004</v>
      </c>
      <c r="I18" s="51">
        <f t="shared" si="1"/>
        <v>-2.8485284722560005</v>
      </c>
      <c r="J18" s="51">
        <f t="shared" si="1"/>
        <v>-2.9054990417011206</v>
      </c>
      <c r="K18" s="51">
        <f t="shared" si="1"/>
        <v>-2.963609022535143</v>
      </c>
      <c r="L18" s="51">
        <f t="shared" si="1"/>
        <v>-3.0228812029858458</v>
      </c>
      <c r="M18" s="51">
        <f t="shared" si="1"/>
        <v>-3.0833388270455626</v>
      </c>
    </row>
    <row r="19" spans="3:14" x14ac:dyDescent="0.25">
      <c r="C19" s="81" t="s">
        <v>100</v>
      </c>
      <c r="D19" s="55"/>
      <c r="E19" s="151">
        <v>0.02</v>
      </c>
      <c r="F19" s="151">
        <f>E19</f>
        <v>0.02</v>
      </c>
      <c r="G19" s="151">
        <f t="shared" ref="G19:M19" si="2">F19</f>
        <v>0.02</v>
      </c>
      <c r="H19" s="151">
        <f t="shared" si="2"/>
        <v>0.02</v>
      </c>
      <c r="I19" s="151">
        <f t="shared" si="2"/>
        <v>0.02</v>
      </c>
      <c r="J19" s="151">
        <f t="shared" si="2"/>
        <v>0.02</v>
      </c>
      <c r="K19" s="151">
        <f t="shared" si="2"/>
        <v>0.02</v>
      </c>
      <c r="L19" s="151">
        <f t="shared" si="2"/>
        <v>0.02</v>
      </c>
      <c r="M19" s="151">
        <f t="shared" si="2"/>
        <v>0.02</v>
      </c>
    </row>
    <row r="20" spans="3:14" x14ac:dyDescent="0.25">
      <c r="C20" s="81" t="s">
        <v>95</v>
      </c>
      <c r="D20" s="147">
        <f>-400*100*12/1000000</f>
        <v>-0.48</v>
      </c>
      <c r="E20" s="55">
        <f t="shared" ref="E20:M20" si="3">+D20</f>
        <v>-0.48</v>
      </c>
      <c r="F20" s="55">
        <f t="shared" si="3"/>
        <v>-0.48</v>
      </c>
      <c r="G20" s="55">
        <f t="shared" si="3"/>
        <v>-0.48</v>
      </c>
      <c r="H20" s="55">
        <f t="shared" si="3"/>
        <v>-0.48</v>
      </c>
      <c r="I20" s="55">
        <f t="shared" si="3"/>
        <v>-0.48</v>
      </c>
      <c r="J20" s="55">
        <f t="shared" si="3"/>
        <v>-0.48</v>
      </c>
      <c r="K20" s="55">
        <f t="shared" si="3"/>
        <v>-0.48</v>
      </c>
      <c r="L20" s="55">
        <f t="shared" si="3"/>
        <v>-0.48</v>
      </c>
      <c r="M20" s="55">
        <f t="shared" si="3"/>
        <v>-0.48</v>
      </c>
    </row>
    <row r="21" spans="3:14" x14ac:dyDescent="0.25">
      <c r="C21" s="81" t="s">
        <v>96</v>
      </c>
      <c r="D21" s="147">
        <f>-50000*12/1000000</f>
        <v>-0.6</v>
      </c>
      <c r="E21" s="55">
        <f t="shared" ref="E21:M21" si="4">+D21</f>
        <v>-0.6</v>
      </c>
      <c r="F21" s="55">
        <f t="shared" si="4"/>
        <v>-0.6</v>
      </c>
      <c r="G21" s="55">
        <f t="shared" si="4"/>
        <v>-0.6</v>
      </c>
      <c r="H21" s="55">
        <f t="shared" si="4"/>
        <v>-0.6</v>
      </c>
      <c r="I21" s="55">
        <f t="shared" si="4"/>
        <v>-0.6</v>
      </c>
      <c r="J21" s="55">
        <f t="shared" si="4"/>
        <v>-0.6</v>
      </c>
      <c r="K21" s="55">
        <f t="shared" si="4"/>
        <v>-0.6</v>
      </c>
      <c r="L21" s="55">
        <f t="shared" si="4"/>
        <v>-0.6</v>
      </c>
      <c r="M21" s="55">
        <f t="shared" si="4"/>
        <v>-0.6</v>
      </c>
    </row>
    <row r="22" spans="3:14" x14ac:dyDescent="0.25">
      <c r="C22" s="81" t="s">
        <v>97</v>
      </c>
      <c r="D22" s="147">
        <v>-0.5</v>
      </c>
      <c r="E22" s="55">
        <f>+D22</f>
        <v>-0.5</v>
      </c>
      <c r="F22" s="55">
        <f t="shared" ref="F22:M23" si="5">+E22</f>
        <v>-0.5</v>
      </c>
      <c r="G22" s="55">
        <f t="shared" si="5"/>
        <v>-0.5</v>
      </c>
      <c r="H22" s="55">
        <f t="shared" si="5"/>
        <v>-0.5</v>
      </c>
      <c r="I22" s="55">
        <f t="shared" si="5"/>
        <v>-0.5</v>
      </c>
      <c r="J22" s="55">
        <f t="shared" si="5"/>
        <v>-0.5</v>
      </c>
      <c r="K22" s="55">
        <f t="shared" si="5"/>
        <v>-0.5</v>
      </c>
      <c r="L22" s="55">
        <f t="shared" si="5"/>
        <v>-0.5</v>
      </c>
      <c r="M22" s="55">
        <f t="shared" si="5"/>
        <v>-0.5</v>
      </c>
    </row>
    <row r="23" spans="3:14" x14ac:dyDescent="0.25">
      <c r="C23" s="81" t="s">
        <v>108</v>
      </c>
      <c r="D23" s="147">
        <v>-1</v>
      </c>
      <c r="E23" s="55">
        <f>+D23</f>
        <v>-1</v>
      </c>
      <c r="F23" s="55">
        <f t="shared" si="5"/>
        <v>-1</v>
      </c>
      <c r="G23" s="55">
        <f t="shared" si="5"/>
        <v>-1</v>
      </c>
      <c r="H23" s="55">
        <f t="shared" si="5"/>
        <v>-1</v>
      </c>
      <c r="I23" s="55">
        <f t="shared" si="5"/>
        <v>-1</v>
      </c>
      <c r="J23" s="55">
        <f t="shared" si="5"/>
        <v>-1</v>
      </c>
      <c r="K23" s="55">
        <f t="shared" si="5"/>
        <v>-1</v>
      </c>
      <c r="L23" s="55">
        <f t="shared" si="5"/>
        <v>-1</v>
      </c>
      <c r="M23" s="55">
        <f t="shared" si="5"/>
        <v>-1</v>
      </c>
    </row>
    <row r="25" spans="3:14" s="56" customFormat="1" x14ac:dyDescent="0.25">
      <c r="C25" s="56" t="s">
        <v>98</v>
      </c>
      <c r="D25" s="122">
        <f>D14+D16+D18</f>
        <v>20.204897500000001</v>
      </c>
      <c r="E25" s="122">
        <f t="shared" ref="E25:M25" si="6">E14+E16+E18</f>
        <v>61.693849375000006</v>
      </c>
      <c r="F25" s="122">
        <f t="shared" si="6"/>
        <v>72.20020534166666</v>
      </c>
      <c r="G25" s="122">
        <f t="shared" si="6"/>
        <v>-49.706205485333349</v>
      </c>
      <c r="H25" s="122">
        <f t="shared" si="6"/>
        <v>16.392297126746676</v>
      </c>
      <c r="I25" s="122">
        <f t="shared" si="6"/>
        <v>16.122492749327797</v>
      </c>
      <c r="J25" s="122">
        <f t="shared" si="6"/>
        <v>230.61297424209852</v>
      </c>
      <c r="K25" s="122">
        <f t="shared" si="6"/>
        <v>183.14629899410249</v>
      </c>
      <c r="L25" s="122">
        <f t="shared" si="6"/>
        <v>230.42812589381816</v>
      </c>
      <c r="M25" s="122">
        <f t="shared" si="6"/>
        <v>277.70842834072647</v>
      </c>
      <c r="N25" s="56">
        <f>+M25*(1+M28)</f>
        <v>286.03968119094827</v>
      </c>
    </row>
    <row r="26" spans="3:14" x14ac:dyDescent="0.25">
      <c r="C26" s="125" t="s">
        <v>101</v>
      </c>
      <c r="D26" s="29"/>
      <c r="E26" s="29"/>
      <c r="F26" s="29"/>
      <c r="G26" s="29"/>
      <c r="H26" s="29"/>
      <c r="I26" s="29"/>
      <c r="J26" s="29"/>
      <c r="K26" s="29"/>
      <c r="L26" s="29"/>
      <c r="M26" s="134">
        <f>(N25/(E29-M28))</f>
        <v>4086.2811598706894</v>
      </c>
    </row>
    <row r="27" spans="3:14" x14ac:dyDescent="0.25">
      <c r="C27" s="56" t="s">
        <v>102</v>
      </c>
      <c r="D27" s="121">
        <f>+D25+D26</f>
        <v>20.204897500000001</v>
      </c>
      <c r="E27" s="121">
        <f t="shared" ref="E27:M27" si="7">+E25+E26</f>
        <v>61.693849375000006</v>
      </c>
      <c r="F27" s="121">
        <f t="shared" si="7"/>
        <v>72.20020534166666</v>
      </c>
      <c r="G27" s="121">
        <f t="shared" si="7"/>
        <v>-49.706205485333349</v>
      </c>
      <c r="H27" s="121">
        <f t="shared" si="7"/>
        <v>16.392297126746676</v>
      </c>
      <c r="I27" s="121">
        <f t="shared" si="7"/>
        <v>16.122492749327797</v>
      </c>
      <c r="J27" s="121">
        <f t="shared" si="7"/>
        <v>230.61297424209852</v>
      </c>
      <c r="K27" s="121">
        <f t="shared" si="7"/>
        <v>183.14629899410249</v>
      </c>
      <c r="L27" s="121">
        <f t="shared" si="7"/>
        <v>230.42812589381816</v>
      </c>
      <c r="M27" s="121">
        <f t="shared" si="7"/>
        <v>4363.989588211416</v>
      </c>
    </row>
    <row r="28" spans="3:14" x14ac:dyDescent="0.25">
      <c r="M28" s="142">
        <v>0.03</v>
      </c>
    </row>
    <row r="29" spans="3:14" x14ac:dyDescent="0.25">
      <c r="C29" s="132" t="s">
        <v>47</v>
      </c>
      <c r="D29" s="66">
        <f>NPV(E29,D27:M27)</f>
        <v>2092.939810729863</v>
      </c>
      <c r="E29" s="150">
        <v>0.1</v>
      </c>
    </row>
    <row r="30" spans="3:14" x14ac:dyDescent="0.25">
      <c r="C30" s="81" t="s">
        <v>103</v>
      </c>
      <c r="D30" s="148">
        <v>50</v>
      </c>
    </row>
    <row r="31" spans="3:14" x14ac:dyDescent="0.25">
      <c r="C31" s="133" t="s">
        <v>104</v>
      </c>
      <c r="D31" s="149">
        <v>100</v>
      </c>
      <c r="E31" s="29"/>
    </row>
    <row r="32" spans="3:14" x14ac:dyDescent="0.25">
      <c r="C32" s="56" t="s">
        <v>48</v>
      </c>
      <c r="D32" s="123">
        <f>+D29+D30-D31</f>
        <v>2042.939810729863</v>
      </c>
    </row>
  </sheetData>
  <pageMargins left="0.511811024" right="0.511811024" top="0.78740157499999996" bottom="0.78740157499999996" header="0.31496062000000002" footer="0.3149606200000000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PROJETO 1</vt:lpstr>
      <vt:lpstr>PROJETO 2</vt:lpstr>
      <vt:lpstr>PROJETO 3</vt:lpstr>
      <vt:lpstr>PROJETO 4</vt:lpstr>
      <vt:lpstr>A CONTRATAR</vt:lpstr>
      <vt:lpstr>ESTOQUE PRONTO</vt:lpstr>
      <vt:lpstr>JA LANÇADOS</vt:lpstr>
      <vt:lpstr>ESTRUT. ADM (G&amp;A)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Vaz Moreira</dc:creator>
  <cp:lastModifiedBy>Felipe Vaz</cp:lastModifiedBy>
  <dcterms:created xsi:type="dcterms:W3CDTF">2018-04-24T19:37:58Z</dcterms:created>
  <dcterms:modified xsi:type="dcterms:W3CDTF">2023-02-15T16:54:22Z</dcterms:modified>
</cp:coreProperties>
</file>