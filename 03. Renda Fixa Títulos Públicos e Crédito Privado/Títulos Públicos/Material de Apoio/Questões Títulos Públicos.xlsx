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ão 1" sheetId="1" r:id="rId4"/>
    <sheet state="visible" name="Questão 2" sheetId="2" r:id="rId5"/>
    <sheet state="visible" name="Questão 3" sheetId="3" r:id="rId6"/>
    <sheet state="visible" name="Questão 4" sheetId="4" r:id="rId7"/>
    <sheet state="visible" name="Questão 5" sheetId="5" r:id="rId8"/>
    <sheet state="visible" name="Questão 6" sheetId="6" r:id="rId9"/>
  </sheets>
  <definedNames/>
  <calcPr/>
  <extLst>
    <ext uri="GoogleSheetsCustomDataVersion2">
      <go:sheetsCustomData xmlns:go="http://customooxmlschemas.google.com/" r:id="rId10" roundtripDataChecksum="s501Ez/4Pl0L2FXOYqzdGZFvAZ5ygaqaNjtl1Udp1xk="/>
    </ext>
  </extLst>
</workbook>
</file>

<file path=xl/sharedStrings.xml><?xml version="1.0" encoding="utf-8"?>
<sst xmlns="http://schemas.openxmlformats.org/spreadsheetml/2006/main" count="75" uniqueCount="48">
  <si>
    <t>LTN</t>
  </si>
  <si>
    <t>Valor de Face</t>
  </si>
  <si>
    <t>Taxa</t>
  </si>
  <si>
    <t>Vencimento (du)</t>
  </si>
  <si>
    <t>PU</t>
  </si>
  <si>
    <t>Momento 1</t>
  </si>
  <si>
    <t>PU Momento 1</t>
  </si>
  <si>
    <t>Momento 2</t>
  </si>
  <si>
    <t>PU Momento 2</t>
  </si>
  <si>
    <t>Rentabilidade ao período</t>
  </si>
  <si>
    <t>Rentabilidade ao ano</t>
  </si>
  <si>
    <t>NTN-F</t>
  </si>
  <si>
    <t>Taxa de cupom a.a.</t>
  </si>
  <si>
    <t>Taxa de cupom a.s.</t>
  </si>
  <si>
    <t>Taxa do papel</t>
  </si>
  <si>
    <t>Fluxo de caixa</t>
  </si>
  <si>
    <t>Evento</t>
  </si>
  <si>
    <t>Valor</t>
  </si>
  <si>
    <t>Prazo (d.u.)</t>
  </si>
  <si>
    <t>Valor Presente</t>
  </si>
  <si>
    <t>Cupom 1</t>
  </si>
  <si>
    <t>Cupom 2 + Vencimento</t>
  </si>
  <si>
    <t>PU da NTN-F</t>
  </si>
  <si>
    <t>NTN-B</t>
  </si>
  <si>
    <t>Proj IPCA junho</t>
  </si>
  <si>
    <t>Último VNA disponível</t>
  </si>
  <si>
    <t>Taxa de cupom da NTN-B a.a.</t>
  </si>
  <si>
    <t>Taxa de cupom da NTN-B a.s.</t>
  </si>
  <si>
    <t>Cupom da NTN-B</t>
  </si>
  <si>
    <t>Cupom</t>
  </si>
  <si>
    <t>VP do Cupom</t>
  </si>
  <si>
    <t>Cupom 2</t>
  </si>
  <si>
    <t>Cupom 3 + Vencimento</t>
  </si>
  <si>
    <t>Cotação</t>
  </si>
  <si>
    <t>Período</t>
  </si>
  <si>
    <t>d.u.</t>
  </si>
  <si>
    <t>15/06/xx --&gt; Data de liquidação</t>
  </si>
  <si>
    <t>15/06/xx --&gt; 15/07/xx</t>
  </si>
  <si>
    <t>Cálculo do VNA</t>
  </si>
  <si>
    <t>VNA</t>
  </si>
  <si>
    <t>29/03/xx --&gt; Vencimento</t>
  </si>
  <si>
    <t>d.c.</t>
  </si>
  <si>
    <t>15/03/xx --&gt; Data de liquidação</t>
  </si>
  <si>
    <t>15/03/xx --&gt; 15/04/xx</t>
  </si>
  <si>
    <t>LFT</t>
  </si>
  <si>
    <t>Selic Meta</t>
  </si>
  <si>
    <t>Fator Selic</t>
  </si>
  <si>
    <t>Prazo até vencimento (d.u.)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</si>
</sst>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&quot;R$&quot;\ #,##0.00;[Red]\-&quot;R$&quot;\ #,##0.00"/>
    <numFmt numFmtId="166" formatCode="0.0000"/>
  </numFmts>
  <fonts count="5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2" numFmtId="10" xfId="0" applyFont="1" applyNumberFormat="1"/>
    <xf borderId="1" fillId="2" fontId="2" numFmtId="165" xfId="0" applyBorder="1" applyFill="1" applyFont="1" applyNumberFormat="1"/>
    <xf borderId="0" fillId="0" fontId="1" numFmtId="0" xfId="0" applyAlignment="1" applyFont="1">
      <alignment horizontal="center"/>
    </xf>
    <xf borderId="0" fillId="0" fontId="2" numFmtId="9" xfId="0" applyFont="1" applyNumberFormat="1"/>
    <xf borderId="1" fillId="2" fontId="2" numFmtId="10" xfId="0" applyBorder="1" applyFont="1" applyNumberFormat="1"/>
    <xf borderId="0" fillId="0" fontId="2" numFmtId="2" xfId="0" applyFont="1" applyNumberFormat="1"/>
    <xf borderId="0" fillId="0" fontId="2" numFmtId="165" xfId="0" applyFont="1" applyNumberFormat="1"/>
    <xf borderId="0" fillId="0" fontId="4" numFmtId="4" xfId="0" applyFont="1" applyNumberFormat="1"/>
    <xf borderId="0" fillId="0" fontId="3" numFmtId="0" xfId="0" applyAlignment="1" applyFont="1">
      <alignment readingOrder="0"/>
    </xf>
    <xf borderId="1" fillId="2" fontId="2" numFmtId="0" xfId="0" applyBorder="1" applyFont="1"/>
    <xf borderId="1" fillId="2" fontId="2" numFmtId="164" xfId="0" applyBorder="1" applyFont="1" applyNumberFormat="1"/>
    <xf borderId="1" fillId="2" fontId="2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12.33"/>
    <col customWidth="1" min="3" max="3" width="12.11"/>
    <col customWidth="1" min="4" max="26" width="10.56"/>
  </cols>
  <sheetData>
    <row r="1" ht="15.75" customHeight="1">
      <c r="A1" s="1" t="s">
        <v>0</v>
      </c>
      <c r="B1" s="1" t="s">
        <v>1</v>
      </c>
      <c r="C1" s="2">
        <v>1000.0</v>
      </c>
    </row>
    <row r="2" ht="15.75" customHeight="1"/>
    <row r="3" ht="15.75" customHeight="1">
      <c r="A3" s="3" t="s">
        <v>2</v>
      </c>
      <c r="B3" s="4">
        <v>0.1283</v>
      </c>
    </row>
    <row r="4" ht="15.75" customHeight="1">
      <c r="A4" s="3" t="s">
        <v>3</v>
      </c>
      <c r="B4" s="3">
        <v>959.0</v>
      </c>
    </row>
    <row r="5" ht="15.75" customHeight="1">
      <c r="A5" s="1" t="s">
        <v>4</v>
      </c>
      <c r="B5" s="5">
        <f>PV(B3,B4/252,,-C1,0)</f>
        <v>631.6773684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12.33"/>
    <col customWidth="1" min="3" max="3" width="12.11"/>
    <col customWidth="1" min="4" max="4" width="22.0"/>
    <col customWidth="1" min="5" max="26" width="10.56"/>
  </cols>
  <sheetData>
    <row r="1" ht="15.75" customHeight="1">
      <c r="A1" s="1" t="s">
        <v>0</v>
      </c>
      <c r="B1" s="1" t="s">
        <v>1</v>
      </c>
      <c r="C1" s="2">
        <v>1000.0</v>
      </c>
    </row>
    <row r="2" ht="15.75" customHeight="1">
      <c r="A2" s="1"/>
      <c r="C2" s="2"/>
    </row>
    <row r="3" ht="15.75" customHeight="1">
      <c r="A3" s="6" t="s">
        <v>5</v>
      </c>
    </row>
    <row r="4" ht="15.75" customHeight="1">
      <c r="A4" s="3" t="s">
        <v>2</v>
      </c>
      <c r="B4" s="4">
        <v>0.1565</v>
      </c>
      <c r="D4" s="1" t="s">
        <v>6</v>
      </c>
      <c r="E4" s="5">
        <f>PV(B4,B5/252,,-C1,0)</f>
        <v>870.685472</v>
      </c>
    </row>
    <row r="5" ht="15.75" customHeight="1">
      <c r="A5" s="3" t="s">
        <v>3</v>
      </c>
      <c r="B5" s="3">
        <v>240.0</v>
      </c>
    </row>
    <row r="6" ht="15.75" customHeight="1"/>
    <row r="7" ht="15.75" customHeight="1">
      <c r="A7" s="6" t="s">
        <v>7</v>
      </c>
    </row>
    <row r="8" ht="15.75" customHeight="1">
      <c r="A8" s="3" t="s">
        <v>2</v>
      </c>
      <c r="B8" s="7">
        <v>0.15</v>
      </c>
      <c r="D8" s="1" t="s">
        <v>8</v>
      </c>
      <c r="E8" s="5">
        <f>-PV(B8,B9/252,,C1,0)</f>
        <v>877.8025846</v>
      </c>
    </row>
    <row r="9" ht="15.75" customHeight="1">
      <c r="A9" s="3" t="s">
        <v>3</v>
      </c>
      <c r="B9" s="3">
        <f>B5-5</f>
        <v>235</v>
      </c>
    </row>
    <row r="10" ht="15.75" customHeight="1">
      <c r="D10" s="1" t="s">
        <v>9</v>
      </c>
      <c r="E10" s="8">
        <f>E8/E4-1</f>
        <v>0.008174148785</v>
      </c>
    </row>
    <row r="11" ht="15.75" customHeight="1">
      <c r="D11" s="1" t="s">
        <v>10</v>
      </c>
      <c r="E11" s="8">
        <f>(1+E10)^(252/5)-1</f>
        <v>0.5072735722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B3"/>
    <mergeCell ref="A7:B7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33"/>
    <col customWidth="1" min="2" max="2" width="12.33"/>
    <col customWidth="1" min="3" max="3" width="12.11"/>
    <col customWidth="1" min="4" max="4" width="13.11"/>
    <col customWidth="1" min="5" max="26" width="10.56"/>
  </cols>
  <sheetData>
    <row r="1" ht="15.75" customHeight="1">
      <c r="A1" s="1" t="s">
        <v>11</v>
      </c>
      <c r="B1" s="1" t="s">
        <v>1</v>
      </c>
      <c r="C1" s="2">
        <v>1000.0</v>
      </c>
    </row>
    <row r="2" ht="15.75" customHeight="1">
      <c r="A2" s="3" t="s">
        <v>12</v>
      </c>
      <c r="B2" s="7">
        <v>0.1</v>
      </c>
    </row>
    <row r="3" ht="15.75" customHeight="1">
      <c r="A3" s="3" t="s">
        <v>13</v>
      </c>
      <c r="B3" s="4">
        <f>(1+B2)^(1/2)-1</f>
        <v>0.04880884817</v>
      </c>
    </row>
    <row r="4" ht="15.75" customHeight="1">
      <c r="A4" s="3" t="s">
        <v>14</v>
      </c>
      <c r="B4" s="7">
        <v>0.07</v>
      </c>
    </row>
    <row r="5" ht="15.75" customHeight="1">
      <c r="B5" s="7"/>
    </row>
    <row r="6" ht="15.75" customHeight="1">
      <c r="A6" s="6" t="s">
        <v>15</v>
      </c>
    </row>
    <row r="7" ht="15.75" customHeight="1">
      <c r="A7" s="1" t="s">
        <v>16</v>
      </c>
      <c r="B7" s="1" t="s">
        <v>17</v>
      </c>
      <c r="C7" s="1" t="s">
        <v>18</v>
      </c>
      <c r="D7" s="1" t="s">
        <v>19</v>
      </c>
    </row>
    <row r="8" ht="15.75" customHeight="1">
      <c r="A8" s="3" t="s">
        <v>20</v>
      </c>
      <c r="B8" s="9">
        <f>1000*B3</f>
        <v>48.80884817</v>
      </c>
      <c r="C8" s="3">
        <v>115.0</v>
      </c>
      <c r="D8" s="10">
        <f t="shared" ref="D8:D9" si="1">PV($B$4,C8/252,,-B8,0)</f>
        <v>47.32485536</v>
      </c>
    </row>
    <row r="9" ht="15.75" customHeight="1">
      <c r="A9" s="3" t="s">
        <v>21</v>
      </c>
      <c r="B9" s="9">
        <f>1000+B8</f>
        <v>1048.808848</v>
      </c>
      <c r="C9" s="3">
        <v>242.0</v>
      </c>
      <c r="D9" s="10">
        <f t="shared" si="1"/>
        <v>982.830415</v>
      </c>
    </row>
    <row r="10" ht="15.75" customHeight="1"/>
    <row r="11" ht="15.75" customHeight="1">
      <c r="C11" s="1" t="s">
        <v>22</v>
      </c>
      <c r="D11" s="5">
        <f>SUM(D8:D9)</f>
        <v>1030.15527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D6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11"/>
    <col customWidth="1" min="2" max="2" width="12.11"/>
    <col customWidth="1" min="3" max="3" width="10.56"/>
    <col customWidth="1" min="4" max="4" width="13.33"/>
    <col customWidth="1" min="5" max="26" width="10.56"/>
  </cols>
  <sheetData>
    <row r="1" ht="15.75" customHeight="1">
      <c r="A1" s="1" t="s">
        <v>23</v>
      </c>
    </row>
    <row r="2" ht="15.75" customHeight="1">
      <c r="A2" s="3" t="s">
        <v>24</v>
      </c>
      <c r="B2" s="4">
        <v>0.007</v>
      </c>
    </row>
    <row r="3" ht="15.75" customHeight="1">
      <c r="A3" s="3" t="s">
        <v>25</v>
      </c>
      <c r="B3" s="11">
        <v>3229.08</v>
      </c>
    </row>
    <row r="4" ht="15.75" customHeight="1">
      <c r="A4" s="3" t="s">
        <v>2</v>
      </c>
      <c r="B4" s="4">
        <v>0.025</v>
      </c>
    </row>
    <row r="5" ht="15.75" customHeight="1">
      <c r="A5" s="3" t="s">
        <v>26</v>
      </c>
      <c r="B5" s="7">
        <v>0.06</v>
      </c>
    </row>
    <row r="6" ht="15.75" customHeight="1">
      <c r="A6" s="3" t="s">
        <v>27</v>
      </c>
      <c r="B6" s="4">
        <f>(1+B5)^(1/2)-1</f>
        <v>0.0295630141</v>
      </c>
    </row>
    <row r="7" ht="15.75" customHeight="1">
      <c r="A7" s="3" t="s">
        <v>28</v>
      </c>
      <c r="B7" s="9">
        <f>B6*100</f>
        <v>2.95630141</v>
      </c>
    </row>
    <row r="8" ht="15.75" customHeight="1"/>
    <row r="9" ht="15.75" customHeight="1">
      <c r="A9" s="6" t="s">
        <v>15</v>
      </c>
    </row>
    <row r="10" ht="15.75" customHeight="1">
      <c r="A10" s="1" t="s">
        <v>16</v>
      </c>
      <c r="B10" s="1" t="s">
        <v>29</v>
      </c>
      <c r="C10" s="1" t="s">
        <v>18</v>
      </c>
      <c r="D10" s="1" t="s">
        <v>30</v>
      </c>
    </row>
    <row r="11" ht="15.75" customHeight="1">
      <c r="A11" s="3" t="s">
        <v>20</v>
      </c>
      <c r="B11" s="9">
        <f>B7</f>
        <v>2.95630141</v>
      </c>
      <c r="C11" s="3">
        <v>30.0</v>
      </c>
      <c r="D11" s="3">
        <f t="shared" ref="D11:D13" si="1">B11/(1+$B$4)^(C11/252)</f>
        <v>2.947623836</v>
      </c>
    </row>
    <row r="12" ht="15.75" customHeight="1">
      <c r="A12" s="3" t="s">
        <v>31</v>
      </c>
      <c r="B12" s="9">
        <f>B11</f>
        <v>2.95630141</v>
      </c>
      <c r="C12" s="3">
        <v>159.0</v>
      </c>
      <c r="D12" s="3">
        <f t="shared" si="1"/>
        <v>2.910599578</v>
      </c>
    </row>
    <row r="13" ht="15.75" customHeight="1">
      <c r="A13" s="3" t="s">
        <v>32</v>
      </c>
      <c r="B13" s="9">
        <f>B12+100</f>
        <v>102.9563014</v>
      </c>
      <c r="C13" s="12">
        <v>286.0</v>
      </c>
      <c r="D13" s="3">
        <f t="shared" si="1"/>
        <v>100.1110915</v>
      </c>
    </row>
    <row r="14" ht="15.75" customHeight="1"/>
    <row r="15" ht="15.75" customHeight="1">
      <c r="C15" s="1" t="s">
        <v>33</v>
      </c>
      <c r="D15" s="13">
        <f>SUM(D11:D13)</f>
        <v>105.9693149</v>
      </c>
    </row>
    <row r="16" ht="15.75" customHeight="1">
      <c r="C16" s="1"/>
    </row>
    <row r="17" ht="15.75" customHeight="1">
      <c r="A17" s="3" t="s">
        <v>34</v>
      </c>
      <c r="B17" s="3" t="s">
        <v>35</v>
      </c>
    </row>
    <row r="18" ht="15.75" customHeight="1">
      <c r="A18" s="3" t="s">
        <v>36</v>
      </c>
      <c r="B18" s="3">
        <v>19.0</v>
      </c>
    </row>
    <row r="19" ht="15.75" customHeight="1">
      <c r="A19" s="3" t="s">
        <v>37</v>
      </c>
      <c r="B19" s="3">
        <v>30.0</v>
      </c>
    </row>
    <row r="20" ht="15.75" customHeight="1"/>
    <row r="21" ht="15.75" customHeight="1">
      <c r="A21" s="3" t="s">
        <v>38</v>
      </c>
    </row>
    <row r="22" ht="15.75" customHeight="1">
      <c r="A22" s="3" t="s">
        <v>39</v>
      </c>
      <c r="B22" s="13">
        <f>B3*(1+B2)^(B18/B19)</f>
        <v>3243.377275</v>
      </c>
    </row>
    <row r="23" ht="15.75" customHeight="1"/>
    <row r="24" ht="15.75" customHeight="1">
      <c r="A24" s="3" t="s">
        <v>4</v>
      </c>
      <c r="B24" s="14">
        <f>B22*D15/100</f>
        <v>3436.984678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D9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11"/>
    <col customWidth="1" min="2" max="2" width="12.11"/>
    <col customWidth="1" min="3" max="26" width="10.56"/>
  </cols>
  <sheetData>
    <row r="1" ht="15.75" customHeight="1">
      <c r="A1" s="1" t="s">
        <v>23</v>
      </c>
    </row>
    <row r="2" ht="15.75" customHeight="1">
      <c r="A2" s="3" t="s">
        <v>24</v>
      </c>
      <c r="B2" s="4">
        <v>0.0069</v>
      </c>
    </row>
    <row r="3" ht="15.75" customHeight="1">
      <c r="A3" s="3" t="s">
        <v>25</v>
      </c>
      <c r="B3" s="9">
        <v>2011.74270106898</v>
      </c>
    </row>
    <row r="4" ht="15.75" customHeight="1">
      <c r="A4" s="3" t="s">
        <v>2</v>
      </c>
      <c r="B4" s="4">
        <v>0.0619</v>
      </c>
    </row>
    <row r="5" ht="15.75" customHeight="1"/>
    <row r="6" ht="15.75" customHeight="1">
      <c r="A6" s="3" t="s">
        <v>34</v>
      </c>
      <c r="B6" s="3" t="s">
        <v>35</v>
      </c>
    </row>
    <row r="7" ht="15.75" customHeight="1">
      <c r="A7" s="3" t="s">
        <v>40</v>
      </c>
      <c r="B7" s="3">
        <v>3361.0</v>
      </c>
    </row>
    <row r="8" ht="15.75" customHeight="1"/>
    <row r="9" ht="15.75" customHeight="1">
      <c r="A9" s="3" t="s">
        <v>34</v>
      </c>
      <c r="B9" s="3" t="s">
        <v>41</v>
      </c>
    </row>
    <row r="10" ht="15.75" customHeight="1">
      <c r="A10" s="3" t="s">
        <v>42</v>
      </c>
      <c r="B10" s="3">
        <v>14.0</v>
      </c>
    </row>
    <row r="11" ht="15.75" customHeight="1">
      <c r="A11" s="3" t="s">
        <v>43</v>
      </c>
      <c r="B11" s="3">
        <v>31.0</v>
      </c>
    </row>
    <row r="12" ht="15.75" customHeight="1"/>
    <row r="13" ht="15.75" customHeight="1">
      <c r="A13" s="3" t="s">
        <v>33</v>
      </c>
      <c r="B13" s="13">
        <f>100/(1+B4)^(B7/252)</f>
        <v>44.88641112</v>
      </c>
    </row>
    <row r="14" ht="15.75" customHeight="1">
      <c r="A14" s="3" t="s">
        <v>39</v>
      </c>
      <c r="B14" s="15">
        <f>B3*(1+B2)^(B10/B11)</f>
        <v>2017.999733</v>
      </c>
    </row>
    <row r="15" ht="15.75" customHeight="1"/>
    <row r="16" ht="15.75" customHeight="1">
      <c r="A16" s="3" t="s">
        <v>4</v>
      </c>
      <c r="B16" s="14">
        <f>B14*B13/100</f>
        <v>905.8076564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13.11"/>
    <col customWidth="1" min="3" max="26" width="10.56"/>
  </cols>
  <sheetData>
    <row r="1" ht="15.75" customHeight="1">
      <c r="A1" s="1" t="s">
        <v>44</v>
      </c>
    </row>
    <row r="2" ht="15.75" customHeight="1">
      <c r="A2" s="3" t="s">
        <v>2</v>
      </c>
      <c r="B2" s="4">
        <v>2.0E-4</v>
      </c>
    </row>
    <row r="3" ht="15.75" customHeight="1">
      <c r="A3" s="3" t="s">
        <v>45</v>
      </c>
      <c r="B3" s="7">
        <v>0.03</v>
      </c>
    </row>
    <row r="4" ht="15.75" customHeight="1">
      <c r="A4" s="3" t="s">
        <v>46</v>
      </c>
      <c r="B4" s="3">
        <v>10.2542</v>
      </c>
    </row>
    <row r="5" ht="15.75" customHeight="1">
      <c r="A5" s="3" t="s">
        <v>47</v>
      </c>
      <c r="B5" s="3">
        <v>1255.0</v>
      </c>
    </row>
    <row r="6" ht="15.75" customHeight="1"/>
    <row r="7" ht="15.75" customHeight="1">
      <c r="A7" s="1" t="s">
        <v>33</v>
      </c>
      <c r="B7" s="13">
        <f>100/(1+B2)^(B5/252)</f>
        <v>99.90045636</v>
      </c>
    </row>
    <row r="8" ht="15.75" customHeight="1">
      <c r="A8" s="1" t="s">
        <v>39</v>
      </c>
      <c r="B8" s="13">
        <f>1000*B4*(1+B3)^(1/252)</f>
        <v>10255.40286</v>
      </c>
    </row>
    <row r="9" ht="15.75" customHeight="1"/>
    <row r="10" ht="15.75" customHeight="1">
      <c r="A10" s="1" t="s">
        <v>4</v>
      </c>
      <c r="B10" s="14">
        <f>B8*B7/100</f>
        <v>10245.19425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2022-04-22T21:32:45Z</dcterms:created>
  <dc:creator>Microsoft Office User</dc:creator>
</cp:coreProperties>
</file>