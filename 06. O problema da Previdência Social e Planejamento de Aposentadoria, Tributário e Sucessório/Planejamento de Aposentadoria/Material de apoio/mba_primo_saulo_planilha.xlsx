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https://timeprimo-my.sharepoint.com/personal/joao_sandrini_timeprimo_com/Documents/"/>
    </mc:Choice>
  </mc:AlternateContent>
  <xr:revisionPtr revIDLastSave="0" documentId="8_{18776523-47F0-4A03-9BB4-11F369F6F520}" xr6:coauthVersionLast="47" xr6:coauthVersionMax="47" xr10:uidLastSave="{00000000-0000-0000-0000-000000000000}"/>
  <bookViews>
    <workbookView xWindow="-110" yWindow="-110" windowWidth="19420" windowHeight="10420" tabRatio="835" xr2:uid="{A54C5DAE-EC7B-45A8-976D-23A8FBF9002C}"/>
  </bookViews>
  <sheets>
    <sheet name="Planejamento Financeiro" sheetId="1" r:id="rId1"/>
    <sheet name="Base Dash acum" sheetId="13" r:id="rId2"/>
    <sheet name="BaseDadosDosClientes" sheetId="3" state="hidden" r:id="rId3"/>
    <sheet name="Perfil de Risco" sheetId="2" state="hidden" r:id="rId4"/>
  </sheets>
  <definedNames>
    <definedName name="DadosExternos_1" localSheetId="3" hidden="1">'Perfil de Risco'!$A$1:$C$5</definedName>
    <definedName name="DadosExternos_2" localSheetId="2" hidden="1">BaseDadosDosClientes!$A$1:$F$159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2" i="1" l="1"/>
  <c r="E12" i="1" l="1"/>
  <c r="T4" i="13" l="1"/>
  <c r="T5" i="13"/>
  <c r="T6" i="13"/>
  <c r="T7" i="13"/>
  <c r="T8" i="13"/>
  <c r="T9" i="13"/>
  <c r="T10" i="13"/>
  <c r="T11" i="13"/>
  <c r="T12" i="13"/>
  <c r="T13" i="13"/>
  <c r="T14" i="13"/>
  <c r="T15" i="13"/>
  <c r="T16" i="13"/>
  <c r="T17" i="13"/>
  <c r="T18" i="13"/>
  <c r="T19" i="13"/>
  <c r="T20" i="13"/>
  <c r="T21" i="13"/>
  <c r="T22" i="13"/>
  <c r="T23" i="13"/>
  <c r="T24" i="13"/>
  <c r="T25" i="13"/>
  <c r="T26" i="13"/>
  <c r="T27" i="13"/>
  <c r="T28" i="13"/>
  <c r="T29" i="13"/>
  <c r="T30" i="13"/>
  <c r="T31" i="13"/>
  <c r="T32" i="13"/>
  <c r="T33" i="13"/>
  <c r="T34" i="13"/>
  <c r="T35" i="13"/>
  <c r="T36" i="13"/>
  <c r="T37" i="13"/>
  <c r="T38" i="13"/>
  <c r="T39" i="13"/>
  <c r="T40" i="13"/>
  <c r="T41" i="13"/>
  <c r="T42" i="13"/>
  <c r="T43" i="13"/>
  <c r="T44" i="13"/>
  <c r="T45" i="13"/>
  <c r="T46" i="13"/>
  <c r="T47" i="13"/>
  <c r="T48" i="13"/>
  <c r="T49" i="13"/>
  <c r="T50" i="13"/>
  <c r="T51" i="13"/>
  <c r="T52" i="13"/>
  <c r="T53" i="13"/>
  <c r="T54" i="13"/>
  <c r="S47" i="13" l="1"/>
  <c r="M21" i="1"/>
  <c r="C24" i="1" l="1"/>
  <c r="S42" i="13"/>
  <c r="S38" i="13"/>
  <c r="S53" i="13"/>
  <c r="S46" i="13"/>
  <c r="S41" i="13"/>
  <c r="S37" i="13"/>
  <c r="S49" i="13"/>
  <c r="S45" i="13"/>
  <c r="S44" i="13"/>
  <c r="S40" i="13"/>
  <c r="S51" i="13"/>
  <c r="S35" i="13"/>
  <c r="S52" i="13"/>
  <c r="S36" i="13"/>
  <c r="S39" i="13"/>
  <c r="S54" i="13"/>
  <c r="S50" i="13"/>
  <c r="S48" i="13"/>
  <c r="S43" i="13"/>
  <c r="O4" i="13" l="1"/>
  <c r="O5" i="13" s="1"/>
  <c r="O6" i="13" s="1"/>
  <c r="C2" i="13"/>
  <c r="F5" i="13"/>
  <c r="F6" i="13" s="1"/>
  <c r="H4" i="13"/>
  <c r="H5" i="13" s="1"/>
  <c r="H6" i="13" s="1"/>
  <c r="H7" i="13" s="1"/>
  <c r="H8" i="13" s="1"/>
  <c r="H9" i="13" s="1"/>
  <c r="H10" i="13" s="1"/>
  <c r="H11" i="13" s="1"/>
  <c r="H12" i="13" s="1"/>
  <c r="H13" i="13" s="1"/>
  <c r="H14" i="13" s="1"/>
  <c r="H15" i="13" s="1"/>
  <c r="H16" i="13" s="1"/>
  <c r="H17" i="13" s="1"/>
  <c r="H18" i="13" s="1"/>
  <c r="H19" i="13" s="1"/>
  <c r="H20" i="13" s="1"/>
  <c r="H21" i="13" s="1"/>
  <c r="H22" i="13" s="1"/>
  <c r="H23" i="13" s="1"/>
  <c r="H24" i="13" s="1"/>
  <c r="H25" i="13" s="1"/>
  <c r="H26" i="13" s="1"/>
  <c r="H27" i="13" s="1"/>
  <c r="H28" i="13" s="1"/>
  <c r="H29" i="13" s="1"/>
  <c r="H30" i="13" s="1"/>
  <c r="P4" i="13" l="1"/>
  <c r="P6" i="13"/>
  <c r="O7" i="13"/>
  <c r="P5" i="13"/>
  <c r="F7" i="13"/>
  <c r="G15" i="1"/>
  <c r="C30" i="1" s="1"/>
  <c r="N7" i="1"/>
  <c r="C3" i="13" l="1"/>
  <c r="I12" i="1" s="1"/>
  <c r="C4" i="13"/>
  <c r="P7" i="13"/>
  <c r="O8" i="13"/>
  <c r="E4" i="13"/>
  <c r="E5" i="13"/>
  <c r="E7" i="13"/>
  <c r="F8" i="13"/>
  <c r="E6" i="13"/>
  <c r="I15" i="1" l="1"/>
  <c r="O9" i="13"/>
  <c r="P8" i="13"/>
  <c r="F9" i="13"/>
  <c r="E8" i="13"/>
  <c r="J8" i="13"/>
  <c r="J4" i="13"/>
  <c r="G4" i="13" s="1"/>
  <c r="I4" i="13" s="1"/>
  <c r="J5" i="13"/>
  <c r="J7" i="13"/>
  <c r="J6" i="13"/>
  <c r="K12" i="1" l="1"/>
  <c r="G5" i="13"/>
  <c r="G8" i="13"/>
  <c r="G6" i="13"/>
  <c r="G7" i="13"/>
  <c r="K15" i="1"/>
  <c r="Q4" i="13"/>
  <c r="R4" i="13" s="1"/>
  <c r="C33" i="1" s="1"/>
  <c r="C39" i="1" s="1"/>
  <c r="C45" i="1" s="1"/>
  <c r="O10" i="13"/>
  <c r="P9" i="13"/>
  <c r="F10" i="13"/>
  <c r="E9" i="13"/>
  <c r="J9" i="13"/>
  <c r="I6" i="13" l="1"/>
  <c r="G9" i="13"/>
  <c r="I8" i="13"/>
  <c r="I7" i="13"/>
  <c r="I5" i="13"/>
  <c r="P10" i="13"/>
  <c r="O11" i="13"/>
  <c r="E10" i="13"/>
  <c r="F11" i="13"/>
  <c r="J10" i="13"/>
  <c r="G10" i="13" l="1"/>
  <c r="I9" i="13"/>
  <c r="S30" i="13"/>
  <c r="S24" i="13"/>
  <c r="S19" i="13"/>
  <c r="S14" i="13"/>
  <c r="S8" i="13"/>
  <c r="S28" i="13"/>
  <c r="S23" i="13"/>
  <c r="S18" i="13"/>
  <c r="S12" i="13"/>
  <c r="S7" i="13"/>
  <c r="S33" i="13"/>
  <c r="S17" i="13"/>
  <c r="S5" i="13"/>
  <c r="S29" i="13"/>
  <c r="S13" i="13"/>
  <c r="S32" i="13"/>
  <c r="S27" i="13"/>
  <c r="S22" i="13"/>
  <c r="S16" i="13"/>
  <c r="S11" i="13"/>
  <c r="S6" i="13"/>
  <c r="S21" i="13"/>
  <c r="S4" i="13"/>
  <c r="Q5" i="13" s="1"/>
  <c r="R5" i="13" s="1"/>
  <c r="S31" i="13"/>
  <c r="S26" i="13"/>
  <c r="S20" i="13"/>
  <c r="S15" i="13"/>
  <c r="S10" i="13"/>
  <c r="S25" i="13"/>
  <c r="S9" i="13"/>
  <c r="S34" i="13"/>
  <c r="P11" i="13"/>
  <c r="O12" i="13"/>
  <c r="E11" i="13"/>
  <c r="F12" i="13"/>
  <c r="J11" i="13"/>
  <c r="G11" i="13" l="1"/>
  <c r="I10" i="13"/>
  <c r="Q6" i="13"/>
  <c r="R6" i="13" s="1"/>
  <c r="O13" i="13"/>
  <c r="P12" i="13"/>
  <c r="F13" i="13"/>
  <c r="E12" i="13"/>
  <c r="J12" i="13"/>
  <c r="I11" i="13" l="1"/>
  <c r="G12" i="13"/>
  <c r="Q7" i="13"/>
  <c r="O14" i="13"/>
  <c r="P13" i="13"/>
  <c r="F14" i="13"/>
  <c r="E13" i="13"/>
  <c r="J13" i="13"/>
  <c r="R7" i="13" l="1"/>
  <c r="Q8" i="13" s="1"/>
  <c r="I12" i="13"/>
  <c r="G13" i="13"/>
  <c r="P14" i="13"/>
  <c r="O15" i="13"/>
  <c r="E14" i="13"/>
  <c r="F15" i="13"/>
  <c r="J14" i="13"/>
  <c r="R8" i="13" l="1"/>
  <c r="Q9" i="13" s="1"/>
  <c r="I13" i="13"/>
  <c r="G14" i="13"/>
  <c r="P15" i="13"/>
  <c r="O16" i="13"/>
  <c r="E15" i="13"/>
  <c r="F16" i="13"/>
  <c r="J15" i="13"/>
  <c r="R9" i="13" l="1"/>
  <c r="Q10" i="13" s="1"/>
  <c r="I14" i="13"/>
  <c r="G15" i="13"/>
  <c r="P16" i="13"/>
  <c r="O17" i="13"/>
  <c r="F17" i="13"/>
  <c r="E16" i="13"/>
  <c r="J16" i="13"/>
  <c r="R10" i="13" l="1"/>
  <c r="Q11" i="13" s="1"/>
  <c r="I15" i="13"/>
  <c r="G16" i="13"/>
  <c r="O18" i="13"/>
  <c r="P17" i="13"/>
  <c r="F18" i="13"/>
  <c r="E17" i="13"/>
  <c r="J17" i="13"/>
  <c r="R11" i="13" l="1"/>
  <c r="Q12" i="13" s="1"/>
  <c r="I16" i="13"/>
  <c r="G17" i="13"/>
  <c r="P18" i="13"/>
  <c r="O19" i="13"/>
  <c r="E18" i="13"/>
  <c r="F19" i="13"/>
  <c r="F20" i="13" s="1"/>
  <c r="J18" i="13"/>
  <c r="R12" i="13" l="1"/>
  <c r="Q13" i="13" s="1"/>
  <c r="I17" i="13"/>
  <c r="G18" i="13"/>
  <c r="F21" i="13"/>
  <c r="E20" i="13"/>
  <c r="J20" i="13"/>
  <c r="P19" i="13"/>
  <c r="O20" i="13"/>
  <c r="E19" i="13"/>
  <c r="J19" i="13"/>
  <c r="R13" i="13" l="1"/>
  <c r="Q14" i="13" s="1"/>
  <c r="I18" i="13"/>
  <c r="G19" i="13"/>
  <c r="G20" i="13"/>
  <c r="F22" i="13"/>
  <c r="E21" i="13"/>
  <c r="J21" i="13"/>
  <c r="O21" i="13"/>
  <c r="P20" i="13"/>
  <c r="R14" i="13" l="1"/>
  <c r="Q15" i="13" s="1"/>
  <c r="I19" i="13"/>
  <c r="G21" i="13"/>
  <c r="I20" i="13"/>
  <c r="J22" i="13"/>
  <c r="E22" i="13"/>
  <c r="F23" i="13"/>
  <c r="O22" i="13"/>
  <c r="P21" i="13"/>
  <c r="R15" i="13" l="1"/>
  <c r="Q16" i="13" s="1"/>
  <c r="G22" i="13"/>
  <c r="I21" i="13"/>
  <c r="F24" i="13"/>
  <c r="F25" i="13" s="1"/>
  <c r="E23" i="13"/>
  <c r="J23" i="13"/>
  <c r="P22" i="13"/>
  <c r="O23" i="13"/>
  <c r="F26" i="13" l="1"/>
  <c r="E25" i="13"/>
  <c r="J25" i="13"/>
  <c r="G25" i="13" s="1"/>
  <c r="I25" i="13" s="1"/>
  <c r="R16" i="13"/>
  <c r="Q17" i="13" s="1"/>
  <c r="I22" i="13"/>
  <c r="G23" i="13"/>
  <c r="J24" i="13"/>
  <c r="E24" i="13"/>
  <c r="P23" i="13"/>
  <c r="O24" i="13"/>
  <c r="F27" i="13" l="1"/>
  <c r="E26" i="13"/>
  <c r="J26" i="13"/>
  <c r="G26" i="13" s="1"/>
  <c r="I26" i="13" s="1"/>
  <c r="R17" i="13"/>
  <c r="Q18" i="13" s="1"/>
  <c r="I23" i="13"/>
  <c r="G24" i="13"/>
  <c r="P24" i="13"/>
  <c r="O25" i="13"/>
  <c r="F28" i="13" l="1"/>
  <c r="E27" i="13"/>
  <c r="J27" i="13"/>
  <c r="G27" i="13" s="1"/>
  <c r="I27" i="13" s="1"/>
  <c r="R18" i="13"/>
  <c r="Q19" i="13" s="1"/>
  <c r="I24" i="13"/>
  <c r="O26" i="13"/>
  <c r="P25" i="13"/>
  <c r="F29" i="13" l="1"/>
  <c r="E28" i="13"/>
  <c r="J28" i="13"/>
  <c r="G28" i="13" s="1"/>
  <c r="I28" i="13" s="1"/>
  <c r="R19" i="13"/>
  <c r="Q20" i="13" s="1"/>
  <c r="P26" i="13"/>
  <c r="O27" i="13"/>
  <c r="F30" i="13" l="1"/>
  <c r="E29" i="13"/>
  <c r="J29" i="13"/>
  <c r="G29" i="13" s="1"/>
  <c r="I29" i="13" s="1"/>
  <c r="R20" i="13"/>
  <c r="Q21" i="13" s="1"/>
  <c r="P27" i="13"/>
  <c r="O28" i="13"/>
  <c r="E30" i="13" l="1"/>
  <c r="J30" i="13"/>
  <c r="G30" i="13" s="1"/>
  <c r="I30" i="13" s="1"/>
  <c r="R21" i="13"/>
  <c r="Q22" i="13" s="1"/>
  <c r="P28" i="13"/>
  <c r="O29" i="13"/>
  <c r="R22" i="13" l="1"/>
  <c r="Q23" i="13" s="1"/>
  <c r="O30" i="13"/>
  <c r="P29" i="13"/>
  <c r="R23" i="13" l="1"/>
  <c r="Q24" i="13" s="1"/>
  <c r="P30" i="13"/>
  <c r="O31" i="13"/>
  <c r="R24" i="13" l="1"/>
  <c r="Q25" i="13" s="1"/>
  <c r="P31" i="13"/>
  <c r="O32" i="13"/>
  <c r="R25" i="13" l="1"/>
  <c r="Q26" i="13" s="1"/>
  <c r="P32" i="13"/>
  <c r="O33" i="13"/>
  <c r="R26" i="13" l="1"/>
  <c r="Q27" i="13" s="1"/>
  <c r="O34" i="13"/>
  <c r="O35" i="13" s="1"/>
  <c r="P33" i="13"/>
  <c r="O36" i="13" l="1"/>
  <c r="P35" i="13"/>
  <c r="R27" i="13"/>
  <c r="Q28" i="13" s="1"/>
  <c r="P34" i="13"/>
  <c r="P36" i="13" l="1"/>
  <c r="O37" i="13"/>
  <c r="R28" i="13"/>
  <c r="Q29" i="13" s="1"/>
  <c r="O38" i="13" l="1"/>
  <c r="P37" i="13"/>
  <c r="R29" i="13"/>
  <c r="Q30" i="13" s="1"/>
  <c r="O39" i="13" l="1"/>
  <c r="P38" i="13"/>
  <c r="R30" i="13"/>
  <c r="Q31" i="13" s="1"/>
  <c r="O40" i="13" l="1"/>
  <c r="P39" i="13"/>
  <c r="R31" i="13"/>
  <c r="Q32" i="13" s="1"/>
  <c r="O41" i="13" l="1"/>
  <c r="P40" i="13"/>
  <c r="R32" i="13"/>
  <c r="Q33" i="13" s="1"/>
  <c r="O42" i="13" l="1"/>
  <c r="P41" i="13"/>
  <c r="R33" i="13"/>
  <c r="Q34" i="13" s="1"/>
  <c r="O43" i="13" l="1"/>
  <c r="P42" i="13"/>
  <c r="R34" i="13"/>
  <c r="Q35" i="13" s="1"/>
  <c r="O44" i="13" l="1"/>
  <c r="P43" i="13"/>
  <c r="R35" i="13"/>
  <c r="Q36" i="13" s="1"/>
  <c r="P44" i="13" l="1"/>
  <c r="O45" i="13"/>
  <c r="R36" i="13"/>
  <c r="Q37" i="13" s="1"/>
  <c r="O46" i="13" l="1"/>
  <c r="P45" i="13"/>
  <c r="R37" i="13"/>
  <c r="Q38" i="13" s="1"/>
  <c r="O47" i="13" l="1"/>
  <c r="P46" i="13"/>
  <c r="R38" i="13"/>
  <c r="Q39" i="13" s="1"/>
  <c r="O48" i="13" l="1"/>
  <c r="P47" i="13"/>
  <c r="R39" i="13"/>
  <c r="Q40" i="13" s="1"/>
  <c r="O49" i="13" l="1"/>
  <c r="P48" i="13"/>
  <c r="R40" i="13"/>
  <c r="Q41" i="13" s="1"/>
  <c r="P49" i="13" l="1"/>
  <c r="O50" i="13"/>
  <c r="R41" i="13"/>
  <c r="Q42" i="13" s="1"/>
  <c r="O51" i="13" l="1"/>
  <c r="P50" i="13"/>
  <c r="R42" i="13"/>
  <c r="Q43" i="13" s="1"/>
  <c r="O52" i="13" l="1"/>
  <c r="P51" i="13"/>
  <c r="R43" i="13"/>
  <c r="Q44" i="13" s="1"/>
  <c r="O53" i="13" l="1"/>
  <c r="P52" i="13"/>
  <c r="R44" i="13"/>
  <c r="Q45" i="13" s="1"/>
  <c r="O54" i="13" l="1"/>
  <c r="P54" i="13" s="1"/>
  <c r="P53" i="13"/>
  <c r="R45" i="13"/>
  <c r="Q46" i="13" s="1"/>
  <c r="R46" i="13" l="1"/>
  <c r="Q47" i="13" s="1"/>
  <c r="R47" i="13" l="1"/>
  <c r="Q48" i="13" s="1"/>
  <c r="R48" i="13" l="1"/>
  <c r="Q49" i="13" s="1"/>
  <c r="R49" i="13" l="1"/>
  <c r="Q50" i="13" s="1"/>
  <c r="R50" i="13" l="1"/>
  <c r="Q51" i="13" s="1"/>
  <c r="R51" i="13" l="1"/>
  <c r="Q52" i="13" s="1"/>
  <c r="R52" i="13" l="1"/>
  <c r="Q53" i="13" s="1"/>
  <c r="R53" i="13" l="1"/>
  <c r="Q54" i="13" s="1"/>
  <c r="R54" i="1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4E6076-E3D7-4299-9969-49C51782BB58}" keepAlive="1" name="Consulta - BaseDadosDosClientes" description="Conexão com a consulta 'BaseDadosDosClientes' na pasta de trabalho." type="5" refreshedVersion="7" background="1" saveData="1">
    <dbPr connection="Provider=Microsoft.Mashup.OleDb.1;Data Source=$Workbook$;Location=BaseDadosDosClientes;Extended Properties=&quot;&quot;" command="SELECT * FROM [BaseDadosDosClientes]"/>
  </connection>
  <connection id="2" xr16:uid="{D3FDF15D-43BB-4D4B-9149-CB6B418D602B}" keepAlive="1" name="Consulta - Tabela2" description="Conexão com a consulta 'Tabela2' na pasta de trabalho." type="5" refreshedVersion="7" background="1" saveData="1">
    <dbPr connection="Provider=Microsoft.Mashup.OleDb.1;Data Source=$Workbook$;Location=Tabela2;Extended Properties=&quot;&quot;" command="SELECT * FROM [Tabela2]"/>
  </connection>
</connections>
</file>

<file path=xl/sharedStrings.xml><?xml version="1.0" encoding="utf-8"?>
<sst xmlns="http://schemas.openxmlformats.org/spreadsheetml/2006/main" count="788" uniqueCount="421">
  <si>
    <t>Cola Asset Allocation
(NÃO MEXA)</t>
  </si>
  <si>
    <t>2</t>
  </si>
  <si>
    <t>Agressivo</t>
  </si>
  <si>
    <t>Arrojado</t>
  </si>
  <si>
    <t>Moderado</t>
  </si>
  <si>
    <t>Conservador</t>
  </si>
  <si>
    <t>Cliente:</t>
  </si>
  <si>
    <t>Perfil de Risco:</t>
  </si>
  <si>
    <t>Valor Inicial</t>
  </si>
  <si>
    <t>Idade Atual:</t>
  </si>
  <si>
    <t>Aporte Mensal Médio:</t>
  </si>
  <si>
    <t>Tempo de Contribuição (Anos):</t>
  </si>
  <si>
    <t>Valor Nominal Final</t>
  </si>
  <si>
    <t>Valor Real Final</t>
  </si>
  <si>
    <t>Valor Total Investido</t>
  </si>
  <si>
    <t>Retorno Total Nominal</t>
  </si>
  <si>
    <t>Retorno Total Real</t>
  </si>
  <si>
    <t>3</t>
  </si>
  <si>
    <t>Nome Completo:</t>
  </si>
  <si>
    <t>E-mail:</t>
  </si>
  <si>
    <t>Data de Nascimento:</t>
  </si>
  <si>
    <t>Tipo</t>
  </si>
  <si>
    <t>ACRÔNIMO</t>
  </si>
  <si>
    <t>TITULAR</t>
  </si>
  <si>
    <t>ALEX CASTILHO ARAUJO</t>
  </si>
  <si>
    <t>ALEXCASTILHOO@GMAIL.COM</t>
  </si>
  <si>
    <t>ACA</t>
  </si>
  <si>
    <t>ALEXANDRA CAVALCANTI DE FREITAS</t>
  </si>
  <si>
    <t>ALEXANDRAFREITAS@LIVE.COM</t>
  </si>
  <si>
    <t>ACF</t>
  </si>
  <si>
    <t>ANDRE LUIZ CORREIA RAMOS</t>
  </si>
  <si>
    <t>ANDRELCRAMOSCG@GMAIL.COM</t>
  </si>
  <si>
    <t>ACR</t>
  </si>
  <si>
    <t>THACIRA DANTAS ALMEIDA RAMOS</t>
  </si>
  <si>
    <t>THACIRADANTAS@GMAIL.COM</t>
  </si>
  <si>
    <t>DEPENDENTE</t>
  </si>
  <si>
    <t>CENTRO DE ENDOCRINOLOGIA E METABOLOGIA LTDA</t>
  </si>
  <si>
    <t/>
  </si>
  <si>
    <t>ACR_CEM</t>
  </si>
  <si>
    <t>ANDREIA NONATO ALBUQUERQUE ESCARIÃO</t>
  </si>
  <si>
    <t>ANDREIANCA@HOTMAIL.COM</t>
  </si>
  <si>
    <t>AEN</t>
  </si>
  <si>
    <t>ALVARO GONCALVES DA COSTA LIMA</t>
  </si>
  <si>
    <t>ALVAROGCL@YAHOO.COM.BR</t>
  </si>
  <si>
    <t>AGCL</t>
  </si>
  <si>
    <t>LIDIA CARDOSO DE SIQUEIRA</t>
  </si>
  <si>
    <t>LIDIA_CS@HOTMAIL.COM</t>
  </si>
  <si>
    <t>AGCL_LSG</t>
  </si>
  <si>
    <t>ALEXANDRE LOBACK BESERRA</t>
  </si>
  <si>
    <t>ALEX.LOBACK@HOTMAIL.COM</t>
  </si>
  <si>
    <t>AL</t>
  </si>
  <si>
    <t>ALINE LEMGRUBER PRADO COSTA</t>
  </si>
  <si>
    <t>ALINELEMGRUBER@YAHOO.COM.BR</t>
  </si>
  <si>
    <t>ALPC</t>
  </si>
  <si>
    <t>FELIPPE JOSE CORRA DE FREITAS</t>
  </si>
  <si>
    <t>FELIPPEFREITAS@ME.COM</t>
  </si>
  <si>
    <t>ALPC_FCF</t>
  </si>
  <si>
    <t>ABELARDO GONÇALVES ESCARIÃO</t>
  </si>
  <si>
    <t>ESCARIAO@HOTMAIL.COM</t>
  </si>
  <si>
    <t>ANE</t>
  </si>
  <si>
    <t>BRUNO FREITAS LEAL</t>
  </si>
  <si>
    <t>FREITAS_BRUNO@YAHOO.COM.BR</t>
  </si>
  <si>
    <t>BFL</t>
  </si>
  <si>
    <t>LUIZA SILVA DE MELO</t>
  </si>
  <si>
    <t>CARLOS@EROSHOTEL.COM.BR</t>
  </si>
  <si>
    <t>CESM</t>
  </si>
  <si>
    <t>CARLOS EDUARDO SILVA DE MELO</t>
  </si>
  <si>
    <t>MARIA BETANIA TIBURCIO CAVALCANTI</t>
  </si>
  <si>
    <t>MELO EMPREENDIMENTOS E PARTICIPACOES IMOBILIARIAS LTDA</t>
  </si>
  <si>
    <t>PROGRESSO EMPREENDIMENTOS LTDA</t>
  </si>
  <si>
    <t>POUSADA</t>
  </si>
  <si>
    <t>VRM</t>
  </si>
  <si>
    <t>IPUTINGA</t>
  </si>
  <si>
    <t>LUIS EDUARDO TIBURCIO DE MELO</t>
  </si>
  <si>
    <t>CAMILA RIBEIRO WANDERLEY</t>
  </si>
  <si>
    <t>CAMILA@PERNAMBUCOCONSTRUTORA.COM.BR</t>
  </si>
  <si>
    <t>CRW</t>
  </si>
  <si>
    <t>DIOGO CASTRO PAIVA</t>
  </si>
  <si>
    <t>DIOGOCASTROPAIVA@GMAIL.COM</t>
  </si>
  <si>
    <t>DCP</t>
  </si>
  <si>
    <t>RODRIGO PETRIBU DA COSTA AZEVEDO</t>
  </si>
  <si>
    <t>RODRIGOPETRIBU@HOTMAIL.COM</t>
  </si>
  <si>
    <t>DFCA</t>
  </si>
  <si>
    <t>DOMINGOS FERREIRA DA COSTA AZEVEDO</t>
  </si>
  <si>
    <t>AIDA HELENA DE MORAIS</t>
  </si>
  <si>
    <t>DRLC</t>
  </si>
  <si>
    <t>LUIZ CARLOS VASCONCELLOS DE MORAES</t>
  </si>
  <si>
    <t>ALEXANDRE GARBELINI VASCONCELLOS DE MORAES</t>
  </si>
  <si>
    <t>ARIEL GARBELINI VASCONCELLOS DE MORAES</t>
  </si>
  <si>
    <t>EDE RODRIGUES ANCELMO</t>
  </si>
  <si>
    <t>GUSTAVO MAURILIO DO NASCIMENTO</t>
  </si>
  <si>
    <t>JOAO PAULO VASCONCELOS DE MORAES</t>
  </si>
  <si>
    <t>LUCAVASCO@GMAIL.COM</t>
  </si>
  <si>
    <t>SANDRA MARA GARBELINI</t>
  </si>
  <si>
    <t>DURVAL SELVA VALENCA</t>
  </si>
  <si>
    <t>DURVALVALENCA@IOR.COM.BR</t>
  </si>
  <si>
    <t>DSV</t>
  </si>
  <si>
    <t>MARCOS DE OLIVEIRA GUSMAO</t>
  </si>
  <si>
    <t>MOGUSMAO68@GMAIL.COM</t>
  </si>
  <si>
    <t>DSV_MOG</t>
  </si>
  <si>
    <t>DIOGO WANDERLEY CORREIA COSTA</t>
  </si>
  <si>
    <t>DIOGOWA@GMAIL.COM</t>
  </si>
  <si>
    <t>DWC</t>
  </si>
  <si>
    <t>EMMANUEL BENEDITO NEVES ANDRADE FILHO</t>
  </si>
  <si>
    <t>AEFILHOBIG@GMAIL.COM</t>
  </si>
  <si>
    <t>EAF</t>
  </si>
  <si>
    <t>Emmanuel benedito Neves Andrade Filho</t>
  </si>
  <si>
    <t>EMANUELLY ALESSANDRA SOARES DE MOURA</t>
  </si>
  <si>
    <t>EMANUELLYASM@GMAIL.COM</t>
  </si>
  <si>
    <t>EASM</t>
  </si>
  <si>
    <t>ELKEN GOMES RIVALDO</t>
  </si>
  <si>
    <t>ELKENRIVALDO@GMAIL.COM</t>
  </si>
  <si>
    <t>EGR</t>
  </si>
  <si>
    <t>JOSE SCHETTINI SOBRINHO</t>
  </si>
  <si>
    <t>COMERCIAL@FAMILIASOBRINHO.COM.BR</t>
  </si>
  <si>
    <t>EMSF</t>
  </si>
  <si>
    <t>ELDSAMIRA DA SILVA MASCARENHAS SCHETTINI SOBRINHO</t>
  </si>
  <si>
    <t>ELDSAMIRA DA SILVA MASCARENHAS SCHETTINI</t>
  </si>
  <si>
    <t>ELDSAMIRA@GMAIL.COM</t>
  </si>
  <si>
    <t>MARIA EDUARDA RAMOS PESSOA DE MELO</t>
  </si>
  <si>
    <t>MARIA.EDUARDA@HIMAPARTICIPACOES.COM.BR</t>
  </si>
  <si>
    <t>EPMF</t>
  </si>
  <si>
    <t>ERICA DE VASCONCELLOS RANGEL ALMEIDA</t>
  </si>
  <si>
    <t>ERICAMED2014@GMAIL.COM</t>
  </si>
  <si>
    <t>EVR</t>
  </si>
  <si>
    <t>FELIPE DE ARAUJO PINHO MENDONÇA</t>
  </si>
  <si>
    <t>FELIPEAPMENDONCA@GMAIL.COM</t>
  </si>
  <si>
    <t>FAPM</t>
  </si>
  <si>
    <t>FELIPE DE ARAUJO PINHO MENDONCA</t>
  </si>
  <si>
    <t>FABIO DEIVSON LOPES MACIEL</t>
  </si>
  <si>
    <t>FAGOLEIRO@HOTMAIL.COM</t>
  </si>
  <si>
    <t>FDLM</t>
  </si>
  <si>
    <t>FERNANDO MAFFEI FRASCA</t>
  </si>
  <si>
    <t>FERNANDOMFRASCA@GMAIL.COM</t>
  </si>
  <si>
    <t>FF_FMF</t>
  </si>
  <si>
    <t>ISABEL MIRANDA MACHADO</t>
  </si>
  <si>
    <t>ISABELMIRANDAMACHADO@GMAIL.COM</t>
  </si>
  <si>
    <t>FF_IMM</t>
  </si>
  <si>
    <t>JULIANA MAFFEI FRASCA</t>
  </si>
  <si>
    <t>JUFRASCA@GMAIL.COM</t>
  </si>
  <si>
    <t>FF_JMF</t>
  </si>
  <si>
    <t>LUIS CARLOS DA FONTOURA FRASCA</t>
  </si>
  <si>
    <t>LCFRASCA@TERRA.COM.BR</t>
  </si>
  <si>
    <t>FF_LCF</t>
  </si>
  <si>
    <t>SILVIA MAFFEI FRASCA</t>
  </si>
  <si>
    <t>SILVIA@ODONTOMAFFEI.COM.BR</t>
  </si>
  <si>
    <t>FF_SMF</t>
  </si>
  <si>
    <t>FABIO VINICIUS GONCALVES CAMPANHA</t>
  </si>
  <si>
    <t>FVGCAMPANHA@ME.COM</t>
  </si>
  <si>
    <t>FGC</t>
  </si>
  <si>
    <t>FLAVIO MACIEL MARINHO</t>
  </si>
  <si>
    <t>FLAVIOMMS@ME.COM</t>
  </si>
  <si>
    <t>FMM</t>
  </si>
  <si>
    <t>CYNTHIA DANIELLE GOMES MARINHO</t>
  </si>
  <si>
    <t>CYNTHIADSG@HOTMAIL.COM</t>
  </si>
  <si>
    <t>FMM_CGM</t>
  </si>
  <si>
    <t>FELIPE PEREIRA DE MEDEIROS</t>
  </si>
  <si>
    <t>FELIPEPMEDEIROS@GMAIL.COM</t>
  </si>
  <si>
    <t>FPM</t>
  </si>
  <si>
    <t>Felipe Pereira de Medeiros</t>
  </si>
  <si>
    <t>ANTONIO JOSE MAIA REIS</t>
  </si>
  <si>
    <t>TONECO.AR@HOTMAIL.COM</t>
  </si>
  <si>
    <t>FR_AMR</t>
  </si>
  <si>
    <t>LUCIANA DE CAMPOS REIS</t>
  </si>
  <si>
    <t>LUCIANACR81@HOTMAIL.COM</t>
  </si>
  <si>
    <t>FR_LCR</t>
  </si>
  <si>
    <t>LUIZA DE CAMPOS REIS</t>
  </si>
  <si>
    <t>LUIZACREIS@GMAIL.COM</t>
  </si>
  <si>
    <t>FR_LZCR</t>
  </si>
  <si>
    <t>ANTONIO DIAS JUNIOR</t>
  </si>
  <si>
    <t>GAD</t>
  </si>
  <si>
    <t>GUSTAVO DE ARAUJO DIAS</t>
  </si>
  <si>
    <t>BRUNO DE ARAUJO DIAS</t>
  </si>
  <si>
    <t>LUCIANA DE ARAUJO DIAS</t>
  </si>
  <si>
    <t>LUCIANA OLIVEIRA SOUSA DIAS</t>
  </si>
  <si>
    <t>SILVIA DE ARAUJO DIAS</t>
  </si>
  <si>
    <t>GUSTAVO ROCHA GOMES DE MELO</t>
  </si>
  <si>
    <t>GUSTAVOCIABA@GMAIL.COM</t>
  </si>
  <si>
    <t>GRM</t>
  </si>
  <si>
    <t>GIOVANI DE SA ALMEIDA</t>
  </si>
  <si>
    <t>GIOALMEIDA@HOTMAIL.COM</t>
  </si>
  <si>
    <t>GSA</t>
  </si>
  <si>
    <t>GABRIEL SOUZA CURY</t>
  </si>
  <si>
    <t>GABRIELSOUZACURY@HOTMAIL.COM</t>
  </si>
  <si>
    <t>GSC</t>
  </si>
  <si>
    <t>GABRIEL SOUZA DIDIER</t>
  </si>
  <si>
    <t>GABRIELSDIDIER@GMAIL.COM</t>
  </si>
  <si>
    <t>GSD</t>
  </si>
  <si>
    <t>IBERBRAS EMPREENDIMENTOS IMOBILIÁRIOS LTDA</t>
  </si>
  <si>
    <t>JOSELOISJR@HOTMAIL.COM</t>
  </si>
  <si>
    <t>IEIL</t>
  </si>
  <si>
    <t>IBERBRAS EMPREENDIMENTOS IMOBILIARIOS LTDA</t>
  </si>
  <si>
    <t>IRACEMA MARGARIDA MONTEIRO DA COSTA</t>
  </si>
  <si>
    <t>JULLIANACOSTA.DENTISTA@GMAIL.COM</t>
  </si>
  <si>
    <t>IMC</t>
  </si>
  <si>
    <t>JULLIANA VIEIRA DA COSTA</t>
  </si>
  <si>
    <t>IMC_JV</t>
  </si>
  <si>
    <t>JOSÉ ANTONIO CRIPPA</t>
  </si>
  <si>
    <t>JOSECRIPPA@HOTMAIL.COM</t>
  </si>
  <si>
    <t>JAC</t>
  </si>
  <si>
    <t>José Antonio Crippa</t>
  </si>
  <si>
    <t>JOSE ANTONIO DOS SANTOS NETO</t>
  </si>
  <si>
    <t>JOSEANTONIO@HIDROPLAST.COM.BR</t>
  </si>
  <si>
    <t>JASN</t>
  </si>
  <si>
    <t>JOSE DE BRITO MAGALHAES NETO</t>
  </si>
  <si>
    <t>ZENETO_BMN@HOTMAIL.COM</t>
  </si>
  <si>
    <t>JBMN</t>
  </si>
  <si>
    <t>EDGAR CARNEIRO MACHADO FILHO</t>
  </si>
  <si>
    <t>EDCMFILHO@HOTMAIL.COM</t>
  </si>
  <si>
    <t>JBMN_EC</t>
  </si>
  <si>
    <t>LARA DE CARVALHO MAGALHÃES ALVES CARNEIRO</t>
  </si>
  <si>
    <t>OLÍVIA MAGALHÃES ALVES CARNEIRO</t>
  </si>
  <si>
    <t>NIVIA DE CARVALHO MAGALHAES ALVES</t>
  </si>
  <si>
    <t>RDO.NVA01@GMAIL.COM</t>
  </si>
  <si>
    <t>JBMN_NB</t>
  </si>
  <si>
    <t>JOAO CARLOS RODRIGUES DE QUEIROZ</t>
  </si>
  <si>
    <t>JQUEIROZCARLOS@GMAIL.COM</t>
  </si>
  <si>
    <t>JCRQ</t>
  </si>
  <si>
    <t>JOSÉ FRANCISCO MARTINS</t>
  </si>
  <si>
    <t>JMCM.OBRAS@GMAIL.COM</t>
  </si>
  <si>
    <t>JFM</t>
  </si>
  <si>
    <t>José Francisco Martins</t>
  </si>
  <si>
    <t>JULIANE DE FREITAS SANTOS</t>
  </si>
  <si>
    <t>julianesantosdra@gmail.com</t>
  </si>
  <si>
    <t>JFS</t>
  </si>
  <si>
    <t>JUAN PABLO BORGES RODRIGUES MARICEVICH</t>
  </si>
  <si>
    <t>JPMARICEVICH@GMAIL.COM</t>
  </si>
  <si>
    <t>JPM</t>
  </si>
  <si>
    <t>JOSÉ RICARDO DO NASCIMENTO NETO</t>
  </si>
  <si>
    <t>JRICO_2004@HOTMAIL.COM</t>
  </si>
  <si>
    <t>KFB</t>
  </si>
  <si>
    <t>Kate Millena Ferreira Barbosa</t>
  </si>
  <si>
    <t>KATE MILLENA FERREIRA BARBOSA</t>
  </si>
  <si>
    <t>KAEL JOSÉ LOURENÇO</t>
  </si>
  <si>
    <t>KAEL.LOURENCO@GMAIL.COM</t>
  </si>
  <si>
    <t>KJL</t>
  </si>
  <si>
    <t>KAEL JOSE LOURENÇO</t>
  </si>
  <si>
    <t>LEONARDO DE CARVALHO GRANJA</t>
  </si>
  <si>
    <t>LEONARDOCGRANJA@GMAIL.COM</t>
  </si>
  <si>
    <t>LCG</t>
  </si>
  <si>
    <t>LAURA CARRAZZONNI GOES</t>
  </si>
  <si>
    <t>LAURACARRAZZONNI@GMAIL.COM</t>
  </si>
  <si>
    <t>LCZR</t>
  </si>
  <si>
    <t>LUTI DE OLIVEIRA ALVES</t>
  </si>
  <si>
    <t>OLIVEIRALUTI@GMAIL.COM</t>
  </si>
  <si>
    <t>LOA</t>
  </si>
  <si>
    <t>LAUDENOR PEREIRA NETO</t>
  </si>
  <si>
    <t>LAUDENOR_NETO@HOTMAIL.COM</t>
  </si>
  <si>
    <t>LPN</t>
  </si>
  <si>
    <t>CINTYA OLIVEIRA PEREIRA</t>
  </si>
  <si>
    <t>LPN_COP</t>
  </si>
  <si>
    <t>LEVI RAMOS ALVES JUNIOR</t>
  </si>
  <si>
    <t>LEVIJRSSA@HOTMAIL.COM</t>
  </si>
  <si>
    <t>LRA</t>
  </si>
  <si>
    <t>LEONARDO ROCHA DE AVELAR</t>
  </si>
  <si>
    <t>avelarleo@hotmail.com</t>
  </si>
  <si>
    <t>LRDA</t>
  </si>
  <si>
    <t>ANA PAULA NEVES VALENCA</t>
  </si>
  <si>
    <t>LV</t>
  </si>
  <si>
    <t>LUIS CARLOS CALDAS VALENCA FILHO</t>
  </si>
  <si>
    <t>ANDRE NEVES VALENCA</t>
  </si>
  <si>
    <t>CHRISTINA DOS SANTOS FIGUEIRA VALENCA</t>
  </si>
  <si>
    <t>MARIA CLARA FIGUEIRA VALENCA</t>
  </si>
  <si>
    <t>BRUNO MONTEIRO ESTEVES</t>
  </si>
  <si>
    <t>BRUNOMONTEIRO_ESTEVES@HOTMAIL.COM</t>
  </si>
  <si>
    <t>MAP</t>
  </si>
  <si>
    <t>MARIANA ATAIDE MELO DE PINHO</t>
  </si>
  <si>
    <t>MARIANA ATAÍDE MELO DE PINHO</t>
  </si>
  <si>
    <t>MAMP5@YAHOO.COM.BR</t>
  </si>
  <si>
    <t>MARIA CECILIA MARINHO TENÓRIO</t>
  </si>
  <si>
    <t>MARIACECILIATENORIO@GMAIL.COM</t>
  </si>
  <si>
    <t>MCT</t>
  </si>
  <si>
    <t>MARIA CECILIA MARINHO TENORIO</t>
  </si>
  <si>
    <t>RAFAEL MIRANDA TASSITANO</t>
  </si>
  <si>
    <t>RAFAEL.TASSITANO@GMAIL.COM</t>
  </si>
  <si>
    <t>LEONARDO TENORIO TASSITANO</t>
  </si>
  <si>
    <t>MCT_LTT</t>
  </si>
  <si>
    <t>MARIA KARINA MONTEIRO VASCONCELOS</t>
  </si>
  <si>
    <t>MARIAKARINAMONTEIRO@GMAIL.COM</t>
  </si>
  <si>
    <t>MKM</t>
  </si>
  <si>
    <t>MARGARIDA INES MACIEL DE OLIVEIRA</t>
  </si>
  <si>
    <t>GUIDA_OLIVEIRA@HOTMAIL.COM</t>
  </si>
  <si>
    <t>MKM_MMT</t>
  </si>
  <si>
    <t>Marcelo Marçal Vieira Júnior</t>
  </si>
  <si>
    <t>marcelomvjr@gmail.com</t>
  </si>
  <si>
    <t>MMV</t>
  </si>
  <si>
    <t>MARCUS VINICIUS MOREIRA CABRAL</t>
  </si>
  <si>
    <t>MVCABRAL@GMAIL.COM</t>
  </si>
  <si>
    <t>MVM</t>
  </si>
  <si>
    <t>PEDRO HENRIQUE GALVEZ DE CARVALHO BARGETZI</t>
  </si>
  <si>
    <t>PEDROBARGETZI_@HOTMAIL.COM</t>
  </si>
  <si>
    <t>PBG</t>
  </si>
  <si>
    <t>HENRIQUE VALENCA DA MOTA NETO</t>
  </si>
  <si>
    <t>LUCIANA GALVEZ DE ANDRADE LIMA</t>
  </si>
  <si>
    <t>MARIA LUIZA DE ESPINDOLA MOTA</t>
  </si>
  <si>
    <t>MILENA SIQUEIRA VASCONSELOS</t>
  </si>
  <si>
    <t>MILENA.SVASCONCELOS@GMAIL.COM</t>
  </si>
  <si>
    <t>PVV</t>
  </si>
  <si>
    <t>PEDRO VITOR MACEDO VIEIRA</t>
  </si>
  <si>
    <t>PEDROVITOR.VIEIRA@GMAIL.COM</t>
  </si>
  <si>
    <t>RONALD FONSECA CAVALCANTI</t>
  </si>
  <si>
    <t>BERNARDOCAVALCANTIMD@GMAIL.COM</t>
  </si>
  <si>
    <t>RC</t>
  </si>
  <si>
    <t>BERNARDO MENELAU CAVALCANTI</t>
  </si>
  <si>
    <t>RC FILHOS</t>
  </si>
  <si>
    <t>CECILIA MENELAU CAVALCANTI</t>
  </si>
  <si>
    <t>ELANI MARIA MENELAU CAVALCANTI</t>
  </si>
  <si>
    <t>RODRIGO CARVALHO ASFORA</t>
  </si>
  <si>
    <t>RODRIGOCASFORA@GMAIL.COM</t>
  </si>
  <si>
    <t>RCA</t>
  </si>
  <si>
    <t>RENAN CABRAL MOTA</t>
  </si>
  <si>
    <t>RCABRAL.MED@GMAIL.COM</t>
  </si>
  <si>
    <t>RCM</t>
  </si>
  <si>
    <t>RODRIGO PESSOA JATOBA CAVALCANTI</t>
  </si>
  <si>
    <t>RODRIGO_JATOBA@HOTMAIL.COM</t>
  </si>
  <si>
    <t>RJC</t>
  </si>
  <si>
    <t>RM TERCEIRIZACAO E GESTAO DE RECURSOS HUMANOS</t>
  </si>
  <si>
    <t>RAFAELPJATOBAC@GMAIL.COM</t>
  </si>
  <si>
    <t>RJC_2</t>
  </si>
  <si>
    <t>ROMERO JATOBA CAVALCANTI FILHO</t>
  </si>
  <si>
    <t>ROMERO.JATOBA@BOL.COM.BR</t>
  </si>
  <si>
    <t>RJC_3</t>
  </si>
  <si>
    <t>RAFAEL PESSOA JATOBA CAVALCANTI</t>
  </si>
  <si>
    <t>RODRIGO MEDEIROS DE CARVALHO</t>
  </si>
  <si>
    <t>RM_CARVALHO@HOTMAIL.COM</t>
  </si>
  <si>
    <t>RMC</t>
  </si>
  <si>
    <t>RAFAEL MONTARROYOS VASCONCELOS BRITO PEREIRA</t>
  </si>
  <si>
    <t>RAFAELMONTARROYOS@HOTMAIL.COM</t>
  </si>
  <si>
    <t>RMP</t>
  </si>
  <si>
    <t>LARA PINHEIRO DE MACEDO MONTARROYOS</t>
  </si>
  <si>
    <t>LARINHAPINHEIRO@HOTMAIL.COM</t>
  </si>
  <si>
    <t>RAFAEL SCHINCARIOL LEIFELD</t>
  </si>
  <si>
    <t>RSCHINCARIOL@GMAIL.COM</t>
  </si>
  <si>
    <t>RSL</t>
  </si>
  <si>
    <t>FRANCISCO XAVIER MAFRA</t>
  </si>
  <si>
    <t>FXMAFRACONTAXP@GMAIL.COM</t>
  </si>
  <si>
    <t>SLS</t>
  </si>
  <si>
    <t>SANDERSON LIENIO DA SILVA MAFRA</t>
  </si>
  <si>
    <t>SANDERSONMAFRA@HOTMAIL.COM</t>
  </si>
  <si>
    <t>ORENDA INVESTIMENTOS E PARTICIPACOES LTDA</t>
  </si>
  <si>
    <t>SANDERSON MAFRA SOCIEDADE INDIVIDUAL</t>
  </si>
  <si>
    <t>CELIO VOLPI JUNIOR</t>
  </si>
  <si>
    <t>SSD</t>
  </si>
  <si>
    <t>SAULO DE SOUZA GODOY</t>
  </si>
  <si>
    <t>MARCELLA GUSMAO LINS DE ALBUQUERQUE</t>
  </si>
  <si>
    <t>SAULOGODOY@HOTMAIL.COM</t>
  </si>
  <si>
    <t>THIAGO CORREA DO AMARAL RIBEIRO</t>
  </si>
  <si>
    <t>THIAGOCAMP.RIBEIRO@GMAIL.COM</t>
  </si>
  <si>
    <t>TCAR</t>
  </si>
  <si>
    <t>TATIANA MENEZES TAVARES</t>
  </si>
  <si>
    <t>TATIANA.ARQUITETURA@GMAIL.COM</t>
  </si>
  <si>
    <t>TMT</t>
  </si>
  <si>
    <t>TR EMPREENDIMENTOS IMOBILIARIOS EIRELLI</t>
  </si>
  <si>
    <t>THIAGO_RAMOS.22@HOTMAIL.COM</t>
  </si>
  <si>
    <t>TRE</t>
  </si>
  <si>
    <t>Thiago Vinicius Vieira Miranda</t>
  </si>
  <si>
    <t>thiago@mirandalaw.com.br</t>
  </si>
  <si>
    <t>TVM</t>
  </si>
  <si>
    <t>VINICIUS TEODORO BARRETA MELO</t>
  </si>
  <si>
    <t>VINICIUS.MELO16@OUTLOOK.COM</t>
  </si>
  <si>
    <t>VBM</t>
  </si>
  <si>
    <t>LUISVALENCAFILHO@GMAIL.COM</t>
  </si>
  <si>
    <t>ANDRESSA DE MATOS PEIXOTO</t>
  </si>
  <si>
    <t>AMP</t>
  </si>
  <si>
    <t>GABRIEL SOARES RIBEIRO LOPES</t>
  </si>
  <si>
    <t>CARLINDO BARROS LOPES JUNIOR</t>
  </si>
  <si>
    <t>HENRIQUE ROMEIRO DE A MARANHAO NEVES</t>
  </si>
  <si>
    <t>LINA MARIA DIAS GONCALVES DE BARROS</t>
  </si>
  <si>
    <t>LUIS GONCALVES DE BARROS NETTO</t>
  </si>
  <si>
    <t>MARIA CAROLINA AYRES LIOI</t>
  </si>
  <si>
    <t>MARIA LUIZA DE RANGEL MOREIRA DIAS</t>
  </si>
  <si>
    <t>MADEPORT LTDA</t>
  </si>
  <si>
    <t>MDT</t>
  </si>
  <si>
    <t>AURIMAR JOSE DA SILVA JUNIOR</t>
  </si>
  <si>
    <t>aurimar_jr@hotmail.com</t>
  </si>
  <si>
    <t>AJS</t>
  </si>
  <si>
    <t>JOÃO ANTONIO RIBEIRO DOS SANTOS SILVA</t>
  </si>
  <si>
    <t>JRS</t>
  </si>
  <si>
    <t>MARIETA CARVALHO TORRES GALINDO</t>
  </si>
  <si>
    <t>VERA LÚCIA GARBELINI</t>
  </si>
  <si>
    <t xml:space="preserve">Vera.garbelini @hotmail.com  </t>
  </si>
  <si>
    <t>VLG</t>
  </si>
  <si>
    <t>VERA LUCIA GARBELINI</t>
  </si>
  <si>
    <t>JOÃO TERRA</t>
  </si>
  <si>
    <t>DLP_JT</t>
  </si>
  <si>
    <t>DJALMA LUCIANO PEIXOTO ANDRADE</t>
  </si>
  <si>
    <t>DLP</t>
  </si>
  <si>
    <t>RENATA MARTINS CAVALCANTI ARRUDA</t>
  </si>
  <si>
    <t>RENATA_TEX_@HOTMAIL.COM</t>
  </si>
  <si>
    <t>RMCA</t>
  </si>
  <si>
    <t>NYDIANA LAGES CALADO</t>
  </si>
  <si>
    <t>NLC</t>
  </si>
  <si>
    <t>GUSTAVO CAVALCANTI ARRUDA</t>
  </si>
  <si>
    <t>GUGA_ARRUDA@HOTMAIL.COM</t>
  </si>
  <si>
    <t>TotalAcumulado</t>
  </si>
  <si>
    <t>Total Juros</t>
  </si>
  <si>
    <t>Total Investido</t>
  </si>
  <si>
    <t>Juros</t>
  </si>
  <si>
    <t>Ano</t>
  </si>
  <si>
    <t>IDADE</t>
  </si>
  <si>
    <t>ANO</t>
  </si>
  <si>
    <t>PL</t>
  </si>
  <si>
    <t>RENDA ANO</t>
  </si>
  <si>
    <t>GASTO ANO</t>
  </si>
  <si>
    <t>GASTO MÊS</t>
  </si>
  <si>
    <t>Data Atual:</t>
  </si>
  <si>
    <t>Taxa Nominal (a.a.)</t>
  </si>
  <si>
    <t>Taxa Real (a.a.)</t>
  </si>
  <si>
    <t>Idade Objetivo:</t>
  </si>
  <si>
    <t>Fase de Acúmulo</t>
  </si>
  <si>
    <t>Fase de Usufruto</t>
  </si>
  <si>
    <t>Anos</t>
  </si>
  <si>
    <t>Objetivo Gasto Mensal:</t>
  </si>
  <si>
    <t xml:space="preserve">Superávit / Déficit </t>
  </si>
  <si>
    <t>RENDA PASSIVA POTENCIAL (PL + INSS)</t>
  </si>
  <si>
    <t>RENDA PASSIVA POTENCIAL (PL)</t>
  </si>
  <si>
    <t>Inflação md -10anos (a.a.)</t>
  </si>
  <si>
    <t>Selic md -10anos (a.a.)</t>
  </si>
  <si>
    <t>ALUGUEL + INSS</t>
  </si>
  <si>
    <t>Taxa de Juros real</t>
  </si>
  <si>
    <t>AMSF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</si>
</sst>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0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3E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rgb="FF00003E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00003E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00003E"/>
      <name val="Calibri"/>
      <family val="2"/>
      <scheme val="minor"/>
    </font>
    <font>
      <b/>
      <sz val="12"/>
      <color rgb="FF00003E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000066"/>
      </bottom>
      <diagonal/>
    </border>
    <border>
      <left style="thick">
        <color rgb="FF00003E"/>
      </left>
      <right/>
      <top/>
      <bottom/>
      <diagonal/>
    </border>
    <border>
      <left style="medium">
        <color rgb="FF00003E"/>
      </left>
      <right/>
      <top/>
      <bottom/>
      <diagonal/>
    </border>
    <border>
      <left/>
      <right/>
      <top/>
      <bottom style="medium">
        <color rgb="FF00003E"/>
      </bottom>
      <diagonal/>
    </border>
    <border>
      <left style="medium">
        <color rgb="FF00003E"/>
      </left>
      <right/>
      <top style="medium">
        <color rgb="FF00003E"/>
      </top>
      <bottom/>
      <diagonal/>
    </border>
    <border>
      <left/>
      <right/>
      <top style="medium">
        <color rgb="FF00003E"/>
      </top>
      <bottom/>
      <diagonal/>
    </border>
    <border>
      <left/>
      <right style="medium">
        <color rgb="FF00003E"/>
      </right>
      <top style="medium">
        <color rgb="FF00003E"/>
      </top>
      <bottom/>
      <diagonal/>
    </border>
    <border>
      <left/>
      <right style="medium">
        <color rgb="FF00003E"/>
      </right>
      <top/>
      <bottom/>
      <diagonal/>
    </border>
    <border>
      <left style="medium">
        <color rgb="FF00003E"/>
      </left>
      <right/>
      <top/>
      <bottom style="medium">
        <color rgb="FF00003E"/>
      </bottom>
      <diagonal/>
    </border>
    <border>
      <left/>
      <right style="medium">
        <color rgb="FF00003E"/>
      </right>
      <top/>
      <bottom style="medium">
        <color rgb="FF00003E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/>
    <xf numFmtId="1" fontId="0" fillId="0" borderId="0" xfId="0" applyNumberFormat="1" applyAlignment="1">
      <alignment horizontal="center"/>
    </xf>
    <xf numFmtId="44" fontId="0" fillId="0" borderId="0" xfId="2" applyFont="1"/>
    <xf numFmtId="8" fontId="0" fillId="0" borderId="0" xfId="0" applyNumberFormat="1"/>
    <xf numFmtId="44" fontId="0" fillId="0" borderId="0" xfId="0" applyNumberFormat="1"/>
    <xf numFmtId="0" fontId="0" fillId="0" borderId="1" xfId="0" applyBorder="1"/>
    <xf numFmtId="0" fontId="0" fillId="0" borderId="0" xfId="0" applyBorder="1"/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/>
    <xf numFmtId="0" fontId="0" fillId="0" borderId="1" xfId="0" applyBorder="1" applyAlignment="1"/>
    <xf numFmtId="0" fontId="0" fillId="0" borderId="0" xfId="0" applyBorder="1" applyAlignment="1"/>
    <xf numFmtId="0" fontId="6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/>
    <xf numFmtId="0" fontId="6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3" fillId="4" borderId="0" xfId="0" applyFont="1" applyFill="1" applyBorder="1" applyAlignment="1">
      <alignment horizontal="left" vertical="center"/>
    </xf>
    <xf numFmtId="0" fontId="0" fillId="0" borderId="4" xfId="0" applyBorder="1" applyAlignment="1">
      <alignment vertical="center"/>
    </xf>
    <xf numFmtId="43" fontId="7" fillId="3" borderId="3" xfId="1" applyFont="1" applyFill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/>
    <xf numFmtId="0" fontId="0" fillId="0" borderId="6" xfId="0" applyBorder="1"/>
    <xf numFmtId="0" fontId="0" fillId="0" borderId="7" xfId="0" applyBorder="1"/>
    <xf numFmtId="0" fontId="0" fillId="0" borderId="3" xfId="0" applyBorder="1" applyAlignment="1">
      <alignment vertical="center"/>
    </xf>
    <xf numFmtId="0" fontId="0" fillId="0" borderId="8" xfId="0" applyBorder="1" applyAlignment="1">
      <alignment vertical="center"/>
    </xf>
    <xf numFmtId="0" fontId="6" fillId="0" borderId="3" xfId="0" applyFont="1" applyBorder="1" applyAlignment="1">
      <alignment vertical="center"/>
    </xf>
    <xf numFmtId="0" fontId="0" fillId="0" borderId="0" xfId="0" applyFont="1" applyBorder="1" applyAlignment="1">
      <alignment horizontal="left"/>
    </xf>
    <xf numFmtId="0" fontId="8" fillId="0" borderId="0" xfId="0" applyFont="1" applyBorder="1"/>
    <xf numFmtId="0" fontId="0" fillId="0" borderId="9" xfId="0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4" xfId="0" applyBorder="1"/>
    <xf numFmtId="0" fontId="0" fillId="0" borderId="10" xfId="0" applyBorder="1" applyAlignment="1">
      <alignment vertical="center"/>
    </xf>
    <xf numFmtId="0" fontId="5" fillId="0" borderId="0" xfId="0" applyFont="1" applyBorder="1" applyAlignment="1"/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9" fillId="4" borderId="4" xfId="0" applyFont="1" applyFill="1" applyBorder="1" applyAlignment="1">
      <alignment horizontal="center"/>
    </xf>
    <xf numFmtId="0" fontId="0" fillId="0" borderId="4" xfId="0" applyBorder="1" applyAlignment="1"/>
    <xf numFmtId="0" fontId="11" fillId="0" borderId="0" xfId="0" applyFont="1"/>
    <xf numFmtId="0" fontId="3" fillId="4" borderId="0" xfId="0" applyFont="1" applyFill="1" applyBorder="1" applyAlignment="1">
      <alignment horizontal="left"/>
    </xf>
    <xf numFmtId="14" fontId="10" fillId="3" borderId="2" xfId="0" applyNumberFormat="1" applyFont="1" applyFill="1" applyBorder="1" applyAlignment="1">
      <alignment horizontal="left" vertical="top"/>
    </xf>
    <xf numFmtId="14" fontId="10" fillId="3" borderId="0" xfId="0" applyNumberFormat="1" applyFont="1" applyFill="1" applyBorder="1" applyAlignment="1">
      <alignment horizontal="left" vertical="top"/>
    </xf>
    <xf numFmtId="10" fontId="4" fillId="5" borderId="0" xfId="3" applyNumberFormat="1" applyFont="1" applyFill="1" applyAlignment="1">
      <alignment vertical="center"/>
    </xf>
    <xf numFmtId="164" fontId="4" fillId="5" borderId="0" xfId="3" applyNumberFormat="1" applyFont="1" applyFill="1" applyAlignment="1">
      <alignment vertical="center"/>
    </xf>
    <xf numFmtId="0" fontId="6" fillId="0" borderId="8" xfId="0" applyFont="1" applyBorder="1" applyAlignment="1">
      <alignment vertical="center"/>
    </xf>
    <xf numFmtId="43" fontId="0" fillId="0" borderId="0" xfId="0" applyNumberFormat="1"/>
    <xf numFmtId="43" fontId="7" fillId="3" borderId="3" xfId="1" applyFont="1" applyFill="1" applyBorder="1" applyAlignment="1" applyProtection="1">
      <alignment horizontal="center" vertical="center"/>
      <protection hidden="1"/>
    </xf>
    <xf numFmtId="10" fontId="7" fillId="3" borderId="3" xfId="0" applyNumberFormat="1" applyFont="1" applyFill="1" applyBorder="1" applyAlignment="1" applyProtection="1">
      <alignment horizontal="right" vertical="center"/>
      <protection hidden="1"/>
    </xf>
    <xf numFmtId="0" fontId="7" fillId="2" borderId="3" xfId="0" applyFont="1" applyFill="1" applyBorder="1" applyAlignment="1" applyProtection="1">
      <alignment horizontal="left" vertical="top"/>
      <protection locked="0"/>
    </xf>
    <xf numFmtId="43" fontId="7" fillId="2" borderId="3" xfId="1" applyFont="1" applyFill="1" applyBorder="1" applyAlignment="1" applyProtection="1">
      <alignment horizontal="center" vertical="center"/>
      <protection locked="0"/>
    </xf>
    <xf numFmtId="10" fontId="7" fillId="2" borderId="3" xfId="0" applyNumberFormat="1" applyFont="1" applyFill="1" applyBorder="1" applyAlignment="1" applyProtection="1">
      <alignment horizontal="right" vertical="center"/>
      <protection locked="0"/>
    </xf>
    <xf numFmtId="0" fontId="3" fillId="4" borderId="0" xfId="0" applyFont="1" applyFill="1" applyBorder="1" applyAlignment="1">
      <alignment horizontal="left"/>
    </xf>
    <xf numFmtId="43" fontId="7" fillId="2" borderId="3" xfId="1" applyFont="1" applyFill="1" applyBorder="1" applyAlignment="1" applyProtection="1">
      <alignment horizontal="center" vertical="center"/>
      <protection hidden="1"/>
    </xf>
    <xf numFmtId="10" fontId="7" fillId="2" borderId="3" xfId="0" applyNumberFormat="1" applyFont="1" applyFill="1" applyBorder="1" applyAlignment="1" applyProtection="1">
      <alignment horizontal="right" vertical="center"/>
      <protection hidden="1"/>
    </xf>
    <xf numFmtId="0" fontId="7" fillId="2" borderId="3" xfId="0" applyFont="1" applyFill="1" applyBorder="1" applyAlignment="1" applyProtection="1">
      <alignment horizontal="center" vertical="center"/>
      <protection locked="0"/>
    </xf>
    <xf numFmtId="1" fontId="7" fillId="3" borderId="3" xfId="0" applyNumberFormat="1" applyFont="1" applyFill="1" applyBorder="1" applyAlignment="1">
      <alignment horizontal="center" vertical="center"/>
    </xf>
    <xf numFmtId="1" fontId="7" fillId="3" borderId="0" xfId="0" applyNumberFormat="1" applyFont="1" applyFill="1" applyBorder="1" applyAlignment="1" applyProtection="1">
      <alignment horizontal="center" vertical="center"/>
      <protection hidden="1"/>
    </xf>
    <xf numFmtId="0" fontId="7" fillId="4" borderId="0" xfId="0" applyFont="1" applyFill="1" applyBorder="1" applyAlignment="1">
      <alignment horizontal="center" vertical="center"/>
    </xf>
    <xf numFmtId="43" fontId="10" fillId="4" borderId="3" xfId="1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>
      <alignment horizontal="left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left"/>
    </xf>
    <xf numFmtId="0" fontId="10" fillId="3" borderId="0" xfId="0" applyFont="1" applyFill="1" applyBorder="1" applyAlignment="1">
      <alignment horizontal="left" vertical="top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  <color rgb="FFF8F8F8"/>
      <color rgb="FF00003E"/>
      <color rgb="FFDDDDDD"/>
      <color rgb="FF000066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3E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003E"/>
                </a:solidFill>
              </a:rPr>
              <a:t>Projeção de Acúmulo</a:t>
            </a:r>
          </a:p>
        </c:rich>
      </c:tx>
      <c:layout>
        <c:manualLayout>
          <c:xMode val="edge"/>
          <c:yMode val="edge"/>
          <c:x val="0.40093576580785578"/>
          <c:y val="6.18066638140514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3E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4940573682607601E-2"/>
          <c:y val="0.21893035912629111"/>
          <c:w val="0.89796740442197176"/>
          <c:h val="0.55325387190110331"/>
        </c:manualLayout>
      </c:layout>
      <c:areaChart>
        <c:grouping val="stacked"/>
        <c:varyColors val="0"/>
        <c:ser>
          <c:idx val="0"/>
          <c:order val="0"/>
          <c:tx>
            <c:strRef>
              <c:f>'Base Dash acum'!$H$3</c:f>
              <c:strCache>
                <c:ptCount val="1"/>
                <c:pt idx="0">
                  <c:v>Total Investido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 w="25400">
              <a:noFill/>
            </a:ln>
            <a:effectLst/>
          </c:spPr>
          <c:cat>
            <c:numRef>
              <c:f>'Base Dash acum'!$E$4:$E$30</c:f>
              <c:numCache>
                <c:formatCode>0</c:formatCode>
                <c:ptCount val="27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  <c:pt idx="4">
                  <c:v>34</c:v>
                </c:pt>
                <c:pt idx="5">
                  <c:v>35</c:v>
                </c:pt>
                <c:pt idx="6">
                  <c:v>36</c:v>
                </c:pt>
                <c:pt idx="7">
                  <c:v>37</c:v>
                </c:pt>
                <c:pt idx="8">
                  <c:v>38</c:v>
                </c:pt>
                <c:pt idx="9">
                  <c:v>39</c:v>
                </c:pt>
                <c:pt idx="10">
                  <c:v>40</c:v>
                </c:pt>
                <c:pt idx="11">
                  <c:v>41</c:v>
                </c:pt>
                <c:pt idx="12">
                  <c:v>42</c:v>
                </c:pt>
                <c:pt idx="13">
                  <c:v>43</c:v>
                </c:pt>
                <c:pt idx="14">
                  <c:v>44</c:v>
                </c:pt>
                <c:pt idx="15">
                  <c:v>45</c:v>
                </c:pt>
                <c:pt idx="16">
                  <c:v>46</c:v>
                </c:pt>
                <c:pt idx="17">
                  <c:v>47</c:v>
                </c:pt>
                <c:pt idx="18">
                  <c:v>48</c:v>
                </c:pt>
                <c:pt idx="19">
                  <c:v>49</c:v>
                </c:pt>
                <c:pt idx="20">
                  <c:v>50</c:v>
                </c:pt>
                <c:pt idx="21">
                  <c:v>51</c:v>
                </c:pt>
                <c:pt idx="22">
                  <c:v>52</c:v>
                </c:pt>
                <c:pt idx="23">
                  <c:v>53</c:v>
                </c:pt>
                <c:pt idx="24">
                  <c:v>54</c:v>
                </c:pt>
                <c:pt idx="25">
                  <c:v>55</c:v>
                </c:pt>
                <c:pt idx="26">
                  <c:v>56</c:v>
                </c:pt>
              </c:numCache>
            </c:numRef>
          </c:cat>
          <c:val>
            <c:numRef>
              <c:f>'Base Dash acum'!$H$4:$H$30</c:f>
              <c:numCache>
                <c:formatCode>_("R$"* #,##0.00_);_("R$"* \(#,##0.00\);_("R$"* "-"??_);_(@_)</c:formatCode>
                <c:ptCount val="27"/>
                <c:pt idx="0">
                  <c:v>1000000</c:v>
                </c:pt>
                <c:pt idx="1">
                  <c:v>1060000</c:v>
                </c:pt>
                <c:pt idx="2">
                  <c:v>1120000</c:v>
                </c:pt>
                <c:pt idx="3">
                  <c:v>1180000</c:v>
                </c:pt>
                <c:pt idx="4">
                  <c:v>1240000</c:v>
                </c:pt>
                <c:pt idx="5">
                  <c:v>1300000</c:v>
                </c:pt>
                <c:pt idx="6">
                  <c:v>1360000</c:v>
                </c:pt>
                <c:pt idx="7">
                  <c:v>1420000</c:v>
                </c:pt>
                <c:pt idx="8">
                  <c:v>1480000</c:v>
                </c:pt>
                <c:pt idx="9">
                  <c:v>1540000</c:v>
                </c:pt>
                <c:pt idx="10">
                  <c:v>1600000</c:v>
                </c:pt>
                <c:pt idx="11">
                  <c:v>1660000</c:v>
                </c:pt>
                <c:pt idx="12">
                  <c:v>1720000</c:v>
                </c:pt>
                <c:pt idx="13">
                  <c:v>1780000</c:v>
                </c:pt>
                <c:pt idx="14">
                  <c:v>1840000</c:v>
                </c:pt>
                <c:pt idx="15">
                  <c:v>1900000</c:v>
                </c:pt>
                <c:pt idx="16">
                  <c:v>1960000</c:v>
                </c:pt>
                <c:pt idx="17">
                  <c:v>2020000</c:v>
                </c:pt>
                <c:pt idx="18">
                  <c:v>2080000</c:v>
                </c:pt>
                <c:pt idx="19">
                  <c:v>2140000</c:v>
                </c:pt>
                <c:pt idx="20">
                  <c:v>2200000</c:v>
                </c:pt>
                <c:pt idx="21">
                  <c:v>2260000</c:v>
                </c:pt>
                <c:pt idx="22">
                  <c:v>2320000</c:v>
                </c:pt>
                <c:pt idx="23">
                  <c:v>2380000</c:v>
                </c:pt>
                <c:pt idx="24">
                  <c:v>2440000</c:v>
                </c:pt>
                <c:pt idx="25">
                  <c:v>2500000</c:v>
                </c:pt>
                <c:pt idx="26">
                  <c:v>2560000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0B-4C99-BAB6-9C83F4A1B4D3}"/>
            </c:ext>
          </c:extLst>
        </c:ser>
        <c:ser>
          <c:idx val="1"/>
          <c:order val="1"/>
          <c:tx>
            <c:strRef>
              <c:f>'Base Dash acum'!$I$3</c:f>
              <c:strCache>
                <c:ptCount val="1"/>
                <c:pt idx="0">
                  <c:v>Total Juros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 w="25400">
              <a:noFill/>
            </a:ln>
            <a:effectLst/>
          </c:spPr>
          <c:cat>
            <c:numRef>
              <c:f>'Base Dash acum'!$E$4:$E$30</c:f>
              <c:numCache>
                <c:formatCode>0</c:formatCode>
                <c:ptCount val="27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  <c:pt idx="4">
                  <c:v>34</c:v>
                </c:pt>
                <c:pt idx="5">
                  <c:v>35</c:v>
                </c:pt>
                <c:pt idx="6">
                  <c:v>36</c:v>
                </c:pt>
                <c:pt idx="7">
                  <c:v>37</c:v>
                </c:pt>
                <c:pt idx="8">
                  <c:v>38</c:v>
                </c:pt>
                <c:pt idx="9">
                  <c:v>39</c:v>
                </c:pt>
                <c:pt idx="10">
                  <c:v>40</c:v>
                </c:pt>
                <c:pt idx="11">
                  <c:v>41</c:v>
                </c:pt>
                <c:pt idx="12">
                  <c:v>42</c:v>
                </c:pt>
                <c:pt idx="13">
                  <c:v>43</c:v>
                </c:pt>
                <c:pt idx="14">
                  <c:v>44</c:v>
                </c:pt>
                <c:pt idx="15">
                  <c:v>45</c:v>
                </c:pt>
                <c:pt idx="16">
                  <c:v>46</c:v>
                </c:pt>
                <c:pt idx="17">
                  <c:v>47</c:v>
                </c:pt>
                <c:pt idx="18">
                  <c:v>48</c:v>
                </c:pt>
                <c:pt idx="19">
                  <c:v>49</c:v>
                </c:pt>
                <c:pt idx="20">
                  <c:v>50</c:v>
                </c:pt>
                <c:pt idx="21">
                  <c:v>51</c:v>
                </c:pt>
                <c:pt idx="22">
                  <c:v>52</c:v>
                </c:pt>
                <c:pt idx="23">
                  <c:v>53</c:v>
                </c:pt>
                <c:pt idx="24">
                  <c:v>54</c:v>
                </c:pt>
                <c:pt idx="25">
                  <c:v>55</c:v>
                </c:pt>
                <c:pt idx="26">
                  <c:v>56</c:v>
                </c:pt>
              </c:numCache>
            </c:numRef>
          </c:cat>
          <c:val>
            <c:numRef>
              <c:f>'Base Dash acum'!$I$4:$I$30</c:f>
              <c:numCache>
                <c:formatCode>"R$"#,##0.00_);[Red]\("R$"#,##0.00\)</c:formatCode>
                <c:ptCount val="27"/>
                <c:pt idx="0">
                  <c:v>0</c:v>
                </c:pt>
                <c:pt idx="1">
                  <c:v>111941.51662217034</c:v>
                </c:pt>
                <c:pt idx="2">
                  <c:v>242624.65855615656</c:v>
                </c:pt>
                <c:pt idx="3">
                  <c:v>394092.26296094805</c:v>
                </c:pt>
                <c:pt idx="4">
                  <c:v>568609.83624586137</c:v>
                </c:pt>
                <c:pt idx="5">
                  <c:v>768689.8250188306</c:v>
                </c:pt>
                <c:pt idx="6">
                  <c:v>997118.53256805334</c:v>
                </c:pt>
                <c:pt idx="7">
                  <c:v>1256985.969240142</c:v>
                </c:pt>
                <c:pt idx="8">
                  <c:v>1551718.9565094877</c:v>
                </c:pt>
                <c:pt idx="9">
                  <c:v>1885117.8393911929</c:v>
                </c:pt>
                <c:pt idx="10">
                  <c:v>2261397.2005070033</c:v>
                </c:pt>
                <c:pt idx="11">
                  <c:v>2685231.0119844368</c:v>
                </c:pt>
                <c:pt idx="12">
                  <c:v>3161802.7089129118</c:v>
                </c:pt>
                <c:pt idx="13">
                  <c:v>3696860.7208065912</c:v>
                </c:pt>
                <c:pt idx="14">
                  <c:v>4296780.0559966806</c:v>
                </c:pt>
                <c:pt idx="15">
                  <c:v>4968630.5987224914</c:v>
                </c:pt>
                <c:pt idx="16">
                  <c:v>5720252.8506054115</c:v>
                </c:pt>
                <c:pt idx="17">
                  <c:v>6560341.9279435743</c:v>
                </c:pt>
                <c:pt idx="18">
                  <c:v>7498540.7147115953</c:v>
                </c:pt>
                <c:pt idx="19">
                  <c:v>8545543.1692373343</c:v>
                </c:pt>
                <c:pt idx="20">
                  <c:v>9713208.8913063761</c:v>
                </c:pt>
                <c:pt idx="21">
                  <c:v>11014690.177080944</c:v>
                </c:pt>
                <c:pt idx="22">
                  <c:v>12464572.92300494</c:v>
                </c:pt>
                <c:pt idx="23">
                  <c:v>14079032.888234656</c:v>
                </c:pt>
                <c:pt idx="24">
                  <c:v>15876008.989674404</c:v>
                </c:pt>
                <c:pt idx="25">
                  <c:v>17875395.486171089</c:v>
                </c:pt>
                <c:pt idx="26">
                  <c:v>20099255.110785916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0B-4C99-BAB6-9C83F4A1B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1745983"/>
        <c:axId val="1141746815"/>
      </c:areaChart>
      <c:catAx>
        <c:axId val="1141745983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rgbClr val="00003E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1746815"/>
        <c:crosses val="autoZero"/>
        <c:auto val="1"/>
        <c:lblAlgn val="ctr"/>
        <c:lblOffset val="100"/>
        <c:tickLblSkip val="5"/>
        <c:noMultiLvlLbl val="0"/>
      </c:catAx>
      <c:valAx>
        <c:axId val="114174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rgbClr val="00003E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1745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003E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rnd" cmpd="sng" algn="ctr">
      <a:noFill/>
      <a:prstDash val="sysDot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3E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solidFill>
                  <a:srgbClr val="00003E"/>
                </a:solidFill>
                <a:effectLst/>
              </a:rPr>
              <a:t>Patrimônio na Perpetuidade</a:t>
            </a:r>
            <a:endParaRPr lang="en-US">
              <a:solidFill>
                <a:srgbClr val="00003E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3E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'Base Dash acum'!$Q$3</c:f>
              <c:strCache>
                <c:ptCount val="1"/>
                <c:pt idx="0">
                  <c:v>PL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'Base Dash acum'!$P$4:$P$54</c:f>
              <c:numCache>
                <c:formatCode>0</c:formatCode>
                <c:ptCount val="5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</c:numCache>
            </c:numRef>
          </c:cat>
          <c:val>
            <c:numRef>
              <c:f>'Base Dash acum'!$Q$4:$Q$54</c:f>
              <c:numCache>
                <c:formatCode>_("R$"* #,##0.00_);_("R$"* \(#,##0.00\);_("R$"* "-"??_);_(@_)</c:formatCode>
                <c:ptCount val="51"/>
                <c:pt idx="0">
                  <c:v>4974440.6883346513</c:v>
                </c:pt>
                <c:pt idx="1">
                  <c:v>5027520.0063053584</c:v>
                </c:pt>
                <c:pt idx="2">
                  <c:v>5083459.3426443432</c:v>
                </c:pt>
                <c:pt idx="3">
                  <c:v>5142412.8007835951</c:v>
                </c:pt>
                <c:pt idx="4">
                  <c:v>5204542.7875520354</c:v>
                </c:pt>
                <c:pt idx="5">
                  <c:v>5270020.4605789296</c:v>
                </c:pt>
                <c:pt idx="6">
                  <c:v>5339026.1998042697</c:v>
                </c:pt>
                <c:pt idx="7">
                  <c:v>5411750.1043950729</c:v>
                </c:pt>
                <c:pt idx="8">
                  <c:v>5488392.516436507</c:v>
                </c:pt>
                <c:pt idx="9">
                  <c:v>5569164.5728405267</c:v>
                </c:pt>
                <c:pt idx="10">
                  <c:v>5654288.78699244</c:v>
                </c:pt>
                <c:pt idx="11">
                  <c:v>5743999.6617377326</c:v>
                </c:pt>
                <c:pt idx="12">
                  <c:v>5838544.3353978386</c:v>
                </c:pt>
                <c:pt idx="13">
                  <c:v>5938183.2625945108</c:v>
                </c:pt>
                <c:pt idx="14">
                  <c:v>6043190.9317583507</c:v>
                </c:pt>
                <c:pt idx="15">
                  <c:v>6153856.6212981194</c:v>
                </c:pt>
                <c:pt idx="16">
                  <c:v>6270485.1965139359</c:v>
                </c:pt>
                <c:pt idx="17">
                  <c:v>6393397.9494497338</c:v>
                </c:pt>
                <c:pt idx="18">
                  <c:v>6522933.4839986274</c:v>
                </c:pt>
                <c:pt idx="19">
                  <c:v>6659448.648699495</c:v>
                </c:pt>
                <c:pt idx="20">
                  <c:v>6803319.5197944883</c:v>
                </c:pt>
                <c:pt idx="21">
                  <c:v>6954942.4372556191</c:v>
                </c:pt>
                <c:pt idx="22">
                  <c:v>7114735.0966344979</c:v>
                </c:pt>
                <c:pt idx="23">
                  <c:v>7283137.6997430949</c:v>
                </c:pt>
                <c:pt idx="24">
                  <c:v>7460614.1673354488</c:v>
                </c:pt>
                <c:pt idx="25">
                  <c:v>7647653.4171310589</c:v>
                </c:pt>
                <c:pt idx="26">
                  <c:v>7844770.7107006982</c:v>
                </c:pt>
                <c:pt idx="27">
                  <c:v>8052509.0729250927</c:v>
                </c:pt>
                <c:pt idx="28">
                  <c:v>8271440.7879368328</c:v>
                </c:pt>
                <c:pt idx="29">
                  <c:v>8502168.9756665863</c:v>
                </c:pt>
                <c:pt idx="30">
                  <c:v>8745329.2533367332</c:v>
                </c:pt>
                <c:pt idx="31">
                  <c:v>9001591.4864795562</c:v>
                </c:pt>
                <c:pt idx="32">
                  <c:v>9271661.634303743</c:v>
                </c:pt>
                <c:pt idx="33">
                  <c:v>9556283.6944928747</c:v>
                </c:pt>
                <c:pt idx="34">
                  <c:v>9856241.7527934983</c:v>
                </c:pt>
                <c:pt idx="35">
                  <c:v>10172362.143039048</c:v>
                </c:pt>
                <c:pt idx="36">
                  <c:v>10505515.72356011</c:v>
                </c:pt>
                <c:pt idx="37">
                  <c:v>10856620.276252173</c:v>
                </c:pt>
                <c:pt idx="38">
                  <c:v>11226643.034909874</c:v>
                </c:pt>
                <c:pt idx="39">
                  <c:v>11616603.349792883</c:v>
                </c:pt>
                <c:pt idx="40">
                  <c:v>12027575.495763859</c:v>
                </c:pt>
                <c:pt idx="41">
                  <c:v>12460691.63173441</c:v>
                </c:pt>
                <c:pt idx="42">
                  <c:v>12917144.919571854</c:v>
                </c:pt>
                <c:pt idx="43">
                  <c:v>13398192.811058812</c:v>
                </c:pt>
                <c:pt idx="44">
                  <c:v>13905160.51196068</c:v>
                </c:pt>
                <c:pt idx="45">
                  <c:v>14439444.632743889</c:v>
                </c:pt>
                <c:pt idx="46">
                  <c:v>15002517.036002066</c:v>
                </c:pt>
                <c:pt idx="47">
                  <c:v>15595928.891189102</c:v>
                </c:pt>
                <c:pt idx="48">
                  <c:v>16221314.947829247</c:v>
                </c:pt>
                <c:pt idx="49">
                  <c:v>16880398.038976181</c:v>
                </c:pt>
                <c:pt idx="50">
                  <c:v>17574993.827327363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F3-49AB-98D2-D2F76A7D8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299696"/>
        <c:axId val="67280144"/>
      </c:areaChart>
      <c:catAx>
        <c:axId val="67299696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3E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280144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6728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3E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299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211668</xdr:colOff>
      <xdr:row>15</xdr:row>
      <xdr:rowOff>49742</xdr:rowOff>
    </xdr:from>
    <xdr:to>
      <xdr:col>11</xdr:col>
      <xdr:colOff>406402</xdr:colOff>
      <xdr:row>24</xdr:row>
      <xdr:rowOff>95250</xdr:rowOff>
    </xdr:to>
    <xdr:graphicFrame macro="">
      <xdr:nvGraphicFramePr>
        <xdr:cNvPr id="3" name="Gráfico 1">
          <a:extLst>
            <a:ext uri="{FF2B5EF4-FFF2-40B4-BE49-F238E27FC236}">
              <a16:creationId xmlns:a16="http://schemas.microsoft.com/office/drawing/2014/main" id="{C9C1AFAC-39A7-415D-8046-666CA6563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31749</xdr:colOff>
      <xdr:row>0</xdr:row>
      <xdr:rowOff>84667</xdr:rowOff>
    </xdr:from>
    <xdr:to>
      <xdr:col>1</xdr:col>
      <xdr:colOff>338065</xdr:colOff>
      <xdr:row>2</xdr:row>
      <xdr:rowOff>289984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EAD357D9-27B5-469A-8CAD-3074C766B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416" y="84667"/>
          <a:ext cx="306316" cy="438150"/>
        </a:xfrm>
        <a:prstGeom prst="rect">
          <a:avLst/>
        </a:prstGeom>
      </xdr:spPr>
    </xdr:pic>
    <xdr:clientData/>
  </xdr:twoCellAnchor>
  <xdr:twoCellAnchor>
    <xdr:from>
      <xdr:col>11</xdr:col>
      <xdr:colOff>275168</xdr:colOff>
      <xdr:row>1</xdr:row>
      <xdr:rowOff>93736</xdr:rowOff>
    </xdr:from>
    <xdr:to>
      <xdr:col>15</xdr:col>
      <xdr:colOff>66527</xdr:colOff>
      <xdr:row>3</xdr:row>
      <xdr:rowOff>69354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91993F8B-CEEB-4231-A44B-F79697B1A04C}"/>
            </a:ext>
          </a:extLst>
        </xdr:cNvPr>
        <xdr:cNvSpPr/>
      </xdr:nvSpPr>
      <xdr:spPr>
        <a:xfrm>
          <a:off x="9599085" y="210153"/>
          <a:ext cx="2987525" cy="420118"/>
        </a:xfrm>
        <a:prstGeom prst="rect">
          <a:avLst/>
        </a:prstGeom>
        <a:noFill/>
      </xdr:spPr>
      <xdr:txBody>
        <a:bodyPr wrap="none" lIns="91440" tIns="45720" rIns="91440" bIns="45720" anchor="b">
          <a:noAutofit/>
        </a:bodyPr>
        <a:lstStyle/>
        <a:p>
          <a:pPr algn="r"/>
          <a:r>
            <a:rPr lang="pt-BR" sz="2000" b="1" cap="none" spc="0">
              <a:ln w="0"/>
              <a:solidFill>
                <a:srgbClr val="00003E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Planejamento</a:t>
          </a:r>
          <a:r>
            <a:rPr lang="pt-BR" sz="2000" b="1" cap="none" spc="0" baseline="0">
              <a:ln w="0"/>
              <a:solidFill>
                <a:srgbClr val="00003E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Financeiro</a:t>
          </a:r>
        </a:p>
      </xdr:txBody>
    </xdr:sp>
    <xdr:clientData/>
  </xdr:twoCellAnchor>
  <xdr:twoCellAnchor>
    <xdr:from>
      <xdr:col>3</xdr:col>
      <xdr:colOff>222250</xdr:colOff>
      <xdr:row>27</xdr:row>
      <xdr:rowOff>81011</xdr:rowOff>
    </xdr:from>
    <xdr:to>
      <xdr:col>13</xdr:col>
      <xdr:colOff>1185333</xdr:colOff>
      <xdr:row>44</xdr:row>
      <xdr:rowOff>296334</xdr:rowOff>
    </xdr:to>
    <xdr:graphicFrame macro="">
      <xdr:nvGraphicFramePr>
        <xdr:cNvPr id="4" name="Gráfico 1">
          <a:extLst>
            <a:ext uri="{FF2B5EF4-FFF2-40B4-BE49-F238E27FC236}">
              <a16:creationId xmlns:a16="http://schemas.microsoft.com/office/drawing/2014/main" id="{43010503-F68B-48F2-BC13-051FF3FB1A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1" xr16:uid="{FAEC0148-6034-4CAC-B0B7-D6683D5D5D2C}" autoFormatId="16" applyNumberFormats="0" applyBorderFormats="0" applyFontFormats="0" applyPatternFormats="0" applyAlignmentFormats="0" applyWidthHeightFormats="0">
  <queryTableRefresh nextId="7">
    <queryTableFields count="6">
      <queryTableField id="1" name="Nome Completo:" tableColumnId="1"/>
      <queryTableField id="2" name="E-mail:" tableColumnId="2"/>
      <queryTableField id="3" name="Data de Nascimento:" tableColumnId="3"/>
      <queryTableField id="4" name="Tipo" tableColumnId="4"/>
      <queryTableField id="5" name="ACRÔNIMO" tableColumnId="5"/>
      <queryTableField id="6" name="TITULAR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021B662C-EC95-4E1E-8369-44736BA9BD1F}" autoFormatId="16" applyNumberFormats="0" applyBorderFormats="0" applyFontFormats="0" applyPatternFormats="0" applyAlignmentFormats="0" applyWidthHeightFormats="0">
  <queryTableRefresh nextId="4">
    <queryTableFields count="3">
      <queryTableField id="1" name="Cola Asset Allocation_x000a_(NÃO MEXA)" tableColumnId="1"/>
      <queryTableField id="2" name="2" tableColumnId="2"/>
      <queryTableField id="3" name="3" tableColumnId="3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443446-9B2F-49AD-843B-0D1D9CAD8610}" name="Tabela1" displayName="Tabela1" ref="E3:J30" totalsRowShown="0">
  <autoFilter ref="E3:J30" xr:uid="{2CFC828F-9F60-4DAC-BD90-4F0555379FA4}"/>
  <tableColumns count="6">
    <tableColumn id="1" xr3:uid="{947608DC-F8F7-4DD2-97A0-DFE95F31D7E2}" name="IDADE" dataDxfId="16">
      <calculatedColumnFormula>Tabela1[[#This Row],[Ano]]+'Planejamento Financeiro'!$M$15</calculatedColumnFormula>
    </tableColumn>
    <tableColumn id="2" xr3:uid="{124F0399-DF20-4AB7-B77D-50790F074342}" name="Ano" dataDxfId="15"/>
    <tableColumn id="3" xr3:uid="{CE5E87E7-50C7-4C30-B3BF-784CD8223817}" name="Juros" dataDxfId="14">
      <calculatedColumnFormula>Tabela1[[#This Row],[TotalAcumulado]]-Tabela1[[#This Row],[Total Investido]]</calculatedColumnFormula>
    </tableColumn>
    <tableColumn id="4" xr3:uid="{2E3A8C38-B8BD-4953-A6B8-876C1B8FF5FC}" name="Total Investido"/>
    <tableColumn id="5" xr3:uid="{26E03B90-43EC-47BD-8C96-FDF3A05F5A41}" name="Total Juros" dataDxfId="13">
      <calculatedColumnFormula>Tabela1[[#This Row],[Juros]]</calculatedColumnFormula>
    </tableColumn>
    <tableColumn id="6" xr3:uid="{24A5A713-868B-4D56-8E20-149DDD362FFA}" name="TotalAcumulado" dataDxfId="12">
      <calculatedColumnFormula>-FV('Base Dash acum'!$C$3,Tabela1[[#This Row],[Ano]]*12,'Planejamento Financeiro'!$C$18,'Planejamento Financeiro'!$C$15,)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046684F-ACB7-418D-A422-A826720DFB1A}" name="Tabela46" displayName="Tabela46" ref="O3:T54" totalsRowShown="0">
  <autoFilter ref="O3:T54" xr:uid="{E046684F-ACB7-418D-A422-A826720DFB1A}"/>
  <tableColumns count="6">
    <tableColumn id="1" xr3:uid="{70C1D41B-4BE1-4E7E-942D-F22044A8076E}" name="ANO" dataDxfId="11">
      <calculatedColumnFormula>1</calculatedColumnFormula>
    </tableColumn>
    <tableColumn id="6" xr3:uid="{A627B009-9C9E-4E0A-9B4E-ED674931EA65}" name="IDADE" dataDxfId="10">
      <calculatedColumnFormula>Tabela46[[#This Row],[ANO]]+'Planejamento Financeiro'!$M$18</calculatedColumnFormula>
    </tableColumn>
    <tableColumn id="2" xr3:uid="{3819FD20-BF33-453B-89EB-BF8BEA12BF48}" name="PL" dataDxfId="9">
      <calculatedColumnFormula>'Planejamento Financeiro'!$I$12</calculatedColumnFormula>
    </tableColumn>
    <tableColumn id="3" xr3:uid="{173F08DF-1151-45A5-B58E-3EFA11208919}" name="RENDA ANO" dataDxfId="8">
      <calculatedColumnFormula>'Planejamento Financeiro'!$C$30*Tabela46[[#This Row],[PL]]+('Planejamento Financeiro'!$C$36*12)</calculatedColumnFormula>
    </tableColumn>
    <tableColumn id="4" xr3:uid="{893BC3D4-6596-45B2-8674-9EB3836B682C}" name="GASTO ANO">
      <calculatedColumnFormula>Tabela46[[#This Row],[GASTO MÊS]]*12</calculatedColumnFormula>
    </tableColumn>
    <tableColumn id="5" xr3:uid="{0745934B-37D5-4896-B91B-333FBD87F430}" name="GASTO MÊS" dataDxfId="7">
      <calculatedColumnFormula>'Planejamento Financeiro'!$C$42-V4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1F992E-284D-43B9-9F1A-360CD859C96B}" name="BaseDadosDosClientes" displayName="BaseDadosDosClientes" ref="A1:F159" tableType="queryTable" totalsRowShown="0">
  <autoFilter ref="A1:F159" xr:uid="{731F992E-284D-43B9-9F1A-360CD859C96B}"/>
  <tableColumns count="6">
    <tableColumn id="1" xr3:uid="{D8F2A199-1EF1-4F84-8419-22C7BDB82ED2}" uniqueName="1" name="Nome Completo:" queryTableFieldId="1" dataDxfId="6"/>
    <tableColumn id="2" xr3:uid="{6A36D2F4-3787-4BC3-AC25-55438965D606}" uniqueName="2" name="E-mail:" queryTableFieldId="2" dataDxfId="5"/>
    <tableColumn id="3" xr3:uid="{E533AA9C-D7B5-4816-9B84-5C9427C37F6C}" uniqueName="3" name="Data de Nascimento:" queryTableFieldId="3" dataDxfId="4"/>
    <tableColumn id="4" xr3:uid="{6F31B5FA-B39F-4DC5-90FB-1A7F75F97ABB}" uniqueName="4" name="Tipo" queryTableFieldId="4" dataDxfId="3"/>
    <tableColumn id="5" xr3:uid="{56BF253E-1360-4623-A8C0-CE24B040077D}" uniqueName="5" name="ACRÔNIMO" queryTableFieldId="5" dataDxfId="2"/>
    <tableColumn id="6" xr3:uid="{5C3A584D-D190-4FC5-AE3B-E7EA3BD1EBD2}" uniqueName="6" name="TITULAR" queryTableFieldId="6" dataDxf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A749AE-0ACC-4DCC-A26A-E566096FCCDC}" name="Tabela2" displayName="Tabela2" ref="A1:C5" tableType="queryTable" totalsRowShown="0">
  <autoFilter ref="A1:C5" xr:uid="{B9A749AE-0ACC-4DCC-A26A-E566096FCCDC}"/>
  <sortState xmlns:xlrd2="http://schemas.microsoft.com/office/spreadsheetml/2017/richdata2" ref="A2:C5">
    <sortCondition ref="A1:A5"/>
  </sortState>
  <tableColumns count="3">
    <tableColumn id="1" xr3:uid="{C9C0E212-B6E3-4F97-8F97-14984F89B2E9}" uniqueName="1" name="Cola Asset Allocation_x000a_(NÃO MEXA)" queryTableFieldId="1"/>
    <tableColumn id="2" xr3:uid="{0C375F27-61F1-420B-B8F7-00F27E7F2B3F}" uniqueName="2" name="2" queryTableFieldId="2" dataDxfId="0"/>
    <tableColumn id="3" xr3:uid="{F617F8AB-FDF9-4C3A-9EBD-05C564FF1905}" uniqueName="3" name="3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Personalizada 1">
      <a:dk1>
        <a:sysClr val="windowText" lastClr="000000"/>
      </a:dk1>
      <a:lt1>
        <a:sysClr val="window" lastClr="FFFFFF"/>
      </a:lt1>
      <a:dk2>
        <a:srgbClr val="7F7F7F"/>
      </a:dk2>
      <a:lt2>
        <a:srgbClr val="000000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923B1-1860-4BE9-B526-5E0DA0C97A58}">
  <sheetPr codeName="Planilha1">
    <tabColor rgb="FFFFFFCC"/>
    <pageSetUpPr fitToPage="1"/>
  </sheetPr>
  <dimension ref="B1:O48"/>
  <sheetViews>
    <sheetView showGridLines="0" tabSelected="1" zoomScale="80" zoomScaleNormal="80" workbookViewId="0">
      <selection activeCell="M16" sqref="M16"/>
    </sheetView>
  </sheetViews>
  <sheetFormatPr defaultRowHeight="14.5" outlineLevelCol="1" x14ac:dyDescent="0.35"/>
  <cols>
    <col min="1" max="2" width="5" customWidth="1"/>
    <col min="3" max="3" width="34.81640625" style="12" bestFit="1" customWidth="1"/>
    <col min="4" max="4" width="2.453125" style="12" customWidth="1"/>
    <col min="5" max="5" width="18.81640625" style="12" customWidth="1" outlineLevel="1"/>
    <col min="6" max="6" width="6.453125" style="12" customWidth="1"/>
    <col min="7" max="7" width="22.453125" style="12" customWidth="1"/>
    <col min="8" max="8" width="6.453125" customWidth="1"/>
    <col min="9" max="9" width="26.54296875" bestFit="1" customWidth="1"/>
    <col min="10" max="10" width="6.453125" customWidth="1"/>
    <col min="11" max="11" width="26.26953125" bestFit="1" customWidth="1"/>
    <col min="12" max="12" width="8.81640625" customWidth="1"/>
    <col min="13" max="13" width="10" customWidth="1"/>
    <col min="14" max="14" width="22.1796875" customWidth="1"/>
    <col min="15" max="15" width="4.54296875" style="9" customWidth="1"/>
  </cols>
  <sheetData>
    <row r="1" spans="2:15" ht="9" customHeight="1" x14ac:dyDescent="0.35"/>
    <row r="2" spans="2:15" ht="9" customHeight="1" x14ac:dyDescent="0.35"/>
    <row r="3" spans="2:15" ht="25.5" customHeight="1" x14ac:dyDescent="0.35"/>
    <row r="4" spans="2:15" ht="6.75" customHeight="1" thickBot="1" x14ac:dyDescent="0.4">
      <c r="B4" s="13"/>
      <c r="C4" s="13"/>
      <c r="D4" s="13"/>
      <c r="E4" s="13"/>
      <c r="F4" s="13"/>
      <c r="G4" s="13"/>
      <c r="H4" s="8"/>
      <c r="I4" s="8"/>
      <c r="J4" s="8"/>
      <c r="K4" s="8"/>
      <c r="L4" s="8"/>
      <c r="M4" s="8"/>
      <c r="N4" s="8"/>
      <c r="O4" s="8"/>
    </row>
    <row r="5" spans="2:15" ht="5.25" customHeight="1" x14ac:dyDescent="0.35">
      <c r="C5" s="14"/>
      <c r="D5" s="14"/>
      <c r="E5" s="14"/>
      <c r="F5" s="14"/>
      <c r="G5" s="14"/>
    </row>
    <row r="6" spans="2:15" ht="20.25" customHeight="1" thickBot="1" x14ac:dyDescent="0.4">
      <c r="B6" s="64" t="s">
        <v>6</v>
      </c>
      <c r="C6" s="64"/>
      <c r="D6" s="41"/>
      <c r="E6" s="41"/>
      <c r="F6" s="42"/>
      <c r="G6" s="42"/>
      <c r="N6" s="44" t="s">
        <v>405</v>
      </c>
      <c r="O6"/>
    </row>
    <row r="7" spans="2:15" s="43" customFormat="1" ht="25.5" customHeight="1" x14ac:dyDescent="0.35">
      <c r="B7" s="68" t="s">
        <v>420</v>
      </c>
      <c r="C7" s="68"/>
      <c r="D7" s="68"/>
      <c r="E7" s="68"/>
      <c r="F7" s="68"/>
      <c r="G7" s="68"/>
      <c r="N7" s="45">
        <f ca="1">TODAY()</f>
        <v>44720</v>
      </c>
      <c r="O7" s="46"/>
    </row>
    <row r="8" spans="2:15" ht="5.25" customHeight="1" x14ac:dyDescent="0.35">
      <c r="B8" s="10"/>
      <c r="C8" s="14"/>
      <c r="D8" s="14"/>
      <c r="E8" s="14"/>
      <c r="F8" s="14"/>
      <c r="G8" s="14"/>
    </row>
    <row r="9" spans="2:15" ht="19" thickBot="1" x14ac:dyDescent="0.5">
      <c r="B9" s="67" t="s">
        <v>409</v>
      </c>
      <c r="C9" s="67"/>
      <c r="D9" s="38"/>
      <c r="E9" s="38"/>
      <c r="F9" s="38"/>
      <c r="G9" s="38"/>
    </row>
    <row r="10" spans="2:15" ht="5.25" customHeight="1" x14ac:dyDescent="0.35">
      <c r="B10" s="25"/>
      <c r="C10" s="26"/>
      <c r="D10" s="26"/>
      <c r="E10" s="26"/>
      <c r="F10" s="26"/>
      <c r="G10" s="26"/>
      <c r="H10" s="27"/>
      <c r="I10" s="27"/>
      <c r="J10" s="27"/>
      <c r="K10" s="27"/>
      <c r="L10" s="27"/>
      <c r="M10" s="27"/>
      <c r="N10" s="27"/>
      <c r="O10" s="28"/>
    </row>
    <row r="11" spans="2:15" s="10" customFormat="1" x14ac:dyDescent="0.35">
      <c r="B11" s="29"/>
      <c r="C11" s="44" t="s">
        <v>7</v>
      </c>
      <c r="D11" s="9"/>
      <c r="E11" s="21" t="s">
        <v>417</v>
      </c>
      <c r="F11" s="9"/>
      <c r="G11" s="44" t="s">
        <v>406</v>
      </c>
      <c r="H11" s="11"/>
      <c r="I11" s="44" t="s">
        <v>12</v>
      </c>
      <c r="J11" s="11"/>
      <c r="K11" s="44" t="s">
        <v>15</v>
      </c>
      <c r="L11" s="11"/>
      <c r="M11" s="11"/>
      <c r="N11" s="9"/>
      <c r="O11" s="30"/>
    </row>
    <row r="12" spans="2:15" s="10" customFormat="1" ht="38.25" customHeight="1" x14ac:dyDescent="0.35">
      <c r="B12" s="29"/>
      <c r="C12" s="53" t="s">
        <v>3</v>
      </c>
      <c r="D12" s="9"/>
      <c r="E12" s="58">
        <f>C21+2.67%</f>
        <v>7.9000000000000001E-2</v>
      </c>
      <c r="F12" s="9"/>
      <c r="G12" s="58">
        <f>E12+3%</f>
        <v>0.109</v>
      </c>
      <c r="H12" s="9"/>
      <c r="I12" s="23">
        <f>IFERROR(-FV('Base Dash acum'!C3,M21*12,$C$18,(IF($E$15=0,$C$15,$E$15)),),"")</f>
        <v>11913208.891306376</v>
      </c>
      <c r="J12" s="9"/>
      <c r="K12" s="51">
        <f>IFERROR(I12-C24,"")</f>
        <v>9713208.8913063761</v>
      </c>
      <c r="L12" s="11"/>
      <c r="M12" s="11"/>
      <c r="N12" s="9"/>
      <c r="O12" s="30"/>
    </row>
    <row r="13" spans="2:15" s="10" customFormat="1" ht="6.75" customHeight="1" x14ac:dyDescent="0.35">
      <c r="B13" s="29"/>
      <c r="C13" s="9"/>
      <c r="D13" s="9"/>
      <c r="E13" s="9"/>
      <c r="F13" s="9"/>
      <c r="G13" s="16"/>
      <c r="H13" s="11"/>
      <c r="I13" s="11"/>
      <c r="J13" s="11"/>
      <c r="K13" s="11"/>
      <c r="L13" s="11"/>
      <c r="M13" s="11"/>
      <c r="N13" s="9"/>
      <c r="O13" s="30"/>
    </row>
    <row r="14" spans="2:15" s="10" customFormat="1" ht="17.25" customHeight="1" x14ac:dyDescent="0.35">
      <c r="B14" s="29"/>
      <c r="C14" s="44" t="s">
        <v>8</v>
      </c>
      <c r="D14" s="11"/>
      <c r="E14" s="56"/>
      <c r="F14" s="11"/>
      <c r="G14" s="44" t="s">
        <v>407</v>
      </c>
      <c r="H14" s="32"/>
      <c r="I14" s="44" t="s">
        <v>13</v>
      </c>
      <c r="J14" s="32"/>
      <c r="K14" s="44" t="s">
        <v>16</v>
      </c>
      <c r="L14" s="11"/>
      <c r="M14" s="65" t="s">
        <v>9</v>
      </c>
      <c r="N14" s="65"/>
      <c r="O14" s="30"/>
    </row>
    <row r="15" spans="2:15" s="10" customFormat="1" ht="38.25" customHeight="1" x14ac:dyDescent="0.5">
      <c r="B15" s="29"/>
      <c r="C15" s="57">
        <v>1000000</v>
      </c>
      <c r="D15" s="17"/>
      <c r="E15" s="63"/>
      <c r="F15" s="11"/>
      <c r="G15" s="52">
        <f>IFERROR(((1+G12)/(1+C21)-1),"")</f>
        <v>5.3881972821438806E-2</v>
      </c>
      <c r="H15" s="33"/>
      <c r="I15" s="51">
        <f>IFERROR(-FV('Base Dash acum'!C4,M21*12,$C$18,(IF($E$15=0,$C$15,$E$15)),),"")</f>
        <v>4974440.6883346513</v>
      </c>
      <c r="J15" s="33"/>
      <c r="K15" s="51">
        <f>IFERROR(I15-C24,"")</f>
        <v>2774440.6883346513</v>
      </c>
      <c r="L15" s="11"/>
      <c r="M15" s="59">
        <v>30</v>
      </c>
      <c r="N15" s="62" t="s">
        <v>411</v>
      </c>
      <c r="O15" s="30"/>
    </row>
    <row r="16" spans="2:15" s="10" customFormat="1" ht="11.25" customHeight="1" x14ac:dyDescent="0.35">
      <c r="B16" s="29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30"/>
    </row>
    <row r="17" spans="2:15" s="15" customFormat="1" ht="17.25" customHeight="1" x14ac:dyDescent="0.35">
      <c r="B17" s="31"/>
      <c r="C17" s="21" t="s">
        <v>10</v>
      </c>
      <c r="D17" s="18"/>
      <c r="E17" s="18"/>
      <c r="F17" s="18"/>
      <c r="G17" s="18"/>
      <c r="H17" s="18"/>
      <c r="I17" s="18"/>
      <c r="J17" s="18"/>
      <c r="K17" s="18"/>
      <c r="L17" s="18"/>
      <c r="M17" s="65" t="s">
        <v>408</v>
      </c>
      <c r="N17" s="65"/>
      <c r="O17" s="49"/>
    </row>
    <row r="18" spans="2:15" s="10" customFormat="1" ht="38.25" customHeight="1" x14ac:dyDescent="0.35">
      <c r="B18" s="29"/>
      <c r="C18" s="54">
        <v>5000</v>
      </c>
      <c r="D18" s="11"/>
      <c r="E18" s="11"/>
      <c r="F18" s="11"/>
      <c r="G18" s="19"/>
      <c r="H18" s="11"/>
      <c r="I18" s="11"/>
      <c r="J18" s="11"/>
      <c r="K18" s="11"/>
      <c r="L18" s="11"/>
      <c r="M18" s="59">
        <v>50</v>
      </c>
      <c r="N18" s="62" t="s">
        <v>411</v>
      </c>
      <c r="O18" s="30"/>
    </row>
    <row r="19" spans="2:15" s="10" customFormat="1" ht="11.25" customHeight="1" x14ac:dyDescent="0.35">
      <c r="B19" s="29"/>
      <c r="C19" s="11"/>
      <c r="D19" s="20"/>
      <c r="E19" s="20"/>
      <c r="F19" s="20"/>
      <c r="G19" s="11"/>
      <c r="H19" s="9"/>
      <c r="I19" s="9"/>
      <c r="J19" s="9"/>
      <c r="K19" s="9"/>
      <c r="L19" s="11"/>
      <c r="M19" s="11"/>
      <c r="N19" s="11"/>
      <c r="O19" s="30"/>
    </row>
    <row r="20" spans="2:15" s="15" customFormat="1" ht="17.25" customHeight="1" x14ac:dyDescent="0.35">
      <c r="B20" s="31"/>
      <c r="C20" s="21" t="s">
        <v>416</v>
      </c>
      <c r="D20" s="18"/>
      <c r="E20" s="18"/>
      <c r="F20" s="18"/>
      <c r="G20" s="18"/>
      <c r="H20" s="18"/>
      <c r="I20" s="18"/>
      <c r="J20" s="18"/>
      <c r="K20" s="18"/>
      <c r="L20" s="18"/>
      <c r="M20" s="65" t="s">
        <v>11</v>
      </c>
      <c r="N20" s="65"/>
      <c r="O20" s="49"/>
    </row>
    <row r="21" spans="2:15" s="10" customFormat="1" ht="38.25" customHeight="1" x14ac:dyDescent="0.35">
      <c r="B21" s="29"/>
      <c r="C21" s="55">
        <v>5.2299999999999999E-2</v>
      </c>
      <c r="D21" s="11"/>
      <c r="E21" s="11"/>
      <c r="F21" s="11"/>
      <c r="G21" s="19"/>
      <c r="H21" s="11"/>
      <c r="I21" s="11"/>
      <c r="J21" s="11"/>
      <c r="K21" s="11"/>
      <c r="L21" s="11"/>
      <c r="M21" s="60">
        <f>IFERROR(IF((M18-M15)&lt;0,"",(M18-M15)),"")</f>
        <v>20</v>
      </c>
      <c r="N21" s="61" t="s">
        <v>411</v>
      </c>
      <c r="O21" s="30"/>
    </row>
    <row r="22" spans="2:15" s="10" customFormat="1" ht="9.75" customHeight="1" x14ac:dyDescent="0.35">
      <c r="B22" s="29"/>
      <c r="C22" s="11"/>
      <c r="D22" s="20"/>
      <c r="E22" s="20"/>
      <c r="F22" s="20"/>
      <c r="G22" s="11"/>
      <c r="H22" s="9"/>
      <c r="I22" s="9"/>
      <c r="J22" s="9"/>
      <c r="K22" s="9"/>
      <c r="L22" s="11"/>
      <c r="M22" s="11"/>
      <c r="N22" s="11"/>
      <c r="O22" s="30"/>
    </row>
    <row r="23" spans="2:15" s="15" customFormat="1" ht="17.25" customHeight="1" x14ac:dyDescent="0.35">
      <c r="B23" s="31"/>
      <c r="C23" s="21" t="s">
        <v>14</v>
      </c>
      <c r="D23" s="18"/>
      <c r="E23" s="18"/>
      <c r="F23" s="32"/>
      <c r="L23" s="18"/>
      <c r="M23" s="65"/>
      <c r="N23" s="65"/>
      <c r="O23" s="49"/>
    </row>
    <row r="24" spans="2:15" s="10" customFormat="1" ht="38.25" customHeight="1" x14ac:dyDescent="0.35">
      <c r="B24" s="29"/>
      <c r="C24" s="51">
        <f>IFERROR(((C18*12)*M21)+(IF($E$15=0,$C$15,$E$15)),"")</f>
        <v>2200000</v>
      </c>
      <c r="D24" s="20"/>
      <c r="E24" s="20"/>
      <c r="F24" s="24"/>
      <c r="L24" s="11"/>
      <c r="M24" s="11"/>
      <c r="N24" s="11"/>
      <c r="O24" s="30"/>
    </row>
    <row r="25" spans="2:15" s="10" customFormat="1" ht="13.5" customHeight="1" thickBot="1" x14ac:dyDescent="0.4">
      <c r="B25" s="34"/>
      <c r="C25" s="22"/>
      <c r="D25" s="22"/>
      <c r="E25" s="22"/>
      <c r="F25" s="35"/>
      <c r="G25" s="22"/>
      <c r="H25" s="36"/>
      <c r="I25" s="36"/>
      <c r="J25" s="36"/>
      <c r="K25" s="36"/>
      <c r="L25" s="22"/>
      <c r="M25" s="22"/>
      <c r="N25" s="22"/>
      <c r="O25" s="37"/>
    </row>
    <row r="26" spans="2:15" s="15" customFormat="1" ht="18" customHeight="1" x14ac:dyDescent="0.35">
      <c r="F26"/>
      <c r="O26" s="18"/>
    </row>
    <row r="27" spans="2:15" s="10" customFormat="1" ht="19" thickBot="1" x14ac:dyDescent="0.4">
      <c r="B27" s="66" t="s">
        <v>410</v>
      </c>
      <c r="C27" s="66"/>
      <c r="D27" s="66"/>
      <c r="E27" s="66"/>
      <c r="F27" s="66"/>
      <c r="G27" s="19"/>
      <c r="O27" s="11"/>
    </row>
    <row r="28" spans="2:15" s="10" customFormat="1" ht="29.25" customHeight="1" x14ac:dyDescent="0.35">
      <c r="B28" s="25"/>
      <c r="C28" s="39"/>
      <c r="D28" s="39"/>
      <c r="E28" s="39"/>
      <c r="F28" s="27"/>
      <c r="G28" s="39"/>
      <c r="H28" s="39"/>
      <c r="I28" s="39"/>
      <c r="J28" s="39"/>
      <c r="K28" s="39"/>
      <c r="L28" s="39"/>
      <c r="M28" s="39"/>
      <c r="N28" s="39"/>
      <c r="O28" s="40"/>
    </row>
    <row r="29" spans="2:15" s="10" customFormat="1" ht="18.75" customHeight="1" x14ac:dyDescent="0.35">
      <c r="B29" s="29"/>
      <c r="C29" s="21" t="s">
        <v>419</v>
      </c>
      <c r="D29" s="11"/>
      <c r="E29" s="11"/>
      <c r="F29" s="9"/>
      <c r="G29" s="11"/>
      <c r="H29" s="9"/>
      <c r="I29" s="9"/>
      <c r="J29" s="9"/>
      <c r="K29" s="9"/>
      <c r="L29" s="11"/>
      <c r="M29" s="11"/>
      <c r="N29" s="11"/>
      <c r="O29" s="30"/>
    </row>
    <row r="30" spans="2:15" s="10" customFormat="1" ht="37.5" customHeight="1" x14ac:dyDescent="0.35">
      <c r="B30" s="29"/>
      <c r="C30" s="55">
        <f>G15</f>
        <v>5.3881972821438806E-2</v>
      </c>
      <c r="D30" s="11"/>
      <c r="E30" s="11"/>
      <c r="F30" s="9"/>
      <c r="G30" s="11"/>
      <c r="H30" s="9"/>
      <c r="I30" s="9"/>
      <c r="J30" s="9"/>
      <c r="K30" s="9"/>
      <c r="L30" s="11"/>
      <c r="M30" s="11"/>
      <c r="N30" s="11"/>
      <c r="O30" s="30"/>
    </row>
    <row r="31" spans="2:15" s="10" customFormat="1" ht="6.75" customHeight="1" x14ac:dyDescent="0.35">
      <c r="B31" s="29"/>
      <c r="C31" s="11"/>
      <c r="D31" s="11"/>
      <c r="E31" s="11"/>
      <c r="F31" s="9"/>
      <c r="G31" s="11"/>
      <c r="H31" s="9"/>
      <c r="I31" s="9"/>
      <c r="J31" s="9"/>
      <c r="K31" s="9"/>
      <c r="L31" s="11"/>
      <c r="M31" s="11"/>
      <c r="N31" s="11"/>
      <c r="O31" s="30"/>
    </row>
    <row r="32" spans="2:15" s="10" customFormat="1" ht="18.75" customHeight="1" x14ac:dyDescent="0.35">
      <c r="B32" s="29"/>
      <c r="C32" s="21" t="s">
        <v>415</v>
      </c>
      <c r="D32" s="11"/>
      <c r="E32" s="11"/>
      <c r="F32" s="9"/>
      <c r="G32" s="11"/>
      <c r="H32" s="9"/>
      <c r="I32" s="9"/>
      <c r="J32" s="9"/>
      <c r="K32" s="9"/>
      <c r="L32" s="11"/>
      <c r="M32" s="11"/>
      <c r="N32" s="11"/>
      <c r="O32" s="30"/>
    </row>
    <row r="33" spans="2:15" s="10" customFormat="1" ht="28.5" customHeight="1" x14ac:dyDescent="0.35">
      <c r="B33" s="29"/>
      <c r="C33" s="51">
        <f>IFERROR('Base Dash acum'!$R$4/12,"")-C36</f>
        <v>22336.056497558919</v>
      </c>
      <c r="D33" s="11"/>
      <c r="E33" s="11"/>
      <c r="F33" s="9"/>
      <c r="G33" s="11"/>
      <c r="H33" s="9"/>
      <c r="I33" s="9"/>
      <c r="J33" s="9"/>
      <c r="K33" s="9"/>
      <c r="L33" s="11"/>
      <c r="M33" s="11"/>
      <c r="N33" s="11"/>
      <c r="O33" s="30"/>
    </row>
    <row r="34" spans="2:15" s="10" customFormat="1" ht="6.75" customHeight="1" x14ac:dyDescent="0.35">
      <c r="B34" s="29"/>
      <c r="C34" s="11"/>
      <c r="D34" s="11"/>
      <c r="E34" s="11"/>
      <c r="F34" s="9"/>
      <c r="G34" s="11"/>
      <c r="H34" s="9"/>
      <c r="I34" s="9"/>
      <c r="J34" s="9"/>
      <c r="K34" s="9"/>
      <c r="L34" s="11"/>
      <c r="M34" s="11"/>
      <c r="N34" s="11"/>
      <c r="O34" s="30"/>
    </row>
    <row r="35" spans="2:15" s="10" customFormat="1" ht="18.75" customHeight="1" x14ac:dyDescent="0.35">
      <c r="B35" s="29"/>
      <c r="C35" s="21" t="s">
        <v>418</v>
      </c>
      <c r="D35" s="11"/>
      <c r="E35" s="11"/>
      <c r="F35" s="9"/>
      <c r="G35" s="11"/>
      <c r="H35" s="9"/>
      <c r="I35" s="9"/>
      <c r="J35" s="9"/>
      <c r="K35" s="9"/>
      <c r="L35" s="11"/>
      <c r="M35" s="11"/>
      <c r="N35" s="11"/>
      <c r="O35" s="30"/>
    </row>
    <row r="36" spans="2:15" s="10" customFormat="1" ht="28.5" customHeight="1" x14ac:dyDescent="0.35">
      <c r="B36" s="29"/>
      <c r="C36" s="54">
        <v>7087.22</v>
      </c>
      <c r="D36" s="11"/>
      <c r="E36" s="11"/>
      <c r="F36" s="9"/>
      <c r="G36" s="11"/>
      <c r="H36" s="9"/>
      <c r="I36" s="9"/>
      <c r="J36" s="9"/>
      <c r="K36" s="9"/>
      <c r="L36" s="11"/>
      <c r="M36" s="11"/>
      <c r="N36" s="11"/>
      <c r="O36" s="30"/>
    </row>
    <row r="37" spans="2:15" s="10" customFormat="1" ht="6.75" customHeight="1" x14ac:dyDescent="0.35">
      <c r="B37" s="29"/>
      <c r="C37" s="11"/>
      <c r="D37" s="11"/>
      <c r="E37" s="11"/>
      <c r="F37" s="9"/>
      <c r="G37" s="11"/>
      <c r="H37" s="9"/>
      <c r="I37" s="9"/>
      <c r="J37" s="9"/>
      <c r="K37" s="9"/>
      <c r="L37" s="11"/>
      <c r="M37" s="11"/>
      <c r="N37" s="11"/>
      <c r="O37" s="30"/>
    </row>
    <row r="38" spans="2:15" s="10" customFormat="1" ht="18.75" customHeight="1" x14ac:dyDescent="0.35">
      <c r="B38" s="29"/>
      <c r="C38" s="21" t="s">
        <v>414</v>
      </c>
      <c r="D38" s="11"/>
      <c r="E38" s="11"/>
      <c r="F38" s="9"/>
      <c r="G38" s="11"/>
      <c r="H38" s="9"/>
      <c r="I38" s="9"/>
      <c r="J38" s="9"/>
      <c r="K38" s="9"/>
      <c r="L38" s="11"/>
      <c r="M38" s="11"/>
      <c r="N38" s="11"/>
      <c r="O38" s="30"/>
    </row>
    <row r="39" spans="2:15" s="10" customFormat="1" ht="33" customHeight="1" x14ac:dyDescent="0.35">
      <c r="B39" s="29"/>
      <c r="C39" s="51">
        <f>C36+C33</f>
        <v>29423.27649755892</v>
      </c>
      <c r="D39" s="11"/>
      <c r="E39" s="11"/>
      <c r="F39" s="9"/>
      <c r="G39" s="11"/>
      <c r="H39" s="9"/>
      <c r="I39" s="9"/>
      <c r="J39" s="9"/>
      <c r="K39" s="9"/>
      <c r="L39" s="11"/>
      <c r="M39" s="11"/>
      <c r="N39" s="11"/>
      <c r="O39" s="30"/>
    </row>
    <row r="40" spans="2:15" s="10" customFormat="1" ht="6.75" customHeight="1" x14ac:dyDescent="0.35">
      <c r="B40" s="29"/>
      <c r="C40" s="11"/>
      <c r="D40" s="11"/>
      <c r="E40" s="11"/>
      <c r="F40" s="9"/>
      <c r="G40" s="11"/>
      <c r="H40" s="9"/>
      <c r="I40" s="9"/>
      <c r="J40" s="9"/>
      <c r="K40" s="9"/>
      <c r="L40" s="11"/>
      <c r="M40" s="11"/>
      <c r="N40" s="11"/>
      <c r="O40" s="30"/>
    </row>
    <row r="41" spans="2:15" s="10" customFormat="1" ht="18.75" customHeight="1" x14ac:dyDescent="0.35">
      <c r="B41" s="29"/>
      <c r="C41" s="21" t="s">
        <v>412</v>
      </c>
      <c r="D41" s="11"/>
      <c r="E41" s="11"/>
      <c r="F41" s="9"/>
      <c r="G41" s="11"/>
      <c r="H41" s="9"/>
      <c r="I41" s="9"/>
      <c r="J41" s="9"/>
      <c r="K41" s="9"/>
      <c r="L41" s="11"/>
      <c r="M41" s="11"/>
      <c r="N41" s="11"/>
      <c r="O41" s="30"/>
    </row>
    <row r="42" spans="2:15" s="10" customFormat="1" ht="33" customHeight="1" x14ac:dyDescent="0.35">
      <c r="B42" s="29"/>
      <c r="C42" s="54">
        <v>25000</v>
      </c>
      <c r="D42" s="11"/>
      <c r="E42" s="11"/>
      <c r="F42" s="9"/>
      <c r="G42" s="11"/>
      <c r="H42" s="9"/>
      <c r="I42" s="9"/>
      <c r="J42" s="9"/>
      <c r="K42" s="9"/>
      <c r="L42" s="11"/>
      <c r="M42" s="11"/>
      <c r="N42" s="11"/>
      <c r="O42" s="30"/>
    </row>
    <row r="43" spans="2:15" s="10" customFormat="1" ht="6.75" customHeight="1" x14ac:dyDescent="0.35">
      <c r="B43" s="29"/>
      <c r="D43" s="11"/>
      <c r="E43" s="11"/>
      <c r="F43" s="9"/>
      <c r="G43" s="19"/>
      <c r="H43" s="11"/>
      <c r="I43" s="11"/>
      <c r="J43" s="11"/>
      <c r="K43" s="11"/>
      <c r="L43" s="11"/>
      <c r="M43" s="11"/>
      <c r="N43" s="11"/>
      <c r="O43" s="30"/>
    </row>
    <row r="44" spans="2:15" s="10" customFormat="1" ht="18.75" customHeight="1" x14ac:dyDescent="0.35">
      <c r="B44" s="29"/>
      <c r="C44" s="21" t="s">
        <v>413</v>
      </c>
      <c r="D44" s="11"/>
      <c r="E44" s="11"/>
      <c r="F44" s="9"/>
      <c r="G44" s="11"/>
      <c r="H44" s="9"/>
      <c r="I44" s="9"/>
      <c r="J44" s="9"/>
      <c r="K44" s="9"/>
      <c r="L44" s="11"/>
      <c r="M44" s="11"/>
      <c r="N44" s="11"/>
      <c r="O44" s="30"/>
    </row>
    <row r="45" spans="2:15" s="10" customFormat="1" ht="37.5" customHeight="1" x14ac:dyDescent="0.35">
      <c r="B45" s="29"/>
      <c r="C45" s="51">
        <f>C39-C42</f>
        <v>4423.2764975589198</v>
      </c>
      <c r="D45" s="11"/>
      <c r="E45" s="11"/>
      <c r="F45" s="9"/>
      <c r="G45" s="19"/>
      <c r="H45" s="11"/>
      <c r="I45" s="11"/>
      <c r="J45" s="11"/>
      <c r="K45" s="11"/>
      <c r="L45" s="11"/>
      <c r="M45" s="11"/>
      <c r="N45" s="11"/>
      <c r="O45" s="30"/>
    </row>
    <row r="46" spans="2:15" s="10" customFormat="1" ht="8.25" customHeight="1" x14ac:dyDescent="0.35">
      <c r="B46" s="29"/>
      <c r="C46" s="11"/>
      <c r="D46" s="11"/>
      <c r="E46" s="11"/>
      <c r="F46" s="9"/>
      <c r="G46" s="11"/>
      <c r="H46" s="9"/>
      <c r="I46" s="9"/>
      <c r="J46" s="9"/>
      <c r="K46" s="9"/>
      <c r="L46" s="11"/>
      <c r="M46" s="11"/>
      <c r="N46" s="11"/>
      <c r="O46" s="30"/>
    </row>
    <row r="47" spans="2:15" s="10" customFormat="1" ht="6" customHeight="1" thickBot="1" x14ac:dyDescent="0.4">
      <c r="B47" s="34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37"/>
    </row>
    <row r="48" spans="2:15" s="10" customFormat="1" ht="18.75" customHeight="1" x14ac:dyDescent="0.35">
      <c r="C48" s="11"/>
      <c r="D48" s="11"/>
      <c r="E48" s="11"/>
      <c r="F48" s="11"/>
      <c r="G48" s="11"/>
      <c r="O48" s="11"/>
    </row>
  </sheetData>
  <sheetProtection formatCells="0" formatColumns="0" formatRows="0" insertColumns="0" insertRows="0" insertHyperlinks="0" deleteColumns="0" deleteRows="0" sort="0" autoFilter="0" pivotTables="0"/>
  <mergeCells count="8">
    <mergeCell ref="B6:C6"/>
    <mergeCell ref="M14:N14"/>
    <mergeCell ref="M20:N20"/>
    <mergeCell ref="B27:F27"/>
    <mergeCell ref="M17:N17"/>
    <mergeCell ref="M23:N23"/>
    <mergeCell ref="B9:C9"/>
    <mergeCell ref="B7:G7"/>
  </mergeCells>
  <conditionalFormatting sqref="C11:C12">
    <cfRule type="duplicateValues" dxfId="19" priority="4"/>
  </conditionalFormatting>
  <conditionalFormatting sqref="C45">
    <cfRule type="cellIs" dxfId="18" priority="1" operator="greaterThan">
      <formula>0</formula>
    </cfRule>
    <cfRule type="cellIs" dxfId="17" priority="2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scale="67" orientation="landscape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6986204-FD62-4397-8150-4B5287B6DCBC}">
          <x14:formula1>
            <xm:f>'Perfil de Risco'!$B$2:$B$5</xm:f>
          </x14:formula1>
          <xm:sqref>C12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6364A-71CC-4ADC-999F-2A02CA4B23B6}">
  <sheetPr codeName="Planilha2">
    <tabColor rgb="FF00003E"/>
  </sheetPr>
  <dimension ref="C2:V54"/>
  <sheetViews>
    <sheetView showGridLines="0" topLeftCell="D1" workbookViewId="0">
      <selection activeCell="H37" sqref="H37:H38"/>
    </sheetView>
  </sheetViews>
  <sheetFormatPr defaultRowHeight="14.5" x14ac:dyDescent="0.35"/>
  <cols>
    <col min="1" max="2" width="2.1796875" customWidth="1"/>
    <col min="3" max="3" width="7.1796875" bestFit="1" customWidth="1"/>
    <col min="4" max="4" width="4.453125" customWidth="1"/>
    <col min="5" max="5" width="11" bestFit="1" customWidth="1"/>
    <col min="7" max="7" width="15.453125" bestFit="1" customWidth="1"/>
    <col min="8" max="8" width="16.54296875" bestFit="1" customWidth="1"/>
    <col min="9" max="9" width="15.453125" bestFit="1" customWidth="1"/>
    <col min="10" max="10" width="17.81640625" bestFit="1" customWidth="1"/>
    <col min="11" max="12" width="3.1796875" customWidth="1"/>
    <col min="13" max="14" width="3.26953125" customWidth="1"/>
    <col min="17" max="17" width="18" bestFit="1" customWidth="1"/>
    <col min="18" max="18" width="16.81640625" bestFit="1" customWidth="1"/>
    <col min="19" max="19" width="15.54296875" bestFit="1" customWidth="1"/>
    <col min="20" max="20" width="15.1796875" bestFit="1" customWidth="1"/>
  </cols>
  <sheetData>
    <row r="2" spans="3:22" x14ac:dyDescent="0.35">
      <c r="C2" s="47">
        <f>((('Planejamento Financeiro'!C21+1)^(1/12))-1)</f>
        <v>4.2572234018702915E-3</v>
      </c>
    </row>
    <row r="3" spans="3:22" x14ac:dyDescent="0.35">
      <c r="C3" s="48">
        <f>((('Planejamento Financeiro'!G12+1)^(1/12))-1)</f>
        <v>8.6588317099438594E-3</v>
      </c>
      <c r="E3" s="2" t="s">
        <v>399</v>
      </c>
      <c r="F3" s="2" t="s">
        <v>398</v>
      </c>
      <c r="G3" t="s">
        <v>397</v>
      </c>
      <c r="H3" t="s">
        <v>396</v>
      </c>
      <c r="I3" t="s">
        <v>395</v>
      </c>
      <c r="J3" t="s">
        <v>394</v>
      </c>
      <c r="O3" s="2" t="s">
        <v>400</v>
      </c>
      <c r="P3" s="2" t="s">
        <v>399</v>
      </c>
      <c r="Q3" t="s">
        <v>401</v>
      </c>
      <c r="R3" t="s">
        <v>402</v>
      </c>
      <c r="S3" s="7" t="s">
        <v>403</v>
      </c>
      <c r="T3" s="7" t="s">
        <v>404</v>
      </c>
    </row>
    <row r="4" spans="3:22" x14ac:dyDescent="0.35">
      <c r="C4" s="47">
        <f>((('Planejamento Financeiro'!G15+1)^(1/12))-1)</f>
        <v>4.3829491145339627E-3</v>
      </c>
      <c r="E4" s="4">
        <f>Tabela1[[#This Row],[Ano]]+'Planejamento Financeiro'!$M$15</f>
        <v>30</v>
      </c>
      <c r="F4" s="2">
        <v>0</v>
      </c>
      <c r="G4" s="6">
        <f>Tabela1[[#This Row],[TotalAcumulado]]-Tabela1[[#This Row],[Total Investido]]</f>
        <v>0</v>
      </c>
      <c r="H4" s="7">
        <f>'Planejamento Financeiro'!$C$15</f>
        <v>1000000</v>
      </c>
      <c r="I4" s="6">
        <f>Tabela1[[#This Row],[Juros]]</f>
        <v>0</v>
      </c>
      <c r="J4" s="6">
        <f>-FV('Base Dash acum'!$C$3,Tabela1[[#This Row],[Ano]]*12,'Planejamento Financeiro'!$C$18,'Planejamento Financeiro'!$C$15,)</f>
        <v>1000000</v>
      </c>
      <c r="O4" s="4">
        <f>0</f>
        <v>0</v>
      </c>
      <c r="P4" s="4">
        <f>Tabela46[[#This Row],[ANO]]+'Planejamento Financeiro'!$M$18</f>
        <v>50</v>
      </c>
      <c r="Q4" s="7">
        <f>'Planejamento Financeiro'!$I$15</f>
        <v>4974440.6883346513</v>
      </c>
      <c r="R4" s="7">
        <f>'Planejamento Financeiro'!$C$30*Tabela46[[#This Row],[PL]]+('Planejamento Financeiro'!$C$36*12)</f>
        <v>353079.31797070702</v>
      </c>
      <c r="S4" s="5">
        <f>Tabela46[[#This Row],[GASTO MÊS]]*12</f>
        <v>300000</v>
      </c>
      <c r="T4" s="7">
        <f>'Planejamento Financeiro'!$C$42-V4</f>
        <v>25000</v>
      </c>
      <c r="V4" s="50"/>
    </row>
    <row r="5" spans="3:22" x14ac:dyDescent="0.35">
      <c r="E5" s="4">
        <f>Tabela1[[#This Row],[Ano]]+'Planejamento Financeiro'!$M$15</f>
        <v>31</v>
      </c>
      <c r="F5" s="2">
        <f t="shared" ref="F5:F30" si="0">F4+1</f>
        <v>1</v>
      </c>
      <c r="G5" s="6">
        <f>Tabela1[[#This Row],[TotalAcumulado]]-Tabela1[[#This Row],[Total Investido]]</f>
        <v>111941.51662217034</v>
      </c>
      <c r="H5" s="7">
        <f>H4+('Planejamento Financeiro'!$C$18*12)</f>
        <v>1060000</v>
      </c>
      <c r="I5" s="6">
        <f>Tabela1[[#This Row],[Juros]]</f>
        <v>111941.51662217034</v>
      </c>
      <c r="J5" s="6">
        <f>-FV('Base Dash acum'!$C$3,Tabela1[[#This Row],[Ano]]*12,'Planejamento Financeiro'!$C$18,'Planejamento Financeiro'!$C$15,)</f>
        <v>1171941.5166221703</v>
      </c>
      <c r="O5" s="4">
        <f t="shared" ref="O5:O54" si="1">1+O4</f>
        <v>1</v>
      </c>
      <c r="P5" s="4">
        <f>Tabela46[[#This Row],[ANO]]+'Planejamento Financeiro'!$M$18</f>
        <v>51</v>
      </c>
      <c r="Q5" s="7">
        <f t="shared" ref="Q5:Q34" si="2">Q4+R4-S4</f>
        <v>5027520.0063053584</v>
      </c>
      <c r="R5" s="7">
        <f>'Planejamento Financeiro'!$C$30*Tabela46[[#This Row],[PL]]+('Planejamento Financeiro'!$C$36*12)</f>
        <v>355939.33633898519</v>
      </c>
      <c r="S5" s="5">
        <f>Tabela46[[#This Row],[GASTO MÊS]]*12</f>
        <v>300000</v>
      </c>
      <c r="T5" s="7">
        <f>'Planejamento Financeiro'!$C$42-V5</f>
        <v>25000</v>
      </c>
    </row>
    <row r="6" spans="3:22" x14ac:dyDescent="0.35">
      <c r="E6" s="4">
        <f>Tabela1[[#This Row],[Ano]]+'Planejamento Financeiro'!$M$15</f>
        <v>32</v>
      </c>
      <c r="F6" s="2">
        <f t="shared" si="0"/>
        <v>2</v>
      </c>
      <c r="G6" s="6">
        <f>Tabela1[[#This Row],[TotalAcumulado]]-Tabela1[[#This Row],[Total Investido]]</f>
        <v>242624.65855615656</v>
      </c>
      <c r="H6" s="7">
        <f>H5+('Planejamento Financeiro'!$C$18*12)</f>
        <v>1120000</v>
      </c>
      <c r="I6" s="6">
        <f>Tabela1[[#This Row],[Juros]]</f>
        <v>242624.65855615656</v>
      </c>
      <c r="J6" s="6">
        <f>-FV('Base Dash acum'!$C$3,Tabela1[[#This Row],[Ano]]*12,'Planejamento Financeiro'!$C$18,'Planejamento Financeiro'!$C$15,)</f>
        <v>1362624.6585561566</v>
      </c>
      <c r="O6" s="4">
        <f t="shared" si="1"/>
        <v>2</v>
      </c>
      <c r="P6" s="4">
        <f>Tabela46[[#This Row],[ANO]]+'Planejamento Financeiro'!$M$18</f>
        <v>52</v>
      </c>
      <c r="Q6" s="7">
        <f t="shared" si="2"/>
        <v>5083459.3426443432</v>
      </c>
      <c r="R6" s="7">
        <f>'Planejamento Financeiro'!$C$30*Tabela46[[#This Row],[PL]]+('Planejamento Financeiro'!$C$36*12)</f>
        <v>358953.45813925168</v>
      </c>
      <c r="S6" s="5">
        <f>Tabela46[[#This Row],[GASTO MÊS]]*12</f>
        <v>300000</v>
      </c>
      <c r="T6" s="7">
        <f>'Planejamento Financeiro'!$C$42-V6</f>
        <v>25000</v>
      </c>
    </row>
    <row r="7" spans="3:22" x14ac:dyDescent="0.35">
      <c r="E7" s="4">
        <f>Tabela1[[#This Row],[Ano]]+'Planejamento Financeiro'!$M$15</f>
        <v>33</v>
      </c>
      <c r="F7" s="2">
        <f t="shared" si="0"/>
        <v>3</v>
      </c>
      <c r="G7" s="6">
        <f>Tabela1[[#This Row],[TotalAcumulado]]-Tabela1[[#This Row],[Total Investido]]</f>
        <v>394092.26296094805</v>
      </c>
      <c r="H7" s="7">
        <f>H6+('Planejamento Financeiro'!$C$18*12)</f>
        <v>1180000</v>
      </c>
      <c r="I7" s="6">
        <f>Tabela1[[#This Row],[Juros]]</f>
        <v>394092.26296094805</v>
      </c>
      <c r="J7" s="6">
        <f>-FV('Base Dash acum'!$C$3,Tabela1[[#This Row],[Ano]]*12,'Planejamento Financeiro'!$C$18,'Planejamento Financeiro'!$C$15,)</f>
        <v>1574092.2629609481</v>
      </c>
      <c r="O7" s="4">
        <f t="shared" si="1"/>
        <v>3</v>
      </c>
      <c r="P7" s="4">
        <f>Tabela46[[#This Row],[ANO]]+'Planejamento Financeiro'!$M$18</f>
        <v>53</v>
      </c>
      <c r="Q7" s="7">
        <f t="shared" si="2"/>
        <v>5142412.8007835951</v>
      </c>
      <c r="R7" s="7">
        <f>'Planejamento Financeiro'!$C$30*Tabela46[[#This Row],[PL]]+('Planejamento Financeiro'!$C$36*12)</f>
        <v>362129.98676844069</v>
      </c>
      <c r="S7" s="5">
        <f>Tabela46[[#This Row],[GASTO MÊS]]*12</f>
        <v>300000</v>
      </c>
      <c r="T7" s="7">
        <f>'Planejamento Financeiro'!$C$42-V7</f>
        <v>25000</v>
      </c>
    </row>
    <row r="8" spans="3:22" x14ac:dyDescent="0.35">
      <c r="E8" s="4">
        <f>Tabela1[[#This Row],[Ano]]+'Planejamento Financeiro'!$M$15</f>
        <v>34</v>
      </c>
      <c r="F8" s="2">
        <f t="shared" si="0"/>
        <v>4</v>
      </c>
      <c r="G8" s="6">
        <f>Tabela1[[#This Row],[TotalAcumulado]]-Tabela1[[#This Row],[Total Investido]]</f>
        <v>568609.83624586137</v>
      </c>
      <c r="H8" s="7">
        <f>H7+('Planejamento Financeiro'!$C$18*12)</f>
        <v>1240000</v>
      </c>
      <c r="I8" s="6">
        <f>Tabela1[[#This Row],[Juros]]</f>
        <v>568609.83624586137</v>
      </c>
      <c r="J8" s="6">
        <f>-FV('Base Dash acum'!$C$3,Tabela1[[#This Row],[Ano]]*12,'Planejamento Financeiro'!$C$18,'Planejamento Financeiro'!$C$15,)</f>
        <v>1808609.8362458614</v>
      </c>
      <c r="O8" s="4">
        <f t="shared" si="1"/>
        <v>4</v>
      </c>
      <c r="P8" s="4">
        <f>Tabela46[[#This Row],[ANO]]+'Planejamento Financeiro'!$M$18</f>
        <v>54</v>
      </c>
      <c r="Q8" s="7">
        <f t="shared" si="2"/>
        <v>5204542.7875520354</v>
      </c>
      <c r="R8" s="7">
        <f>'Planejamento Financeiro'!$C$30*Tabela46[[#This Row],[PL]]+('Planejamento Financeiro'!$C$36*12)</f>
        <v>365477.67302689416</v>
      </c>
      <c r="S8" s="5">
        <f>Tabela46[[#This Row],[GASTO MÊS]]*12</f>
        <v>300000</v>
      </c>
      <c r="T8" s="7">
        <f>'Planejamento Financeiro'!$C$42-V8</f>
        <v>25000</v>
      </c>
    </row>
    <row r="9" spans="3:22" x14ac:dyDescent="0.35">
      <c r="E9" s="4">
        <f>Tabela1[[#This Row],[Ano]]+'Planejamento Financeiro'!$M$15</f>
        <v>35</v>
      </c>
      <c r="F9" s="2">
        <f t="shared" si="0"/>
        <v>5</v>
      </c>
      <c r="G9" s="6">
        <f>Tabela1[[#This Row],[TotalAcumulado]]-Tabela1[[#This Row],[Total Investido]]</f>
        <v>768689.8250188306</v>
      </c>
      <c r="H9" s="7">
        <f>H8+('Planejamento Financeiro'!$C$18*12)</f>
        <v>1300000</v>
      </c>
      <c r="I9" s="6">
        <f>Tabela1[[#This Row],[Juros]]</f>
        <v>768689.8250188306</v>
      </c>
      <c r="J9" s="6">
        <f>-FV('Base Dash acum'!$C$3,Tabela1[[#This Row],[Ano]]*12,'Planejamento Financeiro'!$C$18,'Planejamento Financeiro'!$C$15,)</f>
        <v>2068689.8250188306</v>
      </c>
      <c r="O9" s="4">
        <f t="shared" si="1"/>
        <v>5</v>
      </c>
      <c r="P9" s="4">
        <f>Tabela46[[#This Row],[ANO]]+'Planejamento Financeiro'!$M$18</f>
        <v>55</v>
      </c>
      <c r="Q9" s="7">
        <f t="shared" si="2"/>
        <v>5270020.4605789296</v>
      </c>
      <c r="R9" s="7">
        <f>'Planejamento Financeiro'!$C$30*Tabela46[[#This Row],[PL]]+('Planejamento Financeiro'!$C$36*12)</f>
        <v>369005.73922534031</v>
      </c>
      <c r="S9" s="5">
        <f>Tabela46[[#This Row],[GASTO MÊS]]*12</f>
        <v>300000</v>
      </c>
      <c r="T9" s="7">
        <f>'Planejamento Financeiro'!$C$42-V9</f>
        <v>25000</v>
      </c>
    </row>
    <row r="10" spans="3:22" x14ac:dyDescent="0.35">
      <c r="E10" s="4">
        <f>Tabela1[[#This Row],[Ano]]+'Planejamento Financeiro'!$M$15</f>
        <v>36</v>
      </c>
      <c r="F10" s="2">
        <f t="shared" si="0"/>
        <v>6</v>
      </c>
      <c r="G10" s="6">
        <f>Tabela1[[#This Row],[TotalAcumulado]]-Tabela1[[#This Row],[Total Investido]]</f>
        <v>997118.53256805334</v>
      </c>
      <c r="H10" s="7">
        <f>H9+('Planejamento Financeiro'!$C$18*12)</f>
        <v>1360000</v>
      </c>
      <c r="I10" s="6">
        <f>Tabela1[[#This Row],[Juros]]</f>
        <v>997118.53256805334</v>
      </c>
      <c r="J10" s="6">
        <f>-FV('Base Dash acum'!$C$3,Tabela1[[#This Row],[Ano]]*12,'Planejamento Financeiro'!$C$18,'Planejamento Financeiro'!$C$15,)</f>
        <v>2357118.5325680533</v>
      </c>
      <c r="O10" s="4">
        <f t="shared" si="1"/>
        <v>6</v>
      </c>
      <c r="P10" s="4">
        <f>Tabela46[[#This Row],[ANO]]+'Planejamento Financeiro'!$M$18</f>
        <v>56</v>
      </c>
      <c r="Q10" s="7">
        <f t="shared" si="2"/>
        <v>5339026.1998042697</v>
      </c>
      <c r="R10" s="7">
        <f>'Planejamento Financeiro'!$C$30*Tabela46[[#This Row],[PL]]+('Planejamento Financeiro'!$C$36*12)</f>
        <v>372723.90459080337</v>
      </c>
      <c r="S10" s="5">
        <f>Tabela46[[#This Row],[GASTO MÊS]]*12</f>
        <v>300000</v>
      </c>
      <c r="T10" s="7">
        <f>'Planejamento Financeiro'!$C$42-V10</f>
        <v>25000</v>
      </c>
    </row>
    <row r="11" spans="3:22" x14ac:dyDescent="0.35">
      <c r="E11" s="4">
        <f>Tabela1[[#This Row],[Ano]]+'Planejamento Financeiro'!$M$15</f>
        <v>37</v>
      </c>
      <c r="F11" s="2">
        <f t="shared" si="0"/>
        <v>7</v>
      </c>
      <c r="G11" s="6">
        <f>Tabela1[[#This Row],[TotalAcumulado]]-Tabela1[[#This Row],[Total Investido]]</f>
        <v>1256985.969240142</v>
      </c>
      <c r="H11" s="7">
        <f>H10+('Planejamento Financeiro'!$C$18*12)</f>
        <v>1420000</v>
      </c>
      <c r="I11" s="6">
        <f>Tabela1[[#This Row],[Juros]]</f>
        <v>1256985.969240142</v>
      </c>
      <c r="J11" s="6">
        <f>-FV('Base Dash acum'!$C$3,Tabela1[[#This Row],[Ano]]*12,'Planejamento Financeiro'!$C$18,'Planejamento Financeiro'!$C$15,)</f>
        <v>2676985.969240142</v>
      </c>
      <c r="O11" s="4">
        <f t="shared" si="1"/>
        <v>7</v>
      </c>
      <c r="P11" s="4">
        <f>Tabela46[[#This Row],[ANO]]+'Planejamento Financeiro'!$M$18</f>
        <v>57</v>
      </c>
      <c r="Q11" s="7">
        <f t="shared" si="2"/>
        <v>5411750.1043950729</v>
      </c>
      <c r="R11" s="7">
        <f>'Planejamento Financeiro'!$C$30*Tabela46[[#This Row],[PL]]+('Planejamento Financeiro'!$C$36*12)</f>
        <v>376642.41204143397</v>
      </c>
      <c r="S11" s="5">
        <f>Tabela46[[#This Row],[GASTO MÊS]]*12</f>
        <v>300000</v>
      </c>
      <c r="T11" s="7">
        <f>'Planejamento Financeiro'!$C$42-V11</f>
        <v>25000</v>
      </c>
    </row>
    <row r="12" spans="3:22" x14ac:dyDescent="0.35">
      <c r="E12" s="4">
        <f>Tabela1[[#This Row],[Ano]]+'Planejamento Financeiro'!$M$15</f>
        <v>38</v>
      </c>
      <c r="F12" s="2">
        <f t="shared" si="0"/>
        <v>8</v>
      </c>
      <c r="G12" s="6">
        <f>Tabela1[[#This Row],[TotalAcumulado]]-Tabela1[[#This Row],[Total Investido]]</f>
        <v>1551718.9565094877</v>
      </c>
      <c r="H12" s="7">
        <f>H11+('Planejamento Financeiro'!$C$18*12)</f>
        <v>1480000</v>
      </c>
      <c r="I12" s="6">
        <f>Tabela1[[#This Row],[Juros]]</f>
        <v>1551718.9565094877</v>
      </c>
      <c r="J12" s="6">
        <f>-FV('Base Dash acum'!$C$3,Tabela1[[#This Row],[Ano]]*12,'Planejamento Financeiro'!$C$18,'Planejamento Financeiro'!$C$15,)</f>
        <v>3031718.9565094877</v>
      </c>
      <c r="O12" s="4">
        <f t="shared" si="1"/>
        <v>8</v>
      </c>
      <c r="P12" s="4">
        <f>Tabela46[[#This Row],[ANO]]+'Planejamento Financeiro'!$M$18</f>
        <v>58</v>
      </c>
      <c r="Q12" s="7">
        <f t="shared" si="2"/>
        <v>5488392.516436507</v>
      </c>
      <c r="R12" s="7">
        <f>'Planejamento Financeiro'!$C$30*Tabela46[[#This Row],[PL]]+('Planejamento Financeiro'!$C$36*12)</f>
        <v>380772.05640402</v>
      </c>
      <c r="S12" s="5">
        <f>Tabela46[[#This Row],[GASTO MÊS]]*12</f>
        <v>300000</v>
      </c>
      <c r="T12" s="7">
        <f>'Planejamento Financeiro'!$C$42-V12</f>
        <v>25000</v>
      </c>
    </row>
    <row r="13" spans="3:22" x14ac:dyDescent="0.35">
      <c r="E13" s="4">
        <f>Tabela1[[#This Row],[Ano]]+'Planejamento Financeiro'!$M$15</f>
        <v>39</v>
      </c>
      <c r="F13" s="2">
        <f t="shared" si="0"/>
        <v>9</v>
      </c>
      <c r="G13" s="6">
        <f>Tabela1[[#This Row],[TotalAcumulado]]-Tabela1[[#This Row],[Total Investido]]</f>
        <v>1885117.8393911929</v>
      </c>
      <c r="H13" s="7">
        <f>H12+('Planejamento Financeiro'!$C$18*12)</f>
        <v>1540000</v>
      </c>
      <c r="I13" s="6">
        <f>Tabela1[[#This Row],[Juros]]</f>
        <v>1885117.8393911929</v>
      </c>
      <c r="J13" s="6">
        <f>-FV('Base Dash acum'!$C$3,Tabela1[[#This Row],[Ano]]*12,'Planejamento Financeiro'!$C$18,'Planejamento Financeiro'!$C$15,)</f>
        <v>3425117.8393911929</v>
      </c>
      <c r="O13" s="4">
        <f t="shared" si="1"/>
        <v>9</v>
      </c>
      <c r="P13" s="4">
        <f>Tabela46[[#This Row],[ANO]]+'Planejamento Financeiro'!$M$18</f>
        <v>59</v>
      </c>
      <c r="Q13" s="7">
        <f t="shared" si="2"/>
        <v>5569164.5728405267</v>
      </c>
      <c r="R13" s="7">
        <f>'Planejamento Financeiro'!$C$30*Tabela46[[#This Row],[PL]]+('Planejamento Financeiro'!$C$36*12)</f>
        <v>385124.21415191313</v>
      </c>
      <c r="S13" s="5">
        <f>Tabela46[[#This Row],[GASTO MÊS]]*12</f>
        <v>300000</v>
      </c>
      <c r="T13" s="7">
        <f>'Planejamento Financeiro'!$C$42-V13</f>
        <v>25000</v>
      </c>
    </row>
    <row r="14" spans="3:22" x14ac:dyDescent="0.35">
      <c r="E14" s="4">
        <f>Tabela1[[#This Row],[Ano]]+'Planejamento Financeiro'!$M$15</f>
        <v>40</v>
      </c>
      <c r="F14" s="2">
        <f t="shared" si="0"/>
        <v>10</v>
      </c>
      <c r="G14" s="6">
        <f>Tabela1[[#This Row],[TotalAcumulado]]-Tabela1[[#This Row],[Total Investido]]</f>
        <v>2261397.2005070033</v>
      </c>
      <c r="H14" s="7">
        <f>H13+('Planejamento Financeiro'!$C$18*12)</f>
        <v>1600000</v>
      </c>
      <c r="I14" s="6">
        <f>Tabela1[[#This Row],[Juros]]</f>
        <v>2261397.2005070033</v>
      </c>
      <c r="J14" s="6">
        <f>-FV('Base Dash acum'!$C$3,Tabela1[[#This Row],[Ano]]*12,'Planejamento Financeiro'!$C$18,'Planejamento Financeiro'!$C$15,)</f>
        <v>3861397.2005070033</v>
      </c>
      <c r="O14" s="4">
        <f t="shared" si="1"/>
        <v>10</v>
      </c>
      <c r="P14" s="4">
        <f>Tabela46[[#This Row],[ANO]]+'Planejamento Financeiro'!$M$18</f>
        <v>60</v>
      </c>
      <c r="Q14" s="7">
        <f t="shared" si="2"/>
        <v>5654288.78699244</v>
      </c>
      <c r="R14" s="7">
        <f>'Planejamento Financeiro'!$C$30*Tabela46[[#This Row],[PL]]+('Planejamento Financeiro'!$C$36*12)</f>
        <v>389710.87474529288</v>
      </c>
      <c r="S14" s="5">
        <f>Tabela46[[#This Row],[GASTO MÊS]]*12</f>
        <v>300000</v>
      </c>
      <c r="T14" s="7">
        <f>'Planejamento Financeiro'!$C$42-V14</f>
        <v>25000</v>
      </c>
    </row>
    <row r="15" spans="3:22" x14ac:dyDescent="0.35">
      <c r="E15" s="4">
        <f>Tabela1[[#This Row],[Ano]]+'Planejamento Financeiro'!$M$15</f>
        <v>41</v>
      </c>
      <c r="F15" s="2">
        <f t="shared" si="0"/>
        <v>11</v>
      </c>
      <c r="G15" s="6">
        <f>Tabela1[[#This Row],[TotalAcumulado]]-Tabela1[[#This Row],[Total Investido]]</f>
        <v>2685231.0119844368</v>
      </c>
      <c r="H15" s="7">
        <f>H14+('Planejamento Financeiro'!$C$18*12)</f>
        <v>1660000</v>
      </c>
      <c r="I15" s="6">
        <f>Tabela1[[#This Row],[Juros]]</f>
        <v>2685231.0119844368</v>
      </c>
      <c r="J15" s="6">
        <f>-FV('Base Dash acum'!$C$3,Tabela1[[#This Row],[Ano]]*12,'Planejamento Financeiro'!$C$18,'Planejamento Financeiro'!$C$15,)</f>
        <v>4345231.0119844368</v>
      </c>
      <c r="O15" s="4">
        <f t="shared" si="1"/>
        <v>11</v>
      </c>
      <c r="P15" s="4">
        <f>Tabela46[[#This Row],[ANO]]+'Planejamento Financeiro'!$M$18</f>
        <v>61</v>
      </c>
      <c r="Q15" s="7">
        <f t="shared" si="2"/>
        <v>5743999.6617377326</v>
      </c>
      <c r="R15" s="7">
        <f>'Planejamento Financeiro'!$C$30*Tabela46[[#This Row],[PL]]+('Planejamento Financeiro'!$C$36*12)</f>
        <v>394544.6736601062</v>
      </c>
      <c r="S15" s="5">
        <f>Tabela46[[#This Row],[GASTO MÊS]]*12</f>
        <v>300000</v>
      </c>
      <c r="T15" s="7">
        <f>'Planejamento Financeiro'!$C$42-V15</f>
        <v>25000</v>
      </c>
    </row>
    <row r="16" spans="3:22" x14ac:dyDescent="0.35">
      <c r="E16" s="4">
        <f>Tabela1[[#This Row],[Ano]]+'Planejamento Financeiro'!$M$15</f>
        <v>42</v>
      </c>
      <c r="F16" s="2">
        <f t="shared" si="0"/>
        <v>12</v>
      </c>
      <c r="G16" s="6">
        <f>Tabela1[[#This Row],[TotalAcumulado]]-Tabela1[[#This Row],[Total Investido]]</f>
        <v>3161802.7089129118</v>
      </c>
      <c r="H16" s="7">
        <f>H15+('Planejamento Financeiro'!$C$18*12)</f>
        <v>1720000</v>
      </c>
      <c r="I16" s="6">
        <f>Tabela1[[#This Row],[Juros]]</f>
        <v>3161802.7089129118</v>
      </c>
      <c r="J16" s="6">
        <f>-FV('Base Dash acum'!$C$3,Tabela1[[#This Row],[Ano]]*12,'Planejamento Financeiro'!$C$18,'Planejamento Financeiro'!$C$15,)</f>
        <v>4881802.7089129118</v>
      </c>
      <c r="O16" s="4">
        <f t="shared" si="1"/>
        <v>12</v>
      </c>
      <c r="P16" s="4">
        <f>Tabela46[[#This Row],[ANO]]+'Planejamento Financeiro'!$M$18</f>
        <v>62</v>
      </c>
      <c r="Q16" s="7">
        <f t="shared" si="2"/>
        <v>5838544.3353978386</v>
      </c>
      <c r="R16" s="7">
        <f>'Planejamento Financeiro'!$C$30*Tabela46[[#This Row],[PL]]+('Planejamento Financeiro'!$C$36*12)</f>
        <v>399638.92719667184</v>
      </c>
      <c r="S16" s="5">
        <f>Tabela46[[#This Row],[GASTO MÊS]]*12</f>
        <v>300000</v>
      </c>
      <c r="T16" s="7">
        <f>'Planejamento Financeiro'!$C$42-V16</f>
        <v>25000</v>
      </c>
    </row>
    <row r="17" spans="5:20" x14ac:dyDescent="0.35">
      <c r="E17" s="4">
        <f>Tabela1[[#This Row],[Ano]]+'Planejamento Financeiro'!$M$15</f>
        <v>43</v>
      </c>
      <c r="F17" s="2">
        <f t="shared" si="0"/>
        <v>13</v>
      </c>
      <c r="G17" s="6">
        <f>Tabela1[[#This Row],[TotalAcumulado]]-Tabela1[[#This Row],[Total Investido]]</f>
        <v>3696860.7208065912</v>
      </c>
      <c r="H17" s="7">
        <f>H16+('Planejamento Financeiro'!$C$18*12)</f>
        <v>1780000</v>
      </c>
      <c r="I17" s="6">
        <f>Tabela1[[#This Row],[Juros]]</f>
        <v>3696860.7208065912</v>
      </c>
      <c r="J17" s="6">
        <f>-FV('Base Dash acum'!$C$3,Tabela1[[#This Row],[Ano]]*12,'Planejamento Financeiro'!$C$18,'Planejamento Financeiro'!$C$15,)</f>
        <v>5476860.7208065912</v>
      </c>
      <c r="O17" s="4">
        <f t="shared" si="1"/>
        <v>13</v>
      </c>
      <c r="P17" s="4">
        <f>Tabela46[[#This Row],[ANO]]+'Planejamento Financeiro'!$M$18</f>
        <v>63</v>
      </c>
      <c r="Q17" s="7">
        <f t="shared" si="2"/>
        <v>5938183.2625945108</v>
      </c>
      <c r="R17" s="7">
        <f>'Planejamento Financeiro'!$C$30*Tabela46[[#This Row],[PL]]+('Planejamento Financeiro'!$C$36*12)</f>
        <v>405007.66916384024</v>
      </c>
      <c r="S17" s="5">
        <f>Tabela46[[#This Row],[GASTO MÊS]]*12</f>
        <v>300000</v>
      </c>
      <c r="T17" s="7">
        <f>'Planejamento Financeiro'!$C$42-V17</f>
        <v>25000</v>
      </c>
    </row>
    <row r="18" spans="5:20" x14ac:dyDescent="0.35">
      <c r="E18" s="4">
        <f>Tabela1[[#This Row],[Ano]]+'Planejamento Financeiro'!$M$15</f>
        <v>44</v>
      </c>
      <c r="F18" s="2">
        <f t="shared" si="0"/>
        <v>14</v>
      </c>
      <c r="G18" s="6">
        <f>Tabela1[[#This Row],[TotalAcumulado]]-Tabela1[[#This Row],[Total Investido]]</f>
        <v>4296780.0559966806</v>
      </c>
      <c r="H18" s="7">
        <f>H17+('Planejamento Financeiro'!$C$18*12)</f>
        <v>1840000</v>
      </c>
      <c r="I18" s="6">
        <f>Tabela1[[#This Row],[Juros]]</f>
        <v>4296780.0559966806</v>
      </c>
      <c r="J18" s="6">
        <f>-FV('Base Dash acum'!$C$3,Tabela1[[#This Row],[Ano]]*12,'Planejamento Financeiro'!$C$18,'Planejamento Financeiro'!$C$15,)</f>
        <v>6136780.0559966806</v>
      </c>
      <c r="O18" s="4">
        <f t="shared" si="1"/>
        <v>14</v>
      </c>
      <c r="P18" s="4">
        <f>Tabela46[[#This Row],[ANO]]+'Planejamento Financeiro'!$M$18</f>
        <v>64</v>
      </c>
      <c r="Q18" s="7">
        <f t="shared" si="2"/>
        <v>6043190.9317583507</v>
      </c>
      <c r="R18" s="7">
        <f>'Planejamento Financeiro'!$C$30*Tabela46[[#This Row],[PL]]+('Planejamento Financeiro'!$C$36*12)</f>
        <v>410665.68953976891</v>
      </c>
      <c r="S18" s="5">
        <f>Tabela46[[#This Row],[GASTO MÊS]]*12</f>
        <v>300000</v>
      </c>
      <c r="T18" s="7">
        <f>'Planejamento Financeiro'!$C$42-V18</f>
        <v>25000</v>
      </c>
    </row>
    <row r="19" spans="5:20" x14ac:dyDescent="0.35">
      <c r="E19" s="4">
        <f>Tabela1[[#This Row],[Ano]]+'Planejamento Financeiro'!$M$15</f>
        <v>45</v>
      </c>
      <c r="F19" s="2">
        <f t="shared" si="0"/>
        <v>15</v>
      </c>
      <c r="G19" s="6">
        <f>Tabela1[[#This Row],[TotalAcumulado]]-Tabela1[[#This Row],[Total Investido]]</f>
        <v>4968630.5987224914</v>
      </c>
      <c r="H19" s="7">
        <f>H18+('Planejamento Financeiro'!$C$18*12)</f>
        <v>1900000</v>
      </c>
      <c r="I19" s="6">
        <f>Tabela1[[#This Row],[Juros]]</f>
        <v>4968630.5987224914</v>
      </c>
      <c r="J19" s="6">
        <f>-FV('Base Dash acum'!$C$3,Tabela1[[#This Row],[Ano]]*12,'Planejamento Financeiro'!$C$18,'Planejamento Financeiro'!$C$15,)</f>
        <v>6868630.5987224914</v>
      </c>
      <c r="O19" s="4">
        <f t="shared" si="1"/>
        <v>15</v>
      </c>
      <c r="P19" s="4">
        <f>Tabela46[[#This Row],[ANO]]+'Planejamento Financeiro'!$M$18</f>
        <v>65</v>
      </c>
      <c r="Q19" s="7">
        <f t="shared" si="2"/>
        <v>6153856.6212981194</v>
      </c>
      <c r="R19" s="7">
        <f>'Planejamento Financeiro'!$C$30*Tabela46[[#This Row],[PL]]+('Planejamento Financeiro'!$C$36*12)</f>
        <v>416628.5752158165</v>
      </c>
      <c r="S19" s="5">
        <f>Tabela46[[#This Row],[GASTO MÊS]]*12</f>
        <v>300000</v>
      </c>
      <c r="T19" s="7">
        <f>'Planejamento Financeiro'!$C$42-V19</f>
        <v>25000</v>
      </c>
    </row>
    <row r="20" spans="5:20" x14ac:dyDescent="0.35">
      <c r="E20" s="4">
        <f>Tabela1[[#This Row],[Ano]]+'Planejamento Financeiro'!$M$15</f>
        <v>46</v>
      </c>
      <c r="F20" s="2">
        <f t="shared" si="0"/>
        <v>16</v>
      </c>
      <c r="G20" s="6">
        <f>Tabela1[[#This Row],[TotalAcumulado]]-Tabela1[[#This Row],[Total Investido]]</f>
        <v>5720252.8506054115</v>
      </c>
      <c r="H20" s="7">
        <f>H19+('Planejamento Financeiro'!$C$18*12)</f>
        <v>1960000</v>
      </c>
      <c r="I20" s="6">
        <f>Tabela1[[#This Row],[Juros]]</f>
        <v>5720252.8506054115</v>
      </c>
      <c r="J20" s="6">
        <f>-FV('Base Dash acum'!$C$3,Tabela1[[#This Row],[Ano]]*12,'Planejamento Financeiro'!$C$18,'Planejamento Financeiro'!$C$15,)</f>
        <v>7680252.8506054115</v>
      </c>
      <c r="O20" s="4">
        <f t="shared" si="1"/>
        <v>16</v>
      </c>
      <c r="P20" s="4">
        <f>Tabela46[[#This Row],[ANO]]+'Planejamento Financeiro'!$M$18</f>
        <v>66</v>
      </c>
      <c r="Q20" s="7">
        <f t="shared" si="2"/>
        <v>6270485.1965139359</v>
      </c>
      <c r="R20" s="7">
        <f>'Planejamento Financeiro'!$C$30*Tabela46[[#This Row],[PL]]+('Planejamento Financeiro'!$C$36*12)</f>
        <v>422912.75293579826</v>
      </c>
      <c r="S20" s="5">
        <f>Tabela46[[#This Row],[GASTO MÊS]]*12</f>
        <v>300000</v>
      </c>
      <c r="T20" s="7">
        <f>'Planejamento Financeiro'!$C$42-V20</f>
        <v>25000</v>
      </c>
    </row>
    <row r="21" spans="5:20" x14ac:dyDescent="0.35">
      <c r="E21" s="4">
        <f>Tabela1[[#This Row],[Ano]]+'Planejamento Financeiro'!$M$15</f>
        <v>47</v>
      </c>
      <c r="F21" s="2">
        <f t="shared" si="0"/>
        <v>17</v>
      </c>
      <c r="G21" s="6">
        <f>Tabela1[[#This Row],[TotalAcumulado]]-Tabela1[[#This Row],[Total Investido]]</f>
        <v>6560341.9279435743</v>
      </c>
      <c r="H21" s="7">
        <f>H20+('Planejamento Financeiro'!$C$18*12)</f>
        <v>2020000</v>
      </c>
      <c r="I21" s="6">
        <f>Tabela1[[#This Row],[Juros]]</f>
        <v>6560341.9279435743</v>
      </c>
      <c r="J21" s="6">
        <f>-FV('Base Dash acum'!$C$3,Tabela1[[#This Row],[Ano]]*12,'Planejamento Financeiro'!$C$18,'Planejamento Financeiro'!$C$15,)</f>
        <v>8580341.9279435743</v>
      </c>
      <c r="O21" s="4">
        <f t="shared" si="1"/>
        <v>17</v>
      </c>
      <c r="P21" s="4">
        <f>Tabela46[[#This Row],[ANO]]+'Planejamento Financeiro'!$M$18</f>
        <v>67</v>
      </c>
      <c r="Q21" s="7">
        <f t="shared" si="2"/>
        <v>6393397.9494497338</v>
      </c>
      <c r="R21" s="7">
        <f>'Planejamento Financeiro'!$C$30*Tabela46[[#This Row],[PL]]+('Planejamento Financeiro'!$C$36*12)</f>
        <v>429535.53454889316</v>
      </c>
      <c r="S21" s="5">
        <f>Tabela46[[#This Row],[GASTO MÊS]]*12</f>
        <v>300000</v>
      </c>
      <c r="T21" s="7">
        <f>'Planejamento Financeiro'!$C$42-V21</f>
        <v>25000</v>
      </c>
    </row>
    <row r="22" spans="5:20" x14ac:dyDescent="0.35">
      <c r="E22" s="4">
        <f>Tabela1[[#This Row],[Ano]]+'Planejamento Financeiro'!$M$15</f>
        <v>48</v>
      </c>
      <c r="F22" s="2">
        <f t="shared" si="0"/>
        <v>18</v>
      </c>
      <c r="G22" s="6">
        <f>Tabela1[[#This Row],[TotalAcumulado]]-Tabela1[[#This Row],[Total Investido]]</f>
        <v>7498540.7147115953</v>
      </c>
      <c r="H22" s="7">
        <f>H21+('Planejamento Financeiro'!$C$18*12)</f>
        <v>2080000</v>
      </c>
      <c r="I22" s="6">
        <f>Tabela1[[#This Row],[Juros]]</f>
        <v>7498540.7147115953</v>
      </c>
      <c r="J22" s="6">
        <f>-FV('Base Dash acum'!$C$3,Tabela1[[#This Row],[Ano]]*12,'Planejamento Financeiro'!$C$18,'Planejamento Financeiro'!$C$15,)</f>
        <v>9578540.7147115953</v>
      </c>
      <c r="O22" s="4">
        <f t="shared" si="1"/>
        <v>18</v>
      </c>
      <c r="P22" s="4">
        <f>Tabela46[[#This Row],[ANO]]+'Planejamento Financeiro'!$M$18</f>
        <v>68</v>
      </c>
      <c r="Q22" s="7">
        <f t="shared" si="2"/>
        <v>6522933.4839986274</v>
      </c>
      <c r="R22" s="7">
        <f>'Planejamento Financeiro'!$C$30*Tabela46[[#This Row],[PL]]+('Planejamento Financeiro'!$C$36*12)</f>
        <v>436515.1647008672</v>
      </c>
      <c r="S22" s="5">
        <f>Tabela46[[#This Row],[GASTO MÊS]]*12</f>
        <v>300000</v>
      </c>
      <c r="T22" s="7">
        <f>'Planejamento Financeiro'!$C$42-V22</f>
        <v>25000</v>
      </c>
    </row>
    <row r="23" spans="5:20" x14ac:dyDescent="0.35">
      <c r="E23" s="4">
        <f>Tabela1[[#This Row],[Ano]]+'Planejamento Financeiro'!$M$15</f>
        <v>49</v>
      </c>
      <c r="F23" s="2">
        <f t="shared" si="0"/>
        <v>19</v>
      </c>
      <c r="G23" s="6">
        <f>Tabela1[[#This Row],[TotalAcumulado]]-Tabela1[[#This Row],[Total Investido]]</f>
        <v>8545543.1692373343</v>
      </c>
      <c r="H23" s="7">
        <f>H22+('Planejamento Financeiro'!$C$18*12)</f>
        <v>2140000</v>
      </c>
      <c r="I23" s="6">
        <f>Tabela1[[#This Row],[Juros]]</f>
        <v>8545543.1692373343</v>
      </c>
      <c r="J23" s="6">
        <f>-FV('Base Dash acum'!$C$3,Tabela1[[#This Row],[Ano]]*12,'Planejamento Financeiro'!$C$18,'Planejamento Financeiro'!$C$15,)</f>
        <v>10685543.169237334</v>
      </c>
      <c r="O23" s="4">
        <f t="shared" si="1"/>
        <v>19</v>
      </c>
      <c r="P23" s="4">
        <f>Tabela46[[#This Row],[ANO]]+'Planejamento Financeiro'!$M$18</f>
        <v>69</v>
      </c>
      <c r="Q23" s="7">
        <f t="shared" si="2"/>
        <v>6659448.648699495</v>
      </c>
      <c r="R23" s="7">
        <f>'Planejamento Financeiro'!$C$30*Tabela46[[#This Row],[PL]]+('Planejamento Financeiro'!$C$36*12)</f>
        <v>443870.87109499361</v>
      </c>
      <c r="S23" s="5">
        <f>Tabela46[[#This Row],[GASTO MÊS]]*12</f>
        <v>300000</v>
      </c>
      <c r="T23" s="7">
        <f>'Planejamento Financeiro'!$C$42-V23</f>
        <v>25000</v>
      </c>
    </row>
    <row r="24" spans="5:20" x14ac:dyDescent="0.35">
      <c r="E24" s="4">
        <f>Tabela1[[#This Row],[Ano]]+'Planejamento Financeiro'!$M$15</f>
        <v>50</v>
      </c>
      <c r="F24" s="2">
        <f t="shared" si="0"/>
        <v>20</v>
      </c>
      <c r="G24" s="6">
        <f>Tabela1[[#This Row],[TotalAcumulado]]-Tabela1[[#This Row],[Total Investido]]</f>
        <v>9713208.8913063761</v>
      </c>
      <c r="H24" s="7">
        <f>H23+('Planejamento Financeiro'!$C$18*12)</f>
        <v>2200000</v>
      </c>
      <c r="I24" s="6">
        <f>Tabela1[[#This Row],[Juros]]</f>
        <v>9713208.8913063761</v>
      </c>
      <c r="J24" s="6">
        <f>-FV('Base Dash acum'!$C$3,Tabela1[[#This Row],[Ano]]*12,'Planejamento Financeiro'!$C$18,'Planejamento Financeiro'!$C$15,)</f>
        <v>11913208.891306376</v>
      </c>
      <c r="O24" s="4">
        <f t="shared" si="1"/>
        <v>20</v>
      </c>
      <c r="P24" s="4">
        <f>Tabela46[[#This Row],[ANO]]+'Planejamento Financeiro'!$M$18</f>
        <v>70</v>
      </c>
      <c r="Q24" s="7">
        <f t="shared" si="2"/>
        <v>6803319.5197944883</v>
      </c>
      <c r="R24" s="7">
        <f>'Planejamento Financeiro'!$C$30*Tabela46[[#This Row],[PL]]+('Planejamento Financeiro'!$C$36*12)</f>
        <v>451622.91746113077</v>
      </c>
      <c r="S24" s="5">
        <f>Tabela46[[#This Row],[GASTO MÊS]]*12</f>
        <v>300000</v>
      </c>
      <c r="T24" s="7">
        <f>'Planejamento Financeiro'!$C$42-V24</f>
        <v>25000</v>
      </c>
    </row>
    <row r="25" spans="5:20" x14ac:dyDescent="0.35">
      <c r="E25" s="4">
        <f>Tabela1[[#This Row],[Ano]]+'Planejamento Financeiro'!$M$15</f>
        <v>51</v>
      </c>
      <c r="F25" s="2">
        <f t="shared" si="0"/>
        <v>21</v>
      </c>
      <c r="G25" s="6">
        <f>Tabela1[[#This Row],[TotalAcumulado]]-Tabela1[[#This Row],[Total Investido]]</f>
        <v>11014690.177080944</v>
      </c>
      <c r="H25" s="7">
        <f>H24+('Planejamento Financeiro'!$C$18*12)</f>
        <v>2260000</v>
      </c>
      <c r="I25" s="6">
        <f>Tabela1[[#This Row],[Juros]]</f>
        <v>11014690.177080944</v>
      </c>
      <c r="J25" s="6">
        <f>-FV('Base Dash acum'!$C$3,Tabela1[[#This Row],[Ano]]*12,'Planejamento Financeiro'!$C$18,'Planejamento Financeiro'!$C$15,)</f>
        <v>13274690.177080944</v>
      </c>
      <c r="O25" s="4">
        <f t="shared" si="1"/>
        <v>21</v>
      </c>
      <c r="P25" s="4">
        <f>Tabela46[[#This Row],[ANO]]+'Planejamento Financeiro'!$M$18</f>
        <v>71</v>
      </c>
      <c r="Q25" s="7">
        <f t="shared" si="2"/>
        <v>6954942.4372556191</v>
      </c>
      <c r="R25" s="7">
        <f>'Planejamento Financeiro'!$C$30*Tabela46[[#This Row],[PL]]+('Planejamento Financeiro'!$C$36*12)</f>
        <v>459792.65937887866</v>
      </c>
      <c r="S25" s="5">
        <f>Tabela46[[#This Row],[GASTO MÊS]]*12</f>
        <v>300000</v>
      </c>
      <c r="T25" s="7">
        <f>'Planejamento Financeiro'!$C$42-V25</f>
        <v>25000</v>
      </c>
    </row>
    <row r="26" spans="5:20" x14ac:dyDescent="0.35">
      <c r="E26" s="4">
        <f>Tabela1[[#This Row],[Ano]]+'Planejamento Financeiro'!$M$15</f>
        <v>52</v>
      </c>
      <c r="F26" s="2">
        <f t="shared" si="0"/>
        <v>22</v>
      </c>
      <c r="G26" s="6">
        <f>Tabela1[[#This Row],[TotalAcumulado]]-Tabela1[[#This Row],[Total Investido]]</f>
        <v>12464572.92300494</v>
      </c>
      <c r="H26" s="7">
        <f>H25+('Planejamento Financeiro'!$C$18*12)</f>
        <v>2320000</v>
      </c>
      <c r="I26" s="6">
        <f>Tabela1[[#This Row],[Juros]]</f>
        <v>12464572.92300494</v>
      </c>
      <c r="J26" s="6">
        <f>-FV('Base Dash acum'!$C$3,Tabela1[[#This Row],[Ano]]*12,'Planejamento Financeiro'!$C$18,'Planejamento Financeiro'!$C$15,)</f>
        <v>14784572.92300494</v>
      </c>
      <c r="O26" s="4">
        <f t="shared" si="1"/>
        <v>22</v>
      </c>
      <c r="P26" s="4">
        <f>Tabela46[[#This Row],[ANO]]+'Planejamento Financeiro'!$M$18</f>
        <v>72</v>
      </c>
      <c r="Q26" s="7">
        <f t="shared" si="2"/>
        <v>7114735.0966344979</v>
      </c>
      <c r="R26" s="7">
        <f>'Planejamento Financeiro'!$C$30*Tabela46[[#This Row],[PL]]+('Planejamento Financeiro'!$C$36*12)</f>
        <v>468402.60310859681</v>
      </c>
      <c r="S26" s="5">
        <f>Tabela46[[#This Row],[GASTO MÊS]]*12</f>
        <v>300000</v>
      </c>
      <c r="T26" s="7">
        <f>'Planejamento Financeiro'!$C$42-V26</f>
        <v>25000</v>
      </c>
    </row>
    <row r="27" spans="5:20" x14ac:dyDescent="0.35">
      <c r="E27" s="4">
        <f>Tabela1[[#This Row],[Ano]]+'Planejamento Financeiro'!$M$15</f>
        <v>53</v>
      </c>
      <c r="F27" s="2">
        <f t="shared" si="0"/>
        <v>23</v>
      </c>
      <c r="G27" s="6">
        <f>Tabela1[[#This Row],[TotalAcumulado]]-Tabela1[[#This Row],[Total Investido]]</f>
        <v>14079032.888234656</v>
      </c>
      <c r="H27" s="7">
        <f>H26+('Planejamento Financeiro'!$C$18*12)</f>
        <v>2380000</v>
      </c>
      <c r="I27" s="6">
        <f>Tabela1[[#This Row],[Juros]]</f>
        <v>14079032.888234656</v>
      </c>
      <c r="J27" s="6">
        <f>-FV('Base Dash acum'!$C$3,Tabela1[[#This Row],[Ano]]*12,'Planejamento Financeiro'!$C$18,'Planejamento Financeiro'!$C$15,)</f>
        <v>16459032.888234656</v>
      </c>
      <c r="O27" s="4">
        <f t="shared" si="1"/>
        <v>23</v>
      </c>
      <c r="P27" s="4">
        <f>Tabela46[[#This Row],[ANO]]+'Planejamento Financeiro'!$M$18</f>
        <v>73</v>
      </c>
      <c r="Q27" s="7">
        <f t="shared" si="2"/>
        <v>7283137.6997430949</v>
      </c>
      <c r="R27" s="7">
        <f>'Planejamento Financeiro'!$C$30*Tabela46[[#This Row],[PL]]+('Planejamento Financeiro'!$C$36*12)</f>
        <v>477476.46759235382</v>
      </c>
      <c r="S27" s="5">
        <f>Tabela46[[#This Row],[GASTO MÊS]]*12</f>
        <v>300000</v>
      </c>
      <c r="T27" s="7">
        <f>'Planejamento Financeiro'!$C$42-V27</f>
        <v>25000</v>
      </c>
    </row>
    <row r="28" spans="5:20" x14ac:dyDescent="0.35">
      <c r="E28" s="4">
        <f>Tabela1[[#This Row],[Ano]]+'Planejamento Financeiro'!$M$15</f>
        <v>54</v>
      </c>
      <c r="F28" s="2">
        <f t="shared" si="0"/>
        <v>24</v>
      </c>
      <c r="G28" s="6">
        <f>Tabela1[[#This Row],[TotalAcumulado]]-Tabela1[[#This Row],[Total Investido]]</f>
        <v>15876008.989674404</v>
      </c>
      <c r="H28" s="7">
        <f>H27+('Planejamento Financeiro'!$C$18*12)</f>
        <v>2440000</v>
      </c>
      <c r="I28" s="6">
        <f>Tabela1[[#This Row],[Juros]]</f>
        <v>15876008.989674404</v>
      </c>
      <c r="J28" s="6">
        <f>-FV('Base Dash acum'!$C$3,Tabela1[[#This Row],[Ano]]*12,'Planejamento Financeiro'!$C$18,'Planejamento Financeiro'!$C$15,)</f>
        <v>18316008.989674404</v>
      </c>
      <c r="O28" s="4">
        <f t="shared" si="1"/>
        <v>24</v>
      </c>
      <c r="P28" s="4">
        <f>Tabela46[[#This Row],[ANO]]+'Planejamento Financeiro'!$M$18</f>
        <v>74</v>
      </c>
      <c r="Q28" s="7">
        <f t="shared" si="2"/>
        <v>7460614.1673354488</v>
      </c>
      <c r="R28" s="7">
        <f>'Planejamento Financeiro'!$C$30*Tabela46[[#This Row],[PL]]+('Planejamento Financeiro'!$C$36*12)</f>
        <v>487039.24979560997</v>
      </c>
      <c r="S28" s="5">
        <f>Tabela46[[#This Row],[GASTO MÊS]]*12</f>
        <v>300000</v>
      </c>
      <c r="T28" s="7">
        <f>'Planejamento Financeiro'!$C$42-V28</f>
        <v>25000</v>
      </c>
    </row>
    <row r="29" spans="5:20" x14ac:dyDescent="0.35">
      <c r="E29" s="4">
        <f>Tabela1[[#This Row],[Ano]]+'Planejamento Financeiro'!$M$15</f>
        <v>55</v>
      </c>
      <c r="F29" s="2">
        <f t="shared" si="0"/>
        <v>25</v>
      </c>
      <c r="G29" s="6">
        <f>Tabela1[[#This Row],[TotalAcumulado]]-Tabela1[[#This Row],[Total Investido]]</f>
        <v>17875395.486171089</v>
      </c>
      <c r="H29" s="7">
        <f>H28+('Planejamento Financeiro'!$C$18*12)</f>
        <v>2500000</v>
      </c>
      <c r="I29" s="6">
        <f>Tabela1[[#This Row],[Juros]]</f>
        <v>17875395.486171089</v>
      </c>
      <c r="J29" s="6">
        <f>-FV('Base Dash acum'!$C$3,Tabela1[[#This Row],[Ano]]*12,'Planejamento Financeiro'!$C$18,'Planejamento Financeiro'!$C$15,)</f>
        <v>20375395.486171089</v>
      </c>
      <c r="O29" s="4">
        <f t="shared" si="1"/>
        <v>25</v>
      </c>
      <c r="P29" s="4">
        <f>Tabela46[[#This Row],[ANO]]+'Planejamento Financeiro'!$M$18</f>
        <v>75</v>
      </c>
      <c r="Q29" s="7">
        <f t="shared" si="2"/>
        <v>7647653.4171310589</v>
      </c>
      <c r="R29" s="7">
        <f>'Planejamento Financeiro'!$C$30*Tabela46[[#This Row],[PL]]+('Planejamento Financeiro'!$C$36*12)</f>
        <v>497117.29356963933</v>
      </c>
      <c r="S29" s="5">
        <f>Tabela46[[#This Row],[GASTO MÊS]]*12</f>
        <v>300000</v>
      </c>
      <c r="T29" s="7">
        <f>'Planejamento Financeiro'!$C$42-V29</f>
        <v>25000</v>
      </c>
    </row>
    <row r="30" spans="5:20" x14ac:dyDescent="0.35">
      <c r="E30" s="4">
        <f>Tabela1[[#This Row],[Ano]]+'Planejamento Financeiro'!$M$15</f>
        <v>56</v>
      </c>
      <c r="F30" s="2">
        <f t="shared" si="0"/>
        <v>26</v>
      </c>
      <c r="G30" s="6">
        <f>Tabela1[[#This Row],[TotalAcumulado]]-Tabela1[[#This Row],[Total Investido]]</f>
        <v>20099255.110785916</v>
      </c>
      <c r="H30" s="7">
        <f>H29+('Planejamento Financeiro'!$C$18*12)</f>
        <v>2560000</v>
      </c>
      <c r="I30" s="6">
        <f>Tabela1[[#This Row],[Juros]]</f>
        <v>20099255.110785916</v>
      </c>
      <c r="J30" s="6">
        <f>-FV('Base Dash acum'!$C$3,Tabela1[[#This Row],[Ano]]*12,'Planejamento Financeiro'!$C$18,'Planejamento Financeiro'!$C$15,)</f>
        <v>22659255.110785916</v>
      </c>
      <c r="O30" s="4">
        <f t="shared" si="1"/>
        <v>26</v>
      </c>
      <c r="P30" s="4">
        <f>Tabela46[[#This Row],[ANO]]+'Planejamento Financeiro'!$M$18</f>
        <v>76</v>
      </c>
      <c r="Q30" s="7">
        <f t="shared" si="2"/>
        <v>7844770.7107006982</v>
      </c>
      <c r="R30" s="7">
        <f>'Planejamento Financeiro'!$C$30*Tabela46[[#This Row],[PL]]+('Planejamento Financeiro'!$C$36*12)</f>
        <v>507738.36222439422</v>
      </c>
      <c r="S30" s="5">
        <f>Tabela46[[#This Row],[GASTO MÊS]]*12</f>
        <v>300000</v>
      </c>
      <c r="T30" s="7">
        <f>'Planejamento Financeiro'!$C$42-V30</f>
        <v>25000</v>
      </c>
    </row>
    <row r="31" spans="5:20" x14ac:dyDescent="0.35">
      <c r="E31" s="4"/>
      <c r="F31" s="2"/>
      <c r="G31" s="6"/>
      <c r="H31" s="7"/>
      <c r="I31" s="6"/>
      <c r="J31" s="6"/>
      <c r="O31" s="4">
        <f t="shared" si="1"/>
        <v>27</v>
      </c>
      <c r="P31" s="4">
        <f>Tabela46[[#This Row],[ANO]]+'Planejamento Financeiro'!$M$18</f>
        <v>77</v>
      </c>
      <c r="Q31" s="7">
        <f t="shared" si="2"/>
        <v>8052509.0729250927</v>
      </c>
      <c r="R31" s="7">
        <f>'Planejamento Financeiro'!$C$30*Tabela46[[#This Row],[PL]]+('Planejamento Financeiro'!$C$36*12)</f>
        <v>518931.71501173923</v>
      </c>
      <c r="S31" s="5">
        <f>Tabela46[[#This Row],[GASTO MÊS]]*12</f>
        <v>300000</v>
      </c>
      <c r="T31" s="7">
        <f>'Planejamento Financeiro'!$C$42-V31</f>
        <v>25000</v>
      </c>
    </row>
    <row r="32" spans="5:20" x14ac:dyDescent="0.35">
      <c r="E32" s="4"/>
      <c r="F32" s="2"/>
      <c r="G32" s="6"/>
      <c r="H32" s="7"/>
      <c r="I32" s="6"/>
      <c r="J32" s="6"/>
      <c r="O32" s="4">
        <f t="shared" si="1"/>
        <v>28</v>
      </c>
      <c r="P32" s="4">
        <f>Tabela46[[#This Row],[ANO]]+'Planejamento Financeiro'!$M$18</f>
        <v>78</v>
      </c>
      <c r="Q32" s="7">
        <f t="shared" si="2"/>
        <v>8271440.7879368328</v>
      </c>
      <c r="R32" s="7">
        <f>'Planejamento Financeiro'!$C$30*Tabela46[[#This Row],[PL]]+('Planejamento Financeiro'!$C$36*12)</f>
        <v>530728.18772975274</v>
      </c>
      <c r="S32" s="5">
        <f>Tabela46[[#This Row],[GASTO MÊS]]*12</f>
        <v>300000</v>
      </c>
      <c r="T32" s="7">
        <f>'Planejamento Financeiro'!$C$42-V32</f>
        <v>25000</v>
      </c>
    </row>
    <row r="33" spans="5:20" x14ac:dyDescent="0.35">
      <c r="E33" s="4"/>
      <c r="F33" s="2"/>
      <c r="G33" s="6"/>
      <c r="H33" s="7"/>
      <c r="I33" s="6"/>
      <c r="J33" s="6"/>
      <c r="O33" s="4">
        <f t="shared" si="1"/>
        <v>29</v>
      </c>
      <c r="P33" s="4">
        <f>Tabela46[[#This Row],[ANO]]+'Planejamento Financeiro'!$M$18</f>
        <v>79</v>
      </c>
      <c r="Q33" s="7">
        <f t="shared" si="2"/>
        <v>8502168.9756665863</v>
      </c>
      <c r="R33" s="7">
        <f>'Planejamento Financeiro'!$C$30*Tabela46[[#This Row],[PL]]+('Planejamento Financeiro'!$C$36*12)</f>
        <v>543160.27767014725</v>
      </c>
      <c r="S33" s="5">
        <f>Tabela46[[#This Row],[GASTO MÊS]]*12</f>
        <v>300000</v>
      </c>
      <c r="T33" s="7">
        <f>'Planejamento Financeiro'!$C$42-V33</f>
        <v>25000</v>
      </c>
    </row>
    <row r="34" spans="5:20" x14ac:dyDescent="0.35">
      <c r="E34" s="4"/>
      <c r="F34" s="2"/>
      <c r="G34" s="6"/>
      <c r="H34" s="7"/>
      <c r="I34" s="6"/>
      <c r="J34" s="6"/>
      <c r="O34" s="4">
        <f t="shared" si="1"/>
        <v>30</v>
      </c>
      <c r="P34" s="4">
        <f>Tabela46[[#This Row],[ANO]]+'Planejamento Financeiro'!$M$18</f>
        <v>80</v>
      </c>
      <c r="Q34" s="7">
        <f t="shared" si="2"/>
        <v>8745329.2533367332</v>
      </c>
      <c r="R34" s="7">
        <f>'Planejamento Financeiro'!$C$30*Tabela46[[#This Row],[PL]]+('Planejamento Financeiro'!$C$36*12)</f>
        <v>556262.23314282356</v>
      </c>
      <c r="S34" s="5">
        <f>Tabela46[[#This Row],[GASTO MÊS]]*12</f>
        <v>300000</v>
      </c>
      <c r="T34" s="7">
        <f>'Planejamento Financeiro'!$C$42-V34</f>
        <v>25000</v>
      </c>
    </row>
    <row r="35" spans="5:20" x14ac:dyDescent="0.35">
      <c r="E35" s="4"/>
      <c r="F35" s="2"/>
      <c r="G35" s="6"/>
      <c r="H35" s="7"/>
      <c r="I35" s="6"/>
      <c r="J35" s="6"/>
      <c r="O35" s="4">
        <f t="shared" si="1"/>
        <v>31</v>
      </c>
      <c r="P35" s="4">
        <f>Tabela46[[#This Row],[ANO]]+'Planejamento Financeiro'!$M$18</f>
        <v>81</v>
      </c>
      <c r="Q35" s="7">
        <f t="shared" ref="Q35:Q45" si="3">Q34+R34-S34</f>
        <v>9001591.4864795562</v>
      </c>
      <c r="R35" s="7">
        <f>'Planejamento Financeiro'!$C$30*Tabela46[[#This Row],[PL]]+('Planejamento Financeiro'!$C$36*12)</f>
        <v>570070.14782418637</v>
      </c>
      <c r="S35" s="5">
        <f>Tabela46[[#This Row],[GASTO MÊS]]*12</f>
        <v>300000</v>
      </c>
      <c r="T35" s="7">
        <f>'Planejamento Financeiro'!$C$42-V35</f>
        <v>25000</v>
      </c>
    </row>
    <row r="36" spans="5:20" x14ac:dyDescent="0.35">
      <c r="E36" s="4"/>
      <c r="F36" s="2"/>
      <c r="G36" s="6"/>
      <c r="H36" s="7"/>
      <c r="I36" s="6"/>
      <c r="J36" s="6"/>
      <c r="O36" s="4">
        <f t="shared" si="1"/>
        <v>32</v>
      </c>
      <c r="P36" s="4">
        <f>Tabela46[[#This Row],[ANO]]+'Planejamento Financeiro'!$M$18</f>
        <v>82</v>
      </c>
      <c r="Q36" s="7">
        <f t="shared" si="3"/>
        <v>9271661.634303743</v>
      </c>
      <c r="R36" s="7">
        <f>'Planejamento Financeiro'!$C$30*Tabela46[[#This Row],[PL]]+('Planejamento Financeiro'!$C$36*12)</f>
        <v>584622.06018913118</v>
      </c>
      <c r="S36" s="5">
        <f>Tabela46[[#This Row],[GASTO MÊS]]*12</f>
        <v>300000</v>
      </c>
      <c r="T36" s="7">
        <f>'Planejamento Financeiro'!$C$42-V36</f>
        <v>25000</v>
      </c>
    </row>
    <row r="37" spans="5:20" x14ac:dyDescent="0.35">
      <c r="E37" s="4"/>
      <c r="F37" s="2"/>
      <c r="G37" s="6"/>
      <c r="H37" s="7"/>
      <c r="I37" s="6"/>
      <c r="J37" s="6"/>
      <c r="O37" s="4">
        <f t="shared" si="1"/>
        <v>33</v>
      </c>
      <c r="P37" s="4">
        <f>Tabela46[[#This Row],[ANO]]+'Planejamento Financeiro'!$M$18</f>
        <v>83</v>
      </c>
      <c r="Q37" s="7">
        <f t="shared" si="3"/>
        <v>9556283.6944928747</v>
      </c>
      <c r="R37" s="7">
        <f>'Planejamento Financeiro'!$C$30*Tabela46[[#This Row],[PL]]+('Planejamento Financeiro'!$C$36*12)</f>
        <v>599958.0583006239</v>
      </c>
      <c r="S37" s="5">
        <f>Tabela46[[#This Row],[GASTO MÊS]]*12</f>
        <v>300000</v>
      </c>
      <c r="T37" s="7">
        <f>'Planejamento Financeiro'!$C$42-V37</f>
        <v>25000</v>
      </c>
    </row>
    <row r="38" spans="5:20" x14ac:dyDescent="0.35">
      <c r="E38" s="4"/>
      <c r="F38" s="2"/>
      <c r="G38" s="6"/>
      <c r="H38" s="7"/>
      <c r="I38" s="6"/>
      <c r="J38" s="6"/>
      <c r="O38" s="4">
        <f t="shared" si="1"/>
        <v>34</v>
      </c>
      <c r="P38" s="4">
        <f>Tabela46[[#This Row],[ANO]]+'Planejamento Financeiro'!$M$18</f>
        <v>84</v>
      </c>
      <c r="Q38" s="7">
        <f t="shared" si="3"/>
        <v>9856241.7527934983</v>
      </c>
      <c r="R38" s="7">
        <f>'Planejamento Financeiro'!$C$30*Tabela46[[#This Row],[PL]]+('Planejamento Financeiro'!$C$36*12)</f>
        <v>616120.39024554961</v>
      </c>
      <c r="S38" s="5">
        <f>Tabela46[[#This Row],[GASTO MÊS]]*12</f>
        <v>300000</v>
      </c>
      <c r="T38" s="7">
        <f>'Planejamento Financeiro'!$C$42-V38</f>
        <v>25000</v>
      </c>
    </row>
    <row r="39" spans="5:20" x14ac:dyDescent="0.35">
      <c r="E39" s="4"/>
      <c r="F39" s="2"/>
      <c r="G39" s="6"/>
      <c r="H39" s="7"/>
      <c r="I39" s="6"/>
      <c r="J39" s="6"/>
      <c r="O39" s="4">
        <f t="shared" si="1"/>
        <v>35</v>
      </c>
      <c r="P39" s="4">
        <f>Tabela46[[#This Row],[ANO]]+'Planejamento Financeiro'!$M$18</f>
        <v>85</v>
      </c>
      <c r="Q39" s="7">
        <f t="shared" si="3"/>
        <v>10172362.143039048</v>
      </c>
      <c r="R39" s="7">
        <f>'Planejamento Financeiro'!$C$30*Tabela46[[#This Row],[PL]]+('Planejamento Financeiro'!$C$36*12)</f>
        <v>633153.58052106295</v>
      </c>
      <c r="S39" s="5">
        <f>Tabela46[[#This Row],[GASTO MÊS]]*12</f>
        <v>300000</v>
      </c>
      <c r="T39" s="7">
        <f>'Planejamento Financeiro'!$C$42-V39</f>
        <v>25000</v>
      </c>
    </row>
    <row r="40" spans="5:20" x14ac:dyDescent="0.35">
      <c r="E40" s="4"/>
      <c r="F40" s="2"/>
      <c r="G40" s="6"/>
      <c r="H40" s="7"/>
      <c r="I40" s="6"/>
      <c r="J40" s="6"/>
      <c r="O40" s="4">
        <f t="shared" si="1"/>
        <v>36</v>
      </c>
      <c r="P40" s="4">
        <f>Tabela46[[#This Row],[ANO]]+'Planejamento Financeiro'!$M$18</f>
        <v>86</v>
      </c>
      <c r="Q40" s="7">
        <f t="shared" si="3"/>
        <v>10505515.72356011</v>
      </c>
      <c r="R40" s="7">
        <f>'Planejamento Financeiro'!$C$30*Tabela46[[#This Row],[PL]]+('Planejamento Financeiro'!$C$36*12)</f>
        <v>651104.55269206385</v>
      </c>
      <c r="S40" s="5">
        <f>Tabela46[[#This Row],[GASTO MÊS]]*12</f>
        <v>300000</v>
      </c>
      <c r="T40" s="7">
        <f>'Planejamento Financeiro'!$C$42-V40</f>
        <v>25000</v>
      </c>
    </row>
    <row r="41" spans="5:20" x14ac:dyDescent="0.35">
      <c r="O41" s="4">
        <f t="shared" si="1"/>
        <v>37</v>
      </c>
      <c r="P41" s="4">
        <f>Tabela46[[#This Row],[ANO]]+'Planejamento Financeiro'!$M$18</f>
        <v>87</v>
      </c>
      <c r="Q41" s="7">
        <f t="shared" si="3"/>
        <v>10856620.276252173</v>
      </c>
      <c r="R41" s="7">
        <f>'Planejamento Financeiro'!$C$30*Tabela46[[#This Row],[PL]]+('Planejamento Financeiro'!$C$36*12)</f>
        <v>670022.75865770108</v>
      </c>
      <c r="S41" s="5">
        <f>Tabela46[[#This Row],[GASTO MÊS]]*12</f>
        <v>300000</v>
      </c>
      <c r="T41" s="7">
        <f>'Planejamento Financeiro'!$C$42-V41</f>
        <v>25000</v>
      </c>
    </row>
    <row r="42" spans="5:20" x14ac:dyDescent="0.35">
      <c r="O42" s="4">
        <f t="shared" si="1"/>
        <v>38</v>
      </c>
      <c r="P42" s="4">
        <f>Tabela46[[#This Row],[ANO]]+'Planejamento Financeiro'!$M$18</f>
        <v>88</v>
      </c>
      <c r="Q42" s="7">
        <f t="shared" si="3"/>
        <v>11226643.034909874</v>
      </c>
      <c r="R42" s="7">
        <f>'Planejamento Financeiro'!$C$30*Tabela46[[#This Row],[PL]]+('Planejamento Financeiro'!$C$36*12)</f>
        <v>689960.31488300918</v>
      </c>
      <c r="S42" s="5">
        <f>Tabela46[[#This Row],[GASTO MÊS]]*12</f>
        <v>300000</v>
      </c>
      <c r="T42" s="7">
        <f>'Planejamento Financeiro'!$C$42-V42</f>
        <v>25000</v>
      </c>
    </row>
    <row r="43" spans="5:20" x14ac:dyDescent="0.35">
      <c r="O43" s="4">
        <f t="shared" si="1"/>
        <v>39</v>
      </c>
      <c r="P43" s="4">
        <f>Tabela46[[#This Row],[ANO]]+'Planejamento Financeiro'!$M$18</f>
        <v>89</v>
      </c>
      <c r="Q43" s="7">
        <f t="shared" si="3"/>
        <v>11616603.349792883</v>
      </c>
      <c r="R43" s="7">
        <f>'Planejamento Financeiro'!$C$30*Tabela46[[#This Row],[PL]]+('Planejamento Financeiro'!$C$36*12)</f>
        <v>710972.14597097517</v>
      </c>
      <c r="S43" s="5">
        <f>Tabela46[[#This Row],[GASTO MÊS]]*12</f>
        <v>300000</v>
      </c>
      <c r="T43" s="7">
        <f>'Planejamento Financeiro'!$C$42-V43</f>
        <v>25000</v>
      </c>
    </row>
    <row r="44" spans="5:20" x14ac:dyDescent="0.35">
      <c r="O44" s="4">
        <f t="shared" si="1"/>
        <v>40</v>
      </c>
      <c r="P44" s="4">
        <f>Tabela46[[#This Row],[ANO]]+'Planejamento Financeiro'!$M$18</f>
        <v>90</v>
      </c>
      <c r="Q44" s="7">
        <f t="shared" si="3"/>
        <v>12027575.495763859</v>
      </c>
      <c r="R44" s="7">
        <f>'Planejamento Financeiro'!$C$30*Tabela46[[#This Row],[PL]]+('Planejamento Financeiro'!$C$36*12)</f>
        <v>733116.13597055164</v>
      </c>
      <c r="S44" s="5">
        <f>Tabela46[[#This Row],[GASTO MÊS]]*12</f>
        <v>300000</v>
      </c>
      <c r="T44" s="7">
        <f>'Planejamento Financeiro'!$C$42-V44</f>
        <v>25000</v>
      </c>
    </row>
    <row r="45" spans="5:20" x14ac:dyDescent="0.35">
      <c r="O45" s="4">
        <f t="shared" si="1"/>
        <v>41</v>
      </c>
      <c r="P45" s="4">
        <f>Tabela46[[#This Row],[ANO]]+'Planejamento Financeiro'!$M$18</f>
        <v>91</v>
      </c>
      <c r="Q45" s="7">
        <f t="shared" si="3"/>
        <v>12460691.63173441</v>
      </c>
      <c r="R45" s="7">
        <f>'Planejamento Financeiro'!$C$30*Tabela46[[#This Row],[PL]]+('Planejamento Financeiro'!$C$36*12)</f>
        <v>756453.28783744352</v>
      </c>
      <c r="S45" s="5">
        <f>Tabela46[[#This Row],[GASTO MÊS]]*12</f>
        <v>300000</v>
      </c>
      <c r="T45" s="7">
        <f>'Planejamento Financeiro'!$C$42-V45</f>
        <v>25000</v>
      </c>
    </row>
    <row r="46" spans="5:20" x14ac:dyDescent="0.35">
      <c r="O46" s="4">
        <f t="shared" si="1"/>
        <v>42</v>
      </c>
      <c r="P46" s="4">
        <f>Tabela46[[#This Row],[ANO]]+'Planejamento Financeiro'!$M$18</f>
        <v>92</v>
      </c>
      <c r="Q46" s="7">
        <f t="shared" ref="Q46:Q54" si="4">Q45+R45-S45</f>
        <v>12917144.919571854</v>
      </c>
      <c r="R46" s="7">
        <f>'Planejamento Financeiro'!$C$30*Tabela46[[#This Row],[PL]]+('Planejamento Financeiro'!$C$36*12)</f>
        <v>781047.89148695697</v>
      </c>
      <c r="S46" s="5">
        <f>Tabela46[[#This Row],[GASTO MÊS]]*12</f>
        <v>300000</v>
      </c>
      <c r="T46" s="7">
        <f>'Planejamento Financeiro'!$C$42-V46</f>
        <v>25000</v>
      </c>
    </row>
    <row r="47" spans="5:20" x14ac:dyDescent="0.35">
      <c r="O47" s="4">
        <f t="shared" si="1"/>
        <v>43</v>
      </c>
      <c r="P47" s="4">
        <f>Tabela46[[#This Row],[ANO]]+'Planejamento Financeiro'!$M$18</f>
        <v>93</v>
      </c>
      <c r="Q47" s="7">
        <f t="shared" si="4"/>
        <v>13398192.811058812</v>
      </c>
      <c r="R47" s="7">
        <f>'Planejamento Financeiro'!$C$30*Tabela46[[#This Row],[PL]]+('Planejamento Financeiro'!$C$36*12)</f>
        <v>806967.70090186771</v>
      </c>
      <c r="S47" s="5">
        <f>Tabela46[[#This Row],[GASTO MÊS]]*12</f>
        <v>300000</v>
      </c>
      <c r="T47" s="7">
        <f>'Planejamento Financeiro'!$C$42-V47</f>
        <v>25000</v>
      </c>
    </row>
    <row r="48" spans="5:20" x14ac:dyDescent="0.35">
      <c r="O48" s="4">
        <f t="shared" si="1"/>
        <v>44</v>
      </c>
      <c r="P48" s="4">
        <f>Tabela46[[#This Row],[ANO]]+'Planejamento Financeiro'!$M$18</f>
        <v>94</v>
      </c>
      <c r="Q48" s="7">
        <f t="shared" si="4"/>
        <v>13905160.51196068</v>
      </c>
      <c r="R48" s="7">
        <f>'Planejamento Financeiro'!$C$30*Tabela46[[#This Row],[PL]]+('Planejamento Financeiro'!$C$36*12)</f>
        <v>834284.12078320945</v>
      </c>
      <c r="S48" s="5">
        <f>Tabela46[[#This Row],[GASTO MÊS]]*12</f>
        <v>300000</v>
      </c>
      <c r="T48" s="7">
        <f>'Planejamento Financeiro'!$C$42-V48</f>
        <v>25000</v>
      </c>
    </row>
    <row r="49" spans="15:20" x14ac:dyDescent="0.35">
      <c r="O49" s="4">
        <f t="shared" si="1"/>
        <v>45</v>
      </c>
      <c r="P49" s="4">
        <f>Tabela46[[#This Row],[ANO]]+'Planejamento Financeiro'!$M$18</f>
        <v>95</v>
      </c>
      <c r="Q49" s="7">
        <f t="shared" si="4"/>
        <v>14439444.632743889</v>
      </c>
      <c r="R49" s="7">
        <f>'Planejamento Financeiro'!$C$30*Tabela46[[#This Row],[PL]]+('Planejamento Financeiro'!$C$36*12)</f>
        <v>863072.40325817675</v>
      </c>
      <c r="S49" s="5">
        <f>Tabela46[[#This Row],[GASTO MÊS]]*12</f>
        <v>300000</v>
      </c>
      <c r="T49" s="7">
        <f>'Planejamento Financeiro'!$C$42-V49</f>
        <v>25000</v>
      </c>
    </row>
    <row r="50" spans="15:20" x14ac:dyDescent="0.35">
      <c r="O50" s="4">
        <f t="shared" si="1"/>
        <v>46</v>
      </c>
      <c r="P50" s="4">
        <f>Tabela46[[#This Row],[ANO]]+'Planejamento Financeiro'!$M$18</f>
        <v>96</v>
      </c>
      <c r="Q50" s="7">
        <f t="shared" si="4"/>
        <v>15002517.036002066</v>
      </c>
      <c r="R50" s="7">
        <f>'Planejamento Financeiro'!$C$30*Tabela46[[#This Row],[PL]]+('Planejamento Financeiro'!$C$36*12)</f>
        <v>893411.85518703598</v>
      </c>
      <c r="S50" s="5">
        <f>Tabela46[[#This Row],[GASTO MÊS]]*12</f>
        <v>300000</v>
      </c>
      <c r="T50" s="7">
        <f>'Planejamento Financeiro'!$C$42-V50</f>
        <v>25000</v>
      </c>
    </row>
    <row r="51" spans="15:20" x14ac:dyDescent="0.35">
      <c r="O51" s="4">
        <f t="shared" si="1"/>
        <v>47</v>
      </c>
      <c r="P51" s="4">
        <f>Tabela46[[#This Row],[ANO]]+'Planejamento Financeiro'!$M$18</f>
        <v>97</v>
      </c>
      <c r="Q51" s="7">
        <f t="shared" si="4"/>
        <v>15595928.891189102</v>
      </c>
      <c r="R51" s="7">
        <f>'Planejamento Financeiro'!$C$30*Tabela46[[#This Row],[PL]]+('Planejamento Financeiro'!$C$36*12)</f>
        <v>925386.05664014351</v>
      </c>
      <c r="S51" s="5">
        <f>Tabela46[[#This Row],[GASTO MÊS]]*12</f>
        <v>300000</v>
      </c>
      <c r="T51" s="7">
        <f>'Planejamento Financeiro'!$C$42-V51</f>
        <v>25000</v>
      </c>
    </row>
    <row r="52" spans="15:20" x14ac:dyDescent="0.35">
      <c r="O52" s="4">
        <f t="shared" si="1"/>
        <v>48</v>
      </c>
      <c r="P52" s="4">
        <f>Tabela46[[#This Row],[ANO]]+'Planejamento Financeiro'!$M$18</f>
        <v>98</v>
      </c>
      <c r="Q52" s="7">
        <f t="shared" si="4"/>
        <v>16221314.947829247</v>
      </c>
      <c r="R52" s="7">
        <f>'Planejamento Financeiro'!$C$30*Tabela46[[#This Row],[PL]]+('Planejamento Financeiro'!$C$36*12)</f>
        <v>959083.09114693454</v>
      </c>
      <c r="S52" s="5">
        <f>Tabela46[[#This Row],[GASTO MÊS]]*12</f>
        <v>300000</v>
      </c>
      <c r="T52" s="7">
        <f>'Planejamento Financeiro'!$C$42-V52</f>
        <v>25000</v>
      </c>
    </row>
    <row r="53" spans="15:20" x14ac:dyDescent="0.35">
      <c r="O53" s="4">
        <f t="shared" si="1"/>
        <v>49</v>
      </c>
      <c r="P53" s="4">
        <f>Tabela46[[#This Row],[ANO]]+'Planejamento Financeiro'!$M$18</f>
        <v>99</v>
      </c>
      <c r="Q53" s="7">
        <f t="shared" si="4"/>
        <v>16880398.038976181</v>
      </c>
      <c r="R53" s="7">
        <f>'Planejamento Financeiro'!$C$30*Tabela46[[#This Row],[PL]]+('Planejamento Financeiro'!$C$36*12)</f>
        <v>994595.78835118352</v>
      </c>
      <c r="S53" s="5">
        <f>Tabela46[[#This Row],[GASTO MÊS]]*12</f>
        <v>300000</v>
      </c>
      <c r="T53" s="7">
        <f>'Planejamento Financeiro'!$C$42-V53</f>
        <v>25000</v>
      </c>
    </row>
    <row r="54" spans="15:20" x14ac:dyDescent="0.35">
      <c r="O54" s="4">
        <f t="shared" si="1"/>
        <v>50</v>
      </c>
      <c r="P54" s="4">
        <f>Tabela46[[#This Row],[ANO]]+'Planejamento Financeiro'!$M$18</f>
        <v>100</v>
      </c>
      <c r="Q54" s="7">
        <f t="shared" si="4"/>
        <v>17574993.827327363</v>
      </c>
      <c r="R54" s="7">
        <f>'Planejamento Financeiro'!$C$30*Tabela46[[#This Row],[PL]]+('Planejamento Financeiro'!$C$36*12)</f>
        <v>1032021.9797410078</v>
      </c>
      <c r="S54" s="5">
        <f>Tabela46[[#This Row],[GASTO MÊS]]*12</f>
        <v>300000</v>
      </c>
      <c r="T54" s="7">
        <f>'Planejamento Financeiro'!$C$42-V54</f>
        <v>25000</v>
      </c>
    </row>
  </sheetData>
  <pageMargins left="0.511811024" right="0.511811024" top="0.78740157499999996" bottom="0.78740157499999996" header="0.31496062000000002" footer="0.31496062000000002"/>
  <pageSetup paperSize="9" orientation="portrait" verticalDpi="300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19D55-FC39-4943-AF90-CF44CD578792}">
  <sheetPr codeName="Planilha5"/>
  <dimension ref="A1:F159"/>
  <sheetViews>
    <sheetView workbookViewId="0"/>
  </sheetViews>
  <sheetFormatPr defaultRowHeight="14.5" x14ac:dyDescent="0.35"/>
  <cols>
    <col min="1" max="1" width="59.1796875" bestFit="1" customWidth="1"/>
    <col min="2" max="2" width="45.54296875" bestFit="1" customWidth="1"/>
    <col min="3" max="3" width="21.81640625" bestFit="1" customWidth="1"/>
    <col min="4" max="4" width="12.54296875" bestFit="1" customWidth="1"/>
    <col min="5" max="5" width="13.54296875" bestFit="1" customWidth="1"/>
    <col min="6" max="6" width="54.26953125" bestFit="1" customWidth="1"/>
  </cols>
  <sheetData>
    <row r="1" spans="1:6" x14ac:dyDescent="0.3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35">
      <c r="A2" s="1" t="s">
        <v>24</v>
      </c>
      <c r="B2" s="1" t="s">
        <v>25</v>
      </c>
      <c r="C2" s="3">
        <v>32929</v>
      </c>
      <c r="D2" s="1" t="s">
        <v>23</v>
      </c>
      <c r="E2" s="1" t="s">
        <v>26</v>
      </c>
      <c r="F2" s="1" t="s">
        <v>24</v>
      </c>
    </row>
    <row r="3" spans="1:6" x14ac:dyDescent="0.35">
      <c r="A3" s="1" t="s">
        <v>27</v>
      </c>
      <c r="B3" s="1" t="s">
        <v>28</v>
      </c>
      <c r="C3" s="3">
        <v>25932</v>
      </c>
      <c r="D3" s="1" t="s">
        <v>23</v>
      </c>
      <c r="E3" s="1" t="s">
        <v>29</v>
      </c>
      <c r="F3" s="1" t="s">
        <v>27</v>
      </c>
    </row>
    <row r="4" spans="1:6" x14ac:dyDescent="0.35">
      <c r="A4" s="1" t="s">
        <v>30</v>
      </c>
      <c r="B4" s="1" t="s">
        <v>31</v>
      </c>
      <c r="C4" s="3">
        <v>28998</v>
      </c>
      <c r="D4" s="1" t="s">
        <v>23</v>
      </c>
      <c r="E4" s="1" t="s">
        <v>32</v>
      </c>
      <c r="F4" s="1" t="s">
        <v>30</v>
      </c>
    </row>
    <row r="5" spans="1:6" x14ac:dyDescent="0.35">
      <c r="A5" s="1" t="s">
        <v>33</v>
      </c>
      <c r="B5" s="1" t="s">
        <v>34</v>
      </c>
      <c r="C5" s="3">
        <v>30132</v>
      </c>
      <c r="D5" s="1" t="s">
        <v>35</v>
      </c>
      <c r="E5" s="1" t="s">
        <v>32</v>
      </c>
      <c r="F5" s="1" t="s">
        <v>30</v>
      </c>
    </row>
    <row r="6" spans="1:6" x14ac:dyDescent="0.35">
      <c r="A6" s="1" t="s">
        <v>36</v>
      </c>
      <c r="B6" s="1" t="s">
        <v>37</v>
      </c>
      <c r="C6" s="3"/>
      <c r="D6" s="1" t="s">
        <v>35</v>
      </c>
      <c r="E6" s="1" t="s">
        <v>38</v>
      </c>
      <c r="F6" s="1" t="s">
        <v>30</v>
      </c>
    </row>
    <row r="7" spans="1:6" x14ac:dyDescent="0.35">
      <c r="A7" s="1" t="s">
        <v>39</v>
      </c>
      <c r="B7" s="1" t="s">
        <v>40</v>
      </c>
      <c r="C7" s="3">
        <v>27977</v>
      </c>
      <c r="D7" s="1" t="s">
        <v>35</v>
      </c>
      <c r="E7" s="1" t="s">
        <v>41</v>
      </c>
      <c r="F7" s="1" t="s">
        <v>39</v>
      </c>
    </row>
    <row r="8" spans="1:6" x14ac:dyDescent="0.35">
      <c r="A8" s="1" t="s">
        <v>42</v>
      </c>
      <c r="B8" s="1" t="s">
        <v>43</v>
      </c>
      <c r="C8" s="3">
        <v>31513</v>
      </c>
      <c r="D8" s="1" t="s">
        <v>23</v>
      </c>
      <c r="E8" s="1" t="s">
        <v>44</v>
      </c>
      <c r="F8" s="1" t="s">
        <v>42</v>
      </c>
    </row>
    <row r="9" spans="1:6" x14ac:dyDescent="0.35">
      <c r="A9" s="1" t="s">
        <v>45</v>
      </c>
      <c r="B9" s="1" t="s">
        <v>46</v>
      </c>
      <c r="C9" s="3">
        <v>31559</v>
      </c>
      <c r="D9" s="1" t="s">
        <v>35</v>
      </c>
      <c r="E9" s="1" t="s">
        <v>47</v>
      </c>
      <c r="F9" s="1" t="s">
        <v>42</v>
      </c>
    </row>
    <row r="10" spans="1:6" x14ac:dyDescent="0.35">
      <c r="A10" s="1" t="s">
        <v>48</v>
      </c>
      <c r="B10" s="1" t="s">
        <v>49</v>
      </c>
      <c r="C10" s="3">
        <v>24473</v>
      </c>
      <c r="D10" s="1" t="s">
        <v>23</v>
      </c>
      <c r="E10" s="1" t="s">
        <v>50</v>
      </c>
      <c r="F10" s="1" t="s">
        <v>48</v>
      </c>
    </row>
    <row r="11" spans="1:6" x14ac:dyDescent="0.35">
      <c r="A11" s="1" t="s">
        <v>51</v>
      </c>
      <c r="B11" s="1" t="s">
        <v>52</v>
      </c>
      <c r="C11" s="3">
        <v>28122</v>
      </c>
      <c r="D11" s="1" t="s">
        <v>23</v>
      </c>
      <c r="E11" s="1" t="s">
        <v>53</v>
      </c>
      <c r="F11" s="1" t="s">
        <v>51</v>
      </c>
    </row>
    <row r="12" spans="1:6" x14ac:dyDescent="0.35">
      <c r="A12" s="1" t="s">
        <v>54</v>
      </c>
      <c r="B12" s="1" t="s">
        <v>55</v>
      </c>
      <c r="C12" s="3">
        <v>27038</v>
      </c>
      <c r="D12" s="1" t="s">
        <v>35</v>
      </c>
      <c r="E12" s="1" t="s">
        <v>56</v>
      </c>
      <c r="F12" s="1" t="s">
        <v>51</v>
      </c>
    </row>
    <row r="13" spans="1:6" x14ac:dyDescent="0.35">
      <c r="A13" s="1" t="s">
        <v>57</v>
      </c>
      <c r="B13" s="1" t="s">
        <v>58</v>
      </c>
      <c r="C13" s="3">
        <v>26687</v>
      </c>
      <c r="D13" s="1" t="s">
        <v>23</v>
      </c>
      <c r="E13" s="1" t="s">
        <v>59</v>
      </c>
      <c r="F13" s="1" t="s">
        <v>39</v>
      </c>
    </row>
    <row r="14" spans="1:6" x14ac:dyDescent="0.35">
      <c r="A14" s="1" t="s">
        <v>39</v>
      </c>
      <c r="B14" s="1"/>
      <c r="C14" s="3"/>
      <c r="D14" s="1" t="s">
        <v>23</v>
      </c>
      <c r="E14" s="1" t="s">
        <v>59</v>
      </c>
      <c r="F14" s="1" t="s">
        <v>39</v>
      </c>
    </row>
    <row r="15" spans="1:6" x14ac:dyDescent="0.35">
      <c r="A15" s="1" t="s">
        <v>60</v>
      </c>
      <c r="B15" s="1" t="s">
        <v>61</v>
      </c>
      <c r="C15" s="3">
        <v>32906</v>
      </c>
      <c r="D15" s="1" t="s">
        <v>23</v>
      </c>
      <c r="E15" s="1" t="s">
        <v>62</v>
      </c>
      <c r="F15" s="1" t="s">
        <v>60</v>
      </c>
    </row>
    <row r="16" spans="1:6" x14ac:dyDescent="0.35">
      <c r="A16" s="1" t="s">
        <v>63</v>
      </c>
      <c r="B16" s="1" t="s">
        <v>64</v>
      </c>
      <c r="C16" s="3">
        <v>15255</v>
      </c>
      <c r="D16" s="1" t="s">
        <v>35</v>
      </c>
      <c r="E16" s="1" t="s">
        <v>65</v>
      </c>
      <c r="F16" s="1" t="s">
        <v>66</v>
      </c>
    </row>
    <row r="17" spans="1:6" x14ac:dyDescent="0.35">
      <c r="A17" s="1" t="s">
        <v>66</v>
      </c>
      <c r="B17" s="1" t="s">
        <v>64</v>
      </c>
      <c r="C17" s="3">
        <v>26073</v>
      </c>
      <c r="D17" s="1" t="s">
        <v>23</v>
      </c>
      <c r="E17" s="1" t="s">
        <v>65</v>
      </c>
      <c r="F17" s="1" t="s">
        <v>66</v>
      </c>
    </row>
    <row r="18" spans="1:6" x14ac:dyDescent="0.35">
      <c r="A18" s="1" t="s">
        <v>67</v>
      </c>
      <c r="B18" s="1" t="s">
        <v>64</v>
      </c>
      <c r="C18" s="3">
        <v>28810</v>
      </c>
      <c r="D18" s="1" t="s">
        <v>35</v>
      </c>
      <c r="E18" s="1" t="s">
        <v>65</v>
      </c>
      <c r="F18" s="1" t="s">
        <v>66</v>
      </c>
    </row>
    <row r="19" spans="1:6" x14ac:dyDescent="0.35">
      <c r="A19" s="1" t="s">
        <v>68</v>
      </c>
      <c r="B19" s="1" t="s">
        <v>64</v>
      </c>
      <c r="C19" s="3"/>
      <c r="D19" s="1" t="s">
        <v>35</v>
      </c>
      <c r="E19" s="1" t="s">
        <v>65</v>
      </c>
      <c r="F19" s="1" t="s">
        <v>66</v>
      </c>
    </row>
    <row r="20" spans="1:6" x14ac:dyDescent="0.35">
      <c r="A20" s="1" t="s">
        <v>69</v>
      </c>
      <c r="B20" s="1" t="s">
        <v>64</v>
      </c>
      <c r="C20" s="3"/>
      <c r="D20" s="1" t="s">
        <v>35</v>
      </c>
      <c r="E20" s="1" t="s">
        <v>65</v>
      </c>
      <c r="F20" s="1" t="s">
        <v>66</v>
      </c>
    </row>
    <row r="21" spans="1:6" x14ac:dyDescent="0.35">
      <c r="A21" s="1" t="s">
        <v>70</v>
      </c>
      <c r="B21" s="1"/>
      <c r="C21" s="3"/>
      <c r="D21" s="1"/>
      <c r="E21" s="1" t="s">
        <v>65</v>
      </c>
      <c r="F21" s="1" t="s">
        <v>66</v>
      </c>
    </row>
    <row r="22" spans="1:6" x14ac:dyDescent="0.35">
      <c r="A22" s="1" t="s">
        <v>71</v>
      </c>
      <c r="B22" s="1"/>
      <c r="C22" s="3"/>
      <c r="D22" s="1"/>
      <c r="E22" s="1" t="s">
        <v>65</v>
      </c>
      <c r="F22" s="1" t="s">
        <v>66</v>
      </c>
    </row>
    <row r="23" spans="1:6" x14ac:dyDescent="0.35">
      <c r="A23" s="1" t="s">
        <v>72</v>
      </c>
      <c r="B23" s="1"/>
      <c r="C23" s="3"/>
      <c r="D23" s="1"/>
      <c r="E23" s="1" t="s">
        <v>65</v>
      </c>
      <c r="F23" s="1" t="s">
        <v>66</v>
      </c>
    </row>
    <row r="24" spans="1:6" x14ac:dyDescent="0.35">
      <c r="A24" s="1" t="s">
        <v>73</v>
      </c>
      <c r="B24" s="1"/>
      <c r="C24" s="3"/>
      <c r="D24" s="1"/>
      <c r="E24" s="1" t="s">
        <v>65</v>
      </c>
      <c r="F24" s="1" t="s">
        <v>66</v>
      </c>
    </row>
    <row r="25" spans="1:6" x14ac:dyDescent="0.35">
      <c r="A25" s="1" t="s">
        <v>74</v>
      </c>
      <c r="B25" s="1" t="s">
        <v>75</v>
      </c>
      <c r="C25" s="3"/>
      <c r="D25" s="1" t="s">
        <v>23</v>
      </c>
      <c r="E25" s="1" t="s">
        <v>76</v>
      </c>
      <c r="F25" s="1" t="s">
        <v>74</v>
      </c>
    </row>
    <row r="26" spans="1:6" x14ac:dyDescent="0.35">
      <c r="A26" s="1" t="s">
        <v>77</v>
      </c>
      <c r="B26" s="1" t="s">
        <v>78</v>
      </c>
      <c r="C26" s="3"/>
      <c r="D26" s="1" t="s">
        <v>23</v>
      </c>
      <c r="E26" s="1" t="s">
        <v>79</v>
      </c>
      <c r="F26" s="1" t="s">
        <v>77</v>
      </c>
    </row>
    <row r="27" spans="1:6" x14ac:dyDescent="0.35">
      <c r="A27" s="1" t="s">
        <v>80</v>
      </c>
      <c r="B27" s="1" t="s">
        <v>81</v>
      </c>
      <c r="C27" s="3">
        <v>30464</v>
      </c>
      <c r="D27" s="1" t="s">
        <v>35</v>
      </c>
      <c r="E27" s="1" t="s">
        <v>82</v>
      </c>
      <c r="F27" s="1" t="s">
        <v>83</v>
      </c>
    </row>
    <row r="28" spans="1:6" x14ac:dyDescent="0.35">
      <c r="A28" s="1" t="s">
        <v>83</v>
      </c>
      <c r="B28" s="1" t="s">
        <v>81</v>
      </c>
      <c r="C28" s="3"/>
      <c r="D28" s="1" t="s">
        <v>23</v>
      </c>
      <c r="E28" s="1" t="s">
        <v>82</v>
      </c>
      <c r="F28" s="1" t="s">
        <v>83</v>
      </c>
    </row>
    <row r="29" spans="1:6" x14ac:dyDescent="0.35">
      <c r="A29" s="1" t="s">
        <v>84</v>
      </c>
      <c r="B29" s="1" t="s">
        <v>37</v>
      </c>
      <c r="C29" s="3"/>
      <c r="D29" s="1" t="s">
        <v>35</v>
      </c>
      <c r="E29" s="1" t="s">
        <v>85</v>
      </c>
      <c r="F29" s="1" t="s">
        <v>86</v>
      </c>
    </row>
    <row r="30" spans="1:6" x14ac:dyDescent="0.35">
      <c r="A30" s="1" t="s">
        <v>87</v>
      </c>
      <c r="B30" s="1" t="s">
        <v>37</v>
      </c>
      <c r="C30" s="3"/>
      <c r="D30" s="1" t="s">
        <v>35</v>
      </c>
      <c r="E30" s="1" t="s">
        <v>85</v>
      </c>
      <c r="F30" s="1" t="s">
        <v>86</v>
      </c>
    </row>
    <row r="31" spans="1:6" x14ac:dyDescent="0.35">
      <c r="A31" s="1" t="s">
        <v>88</v>
      </c>
      <c r="B31" s="1" t="s">
        <v>37</v>
      </c>
      <c r="C31" s="3"/>
      <c r="D31" s="1" t="s">
        <v>35</v>
      </c>
      <c r="E31" s="1" t="s">
        <v>85</v>
      </c>
      <c r="F31" s="1" t="s">
        <v>86</v>
      </c>
    </row>
    <row r="32" spans="1:6" x14ac:dyDescent="0.35">
      <c r="A32" s="1" t="s">
        <v>89</v>
      </c>
      <c r="B32" s="1" t="s">
        <v>37</v>
      </c>
      <c r="C32" s="3"/>
      <c r="D32" s="1" t="s">
        <v>35</v>
      </c>
      <c r="E32" s="1" t="s">
        <v>85</v>
      </c>
      <c r="F32" s="1" t="s">
        <v>86</v>
      </c>
    </row>
    <row r="33" spans="1:6" x14ac:dyDescent="0.35">
      <c r="A33" s="1" t="s">
        <v>90</v>
      </c>
      <c r="B33" s="1" t="s">
        <v>37</v>
      </c>
      <c r="C33" s="3"/>
      <c r="D33" s="1" t="s">
        <v>35</v>
      </c>
      <c r="E33" s="1" t="s">
        <v>85</v>
      </c>
      <c r="F33" s="1" t="s">
        <v>86</v>
      </c>
    </row>
    <row r="34" spans="1:6" x14ac:dyDescent="0.35">
      <c r="A34" s="1" t="s">
        <v>91</v>
      </c>
      <c r="B34" s="1" t="s">
        <v>37</v>
      </c>
      <c r="C34" s="3"/>
      <c r="D34" s="1" t="s">
        <v>35</v>
      </c>
      <c r="E34" s="1" t="s">
        <v>85</v>
      </c>
      <c r="F34" s="1" t="s">
        <v>86</v>
      </c>
    </row>
    <row r="35" spans="1:6" x14ac:dyDescent="0.35">
      <c r="A35" s="1" t="s">
        <v>86</v>
      </c>
      <c r="B35" s="1" t="s">
        <v>92</v>
      </c>
      <c r="C35" s="3"/>
      <c r="D35" s="1" t="s">
        <v>23</v>
      </c>
      <c r="E35" s="1" t="s">
        <v>85</v>
      </c>
      <c r="F35" s="1" t="s">
        <v>86</v>
      </c>
    </row>
    <row r="36" spans="1:6" x14ac:dyDescent="0.35">
      <c r="A36" s="1" t="s">
        <v>93</v>
      </c>
      <c r="B36" s="1" t="s">
        <v>37</v>
      </c>
      <c r="C36" s="3"/>
      <c r="D36" s="1" t="s">
        <v>35</v>
      </c>
      <c r="E36" s="1" t="s">
        <v>85</v>
      </c>
      <c r="F36" s="1" t="s">
        <v>86</v>
      </c>
    </row>
    <row r="37" spans="1:6" x14ac:dyDescent="0.35">
      <c r="A37" s="1" t="s">
        <v>94</v>
      </c>
      <c r="B37" s="1" t="s">
        <v>95</v>
      </c>
      <c r="C37" s="3">
        <v>14479</v>
      </c>
      <c r="D37" s="1" t="s">
        <v>23</v>
      </c>
      <c r="E37" s="1" t="s">
        <v>96</v>
      </c>
      <c r="F37" s="1" t="s">
        <v>94</v>
      </c>
    </row>
    <row r="38" spans="1:6" x14ac:dyDescent="0.35">
      <c r="A38" s="1" t="s">
        <v>97</v>
      </c>
      <c r="B38" s="1" t="s">
        <v>98</v>
      </c>
      <c r="C38" s="3">
        <v>24972</v>
      </c>
      <c r="D38" s="1" t="s">
        <v>35</v>
      </c>
      <c r="E38" s="1" t="s">
        <v>99</v>
      </c>
      <c r="F38" s="1" t="s">
        <v>94</v>
      </c>
    </row>
    <row r="39" spans="1:6" x14ac:dyDescent="0.35">
      <c r="A39" s="1" t="s">
        <v>100</v>
      </c>
      <c r="B39" s="1" t="s">
        <v>101</v>
      </c>
      <c r="C39" s="3">
        <v>30393</v>
      </c>
      <c r="D39" s="1" t="s">
        <v>23</v>
      </c>
      <c r="E39" s="1" t="s">
        <v>102</v>
      </c>
      <c r="F39" s="1" t="s">
        <v>100</v>
      </c>
    </row>
    <row r="40" spans="1:6" x14ac:dyDescent="0.35">
      <c r="A40" s="1" t="s">
        <v>103</v>
      </c>
      <c r="B40" s="1" t="s">
        <v>104</v>
      </c>
      <c r="C40" s="3">
        <v>25061</v>
      </c>
      <c r="D40" s="1" t="s">
        <v>23</v>
      </c>
      <c r="E40" s="1" t="s">
        <v>105</v>
      </c>
      <c r="F40" s="1" t="s">
        <v>106</v>
      </c>
    </row>
    <row r="41" spans="1:6" x14ac:dyDescent="0.35">
      <c r="A41" s="1" t="s">
        <v>107</v>
      </c>
      <c r="B41" s="1" t="s">
        <v>108</v>
      </c>
      <c r="C41" s="3">
        <v>30096</v>
      </c>
      <c r="D41" s="1" t="s">
        <v>23</v>
      </c>
      <c r="E41" s="1" t="s">
        <v>109</v>
      </c>
      <c r="F41" s="1" t="s">
        <v>107</v>
      </c>
    </row>
    <row r="42" spans="1:6" x14ac:dyDescent="0.35">
      <c r="A42" s="1" t="s">
        <v>110</v>
      </c>
      <c r="B42" s="1" t="s">
        <v>111</v>
      </c>
      <c r="C42" s="3">
        <v>23014</v>
      </c>
      <c r="D42" s="1" t="s">
        <v>23</v>
      </c>
      <c r="E42" s="1" t="s">
        <v>112</v>
      </c>
      <c r="F42" s="1"/>
    </row>
    <row r="43" spans="1:6" x14ac:dyDescent="0.35">
      <c r="A43" s="1" t="s">
        <v>113</v>
      </c>
      <c r="B43" s="1" t="s">
        <v>114</v>
      </c>
      <c r="C43" s="3">
        <v>29021</v>
      </c>
      <c r="D43" s="1" t="s">
        <v>35</v>
      </c>
      <c r="E43" s="1" t="s">
        <v>115</v>
      </c>
      <c r="F43" s="1" t="s">
        <v>116</v>
      </c>
    </row>
    <row r="44" spans="1:6" x14ac:dyDescent="0.35">
      <c r="A44" s="1" t="s">
        <v>117</v>
      </c>
      <c r="B44" s="1" t="s">
        <v>118</v>
      </c>
      <c r="C44" s="3">
        <v>29368</v>
      </c>
      <c r="D44" s="1" t="s">
        <v>23</v>
      </c>
      <c r="E44" s="1" t="s">
        <v>115</v>
      </c>
      <c r="F44" s="1" t="s">
        <v>116</v>
      </c>
    </row>
    <row r="45" spans="1:6" x14ac:dyDescent="0.35">
      <c r="A45" s="1" t="s">
        <v>119</v>
      </c>
      <c r="B45" s="1" t="s">
        <v>120</v>
      </c>
      <c r="C45" s="3">
        <v>33373</v>
      </c>
      <c r="D45" s="1" t="s">
        <v>23</v>
      </c>
      <c r="E45" s="1" t="s">
        <v>121</v>
      </c>
      <c r="F45" s="1" t="s">
        <v>119</v>
      </c>
    </row>
    <row r="46" spans="1:6" x14ac:dyDescent="0.35">
      <c r="A46" s="1" t="s">
        <v>122</v>
      </c>
      <c r="B46" s="1" t="s">
        <v>123</v>
      </c>
      <c r="C46" s="3">
        <v>29394</v>
      </c>
      <c r="D46" s="1" t="s">
        <v>23</v>
      </c>
      <c r="E46" s="1" t="s">
        <v>124</v>
      </c>
      <c r="F46" s="1" t="s">
        <v>122</v>
      </c>
    </row>
    <row r="47" spans="1:6" x14ac:dyDescent="0.35">
      <c r="A47" s="1" t="s">
        <v>125</v>
      </c>
      <c r="B47" s="1" t="s">
        <v>126</v>
      </c>
      <c r="C47" s="3">
        <v>30821</v>
      </c>
      <c r="D47" s="1" t="s">
        <v>23</v>
      </c>
      <c r="E47" s="1" t="s">
        <v>127</v>
      </c>
      <c r="F47" s="1" t="s">
        <v>128</v>
      </c>
    </row>
    <row r="48" spans="1:6" x14ac:dyDescent="0.35">
      <c r="A48" s="1" t="s">
        <v>129</v>
      </c>
      <c r="B48" s="1" t="s">
        <v>130</v>
      </c>
      <c r="C48" s="3">
        <v>29494</v>
      </c>
      <c r="D48" s="1" t="s">
        <v>23</v>
      </c>
      <c r="E48" s="1" t="s">
        <v>131</v>
      </c>
      <c r="F48" s="1" t="s">
        <v>129</v>
      </c>
    </row>
    <row r="49" spans="1:6" x14ac:dyDescent="0.35">
      <c r="A49" s="1" t="s">
        <v>132</v>
      </c>
      <c r="B49" s="1" t="s">
        <v>133</v>
      </c>
      <c r="C49" s="3">
        <v>33156</v>
      </c>
      <c r="D49" s="1" t="s">
        <v>23</v>
      </c>
      <c r="E49" s="1" t="s">
        <v>134</v>
      </c>
      <c r="F49" s="1" t="s">
        <v>132</v>
      </c>
    </row>
    <row r="50" spans="1:6" x14ac:dyDescent="0.35">
      <c r="A50" s="1" t="s">
        <v>135</v>
      </c>
      <c r="B50" s="1" t="s">
        <v>136</v>
      </c>
      <c r="C50" s="3">
        <v>32659</v>
      </c>
      <c r="D50" s="1" t="s">
        <v>35</v>
      </c>
      <c r="E50" s="1" t="s">
        <v>137</v>
      </c>
      <c r="F50" s="1" t="s">
        <v>132</v>
      </c>
    </row>
    <row r="51" spans="1:6" x14ac:dyDescent="0.35">
      <c r="A51" s="1" t="s">
        <v>138</v>
      </c>
      <c r="B51" s="1" t="s">
        <v>139</v>
      </c>
      <c r="C51" s="3">
        <v>31373</v>
      </c>
      <c r="D51" s="1" t="s">
        <v>35</v>
      </c>
      <c r="E51" s="1" t="s">
        <v>140</v>
      </c>
      <c r="F51" s="1" t="s">
        <v>132</v>
      </c>
    </row>
    <row r="52" spans="1:6" x14ac:dyDescent="0.35">
      <c r="A52" s="1" t="s">
        <v>141</v>
      </c>
      <c r="B52" s="1" t="s">
        <v>142</v>
      </c>
      <c r="C52" s="3">
        <v>21630</v>
      </c>
      <c r="D52" s="1" t="s">
        <v>35</v>
      </c>
      <c r="E52" s="1" t="s">
        <v>143</v>
      </c>
      <c r="F52" s="1" t="s">
        <v>132</v>
      </c>
    </row>
    <row r="53" spans="1:6" x14ac:dyDescent="0.35">
      <c r="A53" s="1" t="s">
        <v>144</v>
      </c>
      <c r="B53" s="1" t="s">
        <v>145</v>
      </c>
      <c r="C53" s="3"/>
      <c r="D53" s="1" t="s">
        <v>35</v>
      </c>
      <c r="E53" s="1" t="s">
        <v>146</v>
      </c>
      <c r="F53" s="1" t="s">
        <v>132</v>
      </c>
    </row>
    <row r="54" spans="1:6" x14ac:dyDescent="0.35">
      <c r="A54" s="1" t="s">
        <v>147</v>
      </c>
      <c r="B54" s="1" t="s">
        <v>148</v>
      </c>
      <c r="C54" s="3">
        <v>31547</v>
      </c>
      <c r="D54" s="1" t="s">
        <v>23</v>
      </c>
      <c r="E54" s="1" t="s">
        <v>149</v>
      </c>
      <c r="F54" s="1" t="s">
        <v>147</v>
      </c>
    </row>
    <row r="55" spans="1:6" x14ac:dyDescent="0.35">
      <c r="A55" s="1" t="s">
        <v>150</v>
      </c>
      <c r="B55" s="1" t="s">
        <v>151</v>
      </c>
      <c r="C55" s="3">
        <v>30218</v>
      </c>
      <c r="D55" s="1" t="s">
        <v>23</v>
      </c>
      <c r="E55" s="1" t="s">
        <v>152</v>
      </c>
      <c r="F55" s="1" t="s">
        <v>150</v>
      </c>
    </row>
    <row r="56" spans="1:6" x14ac:dyDescent="0.35">
      <c r="A56" s="1" t="s">
        <v>153</v>
      </c>
      <c r="B56" s="1" t="s">
        <v>154</v>
      </c>
      <c r="C56" s="3"/>
      <c r="D56" s="1" t="s">
        <v>35</v>
      </c>
      <c r="E56" s="1" t="s">
        <v>155</v>
      </c>
      <c r="F56" s="1" t="s">
        <v>150</v>
      </c>
    </row>
    <row r="57" spans="1:6" x14ac:dyDescent="0.35">
      <c r="A57" s="1" t="s">
        <v>156</v>
      </c>
      <c r="B57" s="1" t="s">
        <v>157</v>
      </c>
      <c r="C57" s="3">
        <v>31579</v>
      </c>
      <c r="D57" s="1" t="s">
        <v>23</v>
      </c>
      <c r="E57" s="1" t="s">
        <v>158</v>
      </c>
      <c r="F57" s="1" t="s">
        <v>159</v>
      </c>
    </row>
    <row r="58" spans="1:6" x14ac:dyDescent="0.35">
      <c r="A58" s="1" t="s">
        <v>160</v>
      </c>
      <c r="B58" s="1" t="s">
        <v>161</v>
      </c>
      <c r="C58" s="3">
        <v>18837</v>
      </c>
      <c r="D58" s="1" t="s">
        <v>35</v>
      </c>
      <c r="E58" s="1" t="s">
        <v>162</v>
      </c>
      <c r="F58" s="1" t="s">
        <v>163</v>
      </c>
    </row>
    <row r="59" spans="1:6" x14ac:dyDescent="0.35">
      <c r="A59" s="1" t="s">
        <v>163</v>
      </c>
      <c r="B59" s="1" t="s">
        <v>164</v>
      </c>
      <c r="C59" s="3">
        <v>29707</v>
      </c>
      <c r="D59" s="1" t="s">
        <v>23</v>
      </c>
      <c r="E59" s="1" t="s">
        <v>165</v>
      </c>
      <c r="F59" s="1" t="s">
        <v>163</v>
      </c>
    </row>
    <row r="60" spans="1:6" x14ac:dyDescent="0.35">
      <c r="A60" s="1" t="s">
        <v>166</v>
      </c>
      <c r="B60" s="1" t="s">
        <v>167</v>
      </c>
      <c r="C60" s="3">
        <v>30456</v>
      </c>
      <c r="D60" s="1" t="s">
        <v>35</v>
      </c>
      <c r="E60" s="1" t="s">
        <v>168</v>
      </c>
      <c r="F60" s="1" t="s">
        <v>163</v>
      </c>
    </row>
    <row r="61" spans="1:6" x14ac:dyDescent="0.35">
      <c r="A61" s="1" t="s">
        <v>169</v>
      </c>
      <c r="B61" s="1" t="s">
        <v>37</v>
      </c>
      <c r="C61" s="3"/>
      <c r="D61" s="1" t="s">
        <v>35</v>
      </c>
      <c r="E61" s="1" t="s">
        <v>170</v>
      </c>
      <c r="F61" s="1" t="s">
        <v>171</v>
      </c>
    </row>
    <row r="62" spans="1:6" x14ac:dyDescent="0.35">
      <c r="A62" s="1" t="s">
        <v>172</v>
      </c>
      <c r="B62" s="1" t="s">
        <v>37</v>
      </c>
      <c r="C62" s="3"/>
      <c r="D62" s="1" t="s">
        <v>35</v>
      </c>
      <c r="E62" s="1" t="s">
        <v>170</v>
      </c>
      <c r="F62" s="1" t="s">
        <v>171</v>
      </c>
    </row>
    <row r="63" spans="1:6" x14ac:dyDescent="0.35">
      <c r="A63" s="1" t="s">
        <v>171</v>
      </c>
      <c r="B63" s="1" t="s">
        <v>37</v>
      </c>
      <c r="C63" s="3"/>
      <c r="D63" s="1" t="s">
        <v>23</v>
      </c>
      <c r="E63" s="1" t="s">
        <v>170</v>
      </c>
      <c r="F63" s="1" t="s">
        <v>171</v>
      </c>
    </row>
    <row r="64" spans="1:6" x14ac:dyDescent="0.35">
      <c r="A64" s="1" t="s">
        <v>173</v>
      </c>
      <c r="B64" s="1" t="s">
        <v>37</v>
      </c>
      <c r="C64" s="3"/>
      <c r="D64" s="1" t="s">
        <v>35</v>
      </c>
      <c r="E64" s="1" t="s">
        <v>170</v>
      </c>
      <c r="F64" s="1" t="s">
        <v>171</v>
      </c>
    </row>
    <row r="65" spans="1:6" x14ac:dyDescent="0.35">
      <c r="A65" s="1" t="s">
        <v>174</v>
      </c>
      <c r="B65" s="1" t="s">
        <v>37</v>
      </c>
      <c r="C65" s="3"/>
      <c r="D65" s="1" t="s">
        <v>35</v>
      </c>
      <c r="E65" s="1" t="s">
        <v>170</v>
      </c>
      <c r="F65" s="1" t="s">
        <v>171</v>
      </c>
    </row>
    <row r="66" spans="1:6" x14ac:dyDescent="0.35">
      <c r="A66" s="1" t="s">
        <v>175</v>
      </c>
      <c r="B66" s="1" t="s">
        <v>37</v>
      </c>
      <c r="C66" s="3"/>
      <c r="D66" s="1" t="s">
        <v>35</v>
      </c>
      <c r="E66" s="1" t="s">
        <v>170</v>
      </c>
      <c r="F66" s="1" t="s">
        <v>171</v>
      </c>
    </row>
    <row r="67" spans="1:6" x14ac:dyDescent="0.35">
      <c r="A67" s="1" t="s">
        <v>176</v>
      </c>
      <c r="B67" s="1" t="s">
        <v>177</v>
      </c>
      <c r="C67" s="3">
        <v>32227</v>
      </c>
      <c r="D67" s="1" t="s">
        <v>23</v>
      </c>
      <c r="E67" s="1" t="s">
        <v>178</v>
      </c>
      <c r="F67" s="1" t="s">
        <v>176</v>
      </c>
    </row>
    <row r="68" spans="1:6" x14ac:dyDescent="0.35">
      <c r="A68" s="1" t="s">
        <v>179</v>
      </c>
      <c r="B68" s="1" t="s">
        <v>180</v>
      </c>
      <c r="C68" s="3">
        <v>28424</v>
      </c>
      <c r="D68" s="1" t="s">
        <v>23</v>
      </c>
      <c r="E68" s="1" t="s">
        <v>181</v>
      </c>
      <c r="F68" s="1" t="s">
        <v>179</v>
      </c>
    </row>
    <row r="69" spans="1:6" x14ac:dyDescent="0.35">
      <c r="A69" s="1" t="s">
        <v>182</v>
      </c>
      <c r="B69" s="1" t="s">
        <v>183</v>
      </c>
      <c r="C69" s="3">
        <v>34343</v>
      </c>
      <c r="D69" s="1" t="s">
        <v>23</v>
      </c>
      <c r="E69" s="1" t="s">
        <v>184</v>
      </c>
      <c r="F69" s="1" t="s">
        <v>182</v>
      </c>
    </row>
    <row r="70" spans="1:6" x14ac:dyDescent="0.35">
      <c r="A70" s="1" t="s">
        <v>185</v>
      </c>
      <c r="B70" s="1" t="s">
        <v>186</v>
      </c>
      <c r="C70" s="3"/>
      <c r="D70" s="1" t="s">
        <v>23</v>
      </c>
      <c r="E70" s="1" t="s">
        <v>187</v>
      </c>
      <c r="F70" s="1" t="s">
        <v>185</v>
      </c>
    </row>
    <row r="71" spans="1:6" x14ac:dyDescent="0.35">
      <c r="A71" s="1" t="s">
        <v>188</v>
      </c>
      <c r="B71" s="1" t="s">
        <v>189</v>
      </c>
      <c r="C71" s="3"/>
      <c r="D71" s="1" t="s">
        <v>23</v>
      </c>
      <c r="E71" s="1" t="s">
        <v>190</v>
      </c>
      <c r="F71" s="1" t="s">
        <v>191</v>
      </c>
    </row>
    <row r="72" spans="1:6" x14ac:dyDescent="0.35">
      <c r="A72" s="1" t="s">
        <v>192</v>
      </c>
      <c r="B72" s="1" t="s">
        <v>193</v>
      </c>
      <c r="C72" s="3">
        <v>18211</v>
      </c>
      <c r="D72" s="1" t="s">
        <v>23</v>
      </c>
      <c r="E72" s="1" t="s">
        <v>194</v>
      </c>
      <c r="F72" s="1" t="s">
        <v>192</v>
      </c>
    </row>
    <row r="73" spans="1:6" x14ac:dyDescent="0.35">
      <c r="A73" s="1" t="s">
        <v>195</v>
      </c>
      <c r="B73" s="1" t="s">
        <v>193</v>
      </c>
      <c r="C73" s="3"/>
      <c r="D73" s="1" t="s">
        <v>35</v>
      </c>
      <c r="E73" s="1" t="s">
        <v>196</v>
      </c>
      <c r="F73" s="1" t="s">
        <v>192</v>
      </c>
    </row>
    <row r="74" spans="1:6" x14ac:dyDescent="0.35">
      <c r="A74" s="1" t="s">
        <v>197</v>
      </c>
      <c r="B74" s="1" t="s">
        <v>198</v>
      </c>
      <c r="C74" s="3">
        <v>29649</v>
      </c>
      <c r="D74" s="1" t="s">
        <v>23</v>
      </c>
      <c r="E74" s="1" t="s">
        <v>199</v>
      </c>
      <c r="F74" s="1" t="s">
        <v>200</v>
      </c>
    </row>
    <row r="75" spans="1:6" x14ac:dyDescent="0.35">
      <c r="A75" s="1" t="s">
        <v>201</v>
      </c>
      <c r="B75" s="1" t="s">
        <v>202</v>
      </c>
      <c r="C75" s="3">
        <v>22636</v>
      </c>
      <c r="D75" s="1" t="s">
        <v>23</v>
      </c>
      <c r="E75" s="1" t="s">
        <v>203</v>
      </c>
      <c r="F75" s="1" t="s">
        <v>201</v>
      </c>
    </row>
    <row r="76" spans="1:6" x14ac:dyDescent="0.35">
      <c r="A76" s="1" t="s">
        <v>204</v>
      </c>
      <c r="B76" s="1" t="s">
        <v>205</v>
      </c>
      <c r="C76" s="3">
        <v>33367</v>
      </c>
      <c r="D76" s="1" t="s">
        <v>23</v>
      </c>
      <c r="E76" s="1" t="s">
        <v>206</v>
      </c>
      <c r="F76" s="1" t="s">
        <v>204</v>
      </c>
    </row>
    <row r="77" spans="1:6" x14ac:dyDescent="0.35">
      <c r="A77" s="1" t="s">
        <v>207</v>
      </c>
      <c r="B77" s="1" t="s">
        <v>208</v>
      </c>
      <c r="C77" s="3">
        <v>30094</v>
      </c>
      <c r="D77" s="1" t="s">
        <v>35</v>
      </c>
      <c r="E77" s="1" t="s">
        <v>209</v>
      </c>
      <c r="F77" s="1" t="s">
        <v>204</v>
      </c>
    </row>
    <row r="78" spans="1:6" x14ac:dyDescent="0.35">
      <c r="A78" s="1" t="s">
        <v>210</v>
      </c>
      <c r="B78" s="1"/>
      <c r="C78" s="3"/>
      <c r="D78" s="1" t="s">
        <v>35</v>
      </c>
      <c r="E78" s="1" t="s">
        <v>209</v>
      </c>
      <c r="F78" s="1" t="s">
        <v>204</v>
      </c>
    </row>
    <row r="79" spans="1:6" x14ac:dyDescent="0.35">
      <c r="A79" s="1" t="s">
        <v>211</v>
      </c>
      <c r="B79" s="1"/>
      <c r="C79" s="3"/>
      <c r="D79" s="1" t="s">
        <v>35</v>
      </c>
      <c r="E79" s="1" t="s">
        <v>209</v>
      </c>
      <c r="F79" s="1" t="s">
        <v>204</v>
      </c>
    </row>
    <row r="80" spans="1:6" x14ac:dyDescent="0.35">
      <c r="A80" s="1" t="s">
        <v>212</v>
      </c>
      <c r="B80" s="1" t="s">
        <v>213</v>
      </c>
      <c r="C80" s="3">
        <v>23113</v>
      </c>
      <c r="D80" s="1" t="s">
        <v>35</v>
      </c>
      <c r="E80" s="1" t="s">
        <v>214</v>
      </c>
      <c r="F80" s="1" t="s">
        <v>204</v>
      </c>
    </row>
    <row r="81" spans="1:6" x14ac:dyDescent="0.35">
      <c r="A81" s="1" t="s">
        <v>215</v>
      </c>
      <c r="B81" s="1" t="s">
        <v>216</v>
      </c>
      <c r="C81" s="3"/>
      <c r="D81" s="1" t="s">
        <v>23</v>
      </c>
      <c r="E81" s="1" t="s">
        <v>217</v>
      </c>
      <c r="F81" s="1" t="s">
        <v>215</v>
      </c>
    </row>
    <row r="82" spans="1:6" x14ac:dyDescent="0.35">
      <c r="A82" s="1" t="s">
        <v>218</v>
      </c>
      <c r="B82" s="1" t="s">
        <v>219</v>
      </c>
      <c r="C82" s="3">
        <v>22012</v>
      </c>
      <c r="D82" s="1" t="s">
        <v>23</v>
      </c>
      <c r="E82" s="1" t="s">
        <v>220</v>
      </c>
      <c r="F82" s="1" t="s">
        <v>221</v>
      </c>
    </row>
    <row r="83" spans="1:6" x14ac:dyDescent="0.35">
      <c r="A83" s="1" t="s">
        <v>222</v>
      </c>
      <c r="B83" s="1" t="s">
        <v>223</v>
      </c>
      <c r="C83" s="3">
        <v>26601</v>
      </c>
      <c r="D83" s="1"/>
      <c r="E83" s="1" t="s">
        <v>224</v>
      </c>
      <c r="F83" s="1" t="s">
        <v>222</v>
      </c>
    </row>
    <row r="84" spans="1:6" x14ac:dyDescent="0.35">
      <c r="A84" s="1" t="s">
        <v>225</v>
      </c>
      <c r="B84" s="1" t="s">
        <v>226</v>
      </c>
      <c r="C84" s="3">
        <v>29261</v>
      </c>
      <c r="D84" s="1" t="s">
        <v>23</v>
      </c>
      <c r="E84" s="1" t="s">
        <v>227</v>
      </c>
      <c r="F84" s="1" t="s">
        <v>225</v>
      </c>
    </row>
    <row r="85" spans="1:6" x14ac:dyDescent="0.35">
      <c r="A85" s="1" t="s">
        <v>228</v>
      </c>
      <c r="B85" s="1" t="s">
        <v>229</v>
      </c>
      <c r="C85" s="3">
        <v>31121</v>
      </c>
      <c r="D85" s="1" t="s">
        <v>23</v>
      </c>
      <c r="E85" s="1" t="s">
        <v>230</v>
      </c>
      <c r="F85" s="1" t="s">
        <v>231</v>
      </c>
    </row>
    <row r="86" spans="1:6" x14ac:dyDescent="0.35">
      <c r="A86" s="1" t="s">
        <v>232</v>
      </c>
      <c r="B86" s="1" t="s">
        <v>37</v>
      </c>
      <c r="C86" s="3"/>
      <c r="D86" s="1"/>
      <c r="E86" s="1" t="s">
        <v>230</v>
      </c>
      <c r="F86" s="1" t="s">
        <v>231</v>
      </c>
    </row>
    <row r="87" spans="1:6" x14ac:dyDescent="0.35">
      <c r="A87" s="1" t="s">
        <v>233</v>
      </c>
      <c r="B87" s="1" t="s">
        <v>234</v>
      </c>
      <c r="C87" s="3">
        <v>31598</v>
      </c>
      <c r="D87" s="1" t="s">
        <v>35</v>
      </c>
      <c r="E87" s="1" t="s">
        <v>235</v>
      </c>
      <c r="F87" s="1" t="s">
        <v>236</v>
      </c>
    </row>
    <row r="88" spans="1:6" x14ac:dyDescent="0.35">
      <c r="A88" s="1" t="s">
        <v>237</v>
      </c>
      <c r="B88" s="1" t="s">
        <v>238</v>
      </c>
      <c r="C88" s="3">
        <v>33106</v>
      </c>
      <c r="D88" s="1" t="s">
        <v>23</v>
      </c>
      <c r="E88" s="1" t="s">
        <v>239</v>
      </c>
      <c r="F88" s="1" t="s">
        <v>237</v>
      </c>
    </row>
    <row r="89" spans="1:6" x14ac:dyDescent="0.35">
      <c r="A89" s="1" t="s">
        <v>240</v>
      </c>
      <c r="B89" s="1" t="s">
        <v>241</v>
      </c>
      <c r="C89" s="3">
        <v>27915</v>
      </c>
      <c r="D89" s="1" t="s">
        <v>23</v>
      </c>
      <c r="E89" s="1" t="s">
        <v>242</v>
      </c>
      <c r="F89" s="1" t="s">
        <v>240</v>
      </c>
    </row>
    <row r="90" spans="1:6" x14ac:dyDescent="0.35">
      <c r="A90" s="1" t="s">
        <v>243</v>
      </c>
      <c r="B90" s="1" t="s">
        <v>244</v>
      </c>
      <c r="C90" s="3">
        <v>33199</v>
      </c>
      <c r="D90" s="1" t="s">
        <v>23</v>
      </c>
      <c r="E90" s="1" t="s">
        <v>245</v>
      </c>
      <c r="F90" s="1" t="s">
        <v>243</v>
      </c>
    </row>
    <row r="91" spans="1:6" x14ac:dyDescent="0.35">
      <c r="A91" s="1" t="s">
        <v>246</v>
      </c>
      <c r="B91" s="1" t="s">
        <v>247</v>
      </c>
      <c r="C91" s="3">
        <v>34298</v>
      </c>
      <c r="D91" s="1" t="s">
        <v>23</v>
      </c>
      <c r="E91" s="1" t="s">
        <v>248</v>
      </c>
      <c r="F91" s="1" t="s">
        <v>246</v>
      </c>
    </row>
    <row r="92" spans="1:6" x14ac:dyDescent="0.35">
      <c r="A92" s="1" t="s">
        <v>249</v>
      </c>
      <c r="B92" s="1" t="s">
        <v>37</v>
      </c>
      <c r="C92" s="3"/>
      <c r="D92" s="1" t="s">
        <v>35</v>
      </c>
      <c r="E92" s="1" t="s">
        <v>250</v>
      </c>
      <c r="F92" s="1" t="s">
        <v>246</v>
      </c>
    </row>
    <row r="93" spans="1:6" x14ac:dyDescent="0.35">
      <c r="A93" s="1" t="s">
        <v>251</v>
      </c>
      <c r="B93" s="1" t="s">
        <v>252</v>
      </c>
      <c r="C93" s="3">
        <v>29450</v>
      </c>
      <c r="D93" s="1" t="s">
        <v>23</v>
      </c>
      <c r="E93" s="1" t="s">
        <v>253</v>
      </c>
      <c r="F93" s="1" t="s">
        <v>251</v>
      </c>
    </row>
    <row r="94" spans="1:6" x14ac:dyDescent="0.35">
      <c r="A94" s="1" t="s">
        <v>254</v>
      </c>
      <c r="B94" s="1" t="s">
        <v>255</v>
      </c>
      <c r="C94" s="3">
        <v>31799</v>
      </c>
      <c r="D94" s="1"/>
      <c r="E94" s="1" t="s">
        <v>256</v>
      </c>
      <c r="F94" s="1" t="s">
        <v>254</v>
      </c>
    </row>
    <row r="95" spans="1:6" x14ac:dyDescent="0.35">
      <c r="A95" s="1" t="s">
        <v>257</v>
      </c>
      <c r="B95" s="1" t="s">
        <v>37</v>
      </c>
      <c r="C95" s="3"/>
      <c r="D95" s="1" t="s">
        <v>35</v>
      </c>
      <c r="E95" s="1" t="s">
        <v>258</v>
      </c>
      <c r="F95" s="1" t="s">
        <v>259</v>
      </c>
    </row>
    <row r="96" spans="1:6" x14ac:dyDescent="0.35">
      <c r="A96" s="1" t="s">
        <v>260</v>
      </c>
      <c r="B96" s="1" t="s">
        <v>37</v>
      </c>
      <c r="C96" s="3"/>
      <c r="D96" s="1" t="s">
        <v>35</v>
      </c>
      <c r="E96" s="1" t="s">
        <v>258</v>
      </c>
      <c r="F96" s="1" t="s">
        <v>259</v>
      </c>
    </row>
    <row r="97" spans="1:6" x14ac:dyDescent="0.35">
      <c r="A97" s="1" t="s">
        <v>261</v>
      </c>
      <c r="B97" s="1" t="s">
        <v>37</v>
      </c>
      <c r="C97" s="3"/>
      <c r="D97" s="1" t="s">
        <v>35</v>
      </c>
      <c r="E97" s="1" t="s">
        <v>258</v>
      </c>
      <c r="F97" s="1" t="s">
        <v>259</v>
      </c>
    </row>
    <row r="98" spans="1:6" x14ac:dyDescent="0.35">
      <c r="A98" s="1" t="s">
        <v>262</v>
      </c>
      <c r="B98" s="1" t="s">
        <v>37</v>
      </c>
      <c r="C98" s="3"/>
      <c r="D98" s="1" t="s">
        <v>35</v>
      </c>
      <c r="E98" s="1" t="s">
        <v>258</v>
      </c>
      <c r="F98" s="1" t="s">
        <v>259</v>
      </c>
    </row>
    <row r="99" spans="1:6" x14ac:dyDescent="0.35">
      <c r="A99" s="1" t="s">
        <v>263</v>
      </c>
      <c r="B99" s="1" t="s">
        <v>264</v>
      </c>
      <c r="C99" s="3">
        <v>28488</v>
      </c>
      <c r="D99" s="1" t="s">
        <v>35</v>
      </c>
      <c r="E99" s="1" t="s">
        <v>265</v>
      </c>
      <c r="F99" s="1" t="s">
        <v>266</v>
      </c>
    </row>
    <row r="100" spans="1:6" x14ac:dyDescent="0.35">
      <c r="A100" s="1" t="s">
        <v>267</v>
      </c>
      <c r="B100" s="1" t="s">
        <v>268</v>
      </c>
      <c r="C100" s="3">
        <v>30298</v>
      </c>
      <c r="D100" s="1" t="s">
        <v>23</v>
      </c>
      <c r="E100" s="1" t="s">
        <v>265</v>
      </c>
      <c r="F100" s="1" t="s">
        <v>266</v>
      </c>
    </row>
    <row r="101" spans="1:6" x14ac:dyDescent="0.35">
      <c r="A101" s="1" t="s">
        <v>269</v>
      </c>
      <c r="B101" s="1" t="s">
        <v>270</v>
      </c>
      <c r="C101" s="3">
        <v>29132</v>
      </c>
      <c r="D101" s="1" t="s">
        <v>23</v>
      </c>
      <c r="E101" s="1" t="s">
        <v>271</v>
      </c>
      <c r="F101" s="1" t="s">
        <v>272</v>
      </c>
    </row>
    <row r="102" spans="1:6" x14ac:dyDescent="0.35">
      <c r="A102" s="1" t="s">
        <v>273</v>
      </c>
      <c r="B102" s="1" t="s">
        <v>274</v>
      </c>
      <c r="C102" s="3">
        <v>29921</v>
      </c>
      <c r="D102" s="1" t="s">
        <v>35</v>
      </c>
      <c r="E102" s="1" t="s">
        <v>271</v>
      </c>
      <c r="F102" s="1" t="s">
        <v>272</v>
      </c>
    </row>
    <row r="103" spans="1:6" x14ac:dyDescent="0.35">
      <c r="A103" s="1" t="s">
        <v>275</v>
      </c>
      <c r="B103" s="1" t="s">
        <v>270</v>
      </c>
      <c r="C103" s="3">
        <v>40681</v>
      </c>
      <c r="D103" s="1" t="s">
        <v>35</v>
      </c>
      <c r="E103" s="1" t="s">
        <v>276</v>
      </c>
      <c r="F103" s="1" t="s">
        <v>272</v>
      </c>
    </row>
    <row r="104" spans="1:6" x14ac:dyDescent="0.35">
      <c r="A104" s="1" t="s">
        <v>277</v>
      </c>
      <c r="B104" s="1" t="s">
        <v>278</v>
      </c>
      <c r="C104" s="3">
        <v>28981</v>
      </c>
      <c r="D104" s="1" t="s">
        <v>23</v>
      </c>
      <c r="E104" s="1" t="s">
        <v>279</v>
      </c>
      <c r="F104" s="1" t="s">
        <v>277</v>
      </c>
    </row>
    <row r="105" spans="1:6" x14ac:dyDescent="0.35">
      <c r="A105" s="1" t="s">
        <v>280</v>
      </c>
      <c r="B105" s="1" t="s">
        <v>281</v>
      </c>
      <c r="C105" s="3">
        <v>30427</v>
      </c>
      <c r="D105" s="1" t="s">
        <v>23</v>
      </c>
      <c r="E105" s="1" t="s">
        <v>282</v>
      </c>
      <c r="F105" s="1" t="s">
        <v>277</v>
      </c>
    </row>
    <row r="106" spans="1:6" x14ac:dyDescent="0.35">
      <c r="A106" s="1" t="s">
        <v>283</v>
      </c>
      <c r="B106" s="1" t="s">
        <v>284</v>
      </c>
      <c r="C106" s="3">
        <v>29047</v>
      </c>
      <c r="D106" s="1"/>
      <c r="E106" s="1" t="s">
        <v>285</v>
      </c>
      <c r="F106" s="1" t="s">
        <v>283</v>
      </c>
    </row>
    <row r="107" spans="1:6" x14ac:dyDescent="0.35">
      <c r="A107" s="1" t="s">
        <v>286</v>
      </c>
      <c r="B107" s="1" t="s">
        <v>287</v>
      </c>
      <c r="C107" s="3">
        <v>29214</v>
      </c>
      <c r="D107" s="1" t="s">
        <v>23</v>
      </c>
      <c r="E107" s="1" t="s">
        <v>288</v>
      </c>
      <c r="F107" s="1" t="s">
        <v>286</v>
      </c>
    </row>
    <row r="108" spans="1:6" x14ac:dyDescent="0.35">
      <c r="A108" s="1" t="s">
        <v>289</v>
      </c>
      <c r="B108" s="1" t="s">
        <v>290</v>
      </c>
      <c r="C108" s="3">
        <v>35815</v>
      </c>
      <c r="D108" s="1" t="s">
        <v>23</v>
      </c>
      <c r="E108" s="1" t="s">
        <v>291</v>
      </c>
      <c r="F108" s="1" t="s">
        <v>289</v>
      </c>
    </row>
    <row r="109" spans="1:6" x14ac:dyDescent="0.35">
      <c r="A109" s="1" t="s">
        <v>292</v>
      </c>
      <c r="B109" s="1" t="s">
        <v>37</v>
      </c>
      <c r="C109" s="3"/>
      <c r="D109" s="1" t="s">
        <v>35</v>
      </c>
      <c r="E109" s="1" t="s">
        <v>291</v>
      </c>
      <c r="F109" s="1" t="s">
        <v>289</v>
      </c>
    </row>
    <row r="110" spans="1:6" x14ac:dyDescent="0.35">
      <c r="A110" s="1" t="s">
        <v>293</v>
      </c>
      <c r="B110" s="1" t="s">
        <v>37</v>
      </c>
      <c r="C110" s="3"/>
      <c r="D110" s="1" t="s">
        <v>35</v>
      </c>
      <c r="E110" s="1" t="s">
        <v>291</v>
      </c>
      <c r="F110" s="1" t="s">
        <v>289</v>
      </c>
    </row>
    <row r="111" spans="1:6" x14ac:dyDescent="0.35">
      <c r="A111" s="1" t="s">
        <v>294</v>
      </c>
      <c r="B111" s="1" t="s">
        <v>37</v>
      </c>
      <c r="C111" s="3"/>
      <c r="D111" s="1" t="s">
        <v>35</v>
      </c>
      <c r="E111" s="1" t="s">
        <v>291</v>
      </c>
      <c r="F111" s="1" t="s">
        <v>289</v>
      </c>
    </row>
    <row r="112" spans="1:6" x14ac:dyDescent="0.35">
      <c r="A112" s="1" t="s">
        <v>295</v>
      </c>
      <c r="B112" s="1" t="s">
        <v>296</v>
      </c>
      <c r="C112" s="3">
        <v>32575</v>
      </c>
      <c r="D112" s="1" t="s">
        <v>35</v>
      </c>
      <c r="E112" s="1" t="s">
        <v>297</v>
      </c>
      <c r="F112" s="1" t="s">
        <v>298</v>
      </c>
    </row>
    <row r="113" spans="1:6" x14ac:dyDescent="0.35">
      <c r="A113" s="1" t="s">
        <v>298</v>
      </c>
      <c r="B113" s="1" t="s">
        <v>299</v>
      </c>
      <c r="C113" s="3">
        <v>32595</v>
      </c>
      <c r="D113" s="1" t="s">
        <v>23</v>
      </c>
      <c r="E113" s="1" t="s">
        <v>297</v>
      </c>
      <c r="F113" s="1" t="s">
        <v>298</v>
      </c>
    </row>
    <row r="114" spans="1:6" x14ac:dyDescent="0.35">
      <c r="A114" s="1" t="s">
        <v>300</v>
      </c>
      <c r="B114" s="1" t="s">
        <v>301</v>
      </c>
      <c r="C114" s="3">
        <v>20025</v>
      </c>
      <c r="D114" s="1" t="s">
        <v>23</v>
      </c>
      <c r="E114" s="1" t="s">
        <v>302</v>
      </c>
      <c r="F114" s="1" t="s">
        <v>300</v>
      </c>
    </row>
    <row r="115" spans="1:6" x14ac:dyDescent="0.35">
      <c r="A115" s="1" t="s">
        <v>303</v>
      </c>
      <c r="B115" s="1" t="s">
        <v>301</v>
      </c>
      <c r="C115" s="3">
        <v>29987</v>
      </c>
      <c r="D115" s="1" t="s">
        <v>35</v>
      </c>
      <c r="E115" s="1" t="s">
        <v>304</v>
      </c>
      <c r="F115" s="1" t="s">
        <v>300</v>
      </c>
    </row>
    <row r="116" spans="1:6" x14ac:dyDescent="0.35">
      <c r="A116" s="1" t="s">
        <v>305</v>
      </c>
      <c r="B116" s="1" t="s">
        <v>301</v>
      </c>
      <c r="C116" s="3">
        <v>32001</v>
      </c>
      <c r="D116" s="1" t="s">
        <v>35</v>
      </c>
      <c r="E116" s="1" t="s">
        <v>304</v>
      </c>
      <c r="F116" s="1" t="s">
        <v>300</v>
      </c>
    </row>
    <row r="117" spans="1:6" x14ac:dyDescent="0.35">
      <c r="A117" s="1" t="s">
        <v>306</v>
      </c>
      <c r="B117" s="1" t="s">
        <v>301</v>
      </c>
      <c r="C117" s="3"/>
      <c r="D117" s="1" t="s">
        <v>35</v>
      </c>
      <c r="E117" s="1" t="s">
        <v>304</v>
      </c>
      <c r="F117" s="1" t="s">
        <v>300</v>
      </c>
    </row>
    <row r="118" spans="1:6" x14ac:dyDescent="0.35">
      <c r="A118" s="1" t="s">
        <v>307</v>
      </c>
      <c r="B118" s="1" t="s">
        <v>308</v>
      </c>
      <c r="C118" s="3">
        <v>33175</v>
      </c>
      <c r="D118" s="1" t="s">
        <v>23</v>
      </c>
      <c r="E118" s="1" t="s">
        <v>309</v>
      </c>
      <c r="F118" s="1" t="s">
        <v>307</v>
      </c>
    </row>
    <row r="119" spans="1:6" x14ac:dyDescent="0.35">
      <c r="A119" s="1" t="s">
        <v>310</v>
      </c>
      <c r="B119" s="1" t="s">
        <v>311</v>
      </c>
      <c r="C119" s="3">
        <v>32217</v>
      </c>
      <c r="D119" s="1" t="s">
        <v>23</v>
      </c>
      <c r="E119" s="1" t="s">
        <v>312</v>
      </c>
      <c r="F119" s="1" t="s">
        <v>310</v>
      </c>
    </row>
    <row r="120" spans="1:6" x14ac:dyDescent="0.35">
      <c r="A120" s="1" t="s">
        <v>313</v>
      </c>
      <c r="B120" s="1" t="s">
        <v>314</v>
      </c>
      <c r="C120" s="3">
        <v>33497</v>
      </c>
      <c r="D120" s="1" t="s">
        <v>23</v>
      </c>
      <c r="E120" s="1" t="s">
        <v>315</v>
      </c>
      <c r="F120" s="1" t="s">
        <v>316</v>
      </c>
    </row>
    <row r="121" spans="1:6" x14ac:dyDescent="0.35">
      <c r="A121" s="1" t="s">
        <v>316</v>
      </c>
      <c r="B121" s="1" t="s">
        <v>317</v>
      </c>
      <c r="C121" s="3"/>
      <c r="D121" s="1" t="s">
        <v>23</v>
      </c>
      <c r="E121" s="1" t="s">
        <v>318</v>
      </c>
      <c r="F121" s="1" t="s">
        <v>316</v>
      </c>
    </row>
    <row r="122" spans="1:6" x14ac:dyDescent="0.35">
      <c r="A122" s="1" t="s">
        <v>319</v>
      </c>
      <c r="B122" s="1" t="s">
        <v>320</v>
      </c>
      <c r="C122" s="3">
        <v>23886</v>
      </c>
      <c r="D122" s="1" t="s">
        <v>35</v>
      </c>
      <c r="E122" s="1" t="s">
        <v>321</v>
      </c>
      <c r="F122" s="1" t="s">
        <v>316</v>
      </c>
    </row>
    <row r="123" spans="1:6" x14ac:dyDescent="0.35">
      <c r="A123" s="1" t="s">
        <v>322</v>
      </c>
      <c r="B123" s="1" t="s">
        <v>317</v>
      </c>
      <c r="C123" s="3">
        <v>35948</v>
      </c>
      <c r="D123" s="1" t="s">
        <v>35</v>
      </c>
      <c r="E123" s="1" t="s">
        <v>321</v>
      </c>
      <c r="F123" s="1" t="s">
        <v>316</v>
      </c>
    </row>
    <row r="124" spans="1:6" x14ac:dyDescent="0.35">
      <c r="A124" s="1" t="s">
        <v>323</v>
      </c>
      <c r="B124" s="1" t="s">
        <v>324</v>
      </c>
      <c r="C124" s="3">
        <v>30440</v>
      </c>
      <c r="D124" s="1" t="s">
        <v>23</v>
      </c>
      <c r="E124" s="1" t="s">
        <v>325</v>
      </c>
      <c r="F124" s="1" t="s">
        <v>323</v>
      </c>
    </row>
    <row r="125" spans="1:6" x14ac:dyDescent="0.35">
      <c r="A125" s="1" t="s">
        <v>326</v>
      </c>
      <c r="B125" s="1" t="s">
        <v>327</v>
      </c>
      <c r="C125" s="3">
        <v>30680</v>
      </c>
      <c r="D125" s="1" t="s">
        <v>23</v>
      </c>
      <c r="E125" s="1" t="s">
        <v>328</v>
      </c>
      <c r="F125" s="1" t="s">
        <v>326</v>
      </c>
    </row>
    <row r="126" spans="1:6" x14ac:dyDescent="0.35">
      <c r="A126" s="1" t="s">
        <v>329</v>
      </c>
      <c r="B126" s="1" t="s">
        <v>330</v>
      </c>
      <c r="C126" s="3">
        <v>31707</v>
      </c>
      <c r="D126" s="1" t="s">
        <v>35</v>
      </c>
      <c r="E126" s="1" t="s">
        <v>328</v>
      </c>
      <c r="F126" s="1" t="s">
        <v>326</v>
      </c>
    </row>
    <row r="127" spans="1:6" x14ac:dyDescent="0.35">
      <c r="A127" s="1" t="s">
        <v>331</v>
      </c>
      <c r="B127" s="1" t="s">
        <v>332</v>
      </c>
      <c r="C127" s="3">
        <v>29694</v>
      </c>
      <c r="D127" s="1" t="s">
        <v>23</v>
      </c>
      <c r="E127" s="1" t="s">
        <v>333</v>
      </c>
      <c r="F127" s="1" t="s">
        <v>331</v>
      </c>
    </row>
    <row r="128" spans="1:6" x14ac:dyDescent="0.35">
      <c r="A128" s="1" t="s">
        <v>334</v>
      </c>
      <c r="B128" s="1" t="s">
        <v>335</v>
      </c>
      <c r="C128" s="3">
        <v>23360</v>
      </c>
      <c r="D128" s="1" t="s">
        <v>35</v>
      </c>
      <c r="E128" s="1" t="s">
        <v>336</v>
      </c>
      <c r="F128" s="1" t="s">
        <v>337</v>
      </c>
    </row>
    <row r="129" spans="1:6" x14ac:dyDescent="0.35">
      <c r="A129" s="1" t="s">
        <v>337</v>
      </c>
      <c r="B129" s="1" t="s">
        <v>338</v>
      </c>
      <c r="C129" s="3">
        <v>32041</v>
      </c>
      <c r="D129" s="1" t="s">
        <v>23</v>
      </c>
      <c r="E129" s="1" t="s">
        <v>336</v>
      </c>
      <c r="F129" s="1" t="s">
        <v>337</v>
      </c>
    </row>
    <row r="130" spans="1:6" x14ac:dyDescent="0.35">
      <c r="A130" s="1" t="s">
        <v>339</v>
      </c>
      <c r="B130" s="1" t="s">
        <v>37</v>
      </c>
      <c r="C130" s="3"/>
      <c r="D130" s="1" t="s">
        <v>35</v>
      </c>
      <c r="E130" s="1" t="s">
        <v>336</v>
      </c>
      <c r="F130" s="1" t="s">
        <v>337</v>
      </c>
    </row>
    <row r="131" spans="1:6" x14ac:dyDescent="0.35">
      <c r="A131" s="1" t="s">
        <v>340</v>
      </c>
      <c r="B131" s="1" t="s">
        <v>338</v>
      </c>
      <c r="C131" s="3"/>
      <c r="D131" s="1" t="s">
        <v>35</v>
      </c>
      <c r="E131" s="1" t="s">
        <v>336</v>
      </c>
      <c r="F131" s="1" t="s">
        <v>337</v>
      </c>
    </row>
    <row r="132" spans="1:6" x14ac:dyDescent="0.35">
      <c r="A132" s="1" t="s">
        <v>341</v>
      </c>
      <c r="B132" s="1" t="s">
        <v>37</v>
      </c>
      <c r="C132" s="3"/>
      <c r="D132" s="1" t="s">
        <v>35</v>
      </c>
      <c r="E132" s="1" t="s">
        <v>342</v>
      </c>
      <c r="F132" s="1" t="s">
        <v>343</v>
      </c>
    </row>
    <row r="133" spans="1:6" x14ac:dyDescent="0.35">
      <c r="A133" s="1" t="s">
        <v>344</v>
      </c>
      <c r="B133" s="1" t="s">
        <v>37</v>
      </c>
      <c r="C133" s="3"/>
      <c r="D133" s="1" t="s">
        <v>35</v>
      </c>
      <c r="E133" s="1" t="s">
        <v>342</v>
      </c>
      <c r="F133" s="1" t="s">
        <v>343</v>
      </c>
    </row>
    <row r="134" spans="1:6" x14ac:dyDescent="0.35">
      <c r="A134" s="1" t="s">
        <v>343</v>
      </c>
      <c r="B134" s="1" t="s">
        <v>345</v>
      </c>
      <c r="C134" s="3"/>
      <c r="D134" s="1" t="s">
        <v>23</v>
      </c>
      <c r="E134" s="1" t="s">
        <v>342</v>
      </c>
      <c r="F134" s="1" t="s">
        <v>343</v>
      </c>
    </row>
    <row r="135" spans="1:6" x14ac:dyDescent="0.35">
      <c r="A135" s="1" t="s">
        <v>346</v>
      </c>
      <c r="B135" s="1" t="s">
        <v>347</v>
      </c>
      <c r="C135" s="3">
        <v>32819</v>
      </c>
      <c r="D135" s="1" t="s">
        <v>23</v>
      </c>
      <c r="E135" s="1" t="s">
        <v>348</v>
      </c>
      <c r="F135" s="1" t="s">
        <v>346</v>
      </c>
    </row>
    <row r="136" spans="1:6" x14ac:dyDescent="0.35">
      <c r="A136" s="1" t="s">
        <v>349</v>
      </c>
      <c r="B136" s="1" t="s">
        <v>350</v>
      </c>
      <c r="C136" s="3">
        <v>31054</v>
      </c>
      <c r="D136" s="1" t="s">
        <v>23</v>
      </c>
      <c r="E136" s="1" t="s">
        <v>351</v>
      </c>
      <c r="F136" s="1" t="s">
        <v>349</v>
      </c>
    </row>
    <row r="137" spans="1:6" x14ac:dyDescent="0.35">
      <c r="A137" s="1" t="s">
        <v>352</v>
      </c>
      <c r="B137" s="1" t="s">
        <v>353</v>
      </c>
      <c r="C137" s="3">
        <v>44098</v>
      </c>
      <c r="D137" s="1" t="s">
        <v>23</v>
      </c>
      <c r="E137" s="1" t="s">
        <v>354</v>
      </c>
      <c r="F137" s="1" t="s">
        <v>352</v>
      </c>
    </row>
    <row r="138" spans="1:6" x14ac:dyDescent="0.35">
      <c r="A138" s="1" t="s">
        <v>355</v>
      </c>
      <c r="B138" s="1" t="s">
        <v>356</v>
      </c>
      <c r="C138" s="3">
        <v>29688</v>
      </c>
      <c r="D138" s="1" t="s">
        <v>23</v>
      </c>
      <c r="E138" s="1" t="s">
        <v>357</v>
      </c>
      <c r="F138" s="1" t="s">
        <v>355</v>
      </c>
    </row>
    <row r="139" spans="1:6" x14ac:dyDescent="0.35">
      <c r="A139" s="1" t="s">
        <v>358</v>
      </c>
      <c r="B139" s="1" t="s">
        <v>359</v>
      </c>
      <c r="C139" s="3">
        <v>36266</v>
      </c>
      <c r="D139" s="1" t="s">
        <v>23</v>
      </c>
      <c r="E139" s="1" t="s">
        <v>360</v>
      </c>
      <c r="F139" s="1" t="s">
        <v>358</v>
      </c>
    </row>
    <row r="140" spans="1:6" x14ac:dyDescent="0.35">
      <c r="A140" s="1" t="s">
        <v>259</v>
      </c>
      <c r="B140" s="1" t="s">
        <v>361</v>
      </c>
      <c r="C140" s="3">
        <v>26902</v>
      </c>
      <c r="D140" s="1" t="s">
        <v>23</v>
      </c>
      <c r="E140" s="1"/>
      <c r="F140" s="1" t="s">
        <v>259</v>
      </c>
    </row>
    <row r="141" spans="1:6" x14ac:dyDescent="0.35">
      <c r="A141" s="1" t="s">
        <v>362</v>
      </c>
      <c r="B141" s="1" t="s">
        <v>37</v>
      </c>
      <c r="C141" s="3"/>
      <c r="D141" s="1"/>
      <c r="E141" s="1" t="s">
        <v>363</v>
      </c>
      <c r="F141" s="1" t="s">
        <v>362</v>
      </c>
    </row>
    <row r="142" spans="1:6" x14ac:dyDescent="0.35">
      <c r="A142" s="1" t="s">
        <v>364</v>
      </c>
      <c r="B142" s="1"/>
      <c r="C142" s="3"/>
      <c r="D142" s="1"/>
      <c r="E142" s="1" t="s">
        <v>363</v>
      </c>
      <c r="F142" s="1" t="s">
        <v>362</v>
      </c>
    </row>
    <row r="143" spans="1:6" x14ac:dyDescent="0.35">
      <c r="A143" s="1" t="s">
        <v>365</v>
      </c>
      <c r="B143" s="1" t="s">
        <v>37</v>
      </c>
      <c r="C143" s="3"/>
      <c r="D143" s="1"/>
      <c r="E143" s="1"/>
      <c r="F143" s="1"/>
    </row>
    <row r="144" spans="1:6" x14ac:dyDescent="0.35">
      <c r="A144" s="1" t="s">
        <v>366</v>
      </c>
      <c r="B144" s="1" t="s">
        <v>37</v>
      </c>
      <c r="C144" s="3"/>
      <c r="D144" s="1"/>
      <c r="E144" s="1"/>
      <c r="F144" s="1"/>
    </row>
    <row r="145" spans="1:6" x14ac:dyDescent="0.35">
      <c r="A145" s="1" t="s">
        <v>232</v>
      </c>
      <c r="B145" s="1" t="s">
        <v>37</v>
      </c>
      <c r="C145" s="3"/>
      <c r="D145" s="1"/>
      <c r="E145" s="1"/>
      <c r="F145" s="1"/>
    </row>
    <row r="146" spans="1:6" x14ac:dyDescent="0.35">
      <c r="A146" s="1" t="s">
        <v>367</v>
      </c>
      <c r="B146" s="1" t="s">
        <v>37</v>
      </c>
      <c r="C146" s="3"/>
      <c r="D146" s="1"/>
      <c r="E146" s="1"/>
      <c r="F146" s="1"/>
    </row>
    <row r="147" spans="1:6" x14ac:dyDescent="0.35">
      <c r="A147" s="1" t="s">
        <v>368</v>
      </c>
      <c r="B147" s="1" t="s">
        <v>37</v>
      </c>
      <c r="C147" s="3"/>
      <c r="D147" s="1"/>
      <c r="E147" s="1"/>
      <c r="F147" s="1"/>
    </row>
    <row r="148" spans="1:6" x14ac:dyDescent="0.35">
      <c r="A148" s="1" t="s">
        <v>369</v>
      </c>
      <c r="B148" s="1" t="s">
        <v>37</v>
      </c>
      <c r="C148" s="3"/>
      <c r="D148" s="1"/>
      <c r="E148" s="1"/>
      <c r="F148" s="1"/>
    </row>
    <row r="149" spans="1:6" x14ac:dyDescent="0.35">
      <c r="A149" s="1" t="s">
        <v>370</v>
      </c>
      <c r="B149" s="1" t="s">
        <v>37</v>
      </c>
      <c r="C149" s="3"/>
      <c r="D149" s="1"/>
      <c r="E149" s="1"/>
      <c r="F149" s="1"/>
    </row>
    <row r="150" spans="1:6" x14ac:dyDescent="0.35">
      <c r="A150" s="1" t="s">
        <v>371</v>
      </c>
      <c r="B150" s="1"/>
      <c r="C150" s="3"/>
      <c r="D150" s="1"/>
      <c r="E150" s="1" t="s">
        <v>372</v>
      </c>
      <c r="F150" s="1" t="s">
        <v>371</v>
      </c>
    </row>
    <row r="151" spans="1:6" x14ac:dyDescent="0.35">
      <c r="A151" s="1" t="s">
        <v>373</v>
      </c>
      <c r="B151" s="1" t="s">
        <v>374</v>
      </c>
      <c r="C151" s="3">
        <v>31963</v>
      </c>
      <c r="D151" s="1"/>
      <c r="E151" s="1" t="s">
        <v>375</v>
      </c>
      <c r="F151" s="1" t="s">
        <v>373</v>
      </c>
    </row>
    <row r="152" spans="1:6" x14ac:dyDescent="0.35">
      <c r="A152" s="1" t="s">
        <v>376</v>
      </c>
      <c r="B152" s="1"/>
      <c r="C152" s="3"/>
      <c r="D152" s="1"/>
      <c r="E152" s="1" t="s">
        <v>377</v>
      </c>
      <c r="F152" s="1" t="s">
        <v>376</v>
      </c>
    </row>
    <row r="153" spans="1:6" x14ac:dyDescent="0.35">
      <c r="A153" s="1" t="s">
        <v>378</v>
      </c>
      <c r="B153" s="1"/>
      <c r="C153" s="3"/>
      <c r="D153" s="1"/>
      <c r="E153" s="1" t="s">
        <v>377</v>
      </c>
      <c r="F153" s="1" t="s">
        <v>376</v>
      </c>
    </row>
    <row r="154" spans="1:6" x14ac:dyDescent="0.35">
      <c r="A154" s="1" t="s">
        <v>379</v>
      </c>
      <c r="B154" s="1" t="s">
        <v>380</v>
      </c>
      <c r="C154" s="3">
        <v>23453</v>
      </c>
      <c r="D154" s="1"/>
      <c r="E154" s="1" t="s">
        <v>381</v>
      </c>
      <c r="F154" s="1" t="s">
        <v>382</v>
      </c>
    </row>
    <row r="155" spans="1:6" x14ac:dyDescent="0.35">
      <c r="A155" s="1" t="s">
        <v>383</v>
      </c>
      <c r="B155" s="1"/>
      <c r="C155" s="3"/>
      <c r="D155" s="1"/>
      <c r="E155" s="1" t="s">
        <v>384</v>
      </c>
      <c r="F155" s="1" t="s">
        <v>385</v>
      </c>
    </row>
    <row r="156" spans="1:6" x14ac:dyDescent="0.35">
      <c r="A156" s="1" t="s">
        <v>385</v>
      </c>
      <c r="B156" s="1"/>
      <c r="C156" s="3"/>
      <c r="D156" s="1"/>
      <c r="E156" s="1" t="s">
        <v>386</v>
      </c>
      <c r="F156" s="1" t="s">
        <v>385</v>
      </c>
    </row>
    <row r="157" spans="1:6" x14ac:dyDescent="0.35">
      <c r="A157" s="1" t="s">
        <v>387</v>
      </c>
      <c r="B157" s="1" t="s">
        <v>388</v>
      </c>
      <c r="C157" s="3">
        <v>30358</v>
      </c>
      <c r="D157" s="1"/>
      <c r="E157" s="1" t="s">
        <v>389</v>
      </c>
      <c r="F157" s="1" t="s">
        <v>387</v>
      </c>
    </row>
    <row r="158" spans="1:6" x14ac:dyDescent="0.35">
      <c r="A158" s="1" t="s">
        <v>390</v>
      </c>
      <c r="B158" s="1"/>
      <c r="C158" s="3"/>
      <c r="D158" s="1"/>
      <c r="E158" s="1" t="s">
        <v>391</v>
      </c>
      <c r="F158" s="1" t="s">
        <v>390</v>
      </c>
    </row>
    <row r="159" spans="1:6" x14ac:dyDescent="0.35">
      <c r="A159" s="1" t="s">
        <v>392</v>
      </c>
      <c r="B159" s="1" t="s">
        <v>393</v>
      </c>
      <c r="C159" s="3">
        <v>29503</v>
      </c>
      <c r="D159" s="1"/>
      <c r="E159" s="1" t="s">
        <v>389</v>
      </c>
      <c r="F159" s="1" t="s">
        <v>387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2CD5F-D89B-4EA6-9FA7-6CA27E9A0AE5}">
  <sheetPr codeName="Planilha6"/>
  <dimension ref="A1:C5"/>
  <sheetViews>
    <sheetView showGridLines="0" workbookViewId="0">
      <selection activeCell="C3" sqref="C3"/>
    </sheetView>
  </sheetViews>
  <sheetFormatPr defaultRowHeight="14.5" x14ac:dyDescent="0.35"/>
  <cols>
    <col min="1" max="1" width="33.81640625" bestFit="1" customWidth="1"/>
    <col min="2" max="2" width="12.1796875" bestFit="1" customWidth="1"/>
    <col min="3" max="3" width="7" bestFit="1" customWidth="1"/>
  </cols>
  <sheetData>
    <row r="1" spans="1:3" x14ac:dyDescent="0.35">
      <c r="A1" t="s">
        <v>0</v>
      </c>
      <c r="B1" t="s">
        <v>1</v>
      </c>
      <c r="C1" t="s">
        <v>17</v>
      </c>
    </row>
    <row r="2" spans="1:3" x14ac:dyDescent="0.35">
      <c r="A2">
        <v>1.4999999999999999E-2</v>
      </c>
      <c r="B2" s="1" t="s">
        <v>5</v>
      </c>
      <c r="C2">
        <v>6.7500000000000004E-2</v>
      </c>
    </row>
    <row r="3" spans="1:3" x14ac:dyDescent="0.35">
      <c r="A3">
        <v>0.03</v>
      </c>
      <c r="B3" s="1" t="s">
        <v>4</v>
      </c>
      <c r="C3">
        <v>8.249999999999999E-2</v>
      </c>
    </row>
    <row r="4" spans="1:3" x14ac:dyDescent="0.35">
      <c r="A4">
        <v>0.05</v>
      </c>
      <c r="B4" s="1" t="s">
        <v>3</v>
      </c>
      <c r="C4">
        <v>0.10249999999999999</v>
      </c>
    </row>
    <row r="5" spans="1:3" x14ac:dyDescent="0.35">
      <c r="A5">
        <v>0.08</v>
      </c>
      <c r="B5" s="1" t="s">
        <v>2</v>
      </c>
      <c r="C5">
        <v>0.13250000000000001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E8EB9F-BAF6-4B0D-A0A4-735A2CEA66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Planejamento Financeiro</vt:lpstr>
      <vt:lpstr>Base Dash acum</vt:lpstr>
      <vt:lpstr>BaseDadosDosClientes</vt:lpstr>
      <vt:lpstr>Perfil de Risco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Back Office</dc:creator>
  <cp:lastModifiedBy>João Sandrini</cp:lastModifiedBy>
  <cp:lastPrinted>2021-10-04T18:44:47Z</cp:lastPrinted>
  <dcterms:created xsi:type="dcterms:W3CDTF">2021-09-14T14:13:42Z</dcterms:created>
  <dcterms:modified xsi:type="dcterms:W3CDTF">2022-06-08T12:10:35Z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coUpdateId">
    <vt:lpwstr>1332612180</vt:lpwstr>
  </property>
  <property fmtid="{D5CDD505-2E9C-101B-9397-08002B2CF9AE}" pid="3" name="EcoUpdateMessage">
    <vt:lpwstr>2022/03/24-18:03:00</vt:lpwstr>
  </property>
  <property fmtid="{D5CDD505-2E9C-101B-9397-08002B2CF9AE}" pid="4" name="EcoUpdateStatus">
    <vt:lpwstr>2022-03-23=BRA:St,ME,Fd,TP;USA:St,ME,TP;ARG:St,ME,TP;MEX:St,ME,Fd,TP;CHL:St,ME,Fd;GBR:St,ME;COL:St,ME,Fd;PER:St,ME,Fd|2022-03-22=ARG:Fd;PER:TP|2021-11-17=CHL:TP|2014-02-26=VEN:St|2002-11-08=JPN:St|2016-08-18=NNN:St|2007-01-31=ESP:St|2003-01-29=CHN:St|2003-01-28=TWN:St|2003-01-30=HKG:St;KOR:St</vt:lpwstr>
  </property>
</Properties>
</file>