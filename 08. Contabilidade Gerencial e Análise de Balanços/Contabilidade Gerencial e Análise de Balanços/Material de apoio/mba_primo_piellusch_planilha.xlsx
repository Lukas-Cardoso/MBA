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spiellusch/Dropbox/material/Financas corporativas e contabilidade gerencial/Primo/"/>
    </mc:Choice>
  </mc:AlternateContent>
  <xr:revisionPtr revIDLastSave="0" documentId="13_ncr:1_{CB01CCF6-88FC-924F-BC22-821031249416}" xr6:coauthVersionLast="47" xr6:coauthVersionMax="47" xr10:uidLastSave="{00000000-0000-0000-0000-000000000000}"/>
  <bookViews>
    <workbookView xWindow="0" yWindow="500" windowWidth="38400" windowHeight="19600" xr2:uid="{3FFA77D7-5ABD-4034-BFAA-70C65ACC952C}"/>
  </bookViews>
  <sheets>
    <sheet name="Planilha1" sheetId="1" r:id="rId1"/>
    <sheet name="Sheet1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"03/26/2022 13:12:08"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04" i="1" l="1"/>
  <c r="F104" i="1"/>
  <c r="D104" i="1"/>
  <c r="H103" i="1"/>
  <c r="F103" i="1"/>
  <c r="D103" i="1"/>
  <c r="H102" i="1"/>
  <c r="F102" i="1"/>
  <c r="D102" i="1"/>
  <c r="H101" i="1"/>
  <c r="F101" i="1"/>
  <c r="D101" i="1"/>
  <c r="H100" i="1"/>
  <c r="F100" i="1"/>
  <c r="D100" i="1"/>
  <c r="G43" i="1"/>
  <c r="E43" i="1"/>
  <c r="C43" i="1"/>
  <c r="G42" i="1"/>
  <c r="E42" i="1"/>
  <c r="C42" i="1"/>
  <c r="G39" i="1"/>
  <c r="E39" i="1"/>
  <c r="C39" i="1"/>
  <c r="G36" i="1"/>
  <c r="E36" i="1"/>
  <c r="C36" i="1"/>
  <c r="E117" i="1"/>
  <c r="E118" i="1" s="1"/>
  <c r="C117" i="1"/>
  <c r="C118" i="1" s="1"/>
  <c r="G116" i="1"/>
  <c r="E116" i="1"/>
  <c r="C116" i="1"/>
  <c r="G115" i="1"/>
  <c r="E115" i="1"/>
  <c r="C115" i="1"/>
  <c r="G111" i="1"/>
  <c r="G110" i="1"/>
  <c r="E111" i="1"/>
  <c r="E110" i="1"/>
  <c r="E112" i="1" s="1"/>
  <c r="E113" i="1" s="1"/>
  <c r="C111" i="1"/>
  <c r="C110" i="1"/>
  <c r="C112" i="1" s="1"/>
  <c r="C113" i="1" s="1"/>
  <c r="G108" i="1"/>
  <c r="G107" i="1"/>
  <c r="E108" i="1"/>
  <c r="E107" i="1"/>
  <c r="C108" i="1"/>
  <c r="C107" i="1"/>
  <c r="G186" i="1"/>
  <c r="G189" i="1" s="1"/>
  <c r="G185" i="1"/>
  <c r="E186" i="1"/>
  <c r="E185" i="1"/>
  <c r="C186" i="1"/>
  <c r="C185" i="1"/>
  <c r="G184" i="1"/>
  <c r="G183" i="1"/>
  <c r="G182" i="1"/>
  <c r="G190" i="1" s="1"/>
  <c r="E184" i="1"/>
  <c r="E183" i="1"/>
  <c r="E189" i="1" s="1"/>
  <c r="E182" i="1"/>
  <c r="E190" i="1" s="1"/>
  <c r="C184" i="1"/>
  <c r="C183" i="1"/>
  <c r="C182" i="1"/>
  <c r="G31" i="1"/>
  <c r="G30" i="1"/>
  <c r="E31" i="1"/>
  <c r="E30" i="1"/>
  <c r="C31" i="1"/>
  <c r="C30" i="1"/>
  <c r="C32" i="1" s="1"/>
  <c r="C33" i="1" s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5" i="1"/>
  <c r="H21" i="1"/>
  <c r="H27" i="1" s="1"/>
  <c r="H20" i="1"/>
  <c r="H19" i="1"/>
  <c r="H18" i="1"/>
  <c r="H17" i="1"/>
  <c r="H16" i="1"/>
  <c r="H15" i="1"/>
  <c r="H25" i="1" s="1"/>
  <c r="H14" i="1"/>
  <c r="H13" i="1"/>
  <c r="H12" i="1"/>
  <c r="H11" i="1"/>
  <c r="H10" i="1"/>
  <c r="H9" i="1"/>
  <c r="H8" i="1"/>
  <c r="H7" i="1"/>
  <c r="H23" i="1" s="1"/>
  <c r="H6" i="1"/>
  <c r="L6" i="1" s="1"/>
  <c r="H5" i="1"/>
  <c r="F21" i="1"/>
  <c r="F27" i="1" s="1"/>
  <c r="F20" i="1"/>
  <c r="L20" i="1" s="1"/>
  <c r="F19" i="1"/>
  <c r="F18" i="1"/>
  <c r="F17" i="1"/>
  <c r="F16" i="1"/>
  <c r="L16" i="1" s="1"/>
  <c r="F15" i="1"/>
  <c r="F25" i="1" s="1"/>
  <c r="F14" i="1"/>
  <c r="F13" i="1"/>
  <c r="F12" i="1"/>
  <c r="F11" i="1"/>
  <c r="F10" i="1"/>
  <c r="F9" i="1"/>
  <c r="F8" i="1"/>
  <c r="L8" i="1" s="1"/>
  <c r="F7" i="1"/>
  <c r="F23" i="1" s="1"/>
  <c r="F6" i="1"/>
  <c r="F5" i="1"/>
  <c r="D21" i="1"/>
  <c r="K22" i="1" s="1"/>
  <c r="D20" i="1"/>
  <c r="D19" i="1"/>
  <c r="D18" i="1"/>
  <c r="D17" i="1"/>
  <c r="D16" i="1"/>
  <c r="D15" i="1"/>
  <c r="D25" i="1" s="1"/>
  <c r="D14" i="1"/>
  <c r="D13" i="1"/>
  <c r="D12" i="1"/>
  <c r="D11" i="1"/>
  <c r="D10" i="1"/>
  <c r="D9" i="1"/>
  <c r="D8" i="1"/>
  <c r="D7" i="1"/>
  <c r="D23" i="1" s="1"/>
  <c r="D6" i="1"/>
  <c r="D5" i="1"/>
  <c r="I72" i="1"/>
  <c r="I73" i="1"/>
  <c r="I75" i="1"/>
  <c r="I76" i="1"/>
  <c r="I77" i="1"/>
  <c r="I78" i="1"/>
  <c r="I79" i="1"/>
  <c r="I82" i="1"/>
  <c r="I83" i="1"/>
  <c r="I84" i="1"/>
  <c r="I85" i="1"/>
  <c r="I86" i="1"/>
  <c r="I71" i="1"/>
  <c r="I70" i="1"/>
  <c r="I69" i="1"/>
  <c r="I68" i="1"/>
  <c r="I67" i="1"/>
  <c r="I66" i="1"/>
  <c r="I49" i="1"/>
  <c r="I50" i="1"/>
  <c r="I51" i="1"/>
  <c r="I52" i="1"/>
  <c r="I53" i="1"/>
  <c r="G117" i="1" s="1"/>
  <c r="I55" i="1"/>
  <c r="I57" i="1"/>
  <c r="I58" i="1"/>
  <c r="I59" i="1"/>
  <c r="I61" i="1"/>
  <c r="I62" i="1"/>
  <c r="I48" i="1"/>
  <c r="H86" i="1"/>
  <c r="H85" i="1"/>
  <c r="H84" i="1"/>
  <c r="H83" i="1"/>
  <c r="H82" i="1"/>
  <c r="H89" i="1" s="1"/>
  <c r="H81" i="1"/>
  <c r="H80" i="1"/>
  <c r="H79" i="1"/>
  <c r="H78" i="1"/>
  <c r="H77" i="1"/>
  <c r="H76" i="1"/>
  <c r="H75" i="1"/>
  <c r="H93" i="1" s="1"/>
  <c r="H74" i="1"/>
  <c r="H73" i="1"/>
  <c r="H72" i="1"/>
  <c r="H71" i="1"/>
  <c r="H70" i="1"/>
  <c r="H69" i="1"/>
  <c r="H68" i="1"/>
  <c r="H67" i="1"/>
  <c r="H92" i="1" s="1"/>
  <c r="H66" i="1"/>
  <c r="F86" i="1"/>
  <c r="F85" i="1"/>
  <c r="F84" i="1"/>
  <c r="F83" i="1"/>
  <c r="F82" i="1"/>
  <c r="F89" i="1" s="1"/>
  <c r="F81" i="1"/>
  <c r="F80" i="1"/>
  <c r="F79" i="1"/>
  <c r="F78" i="1"/>
  <c r="F77" i="1"/>
  <c r="F76" i="1"/>
  <c r="F75" i="1"/>
  <c r="F93" i="1" s="1"/>
  <c r="F74" i="1"/>
  <c r="F73" i="1"/>
  <c r="F72" i="1"/>
  <c r="F71" i="1"/>
  <c r="F70" i="1"/>
  <c r="F69" i="1"/>
  <c r="F68" i="1"/>
  <c r="F67" i="1"/>
  <c r="F88" i="1" s="1"/>
  <c r="F66" i="1"/>
  <c r="D86" i="1"/>
  <c r="D85" i="1"/>
  <c r="D84" i="1"/>
  <c r="D83" i="1"/>
  <c r="D82" i="1"/>
  <c r="D89" i="1" s="1"/>
  <c r="D81" i="1"/>
  <c r="D80" i="1"/>
  <c r="D79" i="1"/>
  <c r="D78" i="1"/>
  <c r="D77" i="1"/>
  <c r="D76" i="1"/>
  <c r="D75" i="1"/>
  <c r="D93" i="1" s="1"/>
  <c r="D74" i="1"/>
  <c r="D73" i="1"/>
  <c r="D72" i="1"/>
  <c r="D71" i="1"/>
  <c r="D70" i="1"/>
  <c r="D69" i="1"/>
  <c r="D68" i="1"/>
  <c r="D67" i="1"/>
  <c r="D92" i="1" s="1"/>
  <c r="D66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F49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8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E119" i="1" l="1"/>
  <c r="C35" i="1"/>
  <c r="C37" i="1" s="1"/>
  <c r="C40" i="1" s="1"/>
  <c r="E35" i="1"/>
  <c r="E37" i="1" s="1"/>
  <c r="E40" i="1" s="1"/>
  <c r="G35" i="1"/>
  <c r="G37" i="1" s="1"/>
  <c r="G40" i="1" s="1"/>
  <c r="K20" i="1"/>
  <c r="C189" i="1"/>
  <c r="G112" i="1"/>
  <c r="G113" i="1" s="1"/>
  <c r="C119" i="1"/>
  <c r="K6" i="1"/>
  <c r="L22" i="1"/>
  <c r="E32" i="1"/>
  <c r="E33" i="1" s="1"/>
  <c r="K8" i="1"/>
  <c r="K16" i="1"/>
  <c r="G188" i="1"/>
  <c r="C188" i="1"/>
  <c r="L21" i="1"/>
  <c r="E188" i="1"/>
  <c r="G32" i="1"/>
  <c r="G33" i="1" s="1"/>
  <c r="C190" i="1"/>
  <c r="H96" i="1"/>
  <c r="D27" i="1"/>
  <c r="D96" i="1"/>
  <c r="F96" i="1"/>
  <c r="D88" i="1"/>
  <c r="F92" i="1"/>
  <c r="H88" i="1"/>
  <c r="K21" i="1" l="1"/>
</calcChain>
</file>

<file path=xl/sharedStrings.xml><?xml version="1.0" encoding="utf-8"?>
<sst xmlns="http://schemas.openxmlformats.org/spreadsheetml/2006/main" count="304" uniqueCount="279">
  <si>
    <t>Conta </t>
  </si>
  <si>
    <t> Descrição </t>
  </si>
  <si>
    <t> 3.01 </t>
  </si>
  <si>
    <t> Receita de Venda de Bens e/ou Serviços </t>
  </si>
  <si>
    <t> 3.02 </t>
  </si>
  <si>
    <t> Custo dos Bens e/ou Serviços Vendidos </t>
  </si>
  <si>
    <t> 3.03 </t>
  </si>
  <si>
    <t> Resultado Bruto </t>
  </si>
  <si>
    <t> 3.04 </t>
  </si>
  <si>
    <t> Despesas/Receitas Operacionais </t>
  </si>
  <si>
    <t> 3.04.01 </t>
  </si>
  <si>
    <t> Despesas com Vendas </t>
  </si>
  <si>
    <t> 3.04.02 </t>
  </si>
  <si>
    <t> Despesas Gerais e Administrativas </t>
  </si>
  <si>
    <t> 3.04.03 </t>
  </si>
  <si>
    <t> Perdas pela Não Recuperabilidade de Ativos </t>
  </si>
  <si>
    <t> 3.04.04 </t>
  </si>
  <si>
    <t> Outras Receitas Operacionais </t>
  </si>
  <si>
    <t> 3.04.05 </t>
  </si>
  <si>
    <t> Outras Despesas Operacionais </t>
  </si>
  <si>
    <t> 3.04.06 </t>
  </si>
  <si>
    <t> Resultado de Equivalência Patrimonial </t>
  </si>
  <si>
    <t> 3.05 </t>
  </si>
  <si>
    <t> Resultado Antes do Resultado Financeiro e dos Tributos </t>
  </si>
  <si>
    <t> 3.06 </t>
  </si>
  <si>
    <t> Resultado Financeiro </t>
  </si>
  <si>
    <t> 3.06.01 </t>
  </si>
  <si>
    <t> Receitas Financeiras </t>
  </si>
  <si>
    <t> 3.06.02 </t>
  </si>
  <si>
    <t> Despesas Financeiras </t>
  </si>
  <si>
    <t> 3.07 </t>
  </si>
  <si>
    <t> Resultado Antes dos Tributos sobre o Lucro </t>
  </si>
  <si>
    <t> 3.08 </t>
  </si>
  <si>
    <t> Imposto de Renda e Contribuição Social sobre o Lucro </t>
  </si>
  <si>
    <t> 3.11 </t>
  </si>
  <si>
    <t> Lucro/Prejuízo Consolidado do Período </t>
  </si>
  <si>
    <t> 1 </t>
  </si>
  <si>
    <t> Ativo Total </t>
  </si>
  <si>
    <t> 1.01 </t>
  </si>
  <si>
    <t> Ativo Circulante </t>
  </si>
  <si>
    <t> 1.01.01 </t>
  </si>
  <si>
    <t> Caixa e Equivalentes de Caixa </t>
  </si>
  <si>
    <t> 1.01.02 </t>
  </si>
  <si>
    <t> Aplicações Financeiras </t>
  </si>
  <si>
    <t> 1.01.03 </t>
  </si>
  <si>
    <t> Contas a Receber </t>
  </si>
  <si>
    <t> 1.01.04 </t>
  </si>
  <si>
    <t> Estoques </t>
  </si>
  <si>
    <t> 1.01.05 </t>
  </si>
  <si>
    <t> Ativos Biológicos </t>
  </si>
  <si>
    <t> 1.01.06 </t>
  </si>
  <si>
    <t> Tributos a Recuperar </t>
  </si>
  <si>
    <t> 1.01.07 </t>
  </si>
  <si>
    <t> Despesas Antecipadas </t>
  </si>
  <si>
    <t> 1.01.08 </t>
  </si>
  <si>
    <t> Outros Ativos Circulantes </t>
  </si>
  <si>
    <t> Outros </t>
  </si>
  <si>
    <t> Outros ativos </t>
  </si>
  <si>
    <t> 1.02 </t>
  </si>
  <si>
    <t> Ativo Não Circulante </t>
  </si>
  <si>
    <t> 1.02.01 </t>
  </si>
  <si>
    <t> Ativo Realizável a Longo Prazo </t>
  </si>
  <si>
    <t> Tributos Diferidos </t>
  </si>
  <si>
    <t> Tributos a recuperar </t>
  </si>
  <si>
    <t> 1.02.02 </t>
  </si>
  <si>
    <t> Investimentos </t>
  </si>
  <si>
    <t> 1.02.03 </t>
  </si>
  <si>
    <t> Imobilizado </t>
  </si>
  <si>
    <t> 1.02.04 </t>
  </si>
  <si>
    <t> Intangível </t>
  </si>
  <si>
    <t> 2 </t>
  </si>
  <si>
    <t> Passivo Total </t>
  </si>
  <si>
    <t> 2.01 </t>
  </si>
  <si>
    <t> Passivo Circulante </t>
  </si>
  <si>
    <t> 2.01.01 </t>
  </si>
  <si>
    <t> Obrigações Sociais e Trabalhistas </t>
  </si>
  <si>
    <t> 2.01.02 </t>
  </si>
  <si>
    <t> Fornecedores </t>
  </si>
  <si>
    <t> 2.01.03 </t>
  </si>
  <si>
    <t> Obrigações Fiscais </t>
  </si>
  <si>
    <t> 2.01.04 </t>
  </si>
  <si>
    <t> Empréstimos e Financiamentos </t>
  </si>
  <si>
    <t> 2.01.05 </t>
  </si>
  <si>
    <t> Outras Obrigações </t>
  </si>
  <si>
    <t> Aluguéis a pagar </t>
  </si>
  <si>
    <t> Outras obrigações </t>
  </si>
  <si>
    <t> 2.01.06 </t>
  </si>
  <si>
    <t> Provisões </t>
  </si>
  <si>
    <t> 2.01.07 </t>
  </si>
  <si>
    <t> Passivos sobre Ativos Não-Correntes a Venda e Descontinuados </t>
  </si>
  <si>
    <t> 2.02 </t>
  </si>
  <si>
    <t> Passivo Não Circulante </t>
  </si>
  <si>
    <t> 2.02.01 </t>
  </si>
  <si>
    <t> 2.02.02 </t>
  </si>
  <si>
    <t> 2.02.03 </t>
  </si>
  <si>
    <t> 2.02.04 </t>
  </si>
  <si>
    <t> 2.02.05 </t>
  </si>
  <si>
    <t> 2.02.06 </t>
  </si>
  <si>
    <t> Lucros e Receitas a Apropriar </t>
  </si>
  <si>
    <t> 2.03 </t>
  </si>
  <si>
    <t> Patrimônio Líquido Consolidado </t>
  </si>
  <si>
    <t> 2.03.01 </t>
  </si>
  <si>
    <t> Capital Social Realizado </t>
  </si>
  <si>
    <t> 2.03.02 </t>
  </si>
  <si>
    <t> Reservas de Capital </t>
  </si>
  <si>
    <t> 2.03.04 </t>
  </si>
  <si>
    <t> Reservas de Lucros </t>
  </si>
  <si>
    <t> 2.03.08 </t>
  </si>
  <si>
    <t> Outros Resultados Abrangentes </t>
  </si>
  <si>
    <t> 6.01 </t>
  </si>
  <si>
    <t> Caixa Líquido Atividades Operacionais </t>
  </si>
  <si>
    <t> 6.01.01 </t>
  </si>
  <si>
    <t> Caixa Gerado nas Operações </t>
  </si>
  <si>
    <t> 6.01.01.01 </t>
  </si>
  <si>
    <t> Lucro líquido do período </t>
  </si>
  <si>
    <t> 6.01.01.02 </t>
  </si>
  <si>
    <t> Depreciações e amortizações </t>
  </si>
  <si>
    <t> 6.01.01.03 </t>
  </si>
  <si>
    <t> Resultado nas operações de venda ou baixa dos ativos fixos, líquido </t>
  </si>
  <si>
    <t> 6.01.01.04 </t>
  </si>
  <si>
    <t> Custos de estruturação de debêntures </t>
  </si>
  <si>
    <t> 6.01.01.05 </t>
  </si>
  <si>
    <t> Despesas de juros sobre empréstimos, debêntures e custo de estruturação </t>
  </si>
  <si>
    <t> 6.01.01.06 </t>
  </si>
  <si>
    <t> Juros de financiamentos de serviços operacionais </t>
  </si>
  <si>
    <t> 6.01.01.07 </t>
  </si>
  <si>
    <t> Resultado de equivalência patrimonial </t>
  </si>
  <si>
    <t> 6.01.01.08 </t>
  </si>
  <si>
    <t> Provisões (reversões) para riscos tributários, cíveis e trabalhistas </t>
  </si>
  <si>
    <t> 6.01.01.09 </t>
  </si>
  <si>
    <t> Imposto de renda e contribuição social </t>
  </si>
  <si>
    <t> 6.01.01.10 </t>
  </si>
  <si>
    <t> Variação cambial, líquida </t>
  </si>
  <si>
    <t> 6.01.01.11 </t>
  </si>
  <si>
    <t> Ajuste a valor presente, líquido </t>
  </si>
  <si>
    <t> 6.01.01.12 </t>
  </si>
  <si>
    <t> (Reversão) Perdas estimadas em ativos, líquidas </t>
  </si>
  <si>
    <t> 6.01.01.13 </t>
  </si>
  <si>
    <t> Outros ajustes do lucro líquido </t>
  </si>
  <si>
    <t> 6.01.01.14 </t>
  </si>
  <si>
    <t> Exclusão do ICMS na base de cálculo do PIS e COFINS, líquida dos impostos e honorários </t>
  </si>
  <si>
    <t> 6.01.01.15 </t>
  </si>
  <si>
    <t> Descontos - arrendamentos a pagar </t>
  </si>
  <si>
    <t> 6.01.02 </t>
  </si>
  <si>
    <t> Variações nos Ativos e Passivos </t>
  </si>
  <si>
    <t> 6.01.02.01 </t>
  </si>
  <si>
    <t> Contas a receber de clientes </t>
  </si>
  <si>
    <t> 6.01.02.02 </t>
  </si>
  <si>
    <t> 6.01.02.03 </t>
  </si>
  <si>
    <t> 6.01.02.04 </t>
  </si>
  <si>
    <t> 6.01.02.05 </t>
  </si>
  <si>
    <t> Financiamentos - operações serviços financeiros </t>
  </si>
  <si>
    <t> 6.01.02.06 </t>
  </si>
  <si>
    <t> 6.01.02.07 </t>
  </si>
  <si>
    <t> Obrigações fiscais </t>
  </si>
  <si>
    <t> 6.01.02.08 </t>
  </si>
  <si>
    <t> Obrigações sociais e trabalhistas </t>
  </si>
  <si>
    <t> 6.01.02.09 </t>
  </si>
  <si>
    <t> 6.01.02.10 </t>
  </si>
  <si>
    <t> Obrigações estatutárias </t>
  </si>
  <si>
    <t> 6.01.02.11 </t>
  </si>
  <si>
    <t> Obrigações com administradoras de cartões </t>
  </si>
  <si>
    <t> 6.01.02.12 </t>
  </si>
  <si>
    <t> 6.01.02.13 </t>
  </si>
  <si>
    <t> Débitos com empresas ligadas </t>
  </si>
  <si>
    <t> 6.01.03 </t>
  </si>
  <si>
    <t> 6.01.03.01 </t>
  </si>
  <si>
    <t> Recebimento de dividendos de subsidiárias </t>
  </si>
  <si>
    <t> 6.01.03.02 </t>
  </si>
  <si>
    <t> Pagamento de imposto de renda e contribuição social </t>
  </si>
  <si>
    <t> 6.01.03.03 </t>
  </si>
  <si>
    <t> Juros pagos sobre empréstimos e debêntures </t>
  </si>
  <si>
    <t> 6.01.03.04 </t>
  </si>
  <si>
    <t> Juros pagos sobre financiamentos de serviços operacionais </t>
  </si>
  <si>
    <t> 6.01.03.05 </t>
  </si>
  <si>
    <t> Aplicações financeiras </t>
  </si>
  <si>
    <t> 6.02 </t>
  </si>
  <si>
    <t> Caixa Líquido Atividades de Investimento </t>
  </si>
  <si>
    <t> 6.02.01 </t>
  </si>
  <si>
    <t> Aquisições de imobilizado e intangível </t>
  </si>
  <si>
    <t> 6.02.02 </t>
  </si>
  <si>
    <t> Aquisições de intangível </t>
  </si>
  <si>
    <t> 6.02.03 </t>
  </si>
  <si>
    <t> Recebimentos por vendas de ativos fixos </t>
  </si>
  <si>
    <t> 6.02.04 </t>
  </si>
  <si>
    <t> Aporte de capital em controladas </t>
  </si>
  <si>
    <t> 6.03 </t>
  </si>
  <si>
    <t> Caixa Líquido Atividades de Financiamento </t>
  </si>
  <si>
    <t> 6.03.01 </t>
  </si>
  <si>
    <t> Aumento do capital social </t>
  </si>
  <si>
    <t> 6.03.02 </t>
  </si>
  <si>
    <t> Recompra de ações </t>
  </si>
  <si>
    <t> 6.03.03 </t>
  </si>
  <si>
    <t> Captações de empréstimos </t>
  </si>
  <si>
    <t> 6.03.04 </t>
  </si>
  <si>
    <t> Amortização de empréstimos e debêntures </t>
  </si>
  <si>
    <t> 6.03.05 </t>
  </si>
  <si>
    <t> Pagamento de custos de estruturação de empréstimos e debêntures </t>
  </si>
  <si>
    <t> 6.03.06 </t>
  </si>
  <si>
    <t> Contraprestação de arrendamento mercantil financeiro </t>
  </si>
  <si>
    <t> 6.03.07 </t>
  </si>
  <si>
    <t> Juros sobre capital próprio e dividendos pagos </t>
  </si>
  <si>
    <t> 6.04 </t>
  </si>
  <si>
    <t> Variação Cambial s/ Caixa e Equivalentes </t>
  </si>
  <si>
    <t> 6.05 </t>
  </si>
  <si>
    <t> Aumento (Redução) de Caixa e Equivalentes </t>
  </si>
  <si>
    <t> 6.05.01 </t>
  </si>
  <si>
    <t> Saldo Inicial de Caixa e Equivalentes </t>
  </si>
  <si>
    <t> 6.05.02 </t>
  </si>
  <si>
    <t> Saldo Final de Caixa e Equivalentes </t>
  </si>
  <si>
    <t>DEMONSTRAÇÃO DO RESULTADO</t>
  </si>
  <si>
    <t>BALANÇO PATRIMONIAL</t>
  </si>
  <si>
    <t>ATIVO</t>
  </si>
  <si>
    <t>DEMONSTRAÇÃO DOS FLUXOS DE CAIXA</t>
  </si>
  <si>
    <t>AV 2021</t>
  </si>
  <si>
    <t>AV 2020</t>
  </si>
  <si>
    <t>AV 2019</t>
  </si>
  <si>
    <t>a</t>
  </si>
  <si>
    <t>Aumento da liquidez, redução dos riscos e redução do potencial de rentabilidade</t>
  </si>
  <si>
    <t>CAPITAL DE TERCEIROS (PC + PNC)</t>
  </si>
  <si>
    <t>CAPITAL DOS SÓCIOS (PL)</t>
  </si>
  <si>
    <t>Aumento do capital dos sócios e redução do cap. Terceiros - menor risco</t>
  </si>
  <si>
    <t>PC</t>
  </si>
  <si>
    <t>PNC</t>
  </si>
  <si>
    <t>Redução do passivo circulante - redução de riscos</t>
  </si>
  <si>
    <t>Passivos onerosos (Empréstimos e financ)</t>
  </si>
  <si>
    <t>Aumento dos passivos onerosos - indica maior risco</t>
  </si>
  <si>
    <t>AH 2019- 2021</t>
  </si>
  <si>
    <t>AH 2019 - 2021</t>
  </si>
  <si>
    <t>Margem bruta</t>
  </si>
  <si>
    <t>Redução do poder e criação valor</t>
  </si>
  <si>
    <t>Recuperação parcial do poder e criação de valor</t>
  </si>
  <si>
    <t>Margem EBIT</t>
  </si>
  <si>
    <t>Redução da eficiência operacional</t>
  </si>
  <si>
    <t>Margem líquida</t>
  </si>
  <si>
    <t>Aumento da eficiência para gerar lucro</t>
  </si>
  <si>
    <t>Redução da eficiência para gerar lucro</t>
  </si>
  <si>
    <t>Dif AV 2019 -2021</t>
  </si>
  <si>
    <t>Dif AV 2019 - 2020</t>
  </si>
  <si>
    <t>EBITDA = EBIT + Deprec e amort</t>
  </si>
  <si>
    <t>EBIT</t>
  </si>
  <si>
    <t>Deprec e amort</t>
  </si>
  <si>
    <t>Margem EBITDA</t>
  </si>
  <si>
    <t>FCO</t>
  </si>
  <si>
    <t>FCI</t>
  </si>
  <si>
    <t>FCF</t>
  </si>
  <si>
    <t>Receita</t>
  </si>
  <si>
    <t>Depreciação</t>
  </si>
  <si>
    <t>FCO/Receita</t>
  </si>
  <si>
    <t>FCI / Depreciação</t>
  </si>
  <si>
    <t>FCL</t>
  </si>
  <si>
    <t>CAPITAL DE GIRO</t>
  </si>
  <si>
    <t>CGL = AC - PC</t>
  </si>
  <si>
    <t>ILC = AC / PC</t>
  </si>
  <si>
    <t>ACO</t>
  </si>
  <si>
    <t>PCO</t>
  </si>
  <si>
    <t>NCG = ACO - PCO</t>
  </si>
  <si>
    <t>NCG%</t>
  </si>
  <si>
    <t>PMR = C.RECEBER/RECEITA X 360</t>
  </si>
  <si>
    <t>PME = ESTOQUE / CMV X 360</t>
  </si>
  <si>
    <t>COMPRAS = EF - EI  + CMV</t>
  </si>
  <si>
    <t>PMP = FORMNEC / COMPRAS x 360</t>
  </si>
  <si>
    <t>Ciclo caixa (ciclo financeiro) = PMR + PME - PMP</t>
  </si>
  <si>
    <t>Margem liquida</t>
  </si>
  <si>
    <t>Giro ativo</t>
  </si>
  <si>
    <t>ROA</t>
  </si>
  <si>
    <t>Alav PL</t>
  </si>
  <si>
    <t>ROE</t>
  </si>
  <si>
    <t xml:space="preserve">ROI </t>
  </si>
  <si>
    <t>Custo médio passivos</t>
  </si>
  <si>
    <t>ENDIVIDAMENTO</t>
  </si>
  <si>
    <t>Endividamento geral</t>
  </si>
  <si>
    <t>Endividamento oneroso</t>
  </si>
  <si>
    <t>Indice de cobertura de juros = EBIT / Desp financeiras</t>
  </si>
  <si>
    <t>Divida líquida</t>
  </si>
  <si>
    <t>Alavancagem EBITDA</t>
  </si>
  <si>
    <t>Baixo</t>
  </si>
  <si>
    <t>Baixo, mas aumentou</t>
  </si>
  <si>
    <t>Muito 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</si>
</sst>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0000"/>
      <name val="Calibri"/>
      <family val="2"/>
    </font>
    <font>
      <sz val="9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 applyFill="1"/>
    <xf numFmtId="0" fontId="1" fillId="0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 vertical="center" wrapText="1"/>
    </xf>
    <xf numFmtId="0" fontId="2" fillId="2" borderId="1" xfId="0" applyFont="1" applyFill="1" applyBorder="1"/>
    <xf numFmtId="0" fontId="1" fillId="2" borderId="1" xfId="0" applyFont="1" applyFill="1" applyBorder="1"/>
    <xf numFmtId="14" fontId="2" fillId="2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right" vertical="center" wrapText="1"/>
    </xf>
    <xf numFmtId="14" fontId="2" fillId="2" borderId="1" xfId="0" applyNumberFormat="1" applyFont="1" applyFill="1" applyBorder="1"/>
    <xf numFmtId="3" fontId="1" fillId="0" borderId="1" xfId="0" applyNumberFormat="1" applyFont="1" applyFill="1" applyBorder="1"/>
    <xf numFmtId="14" fontId="1" fillId="2" borderId="1" xfId="0" applyNumberFormat="1" applyFont="1" applyFill="1" applyBorder="1"/>
    <xf numFmtId="164" fontId="1" fillId="0" borderId="1" xfId="1" applyNumberFormat="1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3" fontId="2" fillId="0" borderId="1" xfId="0" applyNumberFormat="1" applyFont="1" applyFill="1" applyBorder="1" applyAlignment="1">
      <alignment horizontal="right" vertical="center" wrapText="1"/>
    </xf>
    <xf numFmtId="0" fontId="4" fillId="0" borderId="0" xfId="0" applyFont="1"/>
    <xf numFmtId="3" fontId="1" fillId="0" borderId="0" xfId="0" applyNumberFormat="1" applyFont="1" applyFill="1" applyBorder="1" applyAlignment="1">
      <alignment horizontal="right" vertical="center" wrapText="1"/>
    </xf>
    <xf numFmtId="164" fontId="0" fillId="0" borderId="0" xfId="0" applyNumberFormat="1"/>
    <xf numFmtId="164" fontId="1" fillId="0" borderId="0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/>
    </xf>
    <xf numFmtId="3" fontId="2" fillId="0" borderId="0" xfId="0" applyNumberFormat="1" applyFont="1" applyFill="1" applyBorder="1" applyAlignment="1">
      <alignment horizontal="right" vertical="center" wrapText="1"/>
    </xf>
    <xf numFmtId="164" fontId="2" fillId="0" borderId="0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164" fontId="1" fillId="0" borderId="0" xfId="1" applyNumberFormat="1" applyFont="1" applyFill="1" applyBorder="1" applyAlignment="1">
      <alignment horizontal="right" vertical="center" wrapText="1"/>
    </xf>
    <xf numFmtId="3" fontId="1" fillId="0" borderId="0" xfId="0" applyNumberFormat="1" applyFont="1" applyFill="1"/>
    <xf numFmtId="2" fontId="1" fillId="0" borderId="0" xfId="0" applyNumberFormat="1" applyFont="1" applyFill="1"/>
    <xf numFmtId="0" fontId="0" fillId="0" borderId="0" xfId="0" applyFill="1"/>
    <xf numFmtId="164" fontId="0" fillId="0" borderId="0" xfId="0" applyNumberFormat="1" applyFill="1"/>
    <xf numFmtId="0" fontId="5" fillId="0" borderId="0" xfId="0" applyFont="1" applyFill="1"/>
    <xf numFmtId="164" fontId="1" fillId="0" borderId="1" xfId="1" applyNumberFormat="1" applyFont="1" applyFill="1" applyBorder="1"/>
    <xf numFmtId="164" fontId="2" fillId="0" borderId="1" xfId="1" applyNumberFormat="1" applyFont="1" applyFill="1" applyBorder="1"/>
    <xf numFmtId="0" fontId="0" fillId="3" borderId="0" xfId="0" applyFill="1"/>
    <xf numFmtId="164" fontId="1" fillId="3" borderId="1" xfId="1" applyNumberFormat="1" applyFont="1" applyFill="1" applyBorder="1"/>
    <xf numFmtId="164" fontId="1" fillId="0" borderId="0" xfId="0" applyNumberFormat="1" applyFont="1" applyFill="1"/>
    <xf numFmtId="164" fontId="1" fillId="0" borderId="0" xfId="1" applyNumberFormat="1" applyFont="1" applyFill="1"/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/>
    <xf numFmtId="164" fontId="1" fillId="0" borderId="0" xfId="1" applyNumberFormat="1" applyFont="1" applyFill="1" applyBorder="1"/>
    <xf numFmtId="164" fontId="2" fillId="0" borderId="0" xfId="1" applyNumberFormat="1" applyFont="1" applyFill="1" applyBorder="1"/>
    <xf numFmtId="0" fontId="1" fillId="2" borderId="0" xfId="0" applyFont="1" applyFill="1" applyBorder="1"/>
    <xf numFmtId="0" fontId="1" fillId="0" borderId="0" xfId="0" applyFont="1" applyFill="1" applyBorder="1"/>
    <xf numFmtId="164" fontId="1" fillId="3" borderId="1" xfId="1" applyNumberFormat="1" applyFont="1" applyFill="1" applyBorder="1" applyAlignment="1">
      <alignment horizontal="right" vertical="center" wrapText="1"/>
    </xf>
    <xf numFmtId="164" fontId="7" fillId="0" borderId="1" xfId="1" applyNumberFormat="1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left" vertical="center"/>
    </xf>
    <xf numFmtId="10" fontId="0" fillId="0" borderId="0" xfId="1" applyNumberFormat="1" applyFont="1" applyFill="1"/>
    <xf numFmtId="10" fontId="0" fillId="0" borderId="0" xfId="0" applyNumberFormat="1" applyFill="1"/>
    <xf numFmtId="0" fontId="1" fillId="3" borderId="1" xfId="0" applyFont="1" applyFill="1" applyBorder="1"/>
    <xf numFmtId="3" fontId="1" fillId="3" borderId="1" xfId="0" applyNumberFormat="1" applyFont="1" applyFill="1" applyBorder="1"/>
    <xf numFmtId="10" fontId="1" fillId="0" borderId="0" xfId="1" applyNumberFormat="1" applyFont="1" applyFill="1"/>
    <xf numFmtId="0" fontId="2" fillId="2" borderId="1" xfId="0" applyFont="1" applyFill="1" applyBorder="1" applyAlignment="1">
      <alignment horizontal="center" vertical="center" wrapText="1"/>
    </xf>
    <xf numFmtId="43" fontId="1" fillId="0" borderId="0" xfId="2" applyFont="1" applyFill="1"/>
    <xf numFmtId="9" fontId="1" fillId="0" borderId="0" xfId="1" applyFont="1" applyFill="1"/>
    <xf numFmtId="43" fontId="1" fillId="0" borderId="0" xfId="0" applyNumberFormat="1" applyFont="1" applyFill="1"/>
    <xf numFmtId="164" fontId="2" fillId="0" borderId="0" xfId="1" applyNumberFormat="1" applyFont="1" applyFill="1" applyBorder="1" applyAlignment="1">
      <alignment horizontal="right" vertical="center" wrapText="1"/>
    </xf>
    <xf numFmtId="43" fontId="2" fillId="0" borderId="0" xfId="2" applyFont="1" applyFill="1" applyBorder="1" applyAlignment="1">
      <alignment horizontal="right" vertical="center" wrapText="1"/>
    </xf>
    <xf numFmtId="4" fontId="2" fillId="0" borderId="0" xfId="0" applyNumberFormat="1" applyFont="1" applyFill="1" applyBorder="1" applyAlignment="1">
      <alignment horizontal="right" vertical="center" wrapText="1"/>
    </xf>
    <xf numFmtId="10" fontId="2" fillId="0" borderId="0" xfId="1" applyNumberFormat="1" applyFont="1" applyFill="1" applyBorder="1" applyAlignment="1">
      <alignment horizontal="right" vertical="center" wrapText="1"/>
    </xf>
    <xf numFmtId="10" fontId="2" fillId="4" borderId="0" xfId="1" applyNumberFormat="1" applyFont="1" applyFill="1" applyBorder="1" applyAlignment="1">
      <alignment horizontal="right" vertical="center" wrapText="1"/>
    </xf>
    <xf numFmtId="0" fontId="2" fillId="4" borderId="0" xfId="0" applyFont="1" applyFill="1" applyBorder="1" applyAlignment="1">
      <alignment horizontal="right" vertical="center" wrapText="1"/>
    </xf>
    <xf numFmtId="10" fontId="2" fillId="5" borderId="0" xfId="1" applyNumberFormat="1" applyFont="1" applyFill="1" applyBorder="1" applyAlignment="1">
      <alignment horizontal="right" vertical="center" wrapText="1"/>
    </xf>
    <xf numFmtId="164" fontId="2" fillId="5" borderId="0" xfId="0" applyNumberFormat="1" applyFont="1" applyFill="1" applyBorder="1" applyAlignment="1">
      <alignment horizontal="right" vertical="center" wrapText="1"/>
    </xf>
    <xf numFmtId="43" fontId="8" fillId="0" borderId="0" xfId="2" applyFont="1" applyFill="1"/>
    <xf numFmtId="0" fontId="8" fillId="0" borderId="0" xfId="0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313560</xdr:colOff>
      <xdr:row>48</xdr:row>
      <xdr:rowOff>72052</xdr:rowOff>
    </xdr:from>
    <xdr:to>
      <xdr:col>0</xdr:col>
      <xdr:colOff>535320</xdr:colOff>
      <xdr:row>48</xdr:row>
      <xdr:rowOff>143332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32BDE80-DEF4-B852-F018-CEFEA875C6C9}"/>
                </a:ext>
              </a:extLst>
            </xdr14:cNvPr>
            <xdr14:cNvContentPartPr/>
          </xdr14:nvContentPartPr>
          <xdr14:nvPr macro=""/>
          <xdr14:xfrm>
            <a:off x="313560" y="5702760"/>
            <a:ext cx="221760" cy="712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32BDE80-DEF4-B852-F018-CEFEA875C6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6000" y="5695200"/>
              <a:ext cx="23688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117720</xdr:colOff>
      <xdr:row>48</xdr:row>
      <xdr:rowOff>181132</xdr:rowOff>
    </xdr:from>
    <xdr:to>
      <xdr:col>0</xdr:col>
      <xdr:colOff>118080</xdr:colOff>
      <xdr:row>48</xdr:row>
      <xdr:rowOff>184732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5CA3E2A-F554-11AF-9CB7-5BEACA7C20A0}"/>
                </a:ext>
              </a:extLst>
            </xdr14:cNvPr>
            <xdr14:cNvContentPartPr/>
          </xdr14:nvContentPartPr>
          <xdr14:nvPr macro=""/>
          <xdr14:xfrm>
            <a:off x="117720" y="5811840"/>
            <a:ext cx="360" cy="36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5CA3E2A-F554-11AF-9CB7-5BEACA7C20A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0160" y="5804280"/>
              <a:ext cx="1548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363240</xdr:colOff>
      <xdr:row>57</xdr:row>
      <xdr:rowOff>73295</xdr:rowOff>
    </xdr:from>
    <xdr:to>
      <xdr:col>0</xdr:col>
      <xdr:colOff>537480</xdr:colOff>
      <xdr:row>57</xdr:row>
      <xdr:rowOff>124055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94B17EB-DA65-5DCB-65F4-0D6B787E6605}"/>
                </a:ext>
              </a:extLst>
            </xdr14:cNvPr>
            <xdr14:cNvContentPartPr/>
          </xdr14:nvContentPartPr>
          <xdr14:nvPr macro=""/>
          <xdr14:xfrm>
            <a:off x="363240" y="7423560"/>
            <a:ext cx="174240" cy="507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94B17EB-DA65-5DCB-65F4-0D6B787E66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55680" y="7416000"/>
              <a:ext cx="189360" cy="6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333568</xdr:colOff>
      <xdr:row>47</xdr:row>
      <xdr:rowOff>8234</xdr:rowOff>
    </xdr:from>
    <xdr:to>
      <xdr:col>10</xdr:col>
      <xdr:colOff>36152</xdr:colOff>
      <xdr:row>48</xdr:row>
      <xdr:rowOff>59093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11C8DFD-F52C-2391-F9EC-4283B9E1BC19}"/>
                </a:ext>
              </a:extLst>
            </xdr14:cNvPr>
            <xdr14:cNvContentPartPr/>
          </xdr14:nvContentPartPr>
          <xdr14:nvPr macro=""/>
          <xdr14:xfrm>
            <a:off x="8043480" y="5447880"/>
            <a:ext cx="376920" cy="24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E11C8DFD-F52C-2391-F9EC-4283B9E1BC1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035913" y="5440320"/>
              <a:ext cx="392054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401278</xdr:colOff>
      <xdr:row>57</xdr:row>
      <xdr:rowOff>12095</xdr:rowOff>
    </xdr:from>
    <xdr:to>
      <xdr:col>8</xdr:col>
      <xdr:colOff>70048</xdr:colOff>
      <xdr:row>58</xdr:row>
      <xdr:rowOff>11112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139B439E-5EEE-A344-D329-E75D785938B6}"/>
                </a:ext>
              </a:extLst>
            </xdr14:cNvPr>
            <xdr14:cNvContentPartPr/>
          </xdr14:nvContentPartPr>
          <xdr14:nvPr macro=""/>
          <xdr14:xfrm>
            <a:off x="7363800" y="7362360"/>
            <a:ext cx="416160" cy="1900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139B439E-5EEE-A344-D329-E75D785938B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356240" y="7354800"/>
              <a:ext cx="43128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387955</xdr:colOff>
      <xdr:row>57</xdr:row>
      <xdr:rowOff>7055</xdr:rowOff>
    </xdr:from>
    <xdr:to>
      <xdr:col>6</xdr:col>
      <xdr:colOff>55646</xdr:colOff>
      <xdr:row>58</xdr:row>
      <xdr:rowOff>61512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3181E731-139F-BFAA-1984-43EA64021B61}"/>
                </a:ext>
              </a:extLst>
            </xdr14:cNvPr>
            <xdr14:cNvContentPartPr/>
          </xdr14:nvContentPartPr>
          <xdr14:nvPr macro=""/>
          <xdr14:xfrm>
            <a:off x="5838840" y="7357320"/>
            <a:ext cx="415080" cy="2455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3181E731-139F-BFAA-1984-43EA64021B61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831280" y="7349760"/>
              <a:ext cx="42984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426112</xdr:colOff>
      <xdr:row>56</xdr:row>
      <xdr:rowOff>177236</xdr:rowOff>
    </xdr:from>
    <xdr:to>
      <xdr:col>4</xdr:col>
      <xdr:colOff>38424</xdr:colOff>
      <xdr:row>58</xdr:row>
      <xdr:rowOff>74472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1220F506-5618-3F13-293A-B2724E0DBE71}"/>
                </a:ext>
              </a:extLst>
            </xdr14:cNvPr>
            <xdr14:cNvContentPartPr/>
          </xdr14:nvContentPartPr>
          <xdr14:nvPr macro=""/>
          <xdr14:xfrm>
            <a:off x="4365360" y="7336440"/>
            <a:ext cx="376560" cy="279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1220F506-5618-3F13-293A-B2724E0DBE7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357800" y="7329240"/>
              <a:ext cx="391680" cy="29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211472</xdr:colOff>
      <xdr:row>47</xdr:row>
      <xdr:rowOff>44594</xdr:rowOff>
    </xdr:from>
    <xdr:to>
      <xdr:col>11</xdr:col>
      <xdr:colOff>75336</xdr:colOff>
      <xdr:row>48</xdr:row>
      <xdr:rowOff>74933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308D0AF-20E2-D279-8ECB-04C35C60386F}"/>
                </a:ext>
              </a:extLst>
            </xdr14:cNvPr>
            <xdr14:cNvContentPartPr/>
          </xdr14:nvContentPartPr>
          <xdr14:nvPr macro=""/>
          <xdr14:xfrm>
            <a:off x="8595720" y="5484240"/>
            <a:ext cx="538200" cy="2214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308D0AF-20E2-D279-8ECB-04C35C60386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8588160" y="5476668"/>
              <a:ext cx="553320" cy="23654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07T14:59:25.983"/>
    </inkml:context>
    <inkml:brush xml:id="br0">
      <inkml:brushProperty name="width" value="0.04286" units="cm"/>
      <inkml:brushProperty name="height" value="0.04286" units="cm"/>
      <inkml:brushProperty name="color" value="#E71224"/>
    </inkml:brush>
  </inkml:definitions>
  <inkml:trace contextRef="#ctx0" brushRef="#br0">80 98 11228,'-3'0'4621,"2"0"-2605,1 0-1529,-3 0 57,2 0 61,-1 0-34,2 0 1513,0 0-1826,2 0-12,3 0-39,3 0-50,3 0 39,1 0-78,1 0 33,1-1-28,0 0 6,1-1-23,1 0-5,1 1-17,0-1-3375,0 0 3358,1 0 17,1 0 23,-1 1 21,7-1-94,-6 2 16,4-2-16,-9 2 3397,0 0-3380,1-1-40,0 1 45,1-1-17,5 0-33,-3 0 44,3 0-5,-6 1-6,-1 0-33,0 0 55,4-1-27,-6 1-29,4-1 1,-7 1 28,0 0-34,-3 0 5,0 0 6,-3 0-5,0 0 28,-2 0-29,1-1 46,-2 1-303,1-1-555,-1 0-150,-1 1-769,-4-1-1892,-6-2 3618,-14-2 0,11 1 0,-3 1 0</inkml:trace>
  <inkml:trace contextRef="#ctx0" brushRef="#br0" timeOffset="1337">131 0 10657,'5'1'2666,"0"0"-2067,-5-1 773,0 0-783,8 2 60,-7-1 51,7 1 23,-8-2 1798,0 0-2191,-3 0-22,-2 0-34,-4 0 1,-1 1-1,-3 1-38,0 1-68,-1 1 50,1 1-89,1-1 17,0 1-45,2 0-6,0-1-62,3 1 40,0-1 11,2 1 11,0 1-89,2-1 28,0 1-29,2-2 1,0-1 5,1 1-5,-1 1 27,1 0-27,0 2-6,0-3 0,0 3 0,0-3 5,1 0 1,1 1-6,3 0 0,1 0 0,5 4 6,-2-3-6,3 1 5,-4-1-5,2-3 0,-2 2 6,1-1-6,0 0 5,1 0-5,0 0 0,3 0 0,-5-1 6,2-1-6,-6 0 6,-2-2 27,-1 1 18,0-1 72,0 0 56,-1-2 45,0-1-62,0-4-27,0-2-40,0-3-33,0-1-12,-1-2-50,0-1 34,0-1 10,0-2-38,1 2 33,0 0-28,0 3 62,0 2-6,0 5 29,0 1-96,0 4 50,0 0-6743,0 2 3114,-1 0 3579,-3 0 0,2 0 0,-1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07T14:59:30.996"/>
    </inkml:context>
    <inkml:brush xml:id="br0">
      <inkml:brushProperty name="width" value="0.04286" units="cm"/>
      <inkml:brushProperty name="height" value="0.04286" units="cm"/>
      <inkml:brushProperty name="color" value="#E71224"/>
    </inkml:brush>
  </inkml:definitions>
  <inkml:trace contextRef="#ctx0" brushRef="#br0">0 9 9604,'0'-2'801,"0"1"-1104,0 1-44,0-1-302,0 0-327,0-1 976,0 1 0,0 1 0,0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07T14:59:35.248"/>
    </inkml:context>
    <inkml:brush xml:id="br0">
      <inkml:brushProperty name="width" value="0.04286" units="cm"/>
      <inkml:brushProperty name="height" value="0.04286" units="cm"/>
      <inkml:brushProperty name="color" value="#E71224"/>
    </inkml:brush>
  </inkml:definitions>
  <inkml:trace contextRef="#ctx0" brushRef="#br0">3 139 10125,'-1'-6'593,"0"2"270,1 4 1792,0 0-2168,0-2-39,0 2 5321,0-2-5534,1 2-5,1-2-12,1 1-50,3-2-50,2 1-45,1-1-23,3 2 12,-1 0-5,2 0 38,-1 1 6,0 0-34,1 0-11,-1 0 11,0 0-17,-1 0-16,0 0 0,-1 0-23,0 0 39,1 1-11,3-1-33,-3 1 39,4-1-40,-6 0 40,1 0-45,0 0 17,5 0 17,-4 0-29,5 0 23,-5 0-22,0 0 22,0 0-23,-1 0 40,-1 0-6,1 0-27,-1 0 72,3 0-51,-2 0 1,2-2-29,-3 0 51,-1-1-44,0 0 21,0 1-27,-1 0 22,0 1-23,-1 0 29,1 0-34,-1 1 6,0-2-1,-2 2-5,0-2 6,-2 2-6,0-1 5,-1 0 1,1 1 0,-2-1 22,1 1-1452,-1 0-171,0-1-1923,-8 0-117,0 0 3635,-10 1 0,10 0 0,0 0 0</inkml:trace>
  <inkml:trace contextRef="#ctx0" brushRef="#br0" timeOffset="1217">99 6 10282,'6'-3'1797,"-2"1"-967,-4 2 4641,0 0-4983,-2 1-124,-1 1-72,-3 3 44,0-1-6,-1 2-11,0 0-101,0-1-27,-1 2-34,2-1-6,-2 1-28,2-1 23,-1-1-29,2 0 6,0-1-39,2-1 0,0-1 34,1 0 157,0 1-163,1-1-28,0-1-17,1 1-27,0-2-35,0 1 1,0 0 11,0-1-17,0 1 5,0 0-5,1 2 6,2-1-1,2 1 29,2 0-28,1 1 27,0-1-27,1 2-6,1-2 5,0 2 7,0-2-7,-1 1-5,0-1 0,-1 0 6,-1 0 27,-1-2-27,-1 0 33,-2-1 12,-1 2-1,0-2 28,-2 1 169,1-1-113,-1-2-55,0-3 38,0-4-33,0-3-78,0-3 44,0-1-50,0 1 6,0 2-6,0 2 28,0 3-62,0 3-61,0 1-23,0 2-167,0 1 50,0-1-197,0 2-246,0-2 560,-1 0 23,1-1 39,-1 0-78,1 2-202,0-1-163,0 0-228,0 1-3345,-1 0 823,0 1 3249,-1 2 0,1-2 0,0 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07T15:05:03.092"/>
    </inkml:context>
    <inkml:brush xml:id="br0">
      <inkml:brushProperty name="width" value="0.04286" units="cm"/>
      <inkml:brushProperty name="height" value="0.04286" units="cm"/>
      <inkml:brushProperty name="color" value="#E71224"/>
    </inkml:brush>
  </inkml:definitions>
  <inkml:trace contextRef="#ctx0" brushRef="#br0">135 208 11262,'0'-6'3864,"0"2"-2822,0 4 1361,0 0-1506,-1 11-164,1-4-78,-2 11-145,2-4-180,-1 2-67,0 4-77,1 3-35,-2 4 12,1 2-40,-1 3-28,1 1-61,0 0 5,1-1-34,0-2 7,0-1-7,0-4 29,0-2-34,0-5-95,0-3-191,0-5-213,0-4-1562,0-2 476,0-4-1059,1-7-257,-1-6-2079,1-13 4795,-1-1 185,0-6 0,0 16 0,0 4 0</inkml:trace>
  <inkml:trace contextRef="#ctx0" brushRef="#br0" timeOffset="682">38 270 13441,'-2'0'4379,"0"0"-1371,2 0-2789,0-1-40,0-6-67,0-3-17,2-8-11,2-2 39,1-3 28,3-1 34,-2-1-16,0 0-63,-1 2-10,-1 2-40,-1 3 5,-1 2-22,0 3-5,-2 3-34,1 2 11,-1 4 23,0 1-29,1 3 51,0 0 28,2 0 219,3 14-169,1 0-67,3 12 1,-1-2-35,2 3-27,0 0 72,6 11-5,-4-11-62,4 8 45,-6-15-11,0-2-6,-3-3-5,0-1 11,-3-4 39,-1-2 22,-2-1 331,-1-4-230,-2-1-61,-6-1 22,-5-1 16,-7 0 18,-5-3-50,-2-1-35,-2-3-61,2 0-11,2 1-39,-3 0-6,10 3-101,0 0-314,12 3-498,2 0-4385,2 0-651,13 4-497,1 1 6446,11 4 0,-12-4 0,-2-2 0</inkml:trace>
  <inkml:trace contextRef="#ctx0" brushRef="#br0" timeOffset="1565">514 412 10595,'-3'-5'5086,"2"1"-3675,1 4 841,0 0-1636,-6 11-95,4 1-79,-4 11-94,5 0-52,0 3-10,1 2-101,0 0-44,0-1 43,0-2-38,0-5-56,0-5 5,0-5-39,0-4 28,0-4 33,0-2 18,0-4-34,0-5 5,0-8-28,0-7-38,0-5-29,0-4 56,0-3-28,0 1 40,3-1 27,1-8-5,2 14-17,-1-4-23,-1 18 40,-1 4-45,-1 5-22,1 4 67,0 1 207,5 2-96,-2 6-72,3 2-22,-1 9-34,-1 3-17,1 6-16,-1 3-18,0 4 29,2 18-51,-2-12-5,1 11-1,-5-21-5,2-4 0,-3-5 0,0-6-50,-1-5-113,-1-4-77,0-3-925,0-2-118,0-4-789,0-2-1009,0-6-1013,-4-3-371,-2 1 4465,-4-1 0,4 8 0,0 2 0</inkml:trace>
  <inkml:trace contextRef="#ctx0" brushRef="#br0" timeOffset="1782">490 535 15294,'-3'0'4588,"0"0"-3670,3 0-134,0 0-784,39-18-151,-23 9-935,32-12-1676,-32 16-1724,5 3 4486,2 2 0,-9 1 0,0-1 0</inkml:trace>
  <inkml:trace contextRef="#ctx0" brushRef="#br0" timeOffset="2387">965 435 19300,'2'-4'1590,"0"0"-1288,-2 4-39,0-2-50,0 0-39,0-2-51,0 0 29,-1-1 10,-3 1 46,-1-1 72,-4 1-6,-2 1-72,-3 1-62,-3 1 44,-1 1-38,-2 1 11,1 4 28,0 6-6,1 5-62,2 4-44,3 2-17,2 1 11,4 0-5,0 0-56,5 0-1,0-1 29,2-1-34,4-2-28,5-3 28,7-4 5,6-3 29,2-3-34,3-4 6,-1-1 5,1-3-6,-1-2-5,-3-4 0,-1-3 0,-4-1-33,-2-1-57,-6-1-151,-1 1-11,-4 1-145,-1 2-180,-3 3-302,0 4-1110,-1 0 1989,-11 21 0,9-14 0,-9 13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07T15:05:22.574"/>
    </inkml:context>
    <inkml:brush xml:id="br0">
      <inkml:brushProperty name="width" value="0.04286" units="cm"/>
      <inkml:brushProperty name="height" value="0.04286" units="cm"/>
      <inkml:brushProperty name="color" value="#E71224"/>
    </inkml:brush>
  </inkml:definitions>
  <inkml:trace contextRef="#ctx0" brushRef="#br0">377 10 8086,'1'-4'4285,"0"1"-3686,-1 3 426,0 0-504,-2 0 56,0-1 11,-1 1 84,0-1-73,-2 1-95,1 0-84,-2 0-100,0 0-18,-1 0 12,-1 0 17,0 0 10,0 0-16,-1 0-34,-2 1-106,-1 0 291,-8 2-286,5 0-122,-7 1 4,7-1 7,0-1 5,-1 1 5,2 0-16,0 1 22,0-1 6,1 1-45,0 0-5,2 0 33,2 1-6,0-1-5,0 3-23,1 0-16,-2 3-29,1 3 1,0 2 0,0 1 38,1 0-38,0-1 0,3-2 28,0 0-34,2-2 6,2 2-1,0-1 1,1 3-1,0-1 46,0 1-40,0 7-5,0-5-1,4 4 1,2-6 5,5-2 28,2 1-33,1-1-1,2-2 7,11 5-7,-5-5 1,10 5-1,-9-5-5,1-1 6,1 1-6,1-2 11,2 0-5,1-1-1,1-2 29,14 2-28,-9-3-6,8 0 5,-14-1-5,-1-1 6,-2-1-1,2 0 29,-1 0-28,-1 0 27,2-1-22,7 1-5,-7-1 0,5 0 27,-11-1-27,-1 0-6,-2 0 5,0 0 1,0-2 0,1-1-6,0-2 44,12-5-49,-7 3 5,8-2 0,-10 2 5,-1 1-5,-1 0 0,-1 1 28,-3-1-28,-2-1 0,-2 0 0,-2-2 0,0 1 0,-4-3 6,2 1-6,-4-3 34,1 0-23,-3-2 45,-1-9 17,-2 4-73,0-7 33,-5 6-22,-1 0 40,-7 1-18,-1 0 18,-2 2 33,-1 1 0,-3 1 123,-15-4-140,5 6 17,-12-2 84,6 9-73,-3 2-61,-6 3-28,-31 4-1,13 5 1,-23 3-6,25 4-140,4-1-219,3-1-178,9-3-209,6-4-1331,8-2-982,5-2-2531,5-5 1407,4-1 4183,1-6 0,8 5 0,2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07T15:05:24.458"/>
    </inkml:context>
    <inkml:brush xml:id="br0">
      <inkml:brushProperty name="width" value="0.04286" units="cm"/>
      <inkml:brushProperty name="height" value="0.04286" units="cm"/>
      <inkml:brushProperty name="color" value="#E71224"/>
    </inkml:brush>
  </inkml:definitions>
  <inkml:trace contextRef="#ctx0" brushRef="#br0">421 66 8914,'-6'-3'3933,"2"1"-3491,4 2 622,0 0-716,-22-5 161,11 3 29,-17-4-39,13 5 44,0 1-28,-4 0-184,-1 0-23,-1 2-40,-1 4-83,3 2-11,-1 3-85,2 3 35,-1 0-40,1 3 118,0 0 179,0 0-112,2 0-29,2-1-49,2 0-34,1 0-6,1 0 5,1 1 7,2 1-34,0 1 83,-1 9-122,2-8 11,1 7 33,4-9-44,0-2-12,1 1 62,0 7-73,3-4-16,3 5 5,4-5-45,3-1 56,2 1-61,2-1 33,2-1-39,2-2 11,2 0 40,16 2-17,-6-4-34,13 1 34,-11-6-29,0-3 1,1 0-6,-1-4 11,1-1-5,18-1 5,-13 0-6,13 0 1,-17 0-6,-1 0 11,0 0-5,-1-3-1,1-2 1,0-3 0,-1-1 5,15-5-11,-13 2 0,9-3-6,-16 2-27,-3 0 27,-1-2-61,-3 0 33,-3-2 29,-2 0-80,-3-1 51,-2 1 34,-3-3 34,-3 0-29,-3-3 1,-2-2 5,-1-4 28,-1-2-33,-5-1 28,-4-2 45,-19-15-23,3 11 5,-12-8-21,5 15-7,-3 4 51,-5 2 17,-3 4-23,-3 5 29,-25 3-68,17 7-39,-16 2 0,23 8 0,2 5-386,0 7-2,1 6-614,0 4-1003,1 3-1776,-5 5 3781,-9 11 0,26-21 0,-2 3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07T15:05:26.320"/>
    </inkml:context>
    <inkml:brush xml:id="br0">
      <inkml:brushProperty name="width" value="0.04286" units="cm"/>
      <inkml:brushProperty name="height" value="0.04286" units="cm"/>
      <inkml:brushProperty name="color" value="#E71224"/>
    </inkml:brush>
  </inkml:definitions>
  <inkml:trace contextRef="#ctx0" brushRef="#br0">405 117 11066,'-3'6'3052,"2"-1"-2301,1-5 1276,0 0-1388,-34-2-141,20 1-50,-28-1 124,28 2 11,-2 0-169,0 0-72,-2 0-68,0 1-22,-3 4-129,0 3 90,-3 4 33,2 2-83,0 4-74,2 0 40,0 1 0,4 1-45,2-1-22,2 1 11,3 0 5,1 0-72,3 0 95,1-3-56,2 0 22,1-1 0,1-1 17,0 1-34,0 0 1,3 1 22,2 1-40,4 2 6,3 1-33,2 0 5,2 1-5,3-1 39,2 2-40,10 8 6,-4-7-5,7 5 28,-10-11-34,0-3 5,-1-1-5,0-3 6,1-2 5,13 1-11,-7-4 6,11 1-6,-9-4 0,1-2 0,3 0 0,1-2 0,2-5-6,19-10-44,-14-1 16,13-7-28,-20 6 62,-1 0 0,-4 1-61,-1-1 55,-4 0-67,-2 0 68,-3 0 5,2-12 39,-7 5-33,1-10 27,-10 8-5,-3-1-28,-4 0 0,0-1 51,-2 1 111,-16-15-72,1 9-6,-14-12 16,3 12 18,-4 1-51,-5-1 34,-5 4-23,-4 2 6,-4 3 17,-4 4-45,0 6 45,-2 6-17,1 5-78,-1 4-6,0 8 5,3 6-44,-1 11 28,4 4-280,2 5-309,5 2-100,4-2-3266,-4 15-710,10-9-5155,-2 6 9586,14-15 1,9-14 0,4-6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07T15:05:32.309"/>
    </inkml:context>
    <inkml:brush xml:id="br0">
      <inkml:brushProperty name="width" value="0.04286" units="cm"/>
      <inkml:brushProperty name="height" value="0.04286" units="cm"/>
      <inkml:brushProperty name="color" value="#E71224"/>
    </inkml:brush>
  </inkml:definitions>
  <inkml:trace contextRef="#ctx0" brushRef="#br0">70 132 7890,'2'0'2056,"0"0"-505,-2 0-1170,7-5 16,-4 3 270,5-4 0,-6 4-130,0-1 46,0 1 234,0-2-155,0 2-108,-1-1 28,0 0-55,0-1-124,0-2-95,0 0-62,0-2-54,0 0 82,0 0 62,1-1-11,-2 1-34,1 0-17,-1 0-50,0 2-33,0 0-7,0 1-49,0 1 38,0 1 309,0 1-274,0 2 94,0 0-246,0 1-11,0 4-11,0 5-29,0 5 57,0 4-6,0 4 11,0 2 23,0 3-12,0 3 12,0 2-29,-1 2-21,0 1-7,-1-1-22,-2-1 40,1-2-46,0-4 7,0-3-7,1-4 6,0-4-5,0-3 44,1-5-44,0-2 5,1-3-11,0-1 0,0-3-5248,0 1 2201,1-4 907,3-1-2923,-1-5 5063,0-2 0,-2 5 0,-1-2 0</inkml:trace>
  <inkml:trace contextRef="#ctx0" brushRef="#br0" timeOffset="1065">7 402 8500,'2'-3'6089,"0"0"-4672,-2 3 1097,0 0-1617,7 3-135,-4 1-225,7 5-61,-7 4-117,1 2-23,0 3-56,0 2-61,0 1-68,1 1-5,0-3-23,1 1-73,0-5 1,1-2-12,1-2-34,0-6-5,0-1 118,-3-4 0,0-5-57,2-4-10,0-8-12,0-5 39,1-3 23,-3-2 89,1-7-111,-3 10-6,-1-3 72,-1 13-38,0 4 10,-1 2-16,1 1 67,-1 4 140,0 0-196,0 2 190,0 1-178,-1 0 22,-3 0-45,-3 0 22,-4 0-62,-3 0 29,-1 0 56,-2 2-46,0 0-49,0 1-46,2-2 1,2 0-6,2 1 0,3-2-95,2 1-124,4-1-1008,0 0 124,2 0-213,5 0-1619,4 0-750,12 1-6146,1 1 9574,5 0 0,-13 0 0,-4 0 0</inkml:trace>
  <inkml:trace contextRef="#ctx0" brushRef="#br0" timeOffset="1797">478 325 8354,'2'-2'5781,"0"1"-913,-2 1-4112,1 0-191,-1 1-89,1 5-39,-1 3-90,0 7-84,-3 5-83,-1 4-62,-2 2-40,0 0-44,1-1 22,2-4-22,1-3-29,1-7-5,1-3 0,0-5 6,0-3-1,0-1 365,0-17-202,0-2-3442,0-19 3408,0 0-33,2-3-28,1-1 44,7-15-66,-3 18-1,4-6-16,-5 23 3391,0 7-3391,0 6 33,-2 4 17,1 4 11,1 1 12,0 4 27,5 15-100,-2 1 16,3 13-5,-2-6 28,-2 1 50,1 0-39,-2 1-6,0-1-27,-2 0-46,-1-2 12,2 5-11,-3-12-6,3 2-45,-5-15-308,1-3-291,-2-2-2112,0-1 73,0-2-442,0-1-1591,-4-3 4716,-4-2 0,2 4 0,0 0 0</inkml:trace>
  <inkml:trace contextRef="#ctx0" brushRef="#br0" timeOffset="2029">494 404 14460,'-1'-4'5327,"0"0"-4045,1 4 276,0 0-1250,20-4-174,-7 2-67,17-3-67,-11 3-123,-1 2-622,2-1-947,0 1-1758,0 0-1776,-2 0-940,0 6 6166,-5 1 0,-5 1 0,-4-2 0</inkml:trace>
  <inkml:trace contextRef="#ctx0" brushRef="#br0" timeOffset="2648">794 593 12113,'0'-5'4335,"0"0"-2979,0 5-444,0-42-48,0 19-176,0-35-150,0 28-96,0 1-145,0 1-84,0 3-96,0 2 12,0 4 6,0 4-39,0 3-7,1 5-61,0 3-22,-1 2-6,1 1 67,0 1 28,0 0-28,2 1 23,0 4-45,1 2-12,1 7-27,1 2 0,1 1 33,3 3-34,0-1-5,2 0 12,0-1-1,8 1-11,-4-6 5,4-1 46,-9-7 16,-2-2 67,-3-2 415,0 0-291,-4-7-107,2-3-56,-1-8 6,0-3 0,0-4 61,1-1 17,-2-2-55,0 1 38,-1 2-61,-1 4-12,0 2-38,0 6-6,0 2-45,0 4-6,0 3-134,0 2-1053,0 1 236,0 4-1178,0 2-1746,0 6-219,4 2-1888,2 2 5988,3 1 0,-4-8 0,-2-2 0</inkml:trace>
  <inkml:trace contextRef="#ctx0" brushRef="#br0" timeOffset="3082">1306 375 18554,'18'-27'2509,"-4"3"-1848,-15 15-111,-4 0-113,-4 2-79,-5 1-44,-5 2-163,-3 2-45,-3 1 62,0 5-84,0 4-22,1 8 11,3 6 27,3 5-32,4 6-24,3 4-10,6 0-28,2-1-6,7-4 0,6-6-6,8-4 6,11-7 0,6-6 0,4-5 0,26-11 0,-18-3-151,13-9-359,-27 2-106,-8-1-168,-7 3-1759,-8 6-2610,-5 3 5153,-22 20 0,13-10 0,-14 11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21D2-DD5A-4F33-BDB2-8FCB35C37536}">
  <dimension ref="A1:R190"/>
  <sheetViews>
    <sheetView showGridLines="0" tabSelected="1" topLeftCell="A85" zoomScale="214" workbookViewId="0">
      <selection activeCell="F102" sqref="F102"/>
    </sheetView>
  </sheetViews>
  <sheetFormatPr baseColWidth="10" defaultColWidth="8.83203125" defaultRowHeight="15" x14ac:dyDescent="0.2"/>
  <cols>
    <col min="1" max="1" width="8.83203125" style="1"/>
    <col min="2" max="2" width="32.83203125" style="1" customWidth="1"/>
    <col min="3" max="4" width="10" style="1" customWidth="1"/>
    <col min="5" max="6" width="9.83203125" style="1" customWidth="1"/>
    <col min="7" max="7" width="10" style="1" customWidth="1"/>
    <col min="8" max="9" width="9.83203125" style="1" customWidth="1"/>
  </cols>
  <sheetData>
    <row r="1" spans="1:18" x14ac:dyDescent="0.2">
      <c r="A1" s="1" t="s">
        <v>210</v>
      </c>
    </row>
    <row r="2" spans="1:18" ht="17" customHeight="1" x14ac:dyDescent="0.2">
      <c r="A2" s="55" t="s">
        <v>0</v>
      </c>
      <c r="B2" s="55" t="s">
        <v>1</v>
      </c>
      <c r="C2" s="12">
        <v>44197</v>
      </c>
      <c r="D2" s="3"/>
      <c r="E2" s="12">
        <v>43831</v>
      </c>
      <c r="F2" s="3"/>
      <c r="G2" s="12">
        <v>43466</v>
      </c>
      <c r="H2" s="3"/>
      <c r="I2" s="41"/>
    </row>
    <row r="3" spans="1:18" ht="17" customHeight="1" x14ac:dyDescent="0.2">
      <c r="A3" s="55"/>
      <c r="B3" s="55"/>
      <c r="C3" s="3" t="s">
        <v>217</v>
      </c>
      <c r="D3" s="3"/>
      <c r="E3" s="3" t="s">
        <v>217</v>
      </c>
      <c r="F3" s="3"/>
      <c r="G3" s="3" t="s">
        <v>217</v>
      </c>
      <c r="H3" s="3"/>
      <c r="I3" s="41"/>
    </row>
    <row r="4" spans="1:18" ht="17" customHeight="1" x14ac:dyDescent="0.2">
      <c r="A4" s="55"/>
      <c r="B4" s="55"/>
      <c r="C4" s="12">
        <v>44561</v>
      </c>
      <c r="D4" s="3" t="s">
        <v>214</v>
      </c>
      <c r="E4" s="12">
        <v>44196</v>
      </c>
      <c r="F4" s="3" t="s">
        <v>215</v>
      </c>
      <c r="G4" s="12">
        <v>43830</v>
      </c>
      <c r="H4" s="3" t="s">
        <v>216</v>
      </c>
      <c r="I4" s="41" t="s">
        <v>228</v>
      </c>
      <c r="K4" s="41" t="s">
        <v>237</v>
      </c>
      <c r="L4" s="41" t="s">
        <v>238</v>
      </c>
    </row>
    <row r="5" spans="1:18" ht="17" customHeight="1" x14ac:dyDescent="0.2">
      <c r="A5" s="4" t="s">
        <v>2</v>
      </c>
      <c r="B5" s="5" t="s">
        <v>3</v>
      </c>
      <c r="C5" s="13">
        <v>10571556</v>
      </c>
      <c r="D5" s="17">
        <f>C5/C$5</f>
        <v>1</v>
      </c>
      <c r="E5" s="13">
        <v>7537180</v>
      </c>
      <c r="F5" s="17">
        <f>E5/E$5</f>
        <v>1</v>
      </c>
      <c r="G5" s="13">
        <v>9588437</v>
      </c>
      <c r="H5" s="17">
        <f>G5/G$5</f>
        <v>1</v>
      </c>
      <c r="I5" s="17">
        <f>C5/G5-1</f>
        <v>0.10253172649515241</v>
      </c>
      <c r="J5" s="32"/>
      <c r="K5" s="32"/>
      <c r="L5" s="32"/>
      <c r="M5" s="32"/>
      <c r="N5" s="32"/>
      <c r="O5" s="32"/>
      <c r="P5" s="32"/>
      <c r="Q5" s="32"/>
      <c r="R5" s="32"/>
    </row>
    <row r="6" spans="1:18" x14ac:dyDescent="0.2">
      <c r="A6" s="4" t="s">
        <v>4</v>
      </c>
      <c r="B6" s="19" t="s">
        <v>5</v>
      </c>
      <c r="C6" s="13">
        <v>-4399178</v>
      </c>
      <c r="D6" s="48">
        <f t="shared" ref="D6:F21" si="0">C6/C$5</f>
        <v>-0.41613344336443947</v>
      </c>
      <c r="E6" s="13">
        <v>-3223570</v>
      </c>
      <c r="F6" s="48">
        <f t="shared" si="0"/>
        <v>-0.42768913572450173</v>
      </c>
      <c r="G6" s="13">
        <v>-3730521</v>
      </c>
      <c r="H6" s="48">
        <f t="shared" ref="H6" si="1">G6/G$5</f>
        <v>-0.38906455765418285</v>
      </c>
      <c r="I6" s="17">
        <f t="shared" ref="I6:I21" si="2">C6/G6-1</f>
        <v>0.17923957538370638</v>
      </c>
      <c r="J6" s="32"/>
      <c r="K6" s="33">
        <f>D6-H6</f>
        <v>-2.7068885710256618E-2</v>
      </c>
      <c r="L6" s="33">
        <f>F6-H6</f>
        <v>-3.8624578070318882E-2</v>
      </c>
      <c r="M6" s="33"/>
      <c r="N6" s="32"/>
      <c r="O6" s="32"/>
      <c r="P6" s="32"/>
      <c r="Q6" s="32"/>
      <c r="R6" s="32"/>
    </row>
    <row r="7" spans="1:18" x14ac:dyDescent="0.2">
      <c r="A7" s="18" t="s">
        <v>6</v>
      </c>
      <c r="B7" s="19" t="s">
        <v>7</v>
      </c>
      <c r="C7" s="20">
        <v>6172378</v>
      </c>
      <c r="D7" s="47">
        <f t="shared" si="0"/>
        <v>0.58386655663556053</v>
      </c>
      <c r="E7" s="20">
        <v>4313610</v>
      </c>
      <c r="F7" s="47">
        <f t="shared" si="0"/>
        <v>0.57231086427549827</v>
      </c>
      <c r="G7" s="20">
        <v>5857916</v>
      </c>
      <c r="H7" s="47">
        <f t="shared" ref="H7" si="3">G7/G$5</f>
        <v>0.6109354423458172</v>
      </c>
      <c r="I7" s="17">
        <f t="shared" si="2"/>
        <v>5.3681548181981453E-2</v>
      </c>
      <c r="J7" s="34"/>
      <c r="K7" s="32"/>
      <c r="L7" s="32"/>
      <c r="M7" s="32"/>
      <c r="N7" s="32"/>
      <c r="O7" s="32"/>
      <c r="P7" s="32"/>
      <c r="Q7" s="32"/>
      <c r="R7" s="32"/>
    </row>
    <row r="8" spans="1:18" x14ac:dyDescent="0.2">
      <c r="A8" s="4" t="s">
        <v>8</v>
      </c>
      <c r="B8" s="49" t="s">
        <v>9</v>
      </c>
      <c r="C8" s="13">
        <v>-5358434</v>
      </c>
      <c r="D8" s="48">
        <f t="shared" si="0"/>
        <v>-0.50687278201997887</v>
      </c>
      <c r="E8" s="13">
        <v>-3456731</v>
      </c>
      <c r="F8" s="48">
        <f t="shared" si="0"/>
        <v>-0.45862391504514949</v>
      </c>
      <c r="G8" s="13">
        <v>-4181539</v>
      </c>
      <c r="H8" s="48">
        <f t="shared" ref="H8" si="4">G8/G$5</f>
        <v>-0.43610225524764878</v>
      </c>
      <c r="I8" s="17">
        <f t="shared" si="2"/>
        <v>0.28145020290376332</v>
      </c>
      <c r="J8" s="32"/>
      <c r="K8" s="33">
        <f>D8-H8</f>
        <v>-7.0770526772330089E-2</v>
      </c>
      <c r="L8" s="33">
        <f>F8-H8</f>
        <v>-2.2521659797500704E-2</v>
      </c>
      <c r="M8" s="33"/>
      <c r="N8" s="32"/>
      <c r="O8" s="32"/>
      <c r="P8" s="32"/>
      <c r="Q8" s="32"/>
      <c r="R8" s="32"/>
    </row>
    <row r="9" spans="1:18" x14ac:dyDescent="0.2">
      <c r="A9" s="4" t="s">
        <v>10</v>
      </c>
      <c r="B9" s="5" t="s">
        <v>11</v>
      </c>
      <c r="C9" s="13">
        <v>-3204715</v>
      </c>
      <c r="D9" s="17">
        <f t="shared" si="0"/>
        <v>-0.30314506208925157</v>
      </c>
      <c r="E9" s="13">
        <v>-2468018</v>
      </c>
      <c r="F9" s="17">
        <f t="shared" si="0"/>
        <v>-0.32744580864461242</v>
      </c>
      <c r="G9" s="13">
        <v>-2505821</v>
      </c>
      <c r="H9" s="17">
        <f t="shared" ref="H9" si="5">G9/G$5</f>
        <v>-0.26133779676499935</v>
      </c>
      <c r="I9" s="17">
        <f t="shared" si="2"/>
        <v>0.27890819017000812</v>
      </c>
      <c r="J9" s="32"/>
      <c r="K9" s="32"/>
      <c r="L9" s="32"/>
      <c r="M9" s="32"/>
      <c r="N9" s="32"/>
      <c r="O9" s="32"/>
      <c r="P9" s="32"/>
      <c r="Q9" s="32"/>
      <c r="R9" s="32"/>
    </row>
    <row r="10" spans="1:18" x14ac:dyDescent="0.2">
      <c r="A10" s="4" t="s">
        <v>12</v>
      </c>
      <c r="B10" s="5" t="s">
        <v>13</v>
      </c>
      <c r="C10" s="13">
        <v>-1181073</v>
      </c>
      <c r="D10" s="17">
        <f t="shared" si="0"/>
        <v>-0.11172177492130771</v>
      </c>
      <c r="E10" s="13">
        <v>-885233</v>
      </c>
      <c r="F10" s="17">
        <f t="shared" si="0"/>
        <v>-0.11744883364865905</v>
      </c>
      <c r="G10" s="13">
        <v>-879264</v>
      </c>
      <c r="H10" s="17">
        <f t="shared" ref="H10" si="6">G10/G$5</f>
        <v>-9.1700451283144482E-2</v>
      </c>
      <c r="I10" s="17">
        <f t="shared" si="2"/>
        <v>0.34325185609782727</v>
      </c>
      <c r="J10" s="32"/>
      <c r="K10" s="32"/>
      <c r="L10" s="32"/>
      <c r="M10" s="32"/>
      <c r="N10" s="32"/>
      <c r="O10" s="32"/>
      <c r="P10" s="32"/>
      <c r="Q10" s="32"/>
      <c r="R10" s="32"/>
    </row>
    <row r="11" spans="1:18" x14ac:dyDescent="0.2">
      <c r="A11" s="4" t="s">
        <v>14</v>
      </c>
      <c r="B11" s="5" t="s">
        <v>15</v>
      </c>
      <c r="C11" s="13">
        <v>-339801</v>
      </c>
      <c r="D11" s="17">
        <f t="shared" si="0"/>
        <v>-3.2142950384976443E-2</v>
      </c>
      <c r="E11" s="13">
        <v>-412636</v>
      </c>
      <c r="F11" s="17">
        <f t="shared" si="0"/>
        <v>-5.4746735516466367E-2</v>
      </c>
      <c r="G11" s="13">
        <v>-381049</v>
      </c>
      <c r="H11" s="17">
        <f t="shared" ref="H11" si="7">G11/G$5</f>
        <v>-3.9740470735741391E-2</v>
      </c>
      <c r="I11" s="17">
        <f t="shared" si="2"/>
        <v>-0.10824854546265705</v>
      </c>
      <c r="J11" s="32"/>
      <c r="K11" s="32"/>
      <c r="L11" s="32"/>
      <c r="M11" s="32"/>
      <c r="N11" s="32"/>
      <c r="O11" s="32"/>
      <c r="P11" s="32"/>
      <c r="Q11" s="32"/>
      <c r="R11" s="32"/>
    </row>
    <row r="12" spans="1:18" x14ac:dyDescent="0.2">
      <c r="A12" s="4" t="s">
        <v>16</v>
      </c>
      <c r="B12" s="5" t="s">
        <v>17</v>
      </c>
      <c r="C12" s="13">
        <v>79100</v>
      </c>
      <c r="D12" s="17">
        <f t="shared" si="0"/>
        <v>7.4823422398746222E-3</v>
      </c>
      <c r="E12" s="13">
        <v>815120</v>
      </c>
      <c r="F12" s="17">
        <f t="shared" si="0"/>
        <v>0.10814654817849646</v>
      </c>
      <c r="G12" s="13">
        <v>87384</v>
      </c>
      <c r="H12" s="17">
        <f t="shared" ref="H12" si="8">G12/G$5</f>
        <v>9.1134769931741737E-3</v>
      </c>
      <c r="I12" s="17">
        <f t="shared" si="2"/>
        <v>-9.4799963380023833E-2</v>
      </c>
      <c r="J12" s="32"/>
      <c r="K12" s="32"/>
      <c r="L12" s="32"/>
      <c r="M12" s="32"/>
      <c r="N12" s="32"/>
      <c r="O12" s="32"/>
      <c r="P12" s="32"/>
      <c r="Q12" s="32"/>
      <c r="R12" s="32"/>
    </row>
    <row r="13" spans="1:18" x14ac:dyDescent="0.2">
      <c r="A13" s="4" t="s">
        <v>18</v>
      </c>
      <c r="B13" s="5" t="s">
        <v>19</v>
      </c>
      <c r="C13" s="13">
        <v>-711945</v>
      </c>
      <c r="D13" s="17">
        <f t="shared" si="0"/>
        <v>-6.7345336864317804E-2</v>
      </c>
      <c r="E13" s="13">
        <v>-505964</v>
      </c>
      <c r="F13" s="17">
        <f t="shared" si="0"/>
        <v>-6.7129085413908121E-2</v>
      </c>
      <c r="G13" s="13">
        <v>-502789</v>
      </c>
      <c r="H13" s="17">
        <f t="shared" ref="H13" si="9">G13/G$5</f>
        <v>-5.243701345693777E-2</v>
      </c>
      <c r="I13" s="17">
        <f t="shared" si="2"/>
        <v>0.41599159886155035</v>
      </c>
      <c r="J13" s="32"/>
      <c r="K13" s="32"/>
      <c r="L13" s="32"/>
      <c r="M13" s="32"/>
      <c r="N13" s="32"/>
      <c r="O13" s="32"/>
      <c r="P13" s="32"/>
      <c r="Q13" s="32"/>
      <c r="R13" s="32"/>
    </row>
    <row r="14" spans="1:18" x14ac:dyDescent="0.2">
      <c r="A14" s="4" t="s">
        <v>20</v>
      </c>
      <c r="B14" s="5" t="s">
        <v>21</v>
      </c>
      <c r="C14" s="6"/>
      <c r="D14" s="17">
        <f t="shared" si="0"/>
        <v>0</v>
      </c>
      <c r="E14" s="6"/>
      <c r="F14" s="17">
        <f t="shared" si="0"/>
        <v>0</v>
      </c>
      <c r="G14" s="6"/>
      <c r="H14" s="17">
        <f t="shared" ref="H14" si="10">G14/G$5</f>
        <v>0</v>
      </c>
      <c r="I14" s="17" t="e">
        <f t="shared" si="2"/>
        <v>#DIV/0!</v>
      </c>
      <c r="J14" s="32"/>
      <c r="K14" s="32"/>
      <c r="L14" s="32"/>
      <c r="M14" s="32"/>
      <c r="N14" s="32"/>
      <c r="O14" s="32"/>
      <c r="P14" s="32"/>
      <c r="Q14" s="32"/>
      <c r="R14" s="32"/>
    </row>
    <row r="15" spans="1:18" x14ac:dyDescent="0.2">
      <c r="A15" s="18" t="s">
        <v>22</v>
      </c>
      <c r="B15" s="19" t="s">
        <v>23</v>
      </c>
      <c r="C15" s="20">
        <v>813944</v>
      </c>
      <c r="D15" s="47">
        <f t="shared" si="0"/>
        <v>7.6993774615581656E-2</v>
      </c>
      <c r="E15" s="20">
        <v>856879</v>
      </c>
      <c r="F15" s="47">
        <f t="shared" si="0"/>
        <v>0.11368694923034875</v>
      </c>
      <c r="G15" s="20">
        <v>1676377</v>
      </c>
      <c r="H15" s="47">
        <f t="shared" ref="H15" si="11">G15/G$5</f>
        <v>0.17483318709816834</v>
      </c>
      <c r="I15" s="17">
        <f t="shared" si="2"/>
        <v>-0.51446243893825794</v>
      </c>
      <c r="J15" s="34"/>
      <c r="K15" s="32"/>
      <c r="L15" s="32"/>
      <c r="M15" s="32"/>
      <c r="N15" s="32"/>
      <c r="O15" s="32"/>
      <c r="P15" s="32"/>
      <c r="Q15" s="32"/>
      <c r="R15" s="32"/>
    </row>
    <row r="16" spans="1:18" x14ac:dyDescent="0.2">
      <c r="A16" s="4" t="s">
        <v>24</v>
      </c>
      <c r="B16" s="49" t="s">
        <v>25</v>
      </c>
      <c r="C16" s="13">
        <v>-174091</v>
      </c>
      <c r="D16" s="48">
        <f t="shared" si="0"/>
        <v>-1.6467869062983729E-2</v>
      </c>
      <c r="E16" s="13">
        <v>343882</v>
      </c>
      <c r="F16" s="48">
        <f t="shared" si="0"/>
        <v>4.5624756208555453E-2</v>
      </c>
      <c r="G16" s="13">
        <v>-184395</v>
      </c>
      <c r="H16" s="48">
        <f t="shared" ref="H16" si="12">G16/G$5</f>
        <v>-1.9230975809717474E-2</v>
      </c>
      <c r="I16" s="17">
        <f t="shared" si="2"/>
        <v>-5.5880040131240039E-2</v>
      </c>
      <c r="J16" s="32"/>
      <c r="K16" s="33">
        <f>D16-H16</f>
        <v>2.7631067467337456E-3</v>
      </c>
      <c r="L16" s="33">
        <f>F16-H16</f>
        <v>6.4855732018272924E-2</v>
      </c>
      <c r="M16" s="33"/>
      <c r="N16" s="32"/>
      <c r="O16" s="32"/>
      <c r="P16" s="32"/>
      <c r="Q16" s="32"/>
      <c r="R16" s="32"/>
    </row>
    <row r="17" spans="1:18" x14ac:dyDescent="0.2">
      <c r="A17" s="4" t="s">
        <v>26</v>
      </c>
      <c r="B17" s="5" t="s">
        <v>27</v>
      </c>
      <c r="C17" s="13">
        <v>383304</v>
      </c>
      <c r="D17" s="17">
        <f t="shared" si="0"/>
        <v>3.6258049429998759E-2</v>
      </c>
      <c r="E17" s="13">
        <v>712925</v>
      </c>
      <c r="F17" s="17">
        <f t="shared" si="0"/>
        <v>9.458776359328025E-2</v>
      </c>
      <c r="G17" s="13">
        <v>74422</v>
      </c>
      <c r="H17" s="17">
        <f t="shared" ref="H17" si="13">G17/G$5</f>
        <v>7.7616404008286231E-3</v>
      </c>
      <c r="I17" s="17">
        <f t="shared" si="2"/>
        <v>4.1504125124291207</v>
      </c>
      <c r="J17" s="32"/>
      <c r="K17" s="32"/>
      <c r="L17" s="32"/>
      <c r="M17" s="32"/>
      <c r="N17" s="32"/>
      <c r="O17" s="32"/>
      <c r="P17" s="32"/>
      <c r="Q17" s="32"/>
      <c r="R17" s="32"/>
    </row>
    <row r="18" spans="1:18" x14ac:dyDescent="0.2">
      <c r="A18" s="4" t="s">
        <v>28</v>
      </c>
      <c r="B18" s="5" t="s">
        <v>29</v>
      </c>
      <c r="C18" s="13">
        <v>-557395</v>
      </c>
      <c r="D18" s="17">
        <f t="shared" si="0"/>
        <v>-5.2725918492982492E-2</v>
      </c>
      <c r="E18" s="13">
        <v>-369043</v>
      </c>
      <c r="F18" s="17">
        <f t="shared" si="0"/>
        <v>-4.896300738472479E-2</v>
      </c>
      <c r="G18" s="13">
        <v>-258817</v>
      </c>
      <c r="H18" s="17">
        <f t="shared" ref="H18" si="14">G18/G$5</f>
        <v>-2.6992616210546098E-2</v>
      </c>
      <c r="I18" s="17">
        <f t="shared" si="2"/>
        <v>1.1536259210175528</v>
      </c>
      <c r="J18" s="32"/>
      <c r="K18" s="32"/>
      <c r="L18" s="32"/>
      <c r="M18" s="32"/>
      <c r="N18" s="32"/>
      <c r="O18" s="32"/>
      <c r="P18" s="32"/>
      <c r="Q18" s="32"/>
      <c r="R18" s="32"/>
    </row>
    <row r="19" spans="1:18" x14ac:dyDescent="0.2">
      <c r="A19" s="18" t="s">
        <v>30</v>
      </c>
      <c r="B19" s="19" t="s">
        <v>31</v>
      </c>
      <c r="C19" s="20">
        <v>639853</v>
      </c>
      <c r="D19" s="17">
        <f t="shared" si="0"/>
        <v>6.0525905552597931E-2</v>
      </c>
      <c r="E19" s="20">
        <v>1200761</v>
      </c>
      <c r="F19" s="17">
        <f t="shared" si="0"/>
        <v>0.15931170543890422</v>
      </c>
      <c r="G19" s="20">
        <v>1491982</v>
      </c>
      <c r="H19" s="17">
        <f t="shared" ref="H19" si="15">G19/G$5</f>
        <v>0.15560221128845086</v>
      </c>
      <c r="I19" s="17">
        <f t="shared" si="2"/>
        <v>-0.57113892794953292</v>
      </c>
      <c r="J19" s="32"/>
      <c r="K19" s="32"/>
      <c r="L19" s="32"/>
      <c r="M19" s="32"/>
      <c r="N19" s="32"/>
      <c r="O19" s="32"/>
      <c r="P19" s="32"/>
      <c r="Q19" s="32"/>
      <c r="R19" s="32"/>
    </row>
    <row r="20" spans="1:18" x14ac:dyDescent="0.2">
      <c r="A20" s="4" t="s">
        <v>32</v>
      </c>
      <c r="B20" s="49" t="s">
        <v>33</v>
      </c>
      <c r="C20" s="13">
        <v>-6741</v>
      </c>
      <c r="D20" s="48">
        <f t="shared" si="0"/>
        <v>-6.3765447584064258E-4</v>
      </c>
      <c r="E20" s="13">
        <v>-104492</v>
      </c>
      <c r="F20" s="48">
        <f t="shared" si="0"/>
        <v>-1.3863540475350197E-2</v>
      </c>
      <c r="G20" s="13">
        <v>-405781</v>
      </c>
      <c r="H20" s="48">
        <f t="shared" ref="H20" si="16">G20/G$5</f>
        <v>-4.2319827517248117E-2</v>
      </c>
      <c r="I20" s="17">
        <f t="shared" si="2"/>
        <v>-0.98338759084333671</v>
      </c>
      <c r="J20" s="32"/>
      <c r="K20" s="33">
        <f>D20-H20</f>
        <v>4.1682173041407478E-2</v>
      </c>
      <c r="L20" s="33">
        <f>F20-H20</f>
        <v>2.8456287041897919E-2</v>
      </c>
      <c r="M20" s="33"/>
      <c r="N20" s="32"/>
      <c r="O20" s="32"/>
      <c r="P20" s="32"/>
      <c r="Q20" s="32"/>
      <c r="R20" s="32"/>
    </row>
    <row r="21" spans="1:18" x14ac:dyDescent="0.2">
      <c r="A21" s="18" t="s">
        <v>34</v>
      </c>
      <c r="B21" s="19" t="s">
        <v>35</v>
      </c>
      <c r="C21" s="20">
        <v>633112</v>
      </c>
      <c r="D21" s="47">
        <f t="shared" si="0"/>
        <v>5.9888251076757291E-2</v>
      </c>
      <c r="E21" s="20">
        <v>1096269</v>
      </c>
      <c r="F21" s="47">
        <f t="shared" si="0"/>
        <v>0.14544816496355401</v>
      </c>
      <c r="G21" s="20">
        <v>1086201</v>
      </c>
      <c r="H21" s="47">
        <f t="shared" ref="H21" si="17">G21/G$5</f>
        <v>0.11328238377120275</v>
      </c>
      <c r="I21" s="17">
        <f t="shared" si="2"/>
        <v>-0.41713181998543547</v>
      </c>
      <c r="J21" s="34"/>
      <c r="K21" s="50">
        <f>SUM(K5:K20)</f>
        <v>-5.3394132694445484E-2</v>
      </c>
      <c r="L21" s="50">
        <f>SUM(L5:L20)</f>
        <v>3.2165781192351257E-2</v>
      </c>
      <c r="M21" s="32"/>
      <c r="N21" s="32"/>
      <c r="O21" s="32"/>
      <c r="P21" s="32"/>
      <c r="Q21" s="32"/>
      <c r="R21" s="32"/>
    </row>
    <row r="22" spans="1:18" x14ac:dyDescent="0.2">
      <c r="A22" s="7"/>
      <c r="B22" s="8"/>
      <c r="C22" s="22"/>
      <c r="D22" s="24"/>
      <c r="E22" s="9"/>
      <c r="F22" s="9"/>
      <c r="G22" s="9"/>
      <c r="H22" s="9"/>
      <c r="I22" s="9"/>
      <c r="J22" s="32"/>
      <c r="K22" s="51">
        <f>D21-H21</f>
        <v>-5.3394132694445463E-2</v>
      </c>
      <c r="L22" s="51">
        <f>F21-H21</f>
        <v>3.216578119235125E-2</v>
      </c>
      <c r="M22" s="33"/>
      <c r="N22" s="32"/>
      <c r="O22" s="32"/>
      <c r="P22" s="32"/>
      <c r="Q22" s="32"/>
      <c r="R22" s="32"/>
    </row>
    <row r="23" spans="1:18" x14ac:dyDescent="0.2">
      <c r="A23" s="7"/>
      <c r="B23" s="8" t="s">
        <v>229</v>
      </c>
      <c r="C23" s="22"/>
      <c r="D23" s="24">
        <f>D7</f>
        <v>0.58386655663556053</v>
      </c>
      <c r="E23" s="9"/>
      <c r="F23" s="24">
        <f>F7</f>
        <v>0.57231086427549827</v>
      </c>
      <c r="G23" s="9"/>
      <c r="H23" s="24">
        <f>H7</f>
        <v>0.6109354423458172</v>
      </c>
      <c r="I23" s="9"/>
      <c r="K23" s="23"/>
      <c r="M23" s="23"/>
    </row>
    <row r="24" spans="1:18" ht="65" x14ac:dyDescent="0.2">
      <c r="A24" s="7"/>
      <c r="B24" s="8"/>
      <c r="C24" s="22"/>
      <c r="D24" s="24" t="s">
        <v>231</v>
      </c>
      <c r="E24" s="9"/>
      <c r="F24" s="9" t="s">
        <v>230</v>
      </c>
      <c r="G24" s="9"/>
      <c r="H24" s="9"/>
      <c r="I24" s="9"/>
      <c r="K24" s="23"/>
      <c r="M24" s="23"/>
    </row>
    <row r="25" spans="1:18" x14ac:dyDescent="0.2">
      <c r="A25" s="7"/>
      <c r="B25" s="8" t="s">
        <v>232</v>
      </c>
      <c r="C25" s="22"/>
      <c r="D25" s="24">
        <f>D15</f>
        <v>7.6993774615581656E-2</v>
      </c>
      <c r="E25" s="9"/>
      <c r="F25" s="24">
        <f>F15</f>
        <v>0.11368694923034875</v>
      </c>
      <c r="G25" s="9"/>
      <c r="H25" s="24">
        <f>H15</f>
        <v>0.17483318709816834</v>
      </c>
      <c r="I25" s="9"/>
      <c r="K25" s="23"/>
      <c r="M25" s="23"/>
    </row>
    <row r="26" spans="1:18" ht="39" x14ac:dyDescent="0.2">
      <c r="A26" s="7"/>
      <c r="B26" s="8"/>
      <c r="C26" s="22"/>
      <c r="D26" s="9" t="s">
        <v>233</v>
      </c>
      <c r="E26" s="9"/>
      <c r="F26" s="9" t="s">
        <v>233</v>
      </c>
      <c r="G26" s="9"/>
      <c r="H26" s="9"/>
      <c r="I26" s="9"/>
      <c r="K26" s="23"/>
      <c r="M26" s="23"/>
    </row>
    <row r="27" spans="1:18" x14ac:dyDescent="0.2">
      <c r="A27" s="7"/>
      <c r="B27" s="8" t="s">
        <v>234</v>
      </c>
      <c r="C27" s="22"/>
      <c r="D27" s="24">
        <f>D21</f>
        <v>5.9888251076757291E-2</v>
      </c>
      <c r="E27" s="9"/>
      <c r="F27" s="24">
        <f>F21</f>
        <v>0.14544816496355401</v>
      </c>
      <c r="G27" s="9"/>
      <c r="H27" s="24">
        <f>H21</f>
        <v>0.11328238377120275</v>
      </c>
      <c r="I27" s="9"/>
      <c r="K27" s="23"/>
      <c r="M27" s="23"/>
    </row>
    <row r="28" spans="1:18" ht="39" x14ac:dyDescent="0.2">
      <c r="A28" s="7"/>
      <c r="B28" s="8"/>
      <c r="C28" s="22"/>
      <c r="D28" s="24" t="s">
        <v>236</v>
      </c>
      <c r="E28" s="9"/>
      <c r="F28" s="9" t="s">
        <v>235</v>
      </c>
      <c r="G28" s="9"/>
      <c r="H28" s="9"/>
      <c r="I28" s="9"/>
      <c r="K28" s="23"/>
      <c r="M28" s="23"/>
    </row>
    <row r="29" spans="1:18" x14ac:dyDescent="0.2">
      <c r="A29" s="7"/>
      <c r="B29" s="8"/>
      <c r="C29" s="22">
        <v>2021</v>
      </c>
      <c r="D29" s="24"/>
      <c r="E29" s="9">
        <v>2020</v>
      </c>
      <c r="F29" s="9"/>
      <c r="G29" s="9">
        <v>2019</v>
      </c>
      <c r="H29" s="9"/>
      <c r="I29" s="9"/>
      <c r="K29" s="23"/>
      <c r="M29" s="23"/>
    </row>
    <row r="30" spans="1:18" x14ac:dyDescent="0.2">
      <c r="A30" s="7"/>
      <c r="B30" s="1" t="s">
        <v>240</v>
      </c>
      <c r="C30" s="22">
        <f>C15</f>
        <v>813944</v>
      </c>
      <c r="D30" s="24"/>
      <c r="E30" s="22">
        <f>E15</f>
        <v>856879</v>
      </c>
      <c r="F30" s="9"/>
      <c r="G30" s="22">
        <f>G15</f>
        <v>1676377</v>
      </c>
      <c r="H30" s="9"/>
      <c r="I30" s="9"/>
      <c r="K30" s="23"/>
      <c r="M30" s="23"/>
    </row>
    <row r="31" spans="1:18" x14ac:dyDescent="0.2">
      <c r="A31" s="7"/>
      <c r="B31" s="8" t="s">
        <v>241</v>
      </c>
      <c r="C31" s="22">
        <f>C130</f>
        <v>916070</v>
      </c>
      <c r="D31" s="24"/>
      <c r="E31" s="22">
        <f>E130</f>
        <v>791036</v>
      </c>
      <c r="F31" s="9"/>
      <c r="G31" s="22">
        <f>G130</f>
        <v>694712</v>
      </c>
      <c r="H31" s="9"/>
      <c r="I31" s="9"/>
      <c r="K31" s="23"/>
      <c r="M31" s="23"/>
    </row>
    <row r="32" spans="1:18" x14ac:dyDescent="0.2">
      <c r="A32" s="7"/>
      <c r="B32" s="8" t="s">
        <v>239</v>
      </c>
      <c r="C32" s="22">
        <f>C30+C31</f>
        <v>1730014</v>
      </c>
      <c r="D32" s="24"/>
      <c r="E32" s="22">
        <f>E30+E31</f>
        <v>1647915</v>
      </c>
      <c r="F32" s="9"/>
      <c r="G32" s="22">
        <f>G30+G31</f>
        <v>2371089</v>
      </c>
      <c r="H32" s="9"/>
      <c r="I32" s="9"/>
      <c r="K32" s="23"/>
      <c r="M32" s="23"/>
    </row>
    <row r="33" spans="1:13" x14ac:dyDescent="0.2">
      <c r="A33" s="7"/>
      <c r="B33" s="8" t="s">
        <v>242</v>
      </c>
      <c r="C33" s="29">
        <f>C32/C5</f>
        <v>0.16364800035113089</v>
      </c>
      <c r="D33" s="24"/>
      <c r="E33" s="29">
        <f>E32/E5</f>
        <v>0.21863813787119321</v>
      </c>
      <c r="F33" s="9"/>
      <c r="G33" s="29">
        <f>G32/G5</f>
        <v>0.24728628868292091</v>
      </c>
      <c r="H33" s="9"/>
      <c r="I33" s="9"/>
      <c r="K33" s="23"/>
      <c r="M33" s="23"/>
    </row>
    <row r="34" spans="1:13" x14ac:dyDescent="0.2">
      <c r="A34" s="7"/>
      <c r="B34" s="25"/>
      <c r="C34" s="26"/>
      <c r="D34" s="27"/>
      <c r="E34" s="26"/>
      <c r="F34" s="28"/>
      <c r="G34" s="26"/>
      <c r="H34" s="9"/>
      <c r="I34" s="9"/>
      <c r="K34" s="23"/>
      <c r="M34" s="23"/>
    </row>
    <row r="35" spans="1:13" x14ac:dyDescent="0.2">
      <c r="A35" s="7"/>
      <c r="B35" s="25" t="s">
        <v>263</v>
      </c>
      <c r="C35" s="59">
        <f>D21</f>
        <v>5.9888251076757291E-2</v>
      </c>
      <c r="D35" s="27"/>
      <c r="E35" s="59">
        <f>F21</f>
        <v>0.14544816496355401</v>
      </c>
      <c r="F35" s="28"/>
      <c r="G35" s="59">
        <f>H21</f>
        <v>0.11328238377120275</v>
      </c>
      <c r="H35" s="9"/>
      <c r="I35" s="9"/>
      <c r="K35" s="23"/>
      <c r="M35" s="23"/>
    </row>
    <row r="36" spans="1:13" x14ac:dyDescent="0.2">
      <c r="A36" s="7"/>
      <c r="B36" s="25" t="s">
        <v>264</v>
      </c>
      <c r="C36" s="60">
        <f>C5/C48</f>
        <v>0.49372143684950276</v>
      </c>
      <c r="D36" s="27"/>
      <c r="E36" s="60">
        <f>E5/E48</f>
        <v>0.51474388091226797</v>
      </c>
      <c r="F36" s="28"/>
      <c r="G36" s="60">
        <f>G5/G48</f>
        <v>0.82995917389414364</v>
      </c>
      <c r="H36" s="9"/>
      <c r="I36" s="9"/>
      <c r="K36" s="23"/>
      <c r="M36" s="23"/>
    </row>
    <row r="37" spans="1:13" x14ac:dyDescent="0.2">
      <c r="A37" s="7"/>
      <c r="B37" s="25" t="s">
        <v>265</v>
      </c>
      <c r="C37" s="59">
        <f>C35*C36</f>
        <v>2.956811337202039E-2</v>
      </c>
      <c r="D37" s="27"/>
      <c r="E37" s="59">
        <f>E35*E36</f>
        <v>7.4868552904907543E-2</v>
      </c>
      <c r="F37" s="28"/>
      <c r="G37" s="59">
        <f>G35*G36</f>
        <v>9.4019753651506777E-2</v>
      </c>
      <c r="H37" s="9"/>
      <c r="I37" s="9"/>
      <c r="K37" s="23"/>
      <c r="M37" s="23"/>
    </row>
    <row r="38" spans="1:13" x14ac:dyDescent="0.2">
      <c r="A38" s="7"/>
      <c r="B38" s="25"/>
      <c r="C38" s="26"/>
      <c r="D38" s="27"/>
      <c r="E38" s="26"/>
      <c r="F38" s="28"/>
      <c r="G38" s="26"/>
      <c r="H38" s="9"/>
      <c r="I38" s="9"/>
      <c r="K38" s="23"/>
      <c r="M38" s="23"/>
    </row>
    <row r="39" spans="1:13" x14ac:dyDescent="0.2">
      <c r="A39" s="7"/>
      <c r="B39" s="25" t="s">
        <v>266</v>
      </c>
      <c r="C39" s="61">
        <f>C48/C82</f>
        <v>2.1834212824172567</v>
      </c>
      <c r="D39" s="27"/>
      <c r="E39" s="61">
        <f>E48/E82</f>
        <v>2.6616509576981215</v>
      </c>
      <c r="F39" s="28"/>
      <c r="G39" s="61">
        <f>G48/G82</f>
        <v>2.4627702424569162</v>
      </c>
      <c r="H39" s="9"/>
      <c r="I39" s="9"/>
      <c r="K39" s="23"/>
      <c r="M39" s="23"/>
    </row>
    <row r="40" spans="1:13" x14ac:dyDescent="0.2">
      <c r="A40" s="7"/>
      <c r="B40" s="25" t="s">
        <v>267</v>
      </c>
      <c r="C40" s="62">
        <f>C37*C39</f>
        <v>6.4559648017395596E-2</v>
      </c>
      <c r="D40" s="27"/>
      <c r="E40" s="62">
        <f>E37*E39</f>
        <v>0.19927395554081964</v>
      </c>
      <c r="F40" s="28"/>
      <c r="G40" s="62">
        <f>G37*G39</f>
        <v>0.23154905149606089</v>
      </c>
      <c r="H40" s="9"/>
      <c r="I40" s="9"/>
      <c r="K40" s="23"/>
      <c r="M40" s="23"/>
    </row>
    <row r="41" spans="1:13" x14ac:dyDescent="0.2">
      <c r="A41" s="7"/>
      <c r="B41" s="25"/>
      <c r="C41" s="26"/>
      <c r="D41" s="27"/>
      <c r="E41" s="26"/>
      <c r="F41" s="28"/>
      <c r="G41" s="26"/>
      <c r="H41" s="9"/>
      <c r="I41" s="9"/>
      <c r="K41" s="23"/>
      <c r="M41" s="23"/>
    </row>
    <row r="42" spans="1:13" x14ac:dyDescent="0.2">
      <c r="A42" s="7"/>
      <c r="B42" s="25" t="s">
        <v>268</v>
      </c>
      <c r="C42" s="65">
        <f>C15/C48</f>
        <v>3.8013477031671745E-2</v>
      </c>
      <c r="D42" s="66"/>
      <c r="E42" s="63">
        <f>E15/E48</f>
        <v>5.8519661455905696E-2</v>
      </c>
      <c r="F42" s="64"/>
      <c r="G42" s="63">
        <f>G15/G48</f>
        <v>0.14510440753327605</v>
      </c>
      <c r="H42" s="9"/>
      <c r="I42" s="9"/>
      <c r="K42" s="23"/>
      <c r="M42" s="23"/>
    </row>
    <row r="43" spans="1:13" x14ac:dyDescent="0.2">
      <c r="A43" s="7"/>
      <c r="B43" s="25" t="s">
        <v>269</v>
      </c>
      <c r="C43" s="62">
        <f>C18/(C67+C75)</f>
        <v>-4.8029083792632439E-2</v>
      </c>
      <c r="D43" s="27"/>
      <c r="E43" s="62">
        <f>E18/(E67+E75)</f>
        <v>-4.0371099542328211E-2</v>
      </c>
      <c r="F43" s="28"/>
      <c r="G43" s="62">
        <f>G18/(G67+G75)</f>
        <v>-3.7718072429972938E-2</v>
      </c>
      <c r="H43" s="9"/>
      <c r="I43" s="9"/>
      <c r="K43" s="23"/>
      <c r="M43" s="23"/>
    </row>
    <row r="44" spans="1:13" x14ac:dyDescent="0.2">
      <c r="A44" s="7"/>
      <c r="B44" s="25"/>
      <c r="C44" s="26"/>
      <c r="D44" s="27"/>
      <c r="E44" s="26"/>
      <c r="F44" s="28"/>
      <c r="G44" s="26"/>
      <c r="H44" s="9"/>
      <c r="I44" s="9"/>
      <c r="K44" s="23"/>
      <c r="M44" s="23"/>
    </row>
    <row r="45" spans="1:13" x14ac:dyDescent="0.2">
      <c r="A45" s="7"/>
      <c r="B45" s="8"/>
      <c r="C45" s="29"/>
      <c r="D45" s="24"/>
      <c r="E45" s="29"/>
      <c r="F45" s="9"/>
      <c r="G45" s="29"/>
      <c r="H45" s="9"/>
      <c r="I45" s="9"/>
      <c r="J45" s="21"/>
      <c r="K45" s="23"/>
      <c r="M45" s="23"/>
    </row>
    <row r="46" spans="1:13" x14ac:dyDescent="0.2">
      <c r="A46" s="1" t="s">
        <v>211</v>
      </c>
    </row>
    <row r="47" spans="1:13" x14ac:dyDescent="0.2">
      <c r="A47" s="10" t="s">
        <v>212</v>
      </c>
      <c r="B47" s="10" t="s">
        <v>1</v>
      </c>
      <c r="C47" s="14">
        <v>44561</v>
      </c>
      <c r="D47" s="10" t="s">
        <v>214</v>
      </c>
      <c r="E47" s="14">
        <v>44196</v>
      </c>
      <c r="F47" s="10" t="s">
        <v>215</v>
      </c>
      <c r="G47" s="14">
        <v>43830</v>
      </c>
      <c r="H47" s="10" t="s">
        <v>216</v>
      </c>
      <c r="I47" s="42" t="s">
        <v>227</v>
      </c>
    </row>
    <row r="48" spans="1:13" x14ac:dyDescent="0.2">
      <c r="A48" s="2" t="s">
        <v>36</v>
      </c>
      <c r="B48" s="2" t="s">
        <v>37</v>
      </c>
      <c r="C48" s="15">
        <v>21411985</v>
      </c>
      <c r="D48" s="35">
        <f t="shared" ref="D48:D62" si="18">C48/C$48</f>
        <v>1</v>
      </c>
      <c r="E48" s="15">
        <v>14642583</v>
      </c>
      <c r="F48" s="35">
        <f t="shared" ref="F48:F62" si="19">E48/E$48</f>
        <v>1</v>
      </c>
      <c r="G48" s="15">
        <v>11552902</v>
      </c>
      <c r="H48" s="35">
        <f>G48/G$48</f>
        <v>1</v>
      </c>
      <c r="I48" s="43">
        <f>C48/G48-1</f>
        <v>0.85338584192958611</v>
      </c>
    </row>
    <row r="49" spans="1:10" x14ac:dyDescent="0.2">
      <c r="A49" s="2" t="s">
        <v>38</v>
      </c>
      <c r="B49" s="2" t="s">
        <v>39</v>
      </c>
      <c r="C49" s="15">
        <v>13984780</v>
      </c>
      <c r="D49" s="36">
        <f t="shared" si="18"/>
        <v>0.65312860998174616</v>
      </c>
      <c r="E49" s="15">
        <v>8896766</v>
      </c>
      <c r="F49" s="36">
        <f t="shared" si="19"/>
        <v>0.60759539488353931</v>
      </c>
      <c r="G49" s="15">
        <v>6656209</v>
      </c>
      <c r="H49" s="36">
        <f>G49/G$48</f>
        <v>0.57615039061181339</v>
      </c>
      <c r="I49" s="44">
        <f t="shared" ref="I49:I62" si="20">C49/G49-1</f>
        <v>1.1010127536560224</v>
      </c>
    </row>
    <row r="50" spans="1:10" x14ac:dyDescent="0.2">
      <c r="A50" s="2" t="s">
        <v>40</v>
      </c>
      <c r="B50" s="2" t="s">
        <v>41</v>
      </c>
      <c r="C50" s="15">
        <v>5489417</v>
      </c>
      <c r="D50" s="38">
        <f t="shared" si="18"/>
        <v>0.25637123321354838</v>
      </c>
      <c r="E50" s="15">
        <v>2066781</v>
      </c>
      <c r="F50" s="35">
        <f t="shared" si="19"/>
        <v>0.14114866209056148</v>
      </c>
      <c r="G50" s="15">
        <v>980954</v>
      </c>
      <c r="H50" s="35">
        <f t="shared" ref="H50" si="21">G50/G$48</f>
        <v>8.4909748217374306E-2</v>
      </c>
      <c r="I50" s="43">
        <f t="shared" si="20"/>
        <v>4.5959983852453838</v>
      </c>
      <c r="J50" s="37" t="s">
        <v>218</v>
      </c>
    </row>
    <row r="51" spans="1:10" x14ac:dyDescent="0.2">
      <c r="A51" s="2" t="s">
        <v>42</v>
      </c>
      <c r="B51" s="2" t="s">
        <v>43</v>
      </c>
      <c r="C51" s="15">
        <v>458085</v>
      </c>
      <c r="D51" s="35">
        <f t="shared" si="18"/>
        <v>2.1393859560428424E-2</v>
      </c>
      <c r="E51" s="15">
        <v>605572</v>
      </c>
      <c r="F51" s="35">
        <f t="shared" si="19"/>
        <v>4.1356910867433705E-2</v>
      </c>
      <c r="G51" s="15">
        <v>391348</v>
      </c>
      <c r="H51" s="35">
        <f t="shared" ref="H51" si="22">G51/G$48</f>
        <v>3.3874432588452665E-2</v>
      </c>
      <c r="I51" s="43">
        <f t="shared" si="20"/>
        <v>0.17053108742091427</v>
      </c>
    </row>
    <row r="52" spans="1:10" x14ac:dyDescent="0.2">
      <c r="A52" s="2" t="s">
        <v>44</v>
      </c>
      <c r="B52" s="2" t="s">
        <v>45</v>
      </c>
      <c r="C52" s="15">
        <v>5412881</v>
      </c>
      <c r="D52" s="38">
        <f t="shared" si="18"/>
        <v>0.25279678647262271</v>
      </c>
      <c r="E52" s="15">
        <v>3811668</v>
      </c>
      <c r="F52" s="35">
        <f t="shared" si="19"/>
        <v>0.26031390773062374</v>
      </c>
      <c r="G52" s="15">
        <v>3825961</v>
      </c>
      <c r="H52" s="35">
        <f t="shared" ref="H52" si="23">G52/G$48</f>
        <v>0.33116882667229414</v>
      </c>
      <c r="I52" s="43">
        <f t="shared" si="20"/>
        <v>0.41477683646017294</v>
      </c>
    </row>
    <row r="53" spans="1:10" x14ac:dyDescent="0.2">
      <c r="A53" s="2" t="s">
        <v>46</v>
      </c>
      <c r="B53" s="2" t="s">
        <v>47</v>
      </c>
      <c r="C53" s="15">
        <v>1609560</v>
      </c>
      <c r="D53" s="35">
        <f t="shared" si="18"/>
        <v>7.5170984847971828E-2</v>
      </c>
      <c r="E53" s="15">
        <v>1381662</v>
      </c>
      <c r="F53" s="35">
        <f t="shared" si="19"/>
        <v>9.4359171465854083E-2</v>
      </c>
      <c r="G53" s="15">
        <v>1124506</v>
      </c>
      <c r="H53" s="35">
        <f t="shared" ref="H53" si="24">G53/G$48</f>
        <v>9.7335370801206481E-2</v>
      </c>
      <c r="I53" s="43">
        <f t="shared" si="20"/>
        <v>0.43134852103946097</v>
      </c>
    </row>
    <row r="54" spans="1:10" x14ac:dyDescent="0.2">
      <c r="A54" s="2" t="s">
        <v>48</v>
      </c>
      <c r="B54" s="2" t="s">
        <v>49</v>
      </c>
      <c r="C54" s="2"/>
      <c r="D54" s="35">
        <f t="shared" si="18"/>
        <v>0</v>
      </c>
      <c r="E54" s="2"/>
      <c r="F54" s="35">
        <f t="shared" si="19"/>
        <v>0</v>
      </c>
      <c r="G54" s="2"/>
      <c r="H54" s="35">
        <f t="shared" ref="H54" si="25">G54/G$48</f>
        <v>0</v>
      </c>
      <c r="I54" s="43"/>
    </row>
    <row r="55" spans="1:10" x14ac:dyDescent="0.2">
      <c r="A55" s="2" t="s">
        <v>50</v>
      </c>
      <c r="B55" s="2" t="s">
        <v>51</v>
      </c>
      <c r="C55" s="15">
        <v>849389</v>
      </c>
      <c r="D55" s="35">
        <f t="shared" si="18"/>
        <v>3.9668858351993054E-2</v>
      </c>
      <c r="E55" s="15">
        <v>961997</v>
      </c>
      <c r="F55" s="35">
        <f t="shared" si="19"/>
        <v>6.5698586103285189E-2</v>
      </c>
      <c r="G55" s="15">
        <v>258396</v>
      </c>
      <c r="H55" s="35">
        <f t="shared" ref="H55" si="26">G55/G$48</f>
        <v>2.236632839090992E-2</v>
      </c>
      <c r="I55" s="43">
        <f t="shared" si="20"/>
        <v>2.2871600179569342</v>
      </c>
    </row>
    <row r="56" spans="1:10" x14ac:dyDescent="0.2">
      <c r="A56" s="2" t="s">
        <v>52</v>
      </c>
      <c r="B56" s="2" t="s">
        <v>53</v>
      </c>
      <c r="C56" s="2"/>
      <c r="D56" s="35">
        <f t="shared" si="18"/>
        <v>0</v>
      </c>
      <c r="E56" s="2"/>
      <c r="F56" s="35">
        <f t="shared" si="19"/>
        <v>0</v>
      </c>
      <c r="G56" s="2"/>
      <c r="H56" s="35">
        <f t="shared" ref="H56" si="27">G56/G$48</f>
        <v>0</v>
      </c>
      <c r="I56" s="43"/>
    </row>
    <row r="57" spans="1:10" x14ac:dyDescent="0.2">
      <c r="A57" s="2" t="s">
        <v>54</v>
      </c>
      <c r="B57" s="2" t="s">
        <v>55</v>
      </c>
      <c r="C57" s="15">
        <v>165448</v>
      </c>
      <c r="D57" s="35">
        <f t="shared" si="18"/>
        <v>7.7268875351818155E-3</v>
      </c>
      <c r="E57" s="15">
        <v>69086</v>
      </c>
      <c r="F57" s="35">
        <f t="shared" si="19"/>
        <v>4.7181566257811208E-3</v>
      </c>
      <c r="G57" s="15">
        <v>75044</v>
      </c>
      <c r="H57" s="35">
        <f t="shared" ref="H57" si="28">G57/G$48</f>
        <v>6.4956839415758914E-3</v>
      </c>
      <c r="I57" s="43">
        <f t="shared" si="20"/>
        <v>1.2046799211129469</v>
      </c>
    </row>
    <row r="58" spans="1:10" x14ac:dyDescent="0.2">
      <c r="A58" s="2" t="s">
        <v>58</v>
      </c>
      <c r="B58" s="2" t="s">
        <v>59</v>
      </c>
      <c r="C58" s="15">
        <v>7427205</v>
      </c>
      <c r="D58" s="36">
        <f t="shared" si="18"/>
        <v>0.34687139001825379</v>
      </c>
      <c r="E58" s="15">
        <v>5745817</v>
      </c>
      <c r="F58" s="36">
        <f t="shared" si="19"/>
        <v>0.39240460511646069</v>
      </c>
      <c r="G58" s="15">
        <v>4896693</v>
      </c>
      <c r="H58" s="36">
        <f t="shared" ref="H58" si="29">G58/G$48</f>
        <v>0.42384960938818661</v>
      </c>
      <c r="I58" s="44">
        <f t="shared" si="20"/>
        <v>0.51677979403650576</v>
      </c>
    </row>
    <row r="59" spans="1:10" x14ac:dyDescent="0.2">
      <c r="A59" s="2" t="s">
        <v>60</v>
      </c>
      <c r="B59" s="2" t="s">
        <v>61</v>
      </c>
      <c r="C59" s="15">
        <v>1134518</v>
      </c>
      <c r="D59" s="35">
        <f t="shared" si="18"/>
        <v>5.2985185633186271E-2</v>
      </c>
      <c r="E59" s="15">
        <v>950883</v>
      </c>
      <c r="F59" s="35">
        <f t="shared" si="19"/>
        <v>6.493956701491807E-2</v>
      </c>
      <c r="G59" s="15">
        <v>304058</v>
      </c>
      <c r="H59" s="35">
        <f t="shared" ref="H59" si="30">G59/G$48</f>
        <v>2.6318755235697489E-2</v>
      </c>
      <c r="I59" s="43">
        <f t="shared" si="20"/>
        <v>2.7312552210433534</v>
      </c>
    </row>
    <row r="60" spans="1:10" x14ac:dyDescent="0.2">
      <c r="A60" s="2" t="s">
        <v>64</v>
      </c>
      <c r="B60" s="2" t="s">
        <v>65</v>
      </c>
      <c r="C60" s="2"/>
      <c r="D60" s="35">
        <f t="shared" si="18"/>
        <v>0</v>
      </c>
      <c r="E60" s="2"/>
      <c r="F60" s="35">
        <f t="shared" si="19"/>
        <v>0</v>
      </c>
      <c r="G60" s="2"/>
      <c r="H60" s="35">
        <f t="shared" ref="H60" si="31">G60/G$48</f>
        <v>0</v>
      </c>
      <c r="I60" s="43"/>
    </row>
    <row r="61" spans="1:10" x14ac:dyDescent="0.2">
      <c r="A61" s="2" t="s">
        <v>66</v>
      </c>
      <c r="B61" s="2" t="s">
        <v>67</v>
      </c>
      <c r="C61" s="15">
        <v>5085047</v>
      </c>
      <c r="D61" s="38">
        <f t="shared" si="18"/>
        <v>0.23748601542547315</v>
      </c>
      <c r="E61" s="15">
        <v>3854298</v>
      </c>
      <c r="F61" s="35">
        <f t="shared" si="19"/>
        <v>0.26322527931035117</v>
      </c>
      <c r="G61" s="15">
        <v>3808400</v>
      </c>
      <c r="H61" s="35">
        <f t="shared" ref="H61" si="32">G61/G$48</f>
        <v>0.32964877569289519</v>
      </c>
      <c r="I61" s="43">
        <f t="shared" si="20"/>
        <v>0.3352187270244722</v>
      </c>
    </row>
    <row r="62" spans="1:10" x14ac:dyDescent="0.2">
      <c r="A62" s="2" t="s">
        <v>68</v>
      </c>
      <c r="B62" s="2" t="s">
        <v>69</v>
      </c>
      <c r="C62" s="15">
        <v>1207640</v>
      </c>
      <c r="D62" s="35">
        <f t="shared" si="18"/>
        <v>5.6400188959594359E-2</v>
      </c>
      <c r="E62" s="15">
        <v>940636</v>
      </c>
      <c r="F62" s="35">
        <f t="shared" si="19"/>
        <v>6.4239758791191412E-2</v>
      </c>
      <c r="G62" s="15">
        <v>784235</v>
      </c>
      <c r="H62" s="35">
        <f t="shared" ref="H62" si="33">G62/G$48</f>
        <v>6.7882078459593959E-2</v>
      </c>
      <c r="I62" s="43">
        <f t="shared" si="20"/>
        <v>0.53989556701753938</v>
      </c>
    </row>
    <row r="64" spans="1:10" x14ac:dyDescent="0.2">
      <c r="A64" s="1" t="s">
        <v>211</v>
      </c>
    </row>
    <row r="65" spans="1:9" x14ac:dyDescent="0.2">
      <c r="A65" s="10" t="s">
        <v>212</v>
      </c>
      <c r="B65" s="10" t="s">
        <v>1</v>
      </c>
      <c r="C65" s="14">
        <v>44561</v>
      </c>
      <c r="D65" s="10" t="s">
        <v>214</v>
      </c>
      <c r="E65" s="14">
        <v>44196</v>
      </c>
      <c r="F65" s="10" t="s">
        <v>215</v>
      </c>
      <c r="G65" s="14">
        <v>43830</v>
      </c>
      <c r="H65" s="10" t="s">
        <v>216</v>
      </c>
      <c r="I65" s="42" t="s">
        <v>227</v>
      </c>
    </row>
    <row r="66" spans="1:9" x14ac:dyDescent="0.2">
      <c r="A66" s="2" t="s">
        <v>70</v>
      </c>
      <c r="B66" s="2" t="s">
        <v>71</v>
      </c>
      <c r="C66" s="15">
        <v>21411985</v>
      </c>
      <c r="D66" s="35">
        <f>C66/C$66</f>
        <v>1</v>
      </c>
      <c r="E66" s="15">
        <v>14642583</v>
      </c>
      <c r="F66" s="35">
        <f>E66/E$66</f>
        <v>1</v>
      </c>
      <c r="G66" s="15">
        <v>11552902</v>
      </c>
      <c r="H66" s="35">
        <f>G66/G$66</f>
        <v>1</v>
      </c>
      <c r="I66" s="43">
        <f>C66/G66-1</f>
        <v>0.85338584192958611</v>
      </c>
    </row>
    <row r="67" spans="1:9" x14ac:dyDescent="0.2">
      <c r="A67" s="2" t="s">
        <v>72</v>
      </c>
      <c r="B67" s="2" t="s">
        <v>73</v>
      </c>
      <c r="C67" s="15">
        <v>7954100</v>
      </c>
      <c r="D67" s="35">
        <f t="shared" ref="D67:F86" si="34">C67/C$66</f>
        <v>0.37147887036162225</v>
      </c>
      <c r="E67" s="15">
        <v>5633411</v>
      </c>
      <c r="F67" s="35">
        <f t="shared" si="34"/>
        <v>0.38472795407750121</v>
      </c>
      <c r="G67" s="15">
        <v>4765317</v>
      </c>
      <c r="H67" s="35">
        <f t="shared" ref="H67" si="35">G67/G$66</f>
        <v>0.41247792113185067</v>
      </c>
      <c r="I67" s="44">
        <f t="shared" ref="I67:I86" si="36">C67/G67-1</f>
        <v>0.66916492648862613</v>
      </c>
    </row>
    <row r="68" spans="1:9" x14ac:dyDescent="0.2">
      <c r="A68" s="2" t="s">
        <v>74</v>
      </c>
      <c r="B68" s="2" t="s">
        <v>75</v>
      </c>
      <c r="C68" s="15">
        <v>460373</v>
      </c>
      <c r="D68" s="35">
        <f t="shared" si="34"/>
        <v>2.1500715603901273E-2</v>
      </c>
      <c r="E68" s="15">
        <v>226816</v>
      </c>
      <c r="F68" s="35">
        <f t="shared" si="34"/>
        <v>1.5490163176811086E-2</v>
      </c>
      <c r="G68" s="15">
        <v>306882</v>
      </c>
      <c r="H68" s="35">
        <f t="shared" ref="H68" si="37">G68/G$66</f>
        <v>2.6563195983139127E-2</v>
      </c>
      <c r="I68" s="43">
        <f t="shared" si="36"/>
        <v>0.50016292907371573</v>
      </c>
    </row>
    <row r="69" spans="1:9" x14ac:dyDescent="0.2">
      <c r="A69" s="2" t="s">
        <v>76</v>
      </c>
      <c r="B69" s="2" t="s">
        <v>77</v>
      </c>
      <c r="C69" s="15">
        <v>1762233</v>
      </c>
      <c r="D69" s="35">
        <f t="shared" si="34"/>
        <v>8.2301243906158159E-2</v>
      </c>
      <c r="E69" s="15">
        <v>1404852</v>
      </c>
      <c r="F69" s="35">
        <f t="shared" si="34"/>
        <v>9.5942908433573504E-2</v>
      </c>
      <c r="G69" s="15">
        <v>1081785</v>
      </c>
      <c r="H69" s="35">
        <f t="shared" ref="H69" si="38">G69/G$66</f>
        <v>9.3637512029445064E-2</v>
      </c>
      <c r="I69" s="43">
        <f t="shared" si="36"/>
        <v>0.62900483922406014</v>
      </c>
    </row>
    <row r="70" spans="1:9" x14ac:dyDescent="0.2">
      <c r="A70" s="2" t="s">
        <v>78</v>
      </c>
      <c r="B70" s="2" t="s">
        <v>79</v>
      </c>
      <c r="C70" s="15">
        <v>516678</v>
      </c>
      <c r="D70" s="35">
        <f t="shared" si="34"/>
        <v>2.4130317670220672E-2</v>
      </c>
      <c r="E70" s="15">
        <v>402930</v>
      </c>
      <c r="F70" s="35">
        <f t="shared" si="34"/>
        <v>2.7517685916480718E-2</v>
      </c>
      <c r="G70" s="15">
        <v>636723</v>
      </c>
      <c r="H70" s="35">
        <f t="shared" ref="H70" si="39">G70/G$66</f>
        <v>5.511368485597818E-2</v>
      </c>
      <c r="I70" s="43">
        <f t="shared" si="36"/>
        <v>-0.18853567406862948</v>
      </c>
    </row>
    <row r="71" spans="1:9" x14ac:dyDescent="0.2">
      <c r="A71" s="2" t="s">
        <v>80</v>
      </c>
      <c r="B71" s="2" t="s">
        <v>81</v>
      </c>
      <c r="C71" s="15">
        <v>2085974</v>
      </c>
      <c r="D71" s="35">
        <f t="shared" si="34"/>
        <v>9.742086032658813E-2</v>
      </c>
      <c r="E71" s="15">
        <v>1418471</v>
      </c>
      <c r="F71" s="35">
        <f t="shared" si="34"/>
        <v>9.6873003895555865E-2</v>
      </c>
      <c r="G71" s="15">
        <v>894018</v>
      </c>
      <c r="H71" s="35">
        <f t="shared" ref="H71" si="40">G71/G$66</f>
        <v>7.7384712516387663E-2</v>
      </c>
      <c r="I71" s="43">
        <f t="shared" si="36"/>
        <v>1.3332572722249441</v>
      </c>
    </row>
    <row r="72" spans="1:9" x14ac:dyDescent="0.2">
      <c r="A72" s="2" t="s">
        <v>82</v>
      </c>
      <c r="B72" s="2" t="s">
        <v>83</v>
      </c>
      <c r="C72" s="15">
        <v>3062229</v>
      </c>
      <c r="D72" s="35">
        <f t="shared" si="34"/>
        <v>0.14301471815901234</v>
      </c>
      <c r="E72" s="15">
        <v>2113283</v>
      </c>
      <c r="F72" s="35">
        <f t="shared" si="34"/>
        <v>0.14432446788930614</v>
      </c>
      <c r="G72" s="15">
        <v>1778274</v>
      </c>
      <c r="H72" s="35">
        <f t="shared" ref="H72" si="41">G72/G$66</f>
        <v>0.15392444253400575</v>
      </c>
      <c r="I72" s="43">
        <f t="shared" si="36"/>
        <v>0.72202315278747808</v>
      </c>
    </row>
    <row r="73" spans="1:9" x14ac:dyDescent="0.2">
      <c r="A73" s="2" t="s">
        <v>86</v>
      </c>
      <c r="B73" s="2" t="s">
        <v>87</v>
      </c>
      <c r="C73" s="15">
        <v>66613</v>
      </c>
      <c r="D73" s="35">
        <f t="shared" si="34"/>
        <v>3.1110146957416605E-3</v>
      </c>
      <c r="E73" s="15">
        <v>67059</v>
      </c>
      <c r="F73" s="35">
        <f t="shared" si="34"/>
        <v>4.5797247657739073E-3</v>
      </c>
      <c r="G73" s="15">
        <v>67635</v>
      </c>
      <c r="H73" s="35">
        <f t="shared" ref="H73" si="42">G73/G$66</f>
        <v>5.854373212894907E-3</v>
      </c>
      <c r="I73" s="43">
        <f t="shared" si="36"/>
        <v>-1.5110519701338032E-2</v>
      </c>
    </row>
    <row r="74" spans="1:9" x14ac:dyDescent="0.2">
      <c r="A74" s="2" t="s">
        <v>88</v>
      </c>
      <c r="B74" s="2" t="s">
        <v>89</v>
      </c>
      <c r="C74" s="2"/>
      <c r="D74" s="35">
        <f t="shared" si="34"/>
        <v>0</v>
      </c>
      <c r="E74" s="2"/>
      <c r="F74" s="35">
        <f t="shared" si="34"/>
        <v>0</v>
      </c>
      <c r="G74" s="2"/>
      <c r="H74" s="35">
        <f t="shared" ref="H74" si="43">G74/G$66</f>
        <v>0</v>
      </c>
      <c r="I74" s="43"/>
    </row>
    <row r="75" spans="1:9" x14ac:dyDescent="0.2">
      <c r="A75" s="2" t="s">
        <v>90</v>
      </c>
      <c r="B75" s="2" t="s">
        <v>91</v>
      </c>
      <c r="C75" s="15">
        <v>3651264</v>
      </c>
      <c r="D75" s="35">
        <f t="shared" si="34"/>
        <v>0.17052431150124567</v>
      </c>
      <c r="E75" s="15">
        <v>3507856</v>
      </c>
      <c r="F75" s="35">
        <f t="shared" si="34"/>
        <v>0.23956538269238425</v>
      </c>
      <c r="G75" s="15">
        <v>2096566</v>
      </c>
      <c r="H75" s="35">
        <f t="shared" ref="H75" si="44">G75/G$66</f>
        <v>0.18147526915748094</v>
      </c>
      <c r="I75" s="44">
        <f t="shared" si="36"/>
        <v>0.74154498355882903</v>
      </c>
    </row>
    <row r="76" spans="1:9" x14ac:dyDescent="0.2">
      <c r="A76" s="2" t="s">
        <v>92</v>
      </c>
      <c r="B76" s="2" t="s">
        <v>81</v>
      </c>
      <c r="C76" s="15">
        <v>1381128</v>
      </c>
      <c r="D76" s="35">
        <f t="shared" si="34"/>
        <v>6.4502567137049646E-2</v>
      </c>
      <c r="E76" s="15">
        <v>1966508</v>
      </c>
      <c r="F76" s="35">
        <f t="shared" si="34"/>
        <v>0.13430062168676113</v>
      </c>
      <c r="G76" s="15">
        <v>751011</v>
      </c>
      <c r="H76" s="35">
        <f t="shared" ref="H76" si="45">G76/G$66</f>
        <v>6.5006264226944888E-2</v>
      </c>
      <c r="I76" s="43">
        <f t="shared" si="36"/>
        <v>0.8390249943076733</v>
      </c>
    </row>
    <row r="77" spans="1:9" x14ac:dyDescent="0.2">
      <c r="A77" s="2" t="s">
        <v>93</v>
      </c>
      <c r="B77" s="2" t="s">
        <v>83</v>
      </c>
      <c r="C77" s="15">
        <v>2180622</v>
      </c>
      <c r="D77" s="35">
        <f t="shared" si="34"/>
        <v>0.10184118847458561</v>
      </c>
      <c r="E77" s="15">
        <v>1486111</v>
      </c>
      <c r="F77" s="35">
        <f t="shared" si="34"/>
        <v>0.10149240745297465</v>
      </c>
      <c r="G77" s="15">
        <v>1315787</v>
      </c>
      <c r="H77" s="35">
        <f t="shared" ref="H77" si="46">G77/G$66</f>
        <v>0.11389233631515268</v>
      </c>
      <c r="I77" s="43">
        <f t="shared" si="36"/>
        <v>0.65727583567857106</v>
      </c>
    </row>
    <row r="78" spans="1:9" x14ac:dyDescent="0.2">
      <c r="A78" s="2" t="s">
        <v>94</v>
      </c>
      <c r="B78" s="2" t="s">
        <v>62</v>
      </c>
      <c r="C78" s="15">
        <v>3392</v>
      </c>
      <c r="D78" s="35">
        <f t="shared" si="34"/>
        <v>1.5841595256114741E-4</v>
      </c>
      <c r="E78" s="2">
        <v>0</v>
      </c>
      <c r="F78" s="35">
        <f t="shared" si="34"/>
        <v>0</v>
      </c>
      <c r="G78" s="15">
        <v>5287</v>
      </c>
      <c r="H78" s="35">
        <f t="shared" ref="H78" si="47">G78/G$66</f>
        <v>4.5763393474643861E-4</v>
      </c>
      <c r="I78" s="43">
        <f t="shared" si="36"/>
        <v>-0.35842632873084923</v>
      </c>
    </row>
    <row r="79" spans="1:9" x14ac:dyDescent="0.2">
      <c r="A79" s="2" t="s">
        <v>95</v>
      </c>
      <c r="B79" s="2" t="s">
        <v>87</v>
      </c>
      <c r="C79" s="15">
        <v>86122</v>
      </c>
      <c r="D79" s="35">
        <f t="shared" si="34"/>
        <v>4.0221399370492742E-3</v>
      </c>
      <c r="E79" s="15">
        <v>55237</v>
      </c>
      <c r="F79" s="35">
        <f t="shared" si="34"/>
        <v>3.7723535526484639E-3</v>
      </c>
      <c r="G79" s="15">
        <v>24481</v>
      </c>
      <c r="H79" s="35">
        <f t="shared" ref="H79" si="48">G79/G$66</f>
        <v>2.1190346806369519E-3</v>
      </c>
      <c r="I79" s="43">
        <f t="shared" si="36"/>
        <v>2.5179118500061271</v>
      </c>
    </row>
    <row r="80" spans="1:9" x14ac:dyDescent="0.2">
      <c r="A80" s="2" t="s">
        <v>96</v>
      </c>
      <c r="B80" s="2" t="s">
        <v>89</v>
      </c>
      <c r="C80" s="2"/>
      <c r="D80" s="35">
        <f t="shared" si="34"/>
        <v>0</v>
      </c>
      <c r="E80" s="2"/>
      <c r="F80" s="35">
        <f t="shared" si="34"/>
        <v>0</v>
      </c>
      <c r="G80" s="2"/>
      <c r="H80" s="35">
        <f t="shared" ref="H80" si="49">G80/G$66</f>
        <v>0</v>
      </c>
      <c r="I80" s="43"/>
    </row>
    <row r="81" spans="1:9" x14ac:dyDescent="0.2">
      <c r="A81" s="2" t="s">
        <v>97</v>
      </c>
      <c r="B81" s="2" t="s">
        <v>98</v>
      </c>
      <c r="C81" s="2"/>
      <c r="D81" s="35">
        <f t="shared" si="34"/>
        <v>0</v>
      </c>
      <c r="E81" s="2"/>
      <c r="F81" s="35">
        <f t="shared" si="34"/>
        <v>0</v>
      </c>
      <c r="G81" s="2"/>
      <c r="H81" s="35">
        <f t="shared" ref="H81" si="50">G81/G$66</f>
        <v>0</v>
      </c>
      <c r="I81" s="43"/>
    </row>
    <row r="82" spans="1:9" x14ac:dyDescent="0.2">
      <c r="A82" s="2" t="s">
        <v>99</v>
      </c>
      <c r="B82" s="2" t="s">
        <v>100</v>
      </c>
      <c r="C82" s="15">
        <v>9806621</v>
      </c>
      <c r="D82" s="35">
        <f t="shared" si="34"/>
        <v>0.45799681813713206</v>
      </c>
      <c r="E82" s="15">
        <v>5501316</v>
      </c>
      <c r="F82" s="35">
        <f t="shared" si="34"/>
        <v>0.37570666323011453</v>
      </c>
      <c r="G82" s="15">
        <v>4691019</v>
      </c>
      <c r="H82" s="35">
        <f t="shared" ref="H82" si="51">G82/G$66</f>
        <v>0.40604680971066837</v>
      </c>
      <c r="I82" s="44">
        <f t="shared" si="36"/>
        <v>1.0905097591802551</v>
      </c>
    </row>
    <row r="83" spans="1:9" x14ac:dyDescent="0.2">
      <c r="A83" s="2" t="s">
        <v>101</v>
      </c>
      <c r="B83" s="2" t="s">
        <v>102</v>
      </c>
      <c r="C83" s="15">
        <v>8978349</v>
      </c>
      <c r="D83" s="35">
        <f t="shared" si="34"/>
        <v>0.41931418315490132</v>
      </c>
      <c r="E83" s="15">
        <v>3805326</v>
      </c>
      <c r="F83" s="35">
        <f t="shared" si="34"/>
        <v>0.25988078742664461</v>
      </c>
      <c r="G83" s="15">
        <v>3795634</v>
      </c>
      <c r="H83" s="35">
        <f t="shared" ref="H83" si="52">G83/G$66</f>
        <v>0.32854377194578471</v>
      </c>
      <c r="I83" s="43">
        <f t="shared" si="36"/>
        <v>1.365441188481292</v>
      </c>
    </row>
    <row r="84" spans="1:9" x14ac:dyDescent="0.2">
      <c r="A84" s="2" t="s">
        <v>103</v>
      </c>
      <c r="B84" s="2" t="s">
        <v>104</v>
      </c>
      <c r="C84" s="15">
        <v>-22654</v>
      </c>
      <c r="D84" s="35">
        <f t="shared" si="34"/>
        <v>-1.0580055982665783E-3</v>
      </c>
      <c r="E84" s="15">
        <v>-25430</v>
      </c>
      <c r="F84" s="35">
        <f t="shared" si="34"/>
        <v>-1.7367154415310468E-3</v>
      </c>
      <c r="G84" s="15">
        <v>38678</v>
      </c>
      <c r="H84" s="35">
        <f t="shared" ref="H84" si="53">G84/G$66</f>
        <v>3.3479034098964919E-3</v>
      </c>
      <c r="I84" s="43">
        <f t="shared" si="36"/>
        <v>-1.5857076374166192</v>
      </c>
    </row>
    <row r="85" spans="1:9" x14ac:dyDescent="0.2">
      <c r="A85" s="2" t="s">
        <v>105</v>
      </c>
      <c r="B85" s="2" t="s">
        <v>106</v>
      </c>
      <c r="C85" s="15">
        <v>739901</v>
      </c>
      <c r="D85" s="35">
        <f t="shared" si="34"/>
        <v>3.4555460411540548E-2</v>
      </c>
      <c r="E85" s="15">
        <v>1694515</v>
      </c>
      <c r="F85" s="35">
        <f t="shared" si="34"/>
        <v>0.11572514221022343</v>
      </c>
      <c r="G85" s="15">
        <v>869896</v>
      </c>
      <c r="H85" s="35">
        <f t="shared" ref="H85" si="54">G85/G$66</f>
        <v>7.5296752279210885E-2</v>
      </c>
      <c r="I85" s="43">
        <f t="shared" si="36"/>
        <v>-0.14943740401151406</v>
      </c>
    </row>
    <row r="86" spans="1:9" x14ac:dyDescent="0.2">
      <c r="A86" s="2" t="s">
        <v>107</v>
      </c>
      <c r="B86" s="2" t="s">
        <v>108</v>
      </c>
      <c r="C86" s="15">
        <v>111025</v>
      </c>
      <c r="D86" s="35">
        <f t="shared" si="34"/>
        <v>5.1851801689567784E-3</v>
      </c>
      <c r="E86" s="15">
        <v>26905</v>
      </c>
      <c r="F86" s="35">
        <f t="shared" si="34"/>
        <v>1.8374490347775388E-3</v>
      </c>
      <c r="G86" s="15">
        <v>-13189</v>
      </c>
      <c r="H86" s="35">
        <f t="shared" ref="H86" si="55">G86/G$66</f>
        <v>-1.1416179242237144E-3</v>
      </c>
      <c r="I86" s="43">
        <f t="shared" si="36"/>
        <v>-9.4179998483584804</v>
      </c>
    </row>
    <row r="88" spans="1:9" x14ac:dyDescent="0.2">
      <c r="B88" s="1" t="s">
        <v>219</v>
      </c>
      <c r="C88" s="30"/>
      <c r="D88" s="39">
        <f>D67+D75</f>
        <v>0.54200318186286789</v>
      </c>
      <c r="E88" s="30"/>
      <c r="F88" s="39">
        <f>F67+F75</f>
        <v>0.62429333676988552</v>
      </c>
      <c r="G88" s="30"/>
      <c r="H88" s="39">
        <f>H67+H75</f>
        <v>0.59395319028933158</v>
      </c>
      <c r="I88" s="39"/>
    </row>
    <row r="89" spans="1:9" x14ac:dyDescent="0.2">
      <c r="B89" s="1" t="s">
        <v>220</v>
      </c>
      <c r="C89" s="31"/>
      <c r="D89" s="40">
        <f>D82</f>
        <v>0.45799681813713206</v>
      </c>
      <c r="E89" s="31"/>
      <c r="F89" s="40">
        <f>F82</f>
        <v>0.37570666323011453</v>
      </c>
      <c r="G89" s="31"/>
      <c r="H89" s="40">
        <f>H82</f>
        <v>0.40604680971066837</v>
      </c>
      <c r="I89" s="40"/>
    </row>
    <row r="90" spans="1:9" x14ac:dyDescent="0.2">
      <c r="B90" s="1" t="s">
        <v>221</v>
      </c>
    </row>
    <row r="92" spans="1:9" x14ac:dyDescent="0.2">
      <c r="B92" s="1" t="s">
        <v>222</v>
      </c>
      <c r="D92" s="39">
        <f>D67</f>
        <v>0.37147887036162225</v>
      </c>
      <c r="F92" s="39">
        <f>F67</f>
        <v>0.38472795407750121</v>
      </c>
      <c r="H92" s="39">
        <f>H67</f>
        <v>0.41247792113185067</v>
      </c>
      <c r="I92" s="39"/>
    </row>
    <row r="93" spans="1:9" x14ac:dyDescent="0.2">
      <c r="B93" s="1" t="s">
        <v>223</v>
      </c>
      <c r="D93" s="39">
        <f>D75</f>
        <v>0.17052431150124567</v>
      </c>
      <c r="F93" s="39">
        <f>F75</f>
        <v>0.23956538269238425</v>
      </c>
      <c r="H93" s="39">
        <f>H75</f>
        <v>0.18147526915748094</v>
      </c>
      <c r="I93" s="39"/>
    </row>
    <row r="94" spans="1:9" x14ac:dyDescent="0.2">
      <c r="B94" s="1" t="s">
        <v>224</v>
      </c>
    </row>
    <row r="96" spans="1:9" x14ac:dyDescent="0.2">
      <c r="B96" s="1" t="s">
        <v>225</v>
      </c>
      <c r="D96" s="39">
        <f>D71+D76</f>
        <v>0.16192342746363778</v>
      </c>
      <c r="F96" s="39">
        <f>F71+F76</f>
        <v>0.23117362558231699</v>
      </c>
      <c r="H96" s="39">
        <f>H71+H76</f>
        <v>0.14239097674333256</v>
      </c>
      <c r="I96" s="39"/>
    </row>
    <row r="97" spans="1:8" x14ac:dyDescent="0.2">
      <c r="B97" s="1" t="s">
        <v>226</v>
      </c>
    </row>
    <row r="99" spans="1:8" x14ac:dyDescent="0.2">
      <c r="A99" s="1" t="s">
        <v>270</v>
      </c>
    </row>
    <row r="100" spans="1:8" x14ac:dyDescent="0.2">
      <c r="B100" s="1" t="s">
        <v>271</v>
      </c>
      <c r="D100" s="39">
        <f>D67+D75</f>
        <v>0.54200318186286789</v>
      </c>
      <c r="F100" s="39">
        <f>F67+F75</f>
        <v>0.62429333676988552</v>
      </c>
      <c r="H100" s="39">
        <f>H67+H75</f>
        <v>0.59395319028933158</v>
      </c>
    </row>
    <row r="101" spans="1:8" x14ac:dyDescent="0.2">
      <c r="B101" s="1" t="s">
        <v>272</v>
      </c>
      <c r="D101" s="39">
        <f>(D71+D76)</f>
        <v>0.16192342746363778</v>
      </c>
      <c r="F101" s="39">
        <f>(F71+F76)</f>
        <v>0.23117362558231699</v>
      </c>
      <c r="H101" s="39">
        <f>(H71+H76)</f>
        <v>0.14239097674333256</v>
      </c>
    </row>
    <row r="102" spans="1:8" x14ac:dyDescent="0.2">
      <c r="B102" s="1" t="s">
        <v>273</v>
      </c>
      <c r="D102" s="67">
        <f>C15/ABS(C18)</f>
        <v>1.4602642650185236</v>
      </c>
      <c r="E102" s="68"/>
      <c r="F102" s="67">
        <f>E15/ABS(E18)</f>
        <v>2.3218947385535018</v>
      </c>
      <c r="G102" s="68"/>
      <c r="H102" s="67">
        <f>G15/ABS(G18)</f>
        <v>6.4770745352894128</v>
      </c>
    </row>
    <row r="103" spans="1:8" x14ac:dyDescent="0.2">
      <c r="B103" s="1" t="s">
        <v>274</v>
      </c>
      <c r="D103" s="30">
        <f>C71+C76-C50-C51</f>
        <v>-2480400</v>
      </c>
      <c r="F103" s="30">
        <f>E71+E76-E50-E51</f>
        <v>712626</v>
      </c>
      <c r="H103" s="30">
        <f>G71+G76-G50-G51</f>
        <v>272727</v>
      </c>
    </row>
    <row r="104" spans="1:8" x14ac:dyDescent="0.2">
      <c r="B104" s="1" t="s">
        <v>275</v>
      </c>
      <c r="D104" s="56">
        <f>D103/C32</f>
        <v>-1.4337456228677918</v>
      </c>
      <c r="F104" s="56">
        <f>F103/E32</f>
        <v>0.43244099361920973</v>
      </c>
      <c r="H104" s="56">
        <f>H103/G32</f>
        <v>0.11502183174060526</v>
      </c>
    </row>
    <row r="105" spans="1:8" x14ac:dyDescent="0.2">
      <c r="D105" s="1" t="s">
        <v>278</v>
      </c>
      <c r="F105" s="1" t="s">
        <v>277</v>
      </c>
      <c r="H105" s="1" t="s">
        <v>276</v>
      </c>
    </row>
    <row r="106" spans="1:8" x14ac:dyDescent="0.2">
      <c r="A106" s="1" t="s">
        <v>251</v>
      </c>
    </row>
    <row r="107" spans="1:8" x14ac:dyDescent="0.2">
      <c r="B107" s="1" t="s">
        <v>252</v>
      </c>
      <c r="C107" s="30">
        <f>C49-C67</f>
        <v>6030680</v>
      </c>
      <c r="E107" s="30">
        <f>E49-E67</f>
        <v>3263355</v>
      </c>
      <c r="G107" s="30">
        <f>G49-G67</f>
        <v>1890892</v>
      </c>
    </row>
    <row r="108" spans="1:8" x14ac:dyDescent="0.2">
      <c r="B108" s="1" t="s">
        <v>253</v>
      </c>
      <c r="C108" s="56">
        <f>C49/C67</f>
        <v>1.7581850869362969</v>
      </c>
      <c r="E108" s="56">
        <f>E49/E67</f>
        <v>1.5792858003792019</v>
      </c>
      <c r="G108" s="56">
        <f>G49/G67</f>
        <v>1.3968029828865529</v>
      </c>
    </row>
    <row r="110" spans="1:8" x14ac:dyDescent="0.2">
      <c r="B110" s="1" t="s">
        <v>254</v>
      </c>
      <c r="C110" s="30">
        <f>C52+C53+C54+C55+C56+C57</f>
        <v>8037278</v>
      </c>
      <c r="E110" s="30">
        <f>E52+E53+E54+E55+E56+E57</f>
        <v>6224413</v>
      </c>
      <c r="G110" s="30">
        <f>G52+G53+G54+G55+G56+G57</f>
        <v>5283907</v>
      </c>
    </row>
    <row r="111" spans="1:8" x14ac:dyDescent="0.2">
      <c r="B111" s="1" t="s">
        <v>255</v>
      </c>
      <c r="C111" s="30">
        <f>C68+C69+C70+C72+C73+C74</f>
        <v>5868126</v>
      </c>
      <c r="E111" s="30">
        <f>E68+E69+E70+E72+E73+E74</f>
        <v>4214940</v>
      </c>
      <c r="G111" s="30">
        <f>G68+G69+G70+G72+G73+G74</f>
        <v>3871299</v>
      </c>
    </row>
    <row r="112" spans="1:8" x14ac:dyDescent="0.2">
      <c r="B112" s="1" t="s">
        <v>256</v>
      </c>
      <c r="C112" s="30">
        <f>C110-C111</f>
        <v>2169152</v>
      </c>
      <c r="E112" s="30">
        <f>E110-E111</f>
        <v>2009473</v>
      </c>
      <c r="G112" s="30">
        <f>G110-G111</f>
        <v>1412608</v>
      </c>
    </row>
    <row r="113" spans="1:9" x14ac:dyDescent="0.2">
      <c r="B113" s="1" t="s">
        <v>257</v>
      </c>
      <c r="C113" s="57">
        <f>C112/C5</f>
        <v>0.20518758071186494</v>
      </c>
      <c r="E113" s="57">
        <f>E112/E5</f>
        <v>0.26660806826956501</v>
      </c>
      <c r="G113" s="57">
        <f>G112/G5</f>
        <v>0.14732411549452742</v>
      </c>
    </row>
    <row r="115" spans="1:9" x14ac:dyDescent="0.2">
      <c r="B115" s="1" t="s">
        <v>258</v>
      </c>
      <c r="C115" s="56">
        <f>C52/C5*360</f>
        <v>184.32832025862606</v>
      </c>
      <c r="E115" s="56">
        <f>E52/E5*360</f>
        <v>182.05754406820589</v>
      </c>
      <c r="G115" s="56">
        <f>G52/G5*360</f>
        <v>143.64655678501094</v>
      </c>
    </row>
    <row r="116" spans="1:9" x14ac:dyDescent="0.2">
      <c r="B116" s="1" t="s">
        <v>259</v>
      </c>
      <c r="C116" s="56">
        <f>C53/C6*360*-1</f>
        <v>131.71587964842522</v>
      </c>
      <c r="E116" s="56">
        <f>E53/E6*360*-1</f>
        <v>154.30045570594092</v>
      </c>
      <c r="G116" s="56">
        <f>G53/G6*360*-1</f>
        <v>108.51625282366726</v>
      </c>
    </row>
    <row r="117" spans="1:9" x14ac:dyDescent="0.2">
      <c r="B117" s="1" t="s">
        <v>260</v>
      </c>
      <c r="C117" s="30">
        <f>C53-E53+ABS(C6)</f>
        <v>4627076</v>
      </c>
      <c r="E117" s="30">
        <f>E53-G53+ABS(E6)</f>
        <v>3480726</v>
      </c>
      <c r="G117" s="30">
        <f>G53-I53+ABS(G6)</f>
        <v>4855026.5686514787</v>
      </c>
    </row>
    <row r="118" spans="1:9" x14ac:dyDescent="0.2">
      <c r="B118" s="1" t="s">
        <v>261</v>
      </c>
      <c r="C118" s="56">
        <f>C69/C117*360</f>
        <v>137.10686403249051</v>
      </c>
      <c r="E118" s="56">
        <f>E69/E117*360</f>
        <v>145.2992048210632</v>
      </c>
    </row>
    <row r="119" spans="1:9" x14ac:dyDescent="0.2">
      <c r="B119" s="1" t="s">
        <v>262</v>
      </c>
      <c r="C119" s="58">
        <f>C115+C116-C118</f>
        <v>178.93733587456077</v>
      </c>
      <c r="E119" s="58">
        <f>E115+E116-E118</f>
        <v>191.05879495308363</v>
      </c>
    </row>
    <row r="123" spans="1:9" x14ac:dyDescent="0.2">
      <c r="A123" s="1" t="s">
        <v>213</v>
      </c>
    </row>
    <row r="124" spans="1:9" x14ac:dyDescent="0.2">
      <c r="A124" s="11" t="s">
        <v>0</v>
      </c>
      <c r="B124" s="11" t="s">
        <v>1</v>
      </c>
      <c r="C124" s="16">
        <v>44197</v>
      </c>
      <c r="D124" s="11"/>
      <c r="E124" s="16">
        <v>43831</v>
      </c>
      <c r="F124" s="11"/>
      <c r="G124" s="16">
        <v>43466</v>
      </c>
      <c r="H124" s="11"/>
      <c r="I124" s="45"/>
    </row>
    <row r="125" spans="1:9" x14ac:dyDescent="0.2">
      <c r="A125" s="11"/>
      <c r="B125" s="11"/>
      <c r="C125" s="11" t="s">
        <v>217</v>
      </c>
      <c r="D125" s="11"/>
      <c r="E125" s="11" t="s">
        <v>217</v>
      </c>
      <c r="F125" s="11"/>
      <c r="G125" s="11" t="s">
        <v>217</v>
      </c>
      <c r="H125" s="11"/>
      <c r="I125" s="45"/>
    </row>
    <row r="126" spans="1:9" x14ac:dyDescent="0.2">
      <c r="A126" s="11"/>
      <c r="B126" s="11"/>
      <c r="C126" s="16">
        <v>44561</v>
      </c>
      <c r="D126" s="11"/>
      <c r="E126" s="16">
        <v>44196</v>
      </c>
      <c r="F126" s="11"/>
      <c r="G126" s="16">
        <v>43830</v>
      </c>
      <c r="H126" s="11"/>
      <c r="I126" s="45"/>
    </row>
    <row r="127" spans="1:9" x14ac:dyDescent="0.2">
      <c r="A127" s="52" t="s">
        <v>109</v>
      </c>
      <c r="B127" s="52" t="s">
        <v>110</v>
      </c>
      <c r="C127" s="53">
        <v>1215600</v>
      </c>
      <c r="D127" s="52"/>
      <c r="E127" s="53">
        <v>608379</v>
      </c>
      <c r="F127" s="52"/>
      <c r="G127" s="53">
        <v>1581687</v>
      </c>
      <c r="H127" s="2"/>
      <c r="I127" s="46"/>
    </row>
    <row r="128" spans="1:9" x14ac:dyDescent="0.2">
      <c r="A128" s="2" t="s">
        <v>111</v>
      </c>
      <c r="B128" s="2" t="s">
        <v>112</v>
      </c>
      <c r="C128" s="15">
        <v>1980290</v>
      </c>
      <c r="D128" s="2"/>
      <c r="E128" s="15">
        <v>981028</v>
      </c>
      <c r="F128" s="2"/>
      <c r="G128" s="15">
        <v>2552695</v>
      </c>
      <c r="H128" s="2"/>
      <c r="I128" s="46"/>
    </row>
    <row r="129" spans="1:9" x14ac:dyDescent="0.2">
      <c r="A129" s="2" t="s">
        <v>113</v>
      </c>
      <c r="B129" s="2" t="s">
        <v>114</v>
      </c>
      <c r="C129" s="15">
        <v>633112</v>
      </c>
      <c r="D129" s="2"/>
      <c r="E129" s="15">
        <v>1096269</v>
      </c>
      <c r="F129" s="2"/>
      <c r="G129" s="15">
        <v>1086201</v>
      </c>
      <c r="H129" s="2"/>
      <c r="I129" s="46"/>
    </row>
    <row r="130" spans="1:9" s="32" customFormat="1" x14ac:dyDescent="0.2">
      <c r="A130" s="2" t="s">
        <v>115</v>
      </c>
      <c r="B130" s="2" t="s">
        <v>116</v>
      </c>
      <c r="C130" s="15">
        <v>916070</v>
      </c>
      <c r="D130" s="2"/>
      <c r="E130" s="15">
        <v>791036</v>
      </c>
      <c r="F130" s="2"/>
      <c r="G130" s="15">
        <v>694712</v>
      </c>
      <c r="H130" s="2"/>
      <c r="I130" s="46"/>
    </row>
    <row r="131" spans="1:9" x14ac:dyDescent="0.2">
      <c r="A131" s="2" t="s">
        <v>117</v>
      </c>
      <c r="B131" s="2" t="s">
        <v>118</v>
      </c>
      <c r="C131" s="2"/>
      <c r="D131" s="2"/>
      <c r="E131" s="2"/>
      <c r="F131" s="2"/>
      <c r="G131" s="2"/>
      <c r="H131" s="2"/>
      <c r="I131" s="46"/>
    </row>
    <row r="132" spans="1:9" x14ac:dyDescent="0.2">
      <c r="A132" s="2" t="s">
        <v>119</v>
      </c>
      <c r="B132" s="2" t="s">
        <v>120</v>
      </c>
      <c r="C132" s="2"/>
      <c r="D132" s="2"/>
      <c r="E132" s="2"/>
      <c r="F132" s="2"/>
      <c r="G132" s="2"/>
      <c r="H132" s="2"/>
      <c r="I132" s="46"/>
    </row>
    <row r="133" spans="1:9" x14ac:dyDescent="0.2">
      <c r="A133" s="2" t="s">
        <v>121</v>
      </c>
      <c r="B133" s="2" t="s">
        <v>122</v>
      </c>
      <c r="C133" s="15">
        <v>387590</v>
      </c>
      <c r="D133" s="2"/>
      <c r="E133" s="15">
        <v>238548</v>
      </c>
      <c r="F133" s="2"/>
      <c r="G133" s="15">
        <v>208449</v>
      </c>
      <c r="H133" s="2"/>
      <c r="I133" s="46"/>
    </row>
    <row r="134" spans="1:9" x14ac:dyDescent="0.2">
      <c r="A134" s="2" t="s">
        <v>123</v>
      </c>
      <c r="B134" s="2" t="s">
        <v>124</v>
      </c>
      <c r="C134" s="15">
        <v>40781</v>
      </c>
      <c r="D134" s="2"/>
      <c r="E134" s="15">
        <v>29708</v>
      </c>
      <c r="F134" s="2"/>
      <c r="G134" s="2">
        <v>0</v>
      </c>
      <c r="H134" s="2"/>
      <c r="I134" s="46"/>
    </row>
    <row r="135" spans="1:9" x14ac:dyDescent="0.2">
      <c r="A135" s="2" t="s">
        <v>125</v>
      </c>
      <c r="B135" s="2" t="s">
        <v>126</v>
      </c>
      <c r="C135" s="2"/>
      <c r="D135" s="2"/>
      <c r="E135" s="2"/>
      <c r="F135" s="2"/>
      <c r="G135" s="2"/>
      <c r="H135" s="2"/>
      <c r="I135" s="46"/>
    </row>
    <row r="136" spans="1:9" x14ac:dyDescent="0.2">
      <c r="A136" s="2" t="s">
        <v>127</v>
      </c>
      <c r="B136" s="2" t="s">
        <v>128</v>
      </c>
      <c r="C136" s="2"/>
      <c r="D136" s="2"/>
      <c r="E136" s="2"/>
      <c r="F136" s="2"/>
      <c r="G136" s="2"/>
      <c r="H136" s="2"/>
      <c r="I136" s="46"/>
    </row>
    <row r="137" spans="1:9" x14ac:dyDescent="0.2">
      <c r="A137" s="2" t="s">
        <v>129</v>
      </c>
      <c r="B137" s="2" t="s">
        <v>130</v>
      </c>
      <c r="C137" s="15">
        <v>6741</v>
      </c>
      <c r="D137" s="2"/>
      <c r="E137" s="15">
        <v>104492</v>
      </c>
      <c r="F137" s="2"/>
      <c r="G137" s="15">
        <v>405781</v>
      </c>
      <c r="H137" s="2"/>
      <c r="I137" s="46"/>
    </row>
    <row r="138" spans="1:9" x14ac:dyDescent="0.2">
      <c r="A138" s="2" t="s">
        <v>131</v>
      </c>
      <c r="B138" s="2" t="s">
        <v>132</v>
      </c>
      <c r="C138" s="2"/>
      <c r="D138" s="2"/>
      <c r="E138" s="2"/>
      <c r="F138" s="2"/>
      <c r="G138" s="2"/>
      <c r="H138" s="2"/>
      <c r="I138" s="46"/>
    </row>
    <row r="139" spans="1:9" x14ac:dyDescent="0.2">
      <c r="A139" s="2" t="s">
        <v>133</v>
      </c>
      <c r="B139" s="2" t="s">
        <v>134</v>
      </c>
      <c r="C139" s="2"/>
      <c r="D139" s="2"/>
      <c r="E139" s="2"/>
      <c r="F139" s="2"/>
      <c r="G139" s="2"/>
      <c r="H139" s="2"/>
      <c r="I139" s="46"/>
    </row>
    <row r="140" spans="1:9" x14ac:dyDescent="0.2">
      <c r="A140" s="2" t="s">
        <v>135</v>
      </c>
      <c r="B140" s="2" t="s">
        <v>136</v>
      </c>
      <c r="C140" s="15">
        <v>33022</v>
      </c>
      <c r="D140" s="2"/>
      <c r="E140" s="15">
        <v>117371</v>
      </c>
      <c r="F140" s="2"/>
      <c r="G140" s="15">
        <v>91705</v>
      </c>
      <c r="H140" s="2"/>
      <c r="I140" s="46"/>
    </row>
    <row r="141" spans="1:9" x14ac:dyDescent="0.2">
      <c r="A141" s="2" t="s">
        <v>137</v>
      </c>
      <c r="B141" s="2" t="s">
        <v>138</v>
      </c>
      <c r="C141" s="15">
        <v>98012</v>
      </c>
      <c r="D141" s="2"/>
      <c r="E141" s="15">
        <v>95560</v>
      </c>
      <c r="F141" s="2"/>
      <c r="G141" s="15">
        <v>65847</v>
      </c>
      <c r="H141" s="2"/>
      <c r="I141" s="46"/>
    </row>
    <row r="142" spans="1:9" x14ac:dyDescent="0.2">
      <c r="A142" s="2" t="s">
        <v>139</v>
      </c>
      <c r="B142" s="2" t="s">
        <v>140</v>
      </c>
      <c r="C142" s="15">
        <v>-17416</v>
      </c>
      <c r="D142" s="2"/>
      <c r="E142" s="15">
        <v>-1363029</v>
      </c>
      <c r="F142" s="2"/>
      <c r="G142" s="2">
        <v>0</v>
      </c>
      <c r="H142" s="2"/>
      <c r="I142" s="46"/>
    </row>
    <row r="143" spans="1:9" x14ac:dyDescent="0.2">
      <c r="A143" s="2" t="s">
        <v>141</v>
      </c>
      <c r="B143" s="2" t="s">
        <v>142</v>
      </c>
      <c r="C143" s="15">
        <v>-117622</v>
      </c>
      <c r="D143" s="2"/>
      <c r="E143" s="15">
        <v>-128927</v>
      </c>
      <c r="F143" s="2"/>
      <c r="G143" s="2">
        <v>0</v>
      </c>
      <c r="H143" s="2"/>
      <c r="I143" s="46"/>
    </row>
    <row r="144" spans="1:9" x14ac:dyDescent="0.2">
      <c r="A144" s="2" t="s">
        <v>143</v>
      </c>
      <c r="B144" s="2" t="s">
        <v>144</v>
      </c>
      <c r="C144" s="15">
        <v>-674288</v>
      </c>
      <c r="D144" s="2"/>
      <c r="E144" s="15">
        <v>197199</v>
      </c>
      <c r="F144" s="2"/>
      <c r="G144" s="15">
        <v>-832745</v>
      </c>
      <c r="H144" s="2"/>
      <c r="I144" s="46"/>
    </row>
    <row r="145" spans="1:9" x14ac:dyDescent="0.2">
      <c r="A145" s="2" t="s">
        <v>145</v>
      </c>
      <c r="B145" s="2" t="s">
        <v>146</v>
      </c>
      <c r="C145" s="15">
        <v>-1659394</v>
      </c>
      <c r="D145" s="2"/>
      <c r="E145" s="15">
        <v>-95712</v>
      </c>
      <c r="F145" s="2"/>
      <c r="G145" s="15">
        <v>-783799</v>
      </c>
      <c r="H145" s="2"/>
      <c r="I145" s="46"/>
    </row>
    <row r="146" spans="1:9" x14ac:dyDescent="0.2">
      <c r="A146" s="2" t="s">
        <v>147</v>
      </c>
      <c r="B146" s="2" t="s">
        <v>47</v>
      </c>
      <c r="C146" s="15">
        <v>-218537</v>
      </c>
      <c r="D146" s="2"/>
      <c r="E146" s="15">
        <v>-265461</v>
      </c>
      <c r="F146" s="2"/>
      <c r="G146" s="15">
        <v>28993</v>
      </c>
      <c r="H146" s="2"/>
      <c r="I146" s="46"/>
    </row>
    <row r="147" spans="1:9" x14ac:dyDescent="0.2">
      <c r="A147" s="2" t="s">
        <v>148</v>
      </c>
      <c r="B147" s="2" t="s">
        <v>63</v>
      </c>
      <c r="C147" s="15">
        <v>222723</v>
      </c>
      <c r="D147" s="2"/>
      <c r="E147" s="15">
        <v>75502</v>
      </c>
      <c r="F147" s="2"/>
      <c r="G147" s="15">
        <v>-44574</v>
      </c>
      <c r="H147" s="2"/>
      <c r="I147" s="46"/>
    </row>
    <row r="148" spans="1:9" x14ac:dyDescent="0.2">
      <c r="A148" s="2" t="s">
        <v>149</v>
      </c>
      <c r="B148" s="2" t="s">
        <v>57</v>
      </c>
      <c r="C148" s="15">
        <v>-186154</v>
      </c>
      <c r="D148" s="2"/>
      <c r="E148" s="15">
        <v>-1287</v>
      </c>
      <c r="F148" s="2"/>
      <c r="G148" s="15">
        <v>-26814</v>
      </c>
      <c r="H148" s="2"/>
      <c r="I148" s="46"/>
    </row>
    <row r="149" spans="1:9" x14ac:dyDescent="0.2">
      <c r="A149" s="2" t="s">
        <v>150</v>
      </c>
      <c r="B149" s="2" t="s">
        <v>151</v>
      </c>
      <c r="C149" s="2">
        <v>0</v>
      </c>
      <c r="D149" s="2"/>
      <c r="E149" s="2">
        <v>0</v>
      </c>
      <c r="F149" s="2"/>
      <c r="G149" s="15">
        <v>-360220</v>
      </c>
      <c r="H149" s="2"/>
      <c r="I149" s="46"/>
    </row>
    <row r="150" spans="1:9" x14ac:dyDescent="0.2">
      <c r="A150" s="2" t="s">
        <v>152</v>
      </c>
      <c r="B150" s="2" t="s">
        <v>77</v>
      </c>
      <c r="C150" s="15">
        <v>172011</v>
      </c>
      <c r="D150" s="2"/>
      <c r="E150" s="15">
        <v>419457</v>
      </c>
      <c r="F150" s="2"/>
      <c r="G150" s="15">
        <v>59255</v>
      </c>
      <c r="H150" s="2"/>
      <c r="I150" s="46"/>
    </row>
    <row r="151" spans="1:9" x14ac:dyDescent="0.2">
      <c r="A151" s="2" t="s">
        <v>153</v>
      </c>
      <c r="B151" s="2" t="s">
        <v>154</v>
      </c>
      <c r="C151" s="15">
        <v>-14382</v>
      </c>
      <c r="D151" s="2"/>
      <c r="E151" s="15">
        <v>-124919</v>
      </c>
      <c r="F151" s="2"/>
      <c r="G151" s="15">
        <v>-83629</v>
      </c>
      <c r="H151" s="2"/>
      <c r="I151" s="46"/>
    </row>
    <row r="152" spans="1:9" x14ac:dyDescent="0.2">
      <c r="A152" s="2" t="s">
        <v>155</v>
      </c>
      <c r="B152" s="2" t="s">
        <v>156</v>
      </c>
      <c r="C152" s="2"/>
      <c r="D152" s="2"/>
      <c r="E152" s="2"/>
      <c r="F152" s="2"/>
      <c r="G152" s="2"/>
      <c r="H152" s="2"/>
      <c r="I152" s="46"/>
    </row>
    <row r="153" spans="1:9" x14ac:dyDescent="0.2">
      <c r="A153" s="2" t="s">
        <v>157</v>
      </c>
      <c r="B153" s="2" t="s">
        <v>84</v>
      </c>
      <c r="C153" s="2"/>
      <c r="D153" s="2"/>
      <c r="E153" s="2"/>
      <c r="F153" s="2"/>
      <c r="G153" s="2"/>
      <c r="H153" s="2"/>
      <c r="I153" s="46"/>
    </row>
    <row r="154" spans="1:9" x14ac:dyDescent="0.2">
      <c r="A154" s="2" t="s">
        <v>158</v>
      </c>
      <c r="B154" s="2" t="s">
        <v>159</v>
      </c>
      <c r="C154" s="2"/>
      <c r="D154" s="2"/>
      <c r="E154" s="2"/>
      <c r="F154" s="2"/>
      <c r="G154" s="2"/>
      <c r="H154" s="2"/>
      <c r="I154" s="46"/>
    </row>
    <row r="155" spans="1:9" x14ac:dyDescent="0.2">
      <c r="A155" s="2" t="s">
        <v>160</v>
      </c>
      <c r="B155" s="2" t="s">
        <v>161</v>
      </c>
      <c r="C155" s="15">
        <v>641975</v>
      </c>
      <c r="D155" s="2"/>
      <c r="E155" s="15">
        <v>207870</v>
      </c>
      <c r="F155" s="2"/>
      <c r="G155" s="15">
        <v>291302</v>
      </c>
      <c r="H155" s="2"/>
      <c r="I155" s="46"/>
    </row>
    <row r="156" spans="1:9" x14ac:dyDescent="0.2">
      <c r="A156" s="2" t="s">
        <v>162</v>
      </c>
      <c r="B156" s="2" t="s">
        <v>85</v>
      </c>
      <c r="C156" s="15">
        <v>367470</v>
      </c>
      <c r="D156" s="2"/>
      <c r="E156" s="15">
        <v>-18251</v>
      </c>
      <c r="F156" s="2"/>
      <c r="G156" s="15">
        <v>86741</v>
      </c>
      <c r="H156" s="2"/>
      <c r="I156" s="46"/>
    </row>
    <row r="157" spans="1:9" x14ac:dyDescent="0.2">
      <c r="A157" s="2" t="s">
        <v>163</v>
      </c>
      <c r="B157" s="2" t="s">
        <v>164</v>
      </c>
      <c r="C157" s="2"/>
      <c r="D157" s="2"/>
      <c r="E157" s="2"/>
      <c r="F157" s="2"/>
      <c r="G157" s="2"/>
      <c r="H157" s="2"/>
      <c r="I157" s="46"/>
    </row>
    <row r="158" spans="1:9" x14ac:dyDescent="0.2">
      <c r="A158" s="2" t="s">
        <v>165</v>
      </c>
      <c r="B158" s="2" t="s">
        <v>56</v>
      </c>
      <c r="C158" s="15">
        <v>-90402</v>
      </c>
      <c r="D158" s="2"/>
      <c r="E158" s="15">
        <v>-569848</v>
      </c>
      <c r="F158" s="2"/>
      <c r="G158" s="15">
        <v>-138263</v>
      </c>
      <c r="H158" s="2"/>
      <c r="I158" s="46"/>
    </row>
    <row r="159" spans="1:9" x14ac:dyDescent="0.2">
      <c r="A159" s="2" t="s">
        <v>166</v>
      </c>
      <c r="B159" s="2" t="s">
        <v>167</v>
      </c>
      <c r="C159" s="2"/>
      <c r="D159" s="2"/>
      <c r="E159" s="2"/>
      <c r="F159" s="2"/>
      <c r="G159" s="2"/>
      <c r="H159" s="2"/>
      <c r="I159" s="46"/>
    </row>
    <row r="160" spans="1:9" x14ac:dyDescent="0.2">
      <c r="A160" s="2" t="s">
        <v>168</v>
      </c>
      <c r="B160" s="2" t="s">
        <v>169</v>
      </c>
      <c r="C160" s="15">
        <v>-72223</v>
      </c>
      <c r="D160" s="2"/>
      <c r="E160" s="15">
        <v>-296099</v>
      </c>
      <c r="F160" s="2"/>
      <c r="G160" s="15">
        <v>-302474</v>
      </c>
      <c r="H160" s="2"/>
      <c r="I160" s="46"/>
    </row>
    <row r="161" spans="1:9" x14ac:dyDescent="0.2">
      <c r="A161" s="2" t="s">
        <v>170</v>
      </c>
      <c r="B161" s="2" t="s">
        <v>171</v>
      </c>
      <c r="C161" s="15">
        <v>-147362</v>
      </c>
      <c r="D161" s="2"/>
      <c r="E161" s="15">
        <v>-49224</v>
      </c>
      <c r="F161" s="2"/>
      <c r="G161" s="15">
        <v>-43675</v>
      </c>
      <c r="H161" s="2"/>
      <c r="I161" s="46"/>
    </row>
    <row r="162" spans="1:9" x14ac:dyDescent="0.2">
      <c r="A162" s="2" t="s">
        <v>172</v>
      </c>
      <c r="B162" s="2" t="s">
        <v>173</v>
      </c>
      <c r="C162" s="15">
        <v>-18304</v>
      </c>
      <c r="D162" s="2"/>
      <c r="E162" s="15">
        <v>-10301</v>
      </c>
      <c r="F162" s="2"/>
      <c r="G162" s="2">
        <v>0</v>
      </c>
      <c r="H162" s="2"/>
      <c r="I162" s="46"/>
    </row>
    <row r="163" spans="1:9" x14ac:dyDescent="0.2">
      <c r="A163" s="2" t="s">
        <v>174</v>
      </c>
      <c r="B163" s="2" t="s">
        <v>175</v>
      </c>
      <c r="C163" s="15">
        <v>147487</v>
      </c>
      <c r="D163" s="2"/>
      <c r="E163" s="15">
        <v>-214224</v>
      </c>
      <c r="F163" s="2"/>
      <c r="G163" s="15">
        <v>207886</v>
      </c>
      <c r="H163" s="2"/>
      <c r="I163" s="46"/>
    </row>
    <row r="164" spans="1:9" x14ac:dyDescent="0.2">
      <c r="A164" s="52" t="s">
        <v>176</v>
      </c>
      <c r="B164" s="52" t="s">
        <v>177</v>
      </c>
      <c r="C164" s="53">
        <v>-1029815</v>
      </c>
      <c r="D164" s="52"/>
      <c r="E164" s="53">
        <v>-543829</v>
      </c>
      <c r="F164" s="52"/>
      <c r="G164" s="53">
        <v>-750273</v>
      </c>
      <c r="H164" s="52"/>
      <c r="I164" s="46"/>
    </row>
    <row r="165" spans="1:9" x14ac:dyDescent="0.2">
      <c r="A165" s="2" t="s">
        <v>178</v>
      </c>
      <c r="B165" s="2" t="s">
        <v>179</v>
      </c>
      <c r="C165" s="15">
        <v>-933963</v>
      </c>
      <c r="D165" s="2"/>
      <c r="E165" s="15">
        <v>-543976</v>
      </c>
      <c r="F165" s="2"/>
      <c r="G165" s="15">
        <v>-751428</v>
      </c>
      <c r="H165" s="2"/>
      <c r="I165" s="46"/>
    </row>
    <row r="166" spans="1:9" x14ac:dyDescent="0.2">
      <c r="A166" s="2" t="s">
        <v>180</v>
      </c>
      <c r="B166" s="2" t="s">
        <v>181</v>
      </c>
      <c r="C166" s="2"/>
      <c r="D166" s="2"/>
      <c r="E166" s="2"/>
      <c r="F166" s="2"/>
      <c r="G166" s="2"/>
      <c r="H166" s="2"/>
      <c r="I166" s="46"/>
    </row>
    <row r="167" spans="1:9" x14ac:dyDescent="0.2">
      <c r="A167" s="2" t="s">
        <v>182</v>
      </c>
      <c r="B167" s="2" t="s">
        <v>183</v>
      </c>
      <c r="C167" s="2">
        <v>419</v>
      </c>
      <c r="D167" s="2"/>
      <c r="E167" s="2">
        <v>147</v>
      </c>
      <c r="F167" s="2"/>
      <c r="G167" s="15">
        <v>1155</v>
      </c>
      <c r="H167" s="2"/>
      <c r="I167" s="46"/>
    </row>
    <row r="168" spans="1:9" x14ac:dyDescent="0.2">
      <c r="A168" s="2" t="s">
        <v>184</v>
      </c>
      <c r="B168" s="2" t="s">
        <v>185</v>
      </c>
      <c r="C168" s="15">
        <v>-96271</v>
      </c>
      <c r="D168" s="2"/>
      <c r="E168" s="2">
        <v>0</v>
      </c>
      <c r="F168" s="2"/>
      <c r="G168" s="2">
        <v>0</v>
      </c>
      <c r="H168" s="2"/>
      <c r="I168" s="46"/>
    </row>
    <row r="169" spans="1:9" x14ac:dyDescent="0.2">
      <c r="A169" s="52" t="s">
        <v>186</v>
      </c>
      <c r="B169" s="52" t="s">
        <v>187</v>
      </c>
      <c r="C169" s="53">
        <v>3237799</v>
      </c>
      <c r="D169" s="52"/>
      <c r="E169" s="53">
        <v>1013300</v>
      </c>
      <c r="F169" s="52"/>
      <c r="G169" s="53">
        <v>-647713</v>
      </c>
      <c r="H169" s="52"/>
      <c r="I169" s="46"/>
    </row>
    <row r="170" spans="1:9" x14ac:dyDescent="0.2">
      <c r="A170" s="2" t="s">
        <v>188</v>
      </c>
      <c r="B170" s="2" t="s">
        <v>189</v>
      </c>
      <c r="C170" s="15">
        <v>3916730</v>
      </c>
      <c r="D170" s="2"/>
      <c r="E170" s="15">
        <v>9692</v>
      </c>
      <c r="F170" s="2"/>
      <c r="G170" s="15">
        <v>46111</v>
      </c>
      <c r="H170" s="2"/>
      <c r="I170" s="46"/>
    </row>
    <row r="171" spans="1:9" x14ac:dyDescent="0.2">
      <c r="A171" s="2" t="s">
        <v>190</v>
      </c>
      <c r="B171" s="2" t="s">
        <v>191</v>
      </c>
      <c r="C171" s="2">
        <v>0</v>
      </c>
      <c r="D171" s="2"/>
      <c r="E171" s="15">
        <v>-96964</v>
      </c>
      <c r="F171" s="2"/>
      <c r="G171" s="2">
        <v>4</v>
      </c>
      <c r="H171" s="2"/>
      <c r="I171" s="46"/>
    </row>
    <row r="172" spans="1:9" x14ac:dyDescent="0.2">
      <c r="A172" s="2" t="s">
        <v>192</v>
      </c>
      <c r="B172" s="2" t="s">
        <v>193</v>
      </c>
      <c r="C172" s="15">
        <v>1405547</v>
      </c>
      <c r="D172" s="2"/>
      <c r="E172" s="15">
        <v>3467279</v>
      </c>
      <c r="F172" s="2"/>
      <c r="G172" s="15">
        <v>724681</v>
      </c>
      <c r="H172" s="2"/>
      <c r="I172" s="46"/>
    </row>
    <row r="173" spans="1:9" x14ac:dyDescent="0.2">
      <c r="A173" s="2" t="s">
        <v>194</v>
      </c>
      <c r="B173" s="2" t="s">
        <v>195</v>
      </c>
      <c r="C173" s="15">
        <v>-1368523</v>
      </c>
      <c r="D173" s="2"/>
      <c r="E173" s="15">
        <v>-1787961</v>
      </c>
      <c r="F173" s="2"/>
      <c r="G173" s="15">
        <v>-632928</v>
      </c>
      <c r="H173" s="2"/>
      <c r="I173" s="46"/>
    </row>
    <row r="174" spans="1:9" x14ac:dyDescent="0.2">
      <c r="A174" s="2" t="s">
        <v>196</v>
      </c>
      <c r="B174" s="2" t="s">
        <v>197</v>
      </c>
      <c r="C174" s="2"/>
      <c r="D174" s="2"/>
      <c r="E174" s="2"/>
      <c r="F174" s="2"/>
      <c r="G174" s="2"/>
      <c r="H174" s="2"/>
      <c r="I174" s="46"/>
    </row>
    <row r="175" spans="1:9" x14ac:dyDescent="0.2">
      <c r="A175" s="2" t="s">
        <v>198</v>
      </c>
      <c r="B175" s="2" t="s">
        <v>199</v>
      </c>
      <c r="C175" s="15">
        <v>-471918</v>
      </c>
      <c r="D175" s="2"/>
      <c r="E175" s="15">
        <v>-334911</v>
      </c>
      <c r="F175" s="2"/>
      <c r="G175" s="15">
        <v>-376500</v>
      </c>
      <c r="H175" s="2"/>
      <c r="I175" s="46"/>
    </row>
    <row r="176" spans="1:9" x14ac:dyDescent="0.2">
      <c r="A176" s="2" t="s">
        <v>200</v>
      </c>
      <c r="B176" s="2" t="s">
        <v>201</v>
      </c>
      <c r="C176" s="15">
        <v>-244037</v>
      </c>
      <c r="D176" s="2"/>
      <c r="E176" s="15">
        <v>-243835</v>
      </c>
      <c r="F176" s="2"/>
      <c r="G176" s="15">
        <v>-409081</v>
      </c>
      <c r="H176" s="2"/>
      <c r="I176" s="46"/>
    </row>
    <row r="177" spans="1:9" x14ac:dyDescent="0.2">
      <c r="A177" s="2" t="s">
        <v>202</v>
      </c>
      <c r="B177" s="2" t="s">
        <v>203</v>
      </c>
      <c r="C177" s="2">
        <v>-948</v>
      </c>
      <c r="D177" s="2"/>
      <c r="E177" s="15">
        <v>7977</v>
      </c>
      <c r="F177" s="2"/>
      <c r="G177" s="15">
        <v>12123</v>
      </c>
      <c r="H177" s="2"/>
      <c r="I177" s="46"/>
    </row>
    <row r="178" spans="1:9" x14ac:dyDescent="0.2">
      <c r="A178" s="2" t="s">
        <v>204</v>
      </c>
      <c r="B178" s="2" t="s">
        <v>205</v>
      </c>
      <c r="C178" s="15">
        <v>3422636</v>
      </c>
      <c r="D178" s="2"/>
      <c r="E178" s="15">
        <v>1085827</v>
      </c>
      <c r="F178" s="2"/>
      <c r="G178" s="15">
        <v>195824</v>
      </c>
      <c r="H178" s="2"/>
      <c r="I178" s="46"/>
    </row>
    <row r="179" spans="1:9" x14ac:dyDescent="0.2">
      <c r="A179" s="2" t="s">
        <v>206</v>
      </c>
      <c r="B179" s="2" t="s">
        <v>207</v>
      </c>
      <c r="C179" s="15">
        <v>2066781</v>
      </c>
      <c r="D179" s="2"/>
      <c r="E179" s="15">
        <v>980954</v>
      </c>
      <c r="F179" s="2"/>
      <c r="G179" s="15">
        <v>785130</v>
      </c>
      <c r="H179" s="2"/>
      <c r="I179" s="46"/>
    </row>
    <row r="180" spans="1:9" x14ac:dyDescent="0.2">
      <c r="A180" s="2" t="s">
        <v>208</v>
      </c>
      <c r="B180" s="2" t="s">
        <v>209</v>
      </c>
      <c r="C180" s="15">
        <v>5489417</v>
      </c>
      <c r="D180" s="2"/>
      <c r="E180" s="15">
        <v>2066781</v>
      </c>
      <c r="F180" s="2"/>
      <c r="G180" s="15">
        <v>980954</v>
      </c>
      <c r="H180" s="2"/>
      <c r="I180" s="46"/>
    </row>
    <row r="182" spans="1:9" x14ac:dyDescent="0.2">
      <c r="B182" s="1" t="s">
        <v>243</v>
      </c>
      <c r="C182" s="30">
        <f>C127</f>
        <v>1215600</v>
      </c>
      <c r="E182" s="30">
        <f>E127</f>
        <v>608379</v>
      </c>
      <c r="G182" s="30">
        <f>G127</f>
        <v>1581687</v>
      </c>
    </row>
    <row r="183" spans="1:9" x14ac:dyDescent="0.2">
      <c r="B183" s="1" t="s">
        <v>244</v>
      </c>
      <c r="C183" s="30">
        <f>C164</f>
        <v>-1029815</v>
      </c>
      <c r="E183" s="30">
        <f>E164</f>
        <v>-543829</v>
      </c>
      <c r="G183" s="30">
        <f>G164</f>
        <v>-750273</v>
      </c>
    </row>
    <row r="184" spans="1:9" x14ac:dyDescent="0.2">
      <c r="B184" s="1" t="s">
        <v>245</v>
      </c>
      <c r="C184" s="30">
        <f>C169</f>
        <v>3237799</v>
      </c>
      <c r="E184" s="30">
        <f>E169</f>
        <v>1013300</v>
      </c>
      <c r="G184" s="30">
        <f>G169</f>
        <v>-647713</v>
      </c>
    </row>
    <row r="185" spans="1:9" x14ac:dyDescent="0.2">
      <c r="B185" s="1" t="s">
        <v>246</v>
      </c>
      <c r="C185" s="30">
        <f>C5</f>
        <v>10571556</v>
      </c>
      <c r="E185" s="30">
        <f>E5</f>
        <v>7537180</v>
      </c>
      <c r="G185" s="30">
        <f>G5</f>
        <v>9588437</v>
      </c>
    </row>
    <row r="186" spans="1:9" x14ac:dyDescent="0.2">
      <c r="B186" s="1" t="s">
        <v>247</v>
      </c>
      <c r="C186" s="30">
        <f>C130</f>
        <v>916070</v>
      </c>
      <c r="E186" s="30">
        <f>E130</f>
        <v>791036</v>
      </c>
      <c r="G186" s="30">
        <f>G130</f>
        <v>694712</v>
      </c>
    </row>
    <row r="188" spans="1:9" x14ac:dyDescent="0.2">
      <c r="B188" s="1" t="s">
        <v>248</v>
      </c>
      <c r="C188" s="54">
        <f>C182/C185</f>
        <v>0.11498780311999482</v>
      </c>
      <c r="E188" s="54">
        <f>E182/E185</f>
        <v>8.0717058634661776E-2</v>
      </c>
      <c r="G188" s="54">
        <f>G182/G185</f>
        <v>0.16495775067406712</v>
      </c>
    </row>
    <row r="189" spans="1:9" x14ac:dyDescent="0.2">
      <c r="B189" s="1" t="s">
        <v>249</v>
      </c>
      <c r="C189" s="31">
        <f>C183/C186</f>
        <v>-1.1241662755029638</v>
      </c>
      <c r="E189" s="31">
        <f>E183/E186</f>
        <v>-0.68748957063901006</v>
      </c>
      <c r="G189" s="31">
        <f>G183/G186</f>
        <v>-1.0799770264512489</v>
      </c>
    </row>
    <row r="190" spans="1:9" x14ac:dyDescent="0.2">
      <c r="B190" s="1" t="s">
        <v>250</v>
      </c>
      <c r="C190" s="30">
        <f>C182+C183</f>
        <v>185785</v>
      </c>
      <c r="E190" s="30">
        <f>E182+E183</f>
        <v>64550</v>
      </c>
      <c r="G190" s="30">
        <f>G182+G183</f>
        <v>831414</v>
      </c>
    </row>
  </sheetData>
  <mergeCells count="2">
    <mergeCell ref="A2:A4"/>
    <mergeCell ref="B2:B4"/>
  </mergeCells>
  <phoneticPr fontId="6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B159-D2C1-A64E-9E24-B88C0272D62B}">
  <dimension ref="A1"/>
  <sheetViews>
    <sheetView topLeftCell="A2" zoomScale="248" workbookViewId="0">
      <selection activeCell="A4" sqref="A4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Piellusch</dc:creator>
  <cp:lastModifiedBy>Microsoft Office User</cp:lastModifiedBy>
  <dcterms:created xsi:type="dcterms:W3CDTF">2022-04-28T20:09:10Z</dcterms:created>
  <dcterms:modified xsi:type="dcterms:W3CDTF">2022-06-08T15:48:36Z</dcterms:modified>
</cp:coreProperties>
</file>