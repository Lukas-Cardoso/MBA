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imo Rico MBA\"/>
    </mc:Choice>
  </mc:AlternateContent>
  <xr:revisionPtr revIDLastSave="0" documentId="13_ncr:1_{98DCB79E-28E6-4260-856F-F652F9E17CC1}" xr6:coauthVersionLast="47" xr6:coauthVersionMax="47" xr10:uidLastSave="{00000000-0000-0000-0000-000000000000}"/>
  <bookViews>
    <workbookView xWindow="-108" yWindow="-108" windowWidth="23256" windowHeight="12576" activeTab="1" xr2:uid="{5935E7B9-2531-487E-AB25-A74CCD2F85F2}"/>
  </bookViews>
  <sheets>
    <sheet name="MargemGarantia" sheetId="1" r:id="rId1"/>
    <sheet name="AjusteDiárioMilho" sheetId="2" r:id="rId2"/>
    <sheet name="CustoHedg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" l="1"/>
  <c r="B5" i="4"/>
  <c r="D28" i="2"/>
  <c r="E28" i="2"/>
  <c r="D29" i="2"/>
  <c r="E29" i="2"/>
  <c r="D30" i="2"/>
  <c r="E30" i="2"/>
  <c r="D31" i="2"/>
  <c r="E31" i="2"/>
  <c r="D32" i="2"/>
  <c r="E32" i="2"/>
  <c r="D11" i="2"/>
  <c r="E11" i="2"/>
  <c r="D12" i="2"/>
  <c r="E12" i="2"/>
  <c r="D13" i="2"/>
  <c r="E13" i="2" s="1"/>
  <c r="D14" i="2"/>
  <c r="E14" i="2"/>
  <c r="D15" i="2"/>
  <c r="E15" i="2"/>
  <c r="C22" i="2"/>
  <c r="C23" i="2"/>
  <c r="C24" i="2"/>
  <c r="C25" i="2"/>
  <c r="C26" i="2"/>
  <c r="C27" i="2"/>
  <c r="C28" i="2"/>
  <c r="C29" i="2"/>
  <c r="C30" i="2"/>
  <c r="C31" i="2"/>
  <c r="C32" i="2"/>
  <c r="C21" i="2"/>
  <c r="C6" i="2"/>
  <c r="C7" i="2"/>
  <c r="C8" i="2"/>
  <c r="C9" i="2"/>
  <c r="C10" i="2"/>
  <c r="C11" i="2"/>
  <c r="C12" i="2"/>
  <c r="C13" i="2"/>
  <c r="C14" i="2"/>
  <c r="C15" i="2"/>
  <c r="C4" i="2"/>
  <c r="C5" i="2"/>
  <c r="A22" i="2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21" i="2"/>
  <c r="C20" i="2"/>
  <c r="E10" i="2"/>
  <c r="D10" i="2"/>
  <c r="D9" i="2"/>
  <c r="E9" i="2" s="1"/>
  <c r="E8" i="2"/>
  <c r="D8" i="2"/>
  <c r="D7" i="2"/>
  <c r="E7" i="2" s="1"/>
  <c r="D6" i="2"/>
  <c r="E6" i="2" s="1"/>
  <c r="D5" i="2"/>
  <c r="E5" i="2" s="1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4" i="2"/>
  <c r="C3" i="2"/>
  <c r="D4" i="2" l="1"/>
  <c r="E4" i="2" s="1"/>
  <c r="E16" i="2" s="1"/>
  <c r="D21" i="2"/>
  <c r="E21" i="2" s="1"/>
  <c r="D20" i="2"/>
  <c r="D3" i="2"/>
  <c r="D22" i="2" l="1"/>
  <c r="E22" i="2" s="1"/>
  <c r="D23" i="2" l="1"/>
  <c r="D24" i="2" l="1"/>
  <c r="E24" i="2" s="1"/>
  <c r="E23" i="2"/>
  <c r="D25" i="2" l="1"/>
  <c r="E25" i="2" l="1"/>
  <c r="D26" i="2"/>
  <c r="E26" i="2" s="1"/>
  <c r="D27" i="2" l="1"/>
  <c r="E5" i="1"/>
  <c r="E4" i="1"/>
  <c r="E3" i="1"/>
  <c r="E2" i="1"/>
  <c r="E27" i="2" l="1"/>
  <c r="E33" i="2" s="1"/>
  <c r="D33" i="2"/>
</calcChain>
</file>

<file path=xl/sharedStrings.xml><?xml version="1.0" encoding="utf-8"?>
<sst xmlns="http://schemas.openxmlformats.org/spreadsheetml/2006/main" count="48" uniqueCount="37">
  <si>
    <t>Contrato Futuro</t>
  </si>
  <si>
    <t>Código Negociação</t>
  </si>
  <si>
    <t>Valor do Contrato</t>
  </si>
  <si>
    <t>Dólar</t>
  </si>
  <si>
    <t>DOL</t>
  </si>
  <si>
    <t>USD 50.000</t>
  </si>
  <si>
    <t>Mini Dólar</t>
  </si>
  <si>
    <t>WDO</t>
  </si>
  <si>
    <t>USD 10.000</t>
  </si>
  <si>
    <t>Índice Bovespa</t>
  </si>
  <si>
    <t>IND</t>
  </si>
  <si>
    <t xml:space="preserve">Pontos do Índice x R$ 1 / ponto </t>
  </si>
  <si>
    <t>Mini Índice Bovespa</t>
  </si>
  <si>
    <t>WIN</t>
  </si>
  <si>
    <t>Valor da Garantia</t>
  </si>
  <si>
    <t>Moeda</t>
  </si>
  <si>
    <t>USD</t>
  </si>
  <si>
    <t>BRL</t>
  </si>
  <si>
    <t>Margem Garantia</t>
  </si>
  <si>
    <t>Pontos do Índice x R$ 0,20 / pt</t>
  </si>
  <si>
    <t>Ajuste Diario</t>
  </si>
  <si>
    <t>Preencher o Preço da coluna B</t>
  </si>
  <si>
    <t>Data</t>
  </si>
  <si>
    <t>Futuros do Milho</t>
  </si>
  <si>
    <t>Posição VENDIDO 1 cont.</t>
  </si>
  <si>
    <t>Ajuste para 100 contratos</t>
  </si>
  <si>
    <t>com 450 sacas por contrato</t>
  </si>
  <si>
    <t>Saldo total</t>
  </si>
  <si>
    <t>Posição COMPRADO 1 cont.</t>
  </si>
  <si>
    <t xml:space="preserve">Fonte: https://www.noticiasagricolas.com.br/cotacoes/milho </t>
  </si>
  <si>
    <t>USD Fut Jan/24</t>
  </si>
  <si>
    <t>USD Fut Jan/23</t>
  </si>
  <si>
    <t>Custo Hedge</t>
  </si>
  <si>
    <t>% a.a.</t>
  </si>
  <si>
    <t>O quanto pagamos acima do dólar comercial para comprar um futuro de dólar.</t>
  </si>
  <si>
    <t>R$/USD</t>
  </si>
  <si>
    <t>Se a corretora aprova linha de crédito para ajustes e margens, este ajuste diário não terá impacto no caixa.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</si>
</sst>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_ ;\-#,##0\ "/>
    <numFmt numFmtId="165" formatCode="&quot;R$&quot;\ #,##0.00"/>
    <numFmt numFmtId="166" formatCode="_-* #,##0.000_-;\-* #,##0.000_-;_-* &quot;-&quot;??_-;_-@_-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FFFFFF"/>
      <name val="Andale Mono"/>
    </font>
    <font>
      <sz val="12"/>
      <color rgb="FF000000"/>
      <name val="Andale Mono"/>
    </font>
    <font>
      <sz val="12"/>
      <name val="Arial"/>
      <family val="2"/>
    </font>
    <font>
      <sz val="12"/>
      <name val="Andale Mono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left" vertical="center" wrapText="1" readingOrder="1"/>
    </xf>
    <xf numFmtId="0" fontId="5" fillId="3" borderId="2" xfId="0" applyFont="1" applyFill="1" applyBorder="1" applyAlignment="1">
      <alignment horizontal="left" vertical="center" wrapText="1" readingOrder="1"/>
    </xf>
    <xf numFmtId="9" fontId="5" fillId="3" borderId="2" xfId="0" applyNumberFormat="1" applyFont="1" applyFill="1" applyBorder="1" applyAlignment="1">
      <alignment horizontal="left" vertical="center" wrapText="1" readingOrder="1"/>
    </xf>
    <xf numFmtId="164" fontId="6" fillId="3" borderId="2" xfId="1" applyNumberFormat="1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vertical="top" wrapText="1"/>
    </xf>
    <xf numFmtId="0" fontId="5" fillId="4" borderId="3" xfId="0" applyFont="1" applyFill="1" applyBorder="1" applyAlignment="1">
      <alignment horizontal="left" vertical="center" wrapText="1" readingOrder="1"/>
    </xf>
    <xf numFmtId="9" fontId="5" fillId="4" borderId="3" xfId="0" applyNumberFormat="1" applyFont="1" applyFill="1" applyBorder="1" applyAlignment="1">
      <alignment horizontal="left" vertical="center" wrapText="1" readingOrder="1"/>
    </xf>
    <xf numFmtId="164" fontId="6" fillId="4" borderId="3" xfId="1" applyNumberFormat="1" applyFont="1" applyFill="1" applyBorder="1" applyAlignment="1">
      <alignment horizontal="left" vertical="top" wrapText="1"/>
    </xf>
    <xf numFmtId="0" fontId="6" fillId="4" borderId="3" xfId="0" applyFont="1" applyFill="1" applyBorder="1" applyAlignment="1">
      <alignment vertical="top" wrapText="1"/>
    </xf>
    <xf numFmtId="0" fontId="5" fillId="3" borderId="3" xfId="0" applyFont="1" applyFill="1" applyBorder="1" applyAlignment="1">
      <alignment horizontal="left" vertical="center" wrapText="1" readingOrder="1"/>
    </xf>
    <xf numFmtId="9" fontId="7" fillId="3" borderId="3" xfId="0" applyNumberFormat="1" applyFont="1" applyFill="1" applyBorder="1" applyAlignment="1">
      <alignment horizontal="left" vertical="center" wrapText="1" readingOrder="1"/>
    </xf>
    <xf numFmtId="164" fontId="6" fillId="3" borderId="3" xfId="1" applyNumberFormat="1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vertical="top" wrapText="1"/>
    </xf>
    <xf numFmtId="9" fontId="7" fillId="4" borderId="3" xfId="0" applyNumberFormat="1" applyFont="1" applyFill="1" applyBorder="1" applyAlignment="1">
      <alignment horizontal="left" vertical="center" wrapText="1" readingOrder="1"/>
    </xf>
    <xf numFmtId="0" fontId="2" fillId="0" borderId="0" xfId="0" applyFont="1"/>
    <xf numFmtId="0" fontId="0" fillId="5" borderId="0" xfId="0" applyFill="1"/>
    <xf numFmtId="0" fontId="0" fillId="0" borderId="4" xfId="0" applyBorder="1"/>
    <xf numFmtId="0" fontId="2" fillId="0" borderId="4" xfId="0" applyFont="1" applyBorder="1"/>
    <xf numFmtId="0" fontId="0" fillId="0" borderId="4" xfId="0" applyBorder="1" applyAlignment="1">
      <alignment horizontal="left"/>
    </xf>
    <xf numFmtId="14" fontId="0" fillId="0" borderId="0" xfId="0" applyNumberFormat="1"/>
    <xf numFmtId="165" fontId="0" fillId="5" borderId="0" xfId="2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 applyAlignment="1">
      <alignment horizontal="left"/>
    </xf>
    <xf numFmtId="0" fontId="0" fillId="0" borderId="5" xfId="0" applyBorder="1"/>
    <xf numFmtId="165" fontId="0" fillId="0" borderId="5" xfId="0" applyNumberFormat="1" applyBorder="1" applyAlignment="1">
      <alignment horizontal="center"/>
    </xf>
    <xf numFmtId="166" fontId="0" fillId="0" borderId="0" xfId="1" applyNumberFormat="1" applyFont="1"/>
    <xf numFmtId="10" fontId="0" fillId="6" borderId="0" xfId="3" applyNumberFormat="1" applyFont="1" applyFill="1"/>
    <xf numFmtId="0" fontId="9" fillId="0" borderId="0" xfId="0" applyFon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602615</xdr:colOff>
      <xdr:row>0</xdr:row>
      <xdr:rowOff>0</xdr:rowOff>
    </xdr:from>
    <xdr:to>
      <xdr:col>16</xdr:col>
      <xdr:colOff>250191</xdr:colOff>
      <xdr:row>15</xdr:row>
      <xdr:rowOff>85725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40337C6-3A36-44AF-B6EC-2485E582D9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0720" t="24483" r="35131" b="35278"/>
        <a:stretch/>
      </xdr:blipFill>
      <xdr:spPr>
        <a:xfrm>
          <a:off x="6647815" y="0"/>
          <a:ext cx="5743576" cy="2847975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</xdr:colOff>
      <xdr:row>16</xdr:row>
      <xdr:rowOff>47064</xdr:rowOff>
    </xdr:from>
    <xdr:to>
      <xdr:col>16</xdr:col>
      <xdr:colOff>175260</xdr:colOff>
      <xdr:row>37</xdr:row>
      <xdr:rowOff>130380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ED385A0-B903-4D07-9B58-330077FB4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94516" y="2942664"/>
          <a:ext cx="5631180" cy="3907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4B45F-B926-4DD8-8728-ABE79874C4C0}">
  <dimension ref="A1:F5"/>
  <sheetViews>
    <sheetView workbookViewId="0">
      <selection activeCell="E4" sqref="E4"/>
    </sheetView>
  </sheetViews>
  <sheetFormatPr defaultRowHeight="13.8"/>
  <cols>
    <col min="1" max="1" width="10.44140625" style="1" customWidth="1"/>
    <col min="2" max="2" width="13.77734375" style="1" customWidth="1"/>
    <col min="3" max="3" width="11.44140625" style="1" customWidth="1"/>
    <col min="4" max="4" width="12.33203125" style="1" customWidth="1"/>
    <col min="5" max="5" width="9.88671875" style="1" customWidth="1"/>
    <col min="6" max="6" width="8.77734375" style="1" customWidth="1"/>
    <col min="7" max="16384" width="8.88671875" style="1"/>
  </cols>
  <sheetData>
    <row r="1" spans="1:6" ht="47.4" thickBot="1">
      <c r="A1" s="2" t="s">
        <v>0</v>
      </c>
      <c r="B1" s="2" t="s">
        <v>1</v>
      </c>
      <c r="C1" s="2" t="s">
        <v>18</v>
      </c>
      <c r="D1" s="2" t="s">
        <v>2</v>
      </c>
      <c r="E1" s="2" t="s">
        <v>14</v>
      </c>
      <c r="F1" s="2" t="s">
        <v>15</v>
      </c>
    </row>
    <row r="2" spans="1:6" ht="31.2" thickTop="1" thickBot="1">
      <c r="A2" s="3" t="s">
        <v>3</v>
      </c>
      <c r="B2" s="3" t="s">
        <v>4</v>
      </c>
      <c r="C2" s="4">
        <v>0.15</v>
      </c>
      <c r="D2" s="3" t="s">
        <v>5</v>
      </c>
      <c r="E2" s="5">
        <f>50000*15%</f>
        <v>7500</v>
      </c>
      <c r="F2" s="6" t="s">
        <v>16</v>
      </c>
    </row>
    <row r="3" spans="1:6" ht="30.6" thickBot="1">
      <c r="A3" s="7" t="s">
        <v>6</v>
      </c>
      <c r="B3" s="7" t="s">
        <v>7</v>
      </c>
      <c r="C3" s="8">
        <v>0.15</v>
      </c>
      <c r="D3" s="7" t="s">
        <v>8</v>
      </c>
      <c r="E3" s="9">
        <f>10000*15%</f>
        <v>1500</v>
      </c>
      <c r="F3" s="10" t="s">
        <v>16</v>
      </c>
    </row>
    <row r="4" spans="1:6" ht="45.6" thickBot="1">
      <c r="A4" s="11" t="s">
        <v>9</v>
      </c>
      <c r="B4" s="11" t="s">
        <v>10</v>
      </c>
      <c r="C4" s="12">
        <v>0.15</v>
      </c>
      <c r="D4" s="11" t="s">
        <v>11</v>
      </c>
      <c r="E4" s="13">
        <f>110000*15%</f>
        <v>16500</v>
      </c>
      <c r="F4" s="14" t="s">
        <v>17</v>
      </c>
    </row>
    <row r="5" spans="1:6" ht="45.6" thickBot="1">
      <c r="A5" s="7" t="s">
        <v>12</v>
      </c>
      <c r="B5" s="7" t="s">
        <v>13</v>
      </c>
      <c r="C5" s="15">
        <v>0.15</v>
      </c>
      <c r="D5" s="7" t="s">
        <v>19</v>
      </c>
      <c r="E5" s="13">
        <f>110000*0.2*15%</f>
        <v>3300</v>
      </c>
      <c r="F5" s="14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C013F-30CA-4510-A230-A9B6BF441655}">
  <dimension ref="A1:H39"/>
  <sheetViews>
    <sheetView tabSelected="1" zoomScale="110" zoomScaleNormal="110" workbookViewId="0"/>
  </sheetViews>
  <sheetFormatPr defaultRowHeight="14.4"/>
  <cols>
    <col min="1" max="1" width="12.44140625" bestFit="1" customWidth="1"/>
    <col min="2" max="2" width="16.109375" bestFit="1" customWidth="1"/>
    <col min="3" max="3" width="24" customWidth="1"/>
    <col min="4" max="4" width="12.44140625" bestFit="1" customWidth="1"/>
    <col min="5" max="5" width="14.33203125" bestFit="1" customWidth="1"/>
  </cols>
  <sheetData>
    <row r="1" spans="1:6">
      <c r="A1" s="16" t="s">
        <v>20</v>
      </c>
    </row>
    <row r="2" spans="1:6">
      <c r="A2" s="18" t="s">
        <v>22</v>
      </c>
      <c r="B2" s="18" t="s">
        <v>23</v>
      </c>
      <c r="C2" s="19" t="s">
        <v>24</v>
      </c>
      <c r="D2" s="18" t="s">
        <v>20</v>
      </c>
      <c r="E2" s="20" t="s">
        <v>25</v>
      </c>
      <c r="F2" s="18"/>
    </row>
    <row r="3" spans="1:6">
      <c r="A3" s="21">
        <v>44635</v>
      </c>
      <c r="B3" s="22">
        <v>98.35</v>
      </c>
      <c r="C3" s="23">
        <f>-B3</f>
        <v>-98.35</v>
      </c>
      <c r="D3" s="23">
        <f>C3+B3</f>
        <v>0</v>
      </c>
      <c r="E3" s="24" t="s">
        <v>26</v>
      </c>
    </row>
    <row r="4" spans="1:6">
      <c r="A4" s="21">
        <f>A3+1</f>
        <v>44636</v>
      </c>
      <c r="B4" s="22">
        <v>90</v>
      </c>
      <c r="C4" s="23">
        <f>-B3</f>
        <v>-98.35</v>
      </c>
      <c r="D4" s="23">
        <f>-C4-B4</f>
        <v>8.3499999999999943</v>
      </c>
      <c r="E4" s="23">
        <f>D4*450*100</f>
        <v>375749.99999999971</v>
      </c>
    </row>
    <row r="5" spans="1:6">
      <c r="A5" s="21">
        <f t="shared" ref="A5:A15" si="0">A4+1</f>
        <v>44637</v>
      </c>
      <c r="B5" s="22">
        <v>85</v>
      </c>
      <c r="C5" s="23">
        <f>-B4</f>
        <v>-90</v>
      </c>
      <c r="D5" s="23">
        <f>IF(B5&gt;0,B4-B5,"")</f>
        <v>5</v>
      </c>
      <c r="E5" s="23">
        <f t="shared" ref="E5:E10" si="1">D5*450*100</f>
        <v>225000</v>
      </c>
    </row>
    <row r="6" spans="1:6">
      <c r="A6" s="21">
        <f t="shared" si="0"/>
        <v>44638</v>
      </c>
      <c r="B6" s="22">
        <v>92</v>
      </c>
      <c r="C6" s="23">
        <f t="shared" ref="C6:C15" si="2">-B5</f>
        <v>-85</v>
      </c>
      <c r="D6" s="23">
        <f t="shared" ref="D6:D10" si="3">IF(B6&gt;0,B5-B6,"")</f>
        <v>-7</v>
      </c>
      <c r="E6" s="23">
        <f t="shared" si="1"/>
        <v>-315000</v>
      </c>
    </row>
    <row r="7" spans="1:6">
      <c r="A7" s="21">
        <f t="shared" si="0"/>
        <v>44639</v>
      </c>
      <c r="B7" s="22">
        <v>95</v>
      </c>
      <c r="C7" s="23">
        <f t="shared" si="2"/>
        <v>-92</v>
      </c>
      <c r="D7" s="23">
        <f t="shared" si="3"/>
        <v>-3</v>
      </c>
      <c r="E7" s="23">
        <f t="shared" si="1"/>
        <v>-135000</v>
      </c>
    </row>
    <row r="8" spans="1:6">
      <c r="A8" s="21">
        <f t="shared" si="0"/>
        <v>44640</v>
      </c>
      <c r="B8" s="22">
        <v>93</v>
      </c>
      <c r="C8" s="23">
        <f t="shared" si="2"/>
        <v>-95</v>
      </c>
      <c r="D8" s="23">
        <f t="shared" si="3"/>
        <v>2</v>
      </c>
      <c r="E8" s="23">
        <f t="shared" si="1"/>
        <v>90000</v>
      </c>
    </row>
    <row r="9" spans="1:6">
      <c r="A9" s="21">
        <f t="shared" si="0"/>
        <v>44641</v>
      </c>
      <c r="B9" s="22">
        <v>92</v>
      </c>
      <c r="C9" s="23">
        <f t="shared" si="2"/>
        <v>-93</v>
      </c>
      <c r="D9" s="23">
        <f t="shared" si="3"/>
        <v>1</v>
      </c>
      <c r="E9" s="23">
        <f t="shared" si="1"/>
        <v>45000</v>
      </c>
    </row>
    <row r="10" spans="1:6">
      <c r="A10" s="21">
        <f t="shared" si="0"/>
        <v>44642</v>
      </c>
      <c r="B10" s="22">
        <v>95</v>
      </c>
      <c r="C10" s="23">
        <f t="shared" si="2"/>
        <v>-92</v>
      </c>
      <c r="D10" s="23">
        <f t="shared" si="3"/>
        <v>-3</v>
      </c>
      <c r="E10" s="23">
        <f t="shared" si="1"/>
        <v>-135000</v>
      </c>
    </row>
    <row r="11" spans="1:6">
      <c r="A11" s="21">
        <f t="shared" si="0"/>
        <v>44643</v>
      </c>
      <c r="B11" s="22">
        <v>93</v>
      </c>
      <c r="C11" s="23">
        <f t="shared" si="2"/>
        <v>-95</v>
      </c>
      <c r="D11" s="23">
        <f t="shared" ref="D11:D15" si="4">IF(B11&gt;0,B10-B11,"")</f>
        <v>2</v>
      </c>
      <c r="E11" s="23">
        <f t="shared" ref="E11:E15" si="5">D11*450*100</f>
        <v>90000</v>
      </c>
    </row>
    <row r="12" spans="1:6">
      <c r="A12" s="21">
        <f t="shared" si="0"/>
        <v>44644</v>
      </c>
      <c r="B12" s="22">
        <v>92</v>
      </c>
      <c r="C12" s="23">
        <f t="shared" si="2"/>
        <v>-93</v>
      </c>
      <c r="D12" s="23">
        <f t="shared" si="4"/>
        <v>1</v>
      </c>
      <c r="E12" s="23">
        <f t="shared" si="5"/>
        <v>45000</v>
      </c>
    </row>
    <row r="13" spans="1:6">
      <c r="A13" s="21">
        <f t="shared" si="0"/>
        <v>44645</v>
      </c>
      <c r="B13" s="22">
        <v>97</v>
      </c>
      <c r="C13" s="23">
        <f t="shared" si="2"/>
        <v>-92</v>
      </c>
      <c r="D13" s="23">
        <f t="shared" si="4"/>
        <v>-5</v>
      </c>
      <c r="E13" s="23">
        <f t="shared" si="5"/>
        <v>-225000</v>
      </c>
    </row>
    <row r="14" spans="1:6">
      <c r="A14" s="21">
        <f t="shared" si="0"/>
        <v>44646</v>
      </c>
      <c r="B14" s="22">
        <v>95</v>
      </c>
      <c r="C14" s="23">
        <f t="shared" si="2"/>
        <v>-97</v>
      </c>
      <c r="D14" s="23">
        <f t="shared" si="4"/>
        <v>2</v>
      </c>
      <c r="E14" s="23">
        <f t="shared" si="5"/>
        <v>90000</v>
      </c>
    </row>
    <row r="15" spans="1:6">
      <c r="A15" s="21">
        <f t="shared" si="0"/>
        <v>44647</v>
      </c>
      <c r="B15" s="22">
        <v>96</v>
      </c>
      <c r="C15" s="23">
        <f t="shared" si="2"/>
        <v>-95</v>
      </c>
      <c r="D15" s="23">
        <f t="shared" si="4"/>
        <v>-1</v>
      </c>
      <c r="E15" s="23">
        <f t="shared" si="5"/>
        <v>-45000</v>
      </c>
    </row>
    <row r="16" spans="1:6" ht="15" thickBot="1">
      <c r="A16" s="25" t="s">
        <v>27</v>
      </c>
      <c r="B16" s="26"/>
      <c r="C16" s="26"/>
      <c r="D16" s="26">
        <f>SUM(D3:D15)</f>
        <v>2.3499999999999943</v>
      </c>
      <c r="E16" s="26">
        <f>SUM(E4:E15)</f>
        <v>105749.99999999977</v>
      </c>
    </row>
    <row r="17" spans="1:6" ht="15" thickTop="1"/>
    <row r="18" spans="1:6">
      <c r="A18" s="16" t="s">
        <v>20</v>
      </c>
      <c r="B18" s="17" t="s">
        <v>21</v>
      </c>
      <c r="C18" s="17"/>
    </row>
    <row r="19" spans="1:6">
      <c r="A19" s="18" t="s">
        <v>22</v>
      </c>
      <c r="B19" s="18" t="s">
        <v>23</v>
      </c>
      <c r="C19" s="19" t="s">
        <v>28</v>
      </c>
      <c r="D19" s="18" t="s">
        <v>20</v>
      </c>
      <c r="E19" s="20" t="s">
        <v>25</v>
      </c>
      <c r="F19" s="18"/>
    </row>
    <row r="20" spans="1:6">
      <c r="A20" s="21">
        <v>44635</v>
      </c>
      <c r="B20" s="22">
        <v>98.35</v>
      </c>
      <c r="C20" s="23">
        <f>B20</f>
        <v>98.35</v>
      </c>
      <c r="D20" s="23">
        <f>B20-C20</f>
        <v>0</v>
      </c>
      <c r="E20" s="24" t="s">
        <v>26</v>
      </c>
    </row>
    <row r="21" spans="1:6">
      <c r="A21" s="21">
        <f>A20+1</f>
        <v>44636</v>
      </c>
      <c r="B21" s="22">
        <v>90</v>
      </c>
      <c r="C21" s="23">
        <f>B20</f>
        <v>98.35</v>
      </c>
      <c r="D21" s="23">
        <f t="shared" ref="D21:D27" si="6">B21-C21</f>
        <v>-8.3499999999999943</v>
      </c>
      <c r="E21" s="23">
        <f>D21*450*100</f>
        <v>-375749.99999999971</v>
      </c>
    </row>
    <row r="22" spans="1:6">
      <c r="A22" s="21">
        <f t="shared" ref="A22:A32" si="7">A21+1</f>
        <v>44637</v>
      </c>
      <c r="B22" s="22">
        <v>85</v>
      </c>
      <c r="C22" s="23">
        <f t="shared" ref="C22:C32" si="8">B21</f>
        <v>90</v>
      </c>
      <c r="D22" s="23">
        <f t="shared" si="6"/>
        <v>-5</v>
      </c>
      <c r="E22" s="23">
        <f t="shared" ref="E22:E27" si="9">D22*450*100</f>
        <v>-225000</v>
      </c>
    </row>
    <row r="23" spans="1:6">
      <c r="A23" s="21">
        <f t="shared" si="7"/>
        <v>44638</v>
      </c>
      <c r="B23" s="22">
        <v>92</v>
      </c>
      <c r="C23" s="23">
        <f t="shared" si="8"/>
        <v>85</v>
      </c>
      <c r="D23" s="23">
        <f t="shared" si="6"/>
        <v>7</v>
      </c>
      <c r="E23" s="23">
        <f t="shared" si="9"/>
        <v>315000</v>
      </c>
    </row>
    <row r="24" spans="1:6">
      <c r="A24" s="21">
        <f t="shared" si="7"/>
        <v>44639</v>
      </c>
      <c r="B24" s="22">
        <v>95</v>
      </c>
      <c r="C24" s="23">
        <f t="shared" si="8"/>
        <v>92</v>
      </c>
      <c r="D24" s="23">
        <f t="shared" si="6"/>
        <v>3</v>
      </c>
      <c r="E24" s="23">
        <f t="shared" si="9"/>
        <v>135000</v>
      </c>
    </row>
    <row r="25" spans="1:6">
      <c r="A25" s="21">
        <f t="shared" si="7"/>
        <v>44640</v>
      </c>
      <c r="B25" s="22">
        <v>93</v>
      </c>
      <c r="C25" s="23">
        <f t="shared" si="8"/>
        <v>95</v>
      </c>
      <c r="D25" s="23">
        <f t="shared" si="6"/>
        <v>-2</v>
      </c>
      <c r="E25" s="23">
        <f t="shared" si="9"/>
        <v>-90000</v>
      </c>
    </row>
    <row r="26" spans="1:6">
      <c r="A26" s="21">
        <f t="shared" si="7"/>
        <v>44641</v>
      </c>
      <c r="B26" s="22">
        <v>92</v>
      </c>
      <c r="C26" s="23">
        <f t="shared" si="8"/>
        <v>93</v>
      </c>
      <c r="D26" s="23">
        <f t="shared" si="6"/>
        <v>-1</v>
      </c>
      <c r="E26" s="23">
        <f t="shared" si="9"/>
        <v>-45000</v>
      </c>
    </row>
    <row r="27" spans="1:6">
      <c r="A27" s="21">
        <f t="shared" si="7"/>
        <v>44642</v>
      </c>
      <c r="B27" s="22">
        <v>95</v>
      </c>
      <c r="C27" s="23">
        <f t="shared" si="8"/>
        <v>92</v>
      </c>
      <c r="D27" s="23">
        <f t="shared" si="6"/>
        <v>3</v>
      </c>
      <c r="E27" s="23">
        <f t="shared" si="9"/>
        <v>135000</v>
      </c>
    </row>
    <row r="28" spans="1:6">
      <c r="A28" s="21">
        <f t="shared" si="7"/>
        <v>44643</v>
      </c>
      <c r="B28" s="22">
        <v>93</v>
      </c>
      <c r="C28" s="23">
        <f t="shared" si="8"/>
        <v>95</v>
      </c>
      <c r="D28" s="23">
        <f t="shared" ref="D28:D32" si="10">B28-C28</f>
        <v>-2</v>
      </c>
      <c r="E28" s="23">
        <f t="shared" ref="E28:E32" si="11">D28*450*100</f>
        <v>-90000</v>
      </c>
    </row>
    <row r="29" spans="1:6">
      <c r="A29" s="21">
        <f t="shared" si="7"/>
        <v>44644</v>
      </c>
      <c r="B29" s="22">
        <v>92</v>
      </c>
      <c r="C29" s="23">
        <f t="shared" si="8"/>
        <v>93</v>
      </c>
      <c r="D29" s="23">
        <f t="shared" si="10"/>
        <v>-1</v>
      </c>
      <c r="E29" s="23">
        <f t="shared" si="11"/>
        <v>-45000</v>
      </c>
    </row>
    <row r="30" spans="1:6">
      <c r="A30" s="21">
        <f t="shared" si="7"/>
        <v>44645</v>
      </c>
      <c r="B30" s="22">
        <v>97</v>
      </c>
      <c r="C30" s="23">
        <f t="shared" si="8"/>
        <v>92</v>
      </c>
      <c r="D30" s="23">
        <f t="shared" si="10"/>
        <v>5</v>
      </c>
      <c r="E30" s="23">
        <f t="shared" si="11"/>
        <v>225000</v>
      </c>
    </row>
    <row r="31" spans="1:6">
      <c r="A31" s="21">
        <f t="shared" si="7"/>
        <v>44646</v>
      </c>
      <c r="B31" s="22">
        <v>95</v>
      </c>
      <c r="C31" s="23">
        <f t="shared" si="8"/>
        <v>97</v>
      </c>
      <c r="D31" s="23">
        <f t="shared" si="10"/>
        <v>-2</v>
      </c>
      <c r="E31" s="23">
        <f t="shared" si="11"/>
        <v>-90000</v>
      </c>
    </row>
    <row r="32" spans="1:6">
      <c r="A32" s="21">
        <f t="shared" si="7"/>
        <v>44647</v>
      </c>
      <c r="B32" s="22">
        <v>96</v>
      </c>
      <c r="C32" s="23">
        <f t="shared" si="8"/>
        <v>95</v>
      </c>
      <c r="D32" s="23">
        <f t="shared" si="10"/>
        <v>1</v>
      </c>
      <c r="E32" s="23">
        <f t="shared" si="11"/>
        <v>45000</v>
      </c>
    </row>
    <row r="33" spans="1:8" ht="15" thickBot="1">
      <c r="A33" s="25" t="s">
        <v>27</v>
      </c>
      <c r="B33" s="26"/>
      <c r="C33" s="26"/>
      <c r="D33" s="26">
        <f>SUM(D20:D32)</f>
        <v>-2.3499999999999943</v>
      </c>
      <c r="E33" s="26">
        <f>SUM(E21:E32)</f>
        <v>-105749.99999999977</v>
      </c>
    </row>
    <row r="34" spans="1:8" ht="15" thickTop="1"/>
    <row r="35" spans="1:8">
      <c r="A35" s="29" t="s">
        <v>36</v>
      </c>
    </row>
    <row r="39" spans="1:8">
      <c r="H39" t="s">
        <v>29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485A7-7B40-429D-A965-16AE1C7F138E}">
  <dimension ref="A2:C6"/>
  <sheetViews>
    <sheetView zoomScale="160" zoomScaleNormal="160" workbookViewId="0">
      <selection activeCell="B5" sqref="B5"/>
    </sheetView>
  </sheetViews>
  <sheetFormatPr defaultRowHeight="14.4"/>
  <cols>
    <col min="1" max="1" width="14.33203125" customWidth="1"/>
    <col min="2" max="2" width="10.44140625" bestFit="1" customWidth="1"/>
  </cols>
  <sheetData>
    <row r="2" spans="1:3">
      <c r="A2" t="s">
        <v>30</v>
      </c>
      <c r="B2" s="27">
        <v>5640.1350000000002</v>
      </c>
      <c r="C2" t="s">
        <v>35</v>
      </c>
    </row>
    <row r="3" spans="1:3">
      <c r="A3" t="s">
        <v>31</v>
      </c>
      <c r="B3" s="27">
        <v>5272.6779999999999</v>
      </c>
      <c r="C3" t="s">
        <v>35</v>
      </c>
    </row>
    <row r="5" spans="1:3">
      <c r="A5" t="s">
        <v>32</v>
      </c>
      <c r="B5" s="28">
        <f>(B2/B3)-1</f>
        <v>6.9690771937903406E-2</v>
      </c>
      <c r="C5" t="s">
        <v>33</v>
      </c>
    </row>
    <row r="6" spans="1:3">
      <c r="A6" t="s">
        <v>34</v>
      </c>
    </row>
  </sheetData>
  <phoneticPr fontId="8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MargemGarantia</vt:lpstr>
      <vt:lpstr>AjusteDiárioMilho</vt:lpstr>
      <vt:lpstr>CustoHedge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beren</dc:creator>
  <cp:lastModifiedBy>beren</cp:lastModifiedBy>
  <dcterms:created xsi:type="dcterms:W3CDTF">2022-12-12T08:45:49Z</dcterms:created>
  <dcterms:modified xsi:type="dcterms:W3CDTF">2023-01-20T03:07:57Z</dcterms:modified>
</cp:coreProperties>
</file>