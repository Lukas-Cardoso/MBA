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mo Rico MBA\"/>
    </mc:Choice>
  </mc:AlternateContent>
  <xr:revisionPtr revIDLastSave="0" documentId="13_ncr:1_{6C02D77B-0E78-42B9-970C-2D8D04CECE70}" xr6:coauthVersionLast="47" xr6:coauthVersionMax="47" xr10:uidLastSave="{00000000-0000-0000-0000-000000000000}"/>
  <bookViews>
    <workbookView xWindow="-108" yWindow="-108" windowWidth="23256" windowHeight="12576" activeTab="3" xr2:uid="{0308C258-CE56-4623-ABA2-A49D6FA5F7EB}"/>
  </bookViews>
  <sheets>
    <sheet name="CustoFutUSD" sheetId="1" r:id="rId1"/>
    <sheet name="PUDIFut" sheetId="2" r:id="rId2"/>
    <sheet name="ADIbovespa" sheetId="3" r:id="rId3"/>
    <sheet name="FuturoSoj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5" l="1"/>
  <c r="B18" i="5" s="1"/>
  <c r="B16" i="5"/>
  <c r="B12" i="5"/>
  <c r="B13" i="5" s="1"/>
  <c r="B11" i="5"/>
  <c r="C8" i="5"/>
  <c r="H5" i="5"/>
  <c r="C5" i="5"/>
  <c r="B13" i="2"/>
  <c r="C7" i="5"/>
  <c r="D18" i="5" l="1"/>
  <c r="D13" i="5"/>
</calcChain>
</file>

<file path=xl/sharedStrings.xml><?xml version="1.0" encoding="utf-8"?>
<sst xmlns="http://schemas.openxmlformats.org/spreadsheetml/2006/main" count="82" uniqueCount="62">
  <si>
    <t>PU = 100.000 / (1 + Taxa Pré equivalente ao DI Futuro % a.a.) ^ (dias úteis/252)</t>
  </si>
  <si>
    <t>VF = VP * (1 + i%)^n</t>
  </si>
  <si>
    <t>Qual é o custo de comprar dólar futuro?</t>
  </si>
  <si>
    <t>USD Futuro</t>
  </si>
  <si>
    <t>R$/USD</t>
  </si>
  <si>
    <t>Spot</t>
  </si>
  <si>
    <t>VC R$/USD</t>
  </si>
  <si>
    <t>a.p.</t>
  </si>
  <si>
    <t>Período</t>
  </si>
  <si>
    <t>d.c.</t>
  </si>
  <si>
    <t>Ano</t>
  </si>
  <si>
    <t>a.a.</t>
  </si>
  <si>
    <t>Este é o custo de comprar dólar futuro para o prazo em questão.</t>
  </si>
  <si>
    <t>AD = (112.490 - 113.665) pts x 0,20 R$/pt x 1 contrato = - R$ 235 por contrato</t>
  </si>
  <si>
    <t xml:space="preserve">PAt−1 </t>
  </si>
  <si>
    <t>PAt</t>
  </si>
  <si>
    <t>M</t>
  </si>
  <si>
    <t>n</t>
  </si>
  <si>
    <t>No contrato "cheio", 1 ponto = R$ 1.</t>
  </si>
  <si>
    <t>preço de ajuste hoje</t>
  </si>
  <si>
    <t>preço de ajuste ontem</t>
  </si>
  <si>
    <t>contratos</t>
  </si>
  <si>
    <t>AD</t>
  </si>
  <si>
    <t>ajuste diário hoje</t>
  </si>
  <si>
    <r>
      <t>AD</t>
    </r>
    <r>
      <rPr>
        <b/>
        <vertAlign val="subscript"/>
        <sz val="14"/>
        <color rgb="FF595959"/>
        <rFont val="Arial"/>
        <family val="2"/>
      </rPr>
      <t>t</t>
    </r>
    <r>
      <rPr>
        <b/>
        <sz val="14"/>
        <color rgb="FF595959"/>
        <rFont val="Arial"/>
        <family val="2"/>
      </rPr>
      <t xml:space="preserve"> = (PA</t>
    </r>
    <r>
      <rPr>
        <b/>
        <vertAlign val="subscript"/>
        <sz val="14"/>
        <color rgb="FF595959"/>
        <rFont val="Arial"/>
        <family val="2"/>
      </rPr>
      <t>t</t>
    </r>
    <r>
      <rPr>
        <b/>
        <sz val="14"/>
        <color rgb="FF595959"/>
        <rFont val="Arial"/>
        <family val="2"/>
      </rPr>
      <t xml:space="preserve"> − PA</t>
    </r>
    <r>
      <rPr>
        <b/>
        <vertAlign val="subscript"/>
        <sz val="14"/>
        <color rgb="FF595959"/>
        <rFont val="Arial"/>
        <family val="2"/>
      </rPr>
      <t xml:space="preserve">t−1 </t>
    </r>
    <r>
      <rPr>
        <b/>
        <sz val="14"/>
        <color rgb="FF595959"/>
        <rFont val="Arial"/>
        <family val="2"/>
      </rPr>
      <t>) × M × n</t>
    </r>
  </si>
  <si>
    <r>
      <t xml:space="preserve">R$ 1, se for o contrato futuro "cheio" e R$ 0,20 se for o </t>
    </r>
    <r>
      <rPr>
        <b/>
        <sz val="14"/>
        <color rgb="FF595959"/>
        <rFont val="Arial"/>
        <family val="2"/>
      </rPr>
      <t>Mini Contrato Futuro de Ibovespa</t>
    </r>
    <r>
      <rPr>
        <sz val="14"/>
        <color rgb="FF595959"/>
        <rFont val="Arial"/>
        <family val="2"/>
      </rPr>
      <t>.</t>
    </r>
  </si>
  <si>
    <t>O PU do DI Futuro</t>
  </si>
  <si>
    <t>Ajuste Diário no Futuro de Ibovespa</t>
  </si>
  <si>
    <t>VF</t>
  </si>
  <si>
    <t>DI-Fut</t>
  </si>
  <si>
    <t>Prazo a decorrer</t>
  </si>
  <si>
    <t>d.u.</t>
  </si>
  <si>
    <t>1 ano</t>
  </si>
  <si>
    <t>PU (VP)</t>
  </si>
  <si>
    <t>Proteção contra</t>
  </si>
  <si>
    <t>ALTA</t>
  </si>
  <si>
    <t>preço futuro da soja, em USD</t>
  </si>
  <si>
    <t>+</t>
  </si>
  <si>
    <t>cents USD/bushel</t>
  </si>
  <si>
    <t>USD/saca</t>
  </si>
  <si>
    <t>R$/saca</t>
  </si>
  <si>
    <t>-</t>
  </si>
  <si>
    <t>Quantidade</t>
  </si>
  <si>
    <t>bushel</t>
  </si>
  <si>
    <t>Notional USD VF</t>
  </si>
  <si>
    <t>Medidas e Conversões: Soja CBOT</t>
  </si>
  <si>
    <t>Cen 1:</t>
  </si>
  <si>
    <t>1 contrato =</t>
  </si>
  <si>
    <t>Ajuste</t>
  </si>
  <si>
    <t>USD</t>
  </si>
  <si>
    <t>US$/sc de 60 Kg =</t>
  </si>
  <si>
    <t>* US$¢/bushel</t>
  </si>
  <si>
    <t>Compras</t>
  </si>
  <si>
    <t>Líquido</t>
  </si>
  <si>
    <t>Cen 2:</t>
  </si>
  <si>
    <r>
      <t xml:space="preserve">Futuro </t>
    </r>
    <r>
      <rPr>
        <b/>
        <sz val="11"/>
        <color rgb="FFFF0000"/>
        <rFont val="Calibri"/>
        <family val="2"/>
        <scheme val="minor"/>
      </rPr>
      <t>Soja CBOT</t>
    </r>
  </si>
  <si>
    <r>
      <rPr>
        <b/>
        <sz val="11"/>
        <color theme="1"/>
        <rFont val="Calibri"/>
        <family val="2"/>
        <scheme val="minor"/>
      </rPr>
      <t>Compra Futuro</t>
    </r>
    <r>
      <rPr>
        <sz val="11"/>
        <color theme="1"/>
        <rFont val="Calibri"/>
        <family val="2"/>
        <scheme val="minor"/>
      </rPr>
      <t xml:space="preserve"> a </t>
    </r>
  </si>
  <si>
    <t>Lote padrão B3: 450 sacas de 60kg líquidos</t>
  </si>
  <si>
    <r>
      <rPr>
        <b/>
        <sz val="11"/>
        <color theme="1"/>
        <rFont val="Calibri"/>
        <family val="2"/>
        <scheme val="minor"/>
      </rPr>
      <t>recebe</t>
    </r>
    <r>
      <rPr>
        <sz val="11"/>
        <color theme="1"/>
        <rFont val="Calibri"/>
        <family val="2"/>
        <scheme val="minor"/>
      </rPr>
      <t xml:space="preserve"> ajuste em cenários de alta do preço da commodity</t>
    </r>
  </si>
  <si>
    <r>
      <rPr>
        <b/>
        <sz val="11"/>
        <color theme="1"/>
        <rFont val="Calibri"/>
        <family val="2"/>
        <scheme val="minor"/>
      </rPr>
      <t>paga</t>
    </r>
    <r>
      <rPr>
        <sz val="11"/>
        <color theme="1"/>
        <rFont val="Calibri"/>
        <family val="2"/>
        <scheme val="minor"/>
      </rPr>
      <t xml:space="preserve"> ajustes em cenários de baixa do preço da commodity</t>
    </r>
  </si>
  <si>
    <t>PU = 100.000 / (1 + 13,5% a.a.) ^ (140/252) = 93.206,62</t>
  </si>
  <si>
    <t>cp fut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</si>
</sst>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0"/>
    <numFmt numFmtId="165" formatCode="_-* #,##0_-;\-* #,##0_-;_-* &quot;-&quot;??_-;_-@_-"/>
    <numFmt numFmtId="166" formatCode="#,##0_ ;\-#,##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Roboto"/>
    </font>
    <font>
      <b/>
      <sz val="14"/>
      <color rgb="FF000000"/>
      <name val="Roboto"/>
    </font>
    <font>
      <sz val="14"/>
      <color rgb="FF333333"/>
      <name val="Roboto"/>
    </font>
    <font>
      <sz val="14"/>
      <color theme="1"/>
      <name val="Roboto"/>
    </font>
    <font>
      <sz val="14"/>
      <color rgb="FF595959"/>
      <name val="Arial"/>
      <family val="2"/>
    </font>
    <font>
      <b/>
      <sz val="14"/>
      <color rgb="FF595959"/>
      <name val="Arial"/>
      <family val="2"/>
    </font>
    <font>
      <b/>
      <vertAlign val="subscript"/>
      <sz val="14"/>
      <color rgb="FF595959"/>
      <name val="Arial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0" xfId="0" applyFont="1" applyAlignment="1">
      <alignment horizontal="left" vertical="center" readingOrder="1"/>
    </xf>
    <xf numFmtId="0" fontId="5" fillId="0" borderId="0" xfId="0" applyFont="1" applyAlignment="1">
      <alignment horizontal="left" vertical="center" readingOrder="1"/>
    </xf>
    <xf numFmtId="0" fontId="6" fillId="0" borderId="0" xfId="0" applyFont="1"/>
    <xf numFmtId="0" fontId="7" fillId="0" borderId="0" xfId="0" applyFont="1"/>
    <xf numFmtId="0" fontId="7" fillId="2" borderId="0" xfId="0" applyFont="1" applyFill="1"/>
    <xf numFmtId="10" fontId="7" fillId="2" borderId="0" xfId="2" applyNumberFormat="1" applyFont="1" applyFill="1"/>
    <xf numFmtId="164" fontId="7" fillId="2" borderId="0" xfId="0" applyNumberFormat="1" applyFont="1" applyFill="1"/>
    <xf numFmtId="1" fontId="7" fillId="2" borderId="0" xfId="0" applyNumberFormat="1" applyFont="1" applyFill="1"/>
    <xf numFmtId="0" fontId="8" fillId="0" borderId="0" xfId="0" applyFont="1" applyAlignment="1">
      <alignment horizontal="left" vertical="center" indent="1" readingOrder="1"/>
    </xf>
    <xf numFmtId="0" fontId="8" fillId="2" borderId="0" xfId="0" applyFont="1" applyFill="1" applyAlignment="1">
      <alignment horizontal="left" vertical="center" indent="1" readingOrder="1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2" fillId="0" borderId="0" xfId="0" applyFont="1"/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4" fontId="2" fillId="5" borderId="0" xfId="1" applyNumberFormat="1" applyFont="1" applyFill="1" applyAlignment="1">
      <alignment horizontal="center"/>
    </xf>
    <xf numFmtId="0" fontId="2" fillId="0" borderId="0" xfId="0" applyFont="1" applyAlignment="1">
      <alignment horizontal="left"/>
    </xf>
    <xf numFmtId="2" fontId="0" fillId="6" borderId="0" xfId="0" applyNumberFormat="1" applyFill="1"/>
    <xf numFmtId="3" fontId="0" fillId="7" borderId="0" xfId="1" applyNumberFormat="1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4" fontId="0" fillId="5" borderId="0" xfId="0" applyNumberFormat="1" applyFill="1" applyAlignment="1">
      <alignment horizontal="center"/>
    </xf>
    <xf numFmtId="165" fontId="0" fillId="0" borderId="0" xfId="1" applyNumberFormat="1" applyFont="1"/>
    <xf numFmtId="4" fontId="0" fillId="7" borderId="0" xfId="1" applyNumberFormat="1" applyFont="1" applyFill="1"/>
    <xf numFmtId="4" fontId="2" fillId="7" borderId="0" xfId="0" applyNumberFormat="1" applyFont="1" applyFill="1"/>
    <xf numFmtId="43" fontId="0" fillId="7" borderId="0" xfId="0" applyNumberFormat="1" applyFill="1"/>
    <xf numFmtId="0" fontId="12" fillId="0" borderId="0" xfId="0" applyFont="1" applyAlignment="1">
      <alignment horizontal="left"/>
    </xf>
    <xf numFmtId="43" fontId="0" fillId="0" borderId="0" xfId="1" applyFont="1"/>
    <xf numFmtId="43" fontId="0" fillId="0" borderId="0" xfId="0" applyNumberFormat="1"/>
    <xf numFmtId="165" fontId="4" fillId="2" borderId="0" xfId="1" applyNumberFormat="1" applyFont="1" applyFill="1" applyAlignment="1">
      <alignment horizontal="center" vertical="center" readingOrder="1"/>
    </xf>
    <xf numFmtId="10" fontId="4" fillId="2" borderId="0" xfId="2" applyNumberFormat="1" applyFont="1" applyFill="1" applyAlignment="1">
      <alignment horizontal="center" vertical="center" readingOrder="1"/>
    </xf>
    <xf numFmtId="0" fontId="4" fillId="2" borderId="0" xfId="0" applyFont="1" applyFill="1" applyAlignment="1">
      <alignment horizontal="center" vertical="center" readingOrder="1"/>
    </xf>
    <xf numFmtId="0" fontId="4" fillId="0" borderId="0" xfId="0" applyFont="1" applyAlignment="1">
      <alignment horizontal="center" vertical="center" readingOrder="1"/>
    </xf>
    <xf numFmtId="43" fontId="4" fillId="2" borderId="0" xfId="0" applyNumberFormat="1" applyFont="1" applyFill="1" applyAlignment="1">
      <alignment horizontal="center" vertical="center" readingOrder="1"/>
    </xf>
    <xf numFmtId="17" fontId="0" fillId="0" borderId="0" xfId="0" applyNumberFormat="1" applyAlignment="1">
      <alignment horizontal="center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2</xdr:row>
      <xdr:rowOff>0</xdr:rowOff>
    </xdr:from>
    <xdr:to>
      <xdr:col>9</xdr:col>
      <xdr:colOff>475833</xdr:colOff>
      <xdr:row>6</xdr:row>
      <xdr:rowOff>18933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2037AB7-9D7C-4FAC-B3B4-C7ED3B925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5660" y="457200"/>
          <a:ext cx="3333333" cy="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342B7-3EF4-419D-969A-DB0F87623DEF}">
  <dimension ref="A1:D12"/>
  <sheetViews>
    <sheetView workbookViewId="0">
      <selection activeCell="B3" sqref="B3"/>
    </sheetView>
  </sheetViews>
  <sheetFormatPr defaultRowHeight="18" x14ac:dyDescent="0.35"/>
  <cols>
    <col min="1" max="1" width="15.33203125" style="4" customWidth="1"/>
    <col min="2" max="2" width="11.5546875" style="4" customWidth="1"/>
    <col min="3" max="3" width="10.6640625" style="4" customWidth="1"/>
    <col min="4" max="16384" width="8.88671875" style="4"/>
  </cols>
  <sheetData>
    <row r="1" spans="1:4" x14ac:dyDescent="0.35">
      <c r="A1" s="2" t="s">
        <v>2</v>
      </c>
      <c r="D1" s="3"/>
    </row>
    <row r="3" spans="1:4" x14ac:dyDescent="0.35">
      <c r="A3" s="1" t="s">
        <v>3</v>
      </c>
      <c r="B3" s="7"/>
      <c r="C3" s="4" t="s">
        <v>4</v>
      </c>
    </row>
    <row r="4" spans="1:4" x14ac:dyDescent="0.35">
      <c r="A4" s="4" t="s">
        <v>5</v>
      </c>
      <c r="B4" s="7"/>
      <c r="C4" s="4" t="s">
        <v>4</v>
      </c>
    </row>
    <row r="6" spans="1:4" x14ac:dyDescent="0.35">
      <c r="A6" s="4" t="s">
        <v>6</v>
      </c>
      <c r="B6" s="6"/>
      <c r="C6" s="4" t="s">
        <v>7</v>
      </c>
    </row>
    <row r="8" spans="1:4" x14ac:dyDescent="0.35">
      <c r="A8" s="4" t="s">
        <v>8</v>
      </c>
      <c r="B8" s="8"/>
      <c r="C8" s="4" t="s">
        <v>9</v>
      </c>
    </row>
    <row r="9" spans="1:4" x14ac:dyDescent="0.35">
      <c r="A9" s="4" t="s">
        <v>10</v>
      </c>
      <c r="B9" s="4">
        <v>360</v>
      </c>
      <c r="C9" s="4" t="s">
        <v>9</v>
      </c>
    </row>
    <row r="11" spans="1:4" x14ac:dyDescent="0.35">
      <c r="A11" s="4" t="s">
        <v>6</v>
      </c>
      <c r="B11" s="5"/>
      <c r="C11" s="4" t="s">
        <v>11</v>
      </c>
    </row>
    <row r="12" spans="1:4" x14ac:dyDescent="0.35">
      <c r="A12" s="4" t="s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1081-3AE5-493C-AF55-5D025122CFBE}">
  <dimension ref="A1:C14"/>
  <sheetViews>
    <sheetView workbookViewId="0">
      <selection activeCell="B10" sqref="B10"/>
    </sheetView>
  </sheetViews>
  <sheetFormatPr defaultRowHeight="14.4" x14ac:dyDescent="0.3"/>
  <cols>
    <col min="1" max="1" width="21" customWidth="1"/>
    <col min="2" max="2" width="15.88671875" style="12" customWidth="1"/>
  </cols>
  <sheetData>
    <row r="1" spans="1:3" ht="18" x14ac:dyDescent="0.3">
      <c r="A1" s="2" t="s">
        <v>26</v>
      </c>
    </row>
    <row r="3" spans="1:3" ht="18" x14ac:dyDescent="0.3">
      <c r="A3" s="2" t="s">
        <v>1</v>
      </c>
    </row>
    <row r="5" spans="1:3" ht="18" x14ac:dyDescent="0.3">
      <c r="A5" s="1" t="s">
        <v>0</v>
      </c>
    </row>
    <row r="7" spans="1:3" ht="18" x14ac:dyDescent="0.3">
      <c r="A7" s="1" t="s">
        <v>60</v>
      </c>
    </row>
    <row r="9" spans="1:3" ht="18" x14ac:dyDescent="0.3">
      <c r="A9" s="1" t="s">
        <v>28</v>
      </c>
      <c r="B9" s="30">
        <v>100000</v>
      </c>
      <c r="C9" s="1"/>
    </row>
    <row r="10" spans="1:3" ht="18" x14ac:dyDescent="0.3">
      <c r="A10" s="1" t="s">
        <v>29</v>
      </c>
      <c r="B10" s="31">
        <v>0.13500000000000001</v>
      </c>
      <c r="C10" s="1" t="s">
        <v>11</v>
      </c>
    </row>
    <row r="11" spans="1:3" ht="18" x14ac:dyDescent="0.3">
      <c r="A11" s="1" t="s">
        <v>30</v>
      </c>
      <c r="B11" s="32">
        <v>140</v>
      </c>
      <c r="C11" s="1" t="s">
        <v>31</v>
      </c>
    </row>
    <row r="12" spans="1:3" ht="18" x14ac:dyDescent="0.3">
      <c r="A12" s="1" t="s">
        <v>32</v>
      </c>
      <c r="B12" s="33">
        <v>252</v>
      </c>
      <c r="C12" s="1" t="s">
        <v>31</v>
      </c>
    </row>
    <row r="13" spans="1:3" ht="18" x14ac:dyDescent="0.3">
      <c r="A13" s="1" t="s">
        <v>33</v>
      </c>
      <c r="B13" s="34">
        <f>B9/(1+B10)^(B11/B12)</f>
        <v>93206.616647859628</v>
      </c>
      <c r="C13" s="1"/>
    </row>
    <row r="14" spans="1:3" ht="18" x14ac:dyDescent="0.3">
      <c r="A14" s="1"/>
      <c r="B14" s="33"/>
      <c r="C14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D80A1-0FF5-42FB-8846-21001F23AAC1}">
  <dimension ref="A1:K12"/>
  <sheetViews>
    <sheetView workbookViewId="0">
      <selection activeCell="B12" sqref="B12"/>
    </sheetView>
  </sheetViews>
  <sheetFormatPr defaultRowHeight="14.4" x14ac:dyDescent="0.3"/>
  <cols>
    <col min="1" max="1" width="9.44140625" customWidth="1"/>
  </cols>
  <sheetData>
    <row r="1" spans="1:11" ht="18" x14ac:dyDescent="0.3">
      <c r="A1" s="2" t="s">
        <v>27</v>
      </c>
    </row>
    <row r="3" spans="1:11" s="2" customFormat="1" ht="21" x14ac:dyDescent="0.3">
      <c r="A3" s="2" t="s">
        <v>24</v>
      </c>
    </row>
    <row r="4" spans="1:11" ht="17.399999999999999" x14ac:dyDescent="0.3">
      <c r="A4" s="9"/>
      <c r="B4" s="9"/>
      <c r="C4" s="9"/>
      <c r="D4" s="9"/>
      <c r="E4" s="9" t="s">
        <v>18</v>
      </c>
      <c r="F4" s="9"/>
      <c r="G4" s="9"/>
      <c r="H4" s="9"/>
      <c r="I4" s="9"/>
      <c r="J4" s="9"/>
      <c r="K4" s="9"/>
    </row>
    <row r="5" spans="1:11" ht="17.399999999999999" x14ac:dyDescent="0.3">
      <c r="A5" s="9" t="s">
        <v>13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7.399999999999999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ht="17.399999999999999" x14ac:dyDescent="0.3">
      <c r="A7" s="9" t="s">
        <v>15</v>
      </c>
      <c r="B7" s="10"/>
      <c r="C7" s="9" t="s">
        <v>19</v>
      </c>
      <c r="D7" s="9"/>
      <c r="E7" s="9"/>
      <c r="F7" s="9"/>
      <c r="G7" s="9"/>
      <c r="H7" s="9"/>
      <c r="I7" s="9"/>
      <c r="J7" s="9"/>
      <c r="K7" s="9"/>
    </row>
    <row r="8" spans="1:11" ht="17.399999999999999" x14ac:dyDescent="0.3">
      <c r="A8" s="9" t="s">
        <v>14</v>
      </c>
      <c r="B8" s="10"/>
      <c r="C8" s="9" t="s">
        <v>20</v>
      </c>
      <c r="D8" s="9"/>
      <c r="E8" s="9"/>
      <c r="F8" s="9"/>
      <c r="G8" s="9"/>
      <c r="H8" s="9"/>
      <c r="I8" s="9"/>
      <c r="J8" s="9"/>
      <c r="K8" s="9"/>
    </row>
    <row r="9" spans="1:11" ht="17.399999999999999" x14ac:dyDescent="0.3">
      <c r="A9" s="9" t="s">
        <v>16</v>
      </c>
      <c r="B9" s="10"/>
      <c r="C9" s="9" t="s">
        <v>25</v>
      </c>
      <c r="D9" s="9"/>
      <c r="E9" s="9"/>
      <c r="F9" s="9"/>
      <c r="G9" s="9"/>
      <c r="H9" s="9"/>
      <c r="I9" s="9"/>
      <c r="J9" s="9"/>
      <c r="K9" s="9"/>
    </row>
    <row r="10" spans="1:11" ht="17.399999999999999" x14ac:dyDescent="0.3">
      <c r="A10" s="9" t="s">
        <v>17</v>
      </c>
      <c r="B10" s="10"/>
      <c r="C10" s="9" t="s">
        <v>21</v>
      </c>
      <c r="D10" s="9"/>
      <c r="E10" s="9"/>
      <c r="F10" s="9"/>
      <c r="G10" s="9"/>
      <c r="H10" s="9"/>
      <c r="I10" s="9"/>
      <c r="J10" s="9"/>
      <c r="K10" s="9"/>
    </row>
    <row r="11" spans="1:11" ht="17.399999999999999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17.399999999999999" x14ac:dyDescent="0.3">
      <c r="A12" s="9" t="s">
        <v>22</v>
      </c>
      <c r="B12" s="10"/>
      <c r="C12" s="9" t="s">
        <v>23</v>
      </c>
      <c r="D12" s="9"/>
      <c r="E12" s="9"/>
      <c r="F12" s="9"/>
      <c r="G12" s="9"/>
      <c r="H12" s="9"/>
      <c r="I12" s="9"/>
      <c r="J12" s="9"/>
      <c r="K12" s="9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B847-5977-43F7-ACC0-254BB8EA01C0}">
  <dimension ref="A1:J18"/>
  <sheetViews>
    <sheetView tabSelected="1" zoomScale="140" zoomScaleNormal="140" workbookViewId="0">
      <selection activeCell="C1" sqref="C1"/>
    </sheetView>
  </sheetViews>
  <sheetFormatPr defaultRowHeight="14.4" x14ac:dyDescent="0.3"/>
  <cols>
    <col min="1" max="1" width="10.5546875" customWidth="1"/>
    <col min="2" max="2" width="15" customWidth="1"/>
    <col min="3" max="3" width="14.21875" bestFit="1" customWidth="1"/>
    <col min="4" max="4" width="13" bestFit="1" customWidth="1"/>
    <col min="5" max="5" width="11" customWidth="1"/>
    <col min="8" max="8" width="16.109375" customWidth="1"/>
    <col min="9" max="10" width="13.109375" bestFit="1" customWidth="1"/>
  </cols>
  <sheetData>
    <row r="1" spans="1:10" x14ac:dyDescent="0.3">
      <c r="B1" s="11" t="s">
        <v>55</v>
      </c>
      <c r="C1" s="35">
        <v>44986</v>
      </c>
    </row>
    <row r="2" spans="1:10" x14ac:dyDescent="0.3">
      <c r="B2" s="11" t="s">
        <v>34</v>
      </c>
      <c r="C2" s="13" t="s">
        <v>35</v>
      </c>
      <c r="D2" s="14" t="s">
        <v>36</v>
      </c>
    </row>
    <row r="3" spans="1:10" x14ac:dyDescent="0.3">
      <c r="C3" s="15" t="s">
        <v>37</v>
      </c>
      <c r="D3" s="16" t="s">
        <v>58</v>
      </c>
    </row>
    <row r="4" spans="1:10" x14ac:dyDescent="0.3">
      <c r="B4" t="s">
        <v>56</v>
      </c>
      <c r="C4" s="17">
        <v>1480</v>
      </c>
      <c r="D4" s="18" t="s">
        <v>38</v>
      </c>
    </row>
    <row r="5" spans="1:10" x14ac:dyDescent="0.3">
      <c r="C5" s="17">
        <f>C4/100*2.2047</f>
        <v>32.629559999999998</v>
      </c>
      <c r="D5" s="18" t="s">
        <v>39</v>
      </c>
      <c r="E5" t="s">
        <v>61</v>
      </c>
      <c r="F5" s="19">
        <v>5.4</v>
      </c>
      <c r="G5" t="s">
        <v>4</v>
      </c>
      <c r="H5" s="19">
        <f>C5*F5</f>
        <v>176.199624</v>
      </c>
      <c r="I5" t="s">
        <v>40</v>
      </c>
    </row>
    <row r="6" spans="1:10" x14ac:dyDescent="0.3">
      <c r="C6" s="15" t="s">
        <v>41</v>
      </c>
      <c r="D6" s="16" t="s">
        <v>59</v>
      </c>
    </row>
    <row r="7" spans="1:10" x14ac:dyDescent="0.3">
      <c r="B7" t="s">
        <v>42</v>
      </c>
      <c r="C7" s="20">
        <f>I10*10</f>
        <v>50000</v>
      </c>
      <c r="D7" s="18" t="s">
        <v>43</v>
      </c>
    </row>
    <row r="8" spans="1:10" x14ac:dyDescent="0.3">
      <c r="B8" t="s">
        <v>44</v>
      </c>
      <c r="C8" s="21">
        <f>-C7/100*C4</f>
        <v>-740000</v>
      </c>
      <c r="D8" s="16" t="s">
        <v>49</v>
      </c>
    </row>
    <row r="9" spans="1:10" x14ac:dyDescent="0.3">
      <c r="C9" s="12"/>
      <c r="D9" s="16"/>
      <c r="H9" t="s">
        <v>45</v>
      </c>
    </row>
    <row r="10" spans="1:10" x14ac:dyDescent="0.3">
      <c r="A10" t="s">
        <v>46</v>
      </c>
      <c r="B10" s="22">
        <v>1500</v>
      </c>
      <c r="C10" s="18" t="s">
        <v>38</v>
      </c>
      <c r="H10" t="s">
        <v>47</v>
      </c>
      <c r="I10" s="23">
        <v>5000</v>
      </c>
      <c r="J10" t="s">
        <v>43</v>
      </c>
    </row>
    <row r="11" spans="1:10" x14ac:dyDescent="0.3">
      <c r="A11" t="s">
        <v>48</v>
      </c>
      <c r="B11" s="24">
        <f>(B10-C4)/100*C7</f>
        <v>10000</v>
      </c>
      <c r="C11" t="s">
        <v>49</v>
      </c>
      <c r="H11" t="s">
        <v>50</v>
      </c>
      <c r="I11">
        <v>2.2047000000000001E-2</v>
      </c>
      <c r="J11" t="s">
        <v>51</v>
      </c>
    </row>
    <row r="12" spans="1:10" x14ac:dyDescent="0.3">
      <c r="A12" t="s">
        <v>52</v>
      </c>
      <c r="B12" s="24">
        <f>-B10/100*C7</f>
        <v>-750000</v>
      </c>
      <c r="C12" t="s">
        <v>49</v>
      </c>
    </row>
    <row r="13" spans="1:10" x14ac:dyDescent="0.3">
      <c r="A13" t="s">
        <v>53</v>
      </c>
      <c r="B13" s="25">
        <f>B12+B11</f>
        <v>-740000</v>
      </c>
      <c r="C13" t="s">
        <v>49</v>
      </c>
      <c r="D13" s="26">
        <f>B13/C7*100</f>
        <v>-1480</v>
      </c>
      <c r="E13" s="27" t="s">
        <v>38</v>
      </c>
      <c r="H13" t="s">
        <v>57</v>
      </c>
    </row>
    <row r="14" spans="1:10" x14ac:dyDescent="0.3">
      <c r="I14" s="28"/>
    </row>
    <row r="15" spans="1:10" x14ac:dyDescent="0.3">
      <c r="A15" t="s">
        <v>54</v>
      </c>
      <c r="B15" s="22">
        <v>1450</v>
      </c>
      <c r="C15" s="18" t="s">
        <v>38</v>
      </c>
      <c r="I15" s="29"/>
    </row>
    <row r="16" spans="1:10" x14ac:dyDescent="0.3">
      <c r="A16" t="s">
        <v>48</v>
      </c>
      <c r="B16" s="24">
        <f>(B15-C4)/100*C7</f>
        <v>-15000</v>
      </c>
      <c r="C16" t="s">
        <v>49</v>
      </c>
    </row>
    <row r="17" spans="1:5" x14ac:dyDescent="0.3">
      <c r="A17" t="s">
        <v>52</v>
      </c>
      <c r="B17" s="24">
        <f>-B15/100*C7</f>
        <v>-725000</v>
      </c>
      <c r="C17" t="s">
        <v>49</v>
      </c>
    </row>
    <row r="18" spans="1:5" x14ac:dyDescent="0.3">
      <c r="A18" t="s">
        <v>53</v>
      </c>
      <c r="B18" s="25">
        <f>B17+B16</f>
        <v>-740000</v>
      </c>
      <c r="C18" t="s">
        <v>49</v>
      </c>
      <c r="D18" s="26">
        <f>B18/C7*100</f>
        <v>-1480</v>
      </c>
      <c r="E18" s="27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CustoFutUSD</vt:lpstr>
      <vt:lpstr>PUDIFut</vt:lpstr>
      <vt:lpstr>ADIbovespa</vt:lpstr>
      <vt:lpstr>FuturoSoja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beren</dc:creator>
  <cp:lastModifiedBy>beren</cp:lastModifiedBy>
  <dcterms:created xsi:type="dcterms:W3CDTF">2021-10-04T02:41:47Z</dcterms:created>
  <dcterms:modified xsi:type="dcterms:W3CDTF">2023-01-20T03:08:03Z</dcterms:modified>
</cp:coreProperties>
</file>