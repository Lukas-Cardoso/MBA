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rafa_\Dropbox\Pessoal\Primo Rico\Carteiras\Gravação Dia 1\"/>
    </mc:Choice>
  </mc:AlternateContent>
  <xr:revisionPtr revIDLastSave="0" documentId="13_ncr:1_{5A019B93-B75A-447C-BAE4-4A9496F4F0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oluçã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H11" i="1"/>
  <c r="G11" i="1"/>
  <c r="H12" i="1"/>
  <c r="I12" i="1"/>
  <c r="G12" i="1"/>
  <c r="H5" i="1"/>
  <c r="I5" i="1"/>
  <c r="H6" i="1"/>
  <c r="I6" i="1"/>
  <c r="H7" i="1"/>
  <c r="I7" i="1"/>
  <c r="H8" i="1"/>
  <c r="I8" i="1"/>
  <c r="I4" i="1"/>
  <c r="H4" i="1"/>
  <c r="G5" i="1"/>
  <c r="G6" i="1"/>
  <c r="G7" i="1"/>
  <c r="G8" i="1"/>
  <c r="G4" i="1"/>
</calcChain>
</file>

<file path=xl/sharedStrings.xml><?xml version="1.0" encoding="utf-8"?>
<sst xmlns="http://schemas.openxmlformats.org/spreadsheetml/2006/main" count="19" uniqueCount="11">
  <si>
    <t>Retorno</t>
  </si>
  <si>
    <t>Risco</t>
  </si>
  <si>
    <t>Ano 5</t>
  </si>
  <si>
    <t>Ano 4</t>
  </si>
  <si>
    <t>Ano 3</t>
  </si>
  <si>
    <t>Ano 2</t>
  </si>
  <si>
    <t>Ano 1</t>
  </si>
  <si>
    <t>ETF EUA</t>
  </si>
  <si>
    <t>ETF Small Caps</t>
  </si>
  <si>
    <t>ETF Ibovespa</t>
  </si>
  <si>
    <t>Ano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</si>
</sst>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0" fontId="2" fillId="0" borderId="0" xfId="0" applyFont="1"/>
    <xf numFmtId="164" fontId="0" fillId="0" borderId="0" xfId="1" applyNumberFormat="1" applyFont="1"/>
    <xf numFmtId="164" fontId="0" fillId="0" borderId="1" xfId="0" applyNumberFormat="1" applyBorder="1"/>
    <xf numFmtId="0" fontId="2" fillId="0" borderId="1" xfId="0" applyFont="1" applyBorder="1"/>
    <xf numFmtId="165" fontId="0" fillId="0" borderId="1" xfId="0" applyNumberFormat="1" applyBorder="1"/>
    <xf numFmtId="0" fontId="0" fillId="0" borderId="1" xfId="0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5"/>
  <sheetViews>
    <sheetView showGridLines="0" tabSelected="1" workbookViewId="0">
      <selection activeCell="L12" sqref="L12"/>
    </sheetView>
  </sheetViews>
  <sheetFormatPr defaultRowHeight="15" x14ac:dyDescent="0.25"/>
  <cols>
    <col min="2" max="2" width="12.42578125" bestFit="1" customWidth="1"/>
    <col min="3" max="3" width="14" bestFit="1" customWidth="1"/>
    <col min="4" max="4" width="8.140625" bestFit="1" customWidth="1"/>
    <col min="7" max="7" width="12.42578125" bestFit="1" customWidth="1"/>
    <col min="8" max="8" width="14" bestFit="1" customWidth="1"/>
    <col min="9" max="9" width="8.140625" bestFit="1" customWidth="1"/>
  </cols>
  <sheetData>
    <row r="2" spans="1:9" x14ac:dyDescent="0.25">
      <c r="B2" s="6" t="s">
        <v>9</v>
      </c>
      <c r="C2" s="6" t="s">
        <v>8</v>
      </c>
      <c r="D2" s="6" t="s">
        <v>7</v>
      </c>
    </row>
    <row r="3" spans="1:9" x14ac:dyDescent="0.25">
      <c r="A3" s="6" t="s">
        <v>10</v>
      </c>
      <c r="B3" s="8">
        <v>130</v>
      </c>
      <c r="C3" s="8">
        <v>60</v>
      </c>
      <c r="D3" s="8">
        <v>76</v>
      </c>
      <c r="G3" s="6" t="s">
        <v>9</v>
      </c>
      <c r="H3" s="6" t="s">
        <v>8</v>
      </c>
      <c r="I3" s="6" t="s">
        <v>7</v>
      </c>
    </row>
    <row r="4" spans="1:9" x14ac:dyDescent="0.25">
      <c r="A4" s="6" t="s">
        <v>6</v>
      </c>
      <c r="B4" s="7">
        <v>136.5</v>
      </c>
      <c r="C4" s="7">
        <v>61.8</v>
      </c>
      <c r="D4" s="7">
        <v>81.3</v>
      </c>
      <c r="F4" s="6" t="s">
        <v>6</v>
      </c>
      <c r="G4" s="5">
        <f>B4/B3-1</f>
        <v>5.0000000000000044E-2</v>
      </c>
      <c r="H4" s="5">
        <f>C4/C3-1</f>
        <v>3.0000000000000027E-2</v>
      </c>
      <c r="I4" s="5">
        <f>D4/D3-1</f>
        <v>6.9736842105263097E-2</v>
      </c>
    </row>
    <row r="5" spans="1:9" x14ac:dyDescent="0.25">
      <c r="A5" s="6" t="s">
        <v>5</v>
      </c>
      <c r="B5" s="7">
        <v>154.19999999999999</v>
      </c>
      <c r="C5" s="7">
        <v>78.400000000000006</v>
      </c>
      <c r="D5" s="7">
        <v>92.7</v>
      </c>
      <c r="F5" s="6" t="s">
        <v>5</v>
      </c>
      <c r="G5" s="5">
        <f t="shared" ref="G5:G8" si="0">B5/B4-1</f>
        <v>0.12967032967032965</v>
      </c>
      <c r="H5" s="5">
        <f t="shared" ref="H5:H8" si="1">C5/C4-1</f>
        <v>0.26860841423948245</v>
      </c>
      <c r="I5" s="5">
        <f t="shared" ref="I5:I8" si="2">D5/D4-1</f>
        <v>0.14022140221402224</v>
      </c>
    </row>
    <row r="6" spans="1:9" x14ac:dyDescent="0.25">
      <c r="A6" s="6" t="s">
        <v>4</v>
      </c>
      <c r="B6" s="7">
        <v>149.6</v>
      </c>
      <c r="C6" s="7">
        <v>72.2</v>
      </c>
      <c r="D6" s="7">
        <v>93.6</v>
      </c>
      <c r="F6" s="6" t="s">
        <v>4</v>
      </c>
      <c r="G6" s="5">
        <f t="shared" si="0"/>
        <v>-2.983138780804151E-2</v>
      </c>
      <c r="H6" s="5">
        <f t="shared" si="1"/>
        <v>-7.9081632653061229E-2</v>
      </c>
      <c r="I6" s="5">
        <f t="shared" si="2"/>
        <v>9.7087378640776656E-3</v>
      </c>
    </row>
    <row r="7" spans="1:9" x14ac:dyDescent="0.25">
      <c r="A7" s="6" t="s">
        <v>3</v>
      </c>
      <c r="B7" s="7">
        <v>184</v>
      </c>
      <c r="C7" s="7">
        <v>90.2</v>
      </c>
      <c r="D7" s="7">
        <v>107.6</v>
      </c>
      <c r="F7" s="6" t="s">
        <v>3</v>
      </c>
      <c r="G7" s="5">
        <f t="shared" si="0"/>
        <v>0.22994652406417115</v>
      </c>
      <c r="H7" s="5">
        <f t="shared" si="1"/>
        <v>0.24930747922437679</v>
      </c>
      <c r="I7" s="5">
        <f t="shared" si="2"/>
        <v>0.14957264957264949</v>
      </c>
    </row>
    <row r="8" spans="1:9" x14ac:dyDescent="0.25">
      <c r="A8" s="6" t="s">
        <v>2</v>
      </c>
      <c r="B8" s="7">
        <v>215.3</v>
      </c>
      <c r="C8" s="7">
        <v>116.4</v>
      </c>
      <c r="D8" s="7">
        <v>121.6</v>
      </c>
      <c r="F8" s="6" t="s">
        <v>2</v>
      </c>
      <c r="G8" s="5">
        <f t="shared" si="0"/>
        <v>0.17010869565217401</v>
      </c>
      <c r="H8" s="5">
        <f t="shared" si="1"/>
        <v>0.29046563192904662</v>
      </c>
      <c r="I8" s="5">
        <f t="shared" si="2"/>
        <v>0.13011152416356886</v>
      </c>
    </row>
    <row r="11" spans="1:9" x14ac:dyDescent="0.25">
      <c r="F11" s="3" t="s">
        <v>1</v>
      </c>
      <c r="G11" s="4">
        <f>_xlfn.STDEV.S(G4:G8)</f>
        <v>0.10190677182281674</v>
      </c>
      <c r="H11" s="4">
        <f>_xlfn.STDEV.S(H4:H8)</f>
        <v>0.16622396181773003</v>
      </c>
      <c r="I11" s="4">
        <f>_xlfn.STDEV.S(I4:I8)</f>
        <v>5.9266768119451918E-2</v>
      </c>
    </row>
    <row r="12" spans="1:9" x14ac:dyDescent="0.25">
      <c r="F12" s="3" t="s">
        <v>0</v>
      </c>
      <c r="G12" s="2">
        <f>AVERAGE(G4:G8)</f>
        <v>0.10997883231572667</v>
      </c>
      <c r="H12" s="2">
        <f t="shared" ref="H12:I12" si="3">AVERAGE(H4:H8)</f>
        <v>0.15185997854796893</v>
      </c>
      <c r="I12" s="2">
        <f t="shared" si="3"/>
        <v>9.9870231183916275E-2</v>
      </c>
    </row>
    <row r="15" spans="1:9" x14ac:dyDescent="0.25">
      <c r="B15" s="1"/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Resolução</vt:lpstr>
    </vt:vector>
  </TitlesOfParts>
  <Company>Nestle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Piva,Rafael,SAO PAULO,Treasury Services</dc:creator>
  <cp:lastModifiedBy>Rafael Fernandes Piva</cp:lastModifiedBy>
  <dcterms:created xsi:type="dcterms:W3CDTF">2020-09-08T01:33:32Z</dcterms:created>
  <dcterms:modified xsi:type="dcterms:W3CDTF">2022-11-17T18:28:59Z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iteId">
    <vt:lpwstr>12a3af23-a769-4654-847f-958f3d479f4a</vt:lpwstr>
  </property>
  <property fmtid="{D5CDD505-2E9C-101B-9397-08002B2CF9AE}" pid="4" name="MSIP_Label_1ada0a2f-b917-4d51-b0d0-d418a10c8b23_Owner">
    <vt:lpwstr>Rafael.Piva@br.nestle.com</vt:lpwstr>
  </property>
  <property fmtid="{D5CDD505-2E9C-101B-9397-08002B2CF9AE}" pid="5" name="MSIP_Label_1ada0a2f-b917-4d51-b0d0-d418a10c8b23_SetDate">
    <vt:lpwstr>2020-09-08T01:33:59.3736683Z</vt:lpwstr>
  </property>
  <property fmtid="{D5CDD505-2E9C-101B-9397-08002B2CF9AE}" pid="6" name="MSIP_Label_1ada0a2f-b917-4d51-b0d0-d418a10c8b23_Name">
    <vt:lpwstr>General Use</vt:lpwstr>
  </property>
  <property fmtid="{D5CDD505-2E9C-101B-9397-08002B2CF9AE}" pid="7" name="MSIP_Label_1ada0a2f-b917-4d51-b0d0-d418a10c8b23_Application">
    <vt:lpwstr>Microsoft Azure Information Protection</vt:lpwstr>
  </property>
  <property fmtid="{D5CDD505-2E9C-101B-9397-08002B2CF9AE}" pid="8" name="MSIP_Label_1ada0a2f-b917-4d51-b0d0-d418a10c8b23_ActionId">
    <vt:lpwstr>7e7fddaa-10db-45a3-ab4e-e4900ec4231b</vt:lpwstr>
  </property>
  <property fmtid="{D5CDD505-2E9C-101B-9397-08002B2CF9AE}" pid="9" name="MSIP_Label_1ada0a2f-b917-4d51-b0d0-d418a10c8b23_Extended_MSFT_Method">
    <vt:lpwstr>Automatic</vt:lpwstr>
  </property>
  <property fmtid="{D5CDD505-2E9C-101B-9397-08002B2CF9AE}" pid="10" name="Sensitivity">
    <vt:lpwstr>General Use</vt:lpwstr>
  </property>
</Properties>
</file>