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2536583\Downloads\"/>
    </mc:Choice>
  </mc:AlternateContent>
  <xr:revisionPtr revIDLastSave="0" documentId="8_{5DE2715C-83BB-411B-BFFF-BA66F80979F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AlocacaoCarteira" sheetId="1" r:id="rId1"/>
  </sheets>
  <definedNames>
    <definedName name="solver_adj" localSheetId="0" hidden="1">AlocacaoCarteira!$J$11:$J$15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AlocacaoCarteira!$J$11</definedName>
    <definedName name="solver_lhs10" localSheetId="0" hidden="1">AlocacaoCarteira!$J$13</definedName>
    <definedName name="solver_lhs11" localSheetId="0" hidden="1">AlocacaoCarteira!$J$14</definedName>
    <definedName name="solver_lhs12" localSheetId="0" hidden="1">AlocacaoCarteira!$J$14</definedName>
    <definedName name="solver_lhs13" localSheetId="0" hidden="1">AlocacaoCarteira!$J$15</definedName>
    <definedName name="solver_lhs14" localSheetId="0" hidden="1">AlocacaoCarteira!$J$15</definedName>
    <definedName name="solver_lhs15" localSheetId="0" hidden="1">AlocacaoCarteira!$J$16</definedName>
    <definedName name="solver_lhs16" localSheetId="0" hidden="1">AlocacaoCarteira!$J$16</definedName>
    <definedName name="solver_lhs17" localSheetId="0" hidden="1">AlocacaoCarteira!$J$24</definedName>
    <definedName name="solver_lhs18" localSheetId="0" hidden="1">AlocacaoCarteira!$J$24</definedName>
    <definedName name="solver_lhs19" localSheetId="0" hidden="1">AlocacaoCarteira!$J$24</definedName>
    <definedName name="solver_lhs2" localSheetId="0" hidden="1">AlocacaoCarteira!$J$11</definedName>
    <definedName name="solver_lhs20" localSheetId="0" hidden="1">AlocacaoCarteira!$J$24</definedName>
    <definedName name="solver_lhs21" localSheetId="0" hidden="1">AlocacaoCarteira!$J$24</definedName>
    <definedName name="solver_lhs22" localSheetId="0" hidden="1">AlocacaoCarteira!$J$24</definedName>
    <definedName name="solver_lhs23" localSheetId="0" hidden="1">AlocacaoCarteira!$J$24</definedName>
    <definedName name="solver_lhs3" localSheetId="0" hidden="1">AlocacaoCarteira!$J$11:$J$16</definedName>
    <definedName name="solver_lhs4" localSheetId="0" hidden="1">AlocacaoCarteira!$J$12</definedName>
    <definedName name="solver_lhs5" localSheetId="0" hidden="1">AlocacaoCarteira!$J$12</definedName>
    <definedName name="solver_lhs6" localSheetId="0" hidden="1">AlocacaoCarteira!$J$12</definedName>
    <definedName name="solver_lhs7" localSheetId="0" hidden="1">AlocacaoCarteira!$J$13</definedName>
    <definedName name="solver_lhs8" localSheetId="0" hidden="1">AlocacaoCarteira!$J$13</definedName>
    <definedName name="solver_lhs9" localSheetId="0" hidden="1">AlocacaoCarteira!$J$13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17</definedName>
    <definedName name="solver_nwt" localSheetId="0" hidden="1">1</definedName>
    <definedName name="solver_opt" localSheetId="0" hidden="1">AlocacaoCarteira!$J$25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10" localSheetId="0" hidden="1">3</definedName>
    <definedName name="solver_rel11" localSheetId="0" hidden="1">1</definedName>
    <definedName name="solver_rel12" localSheetId="0" hidden="1">1</definedName>
    <definedName name="solver_rel13" localSheetId="0" hidden="1">1</definedName>
    <definedName name="solver_rel14" localSheetId="0" hidden="1">1</definedName>
    <definedName name="solver_rel15" localSheetId="0" hidden="1">1</definedName>
    <definedName name="solver_rel16" localSheetId="0" hidden="1">1</definedName>
    <definedName name="solver_rel17" localSheetId="0" hidden="1">2</definedName>
    <definedName name="solver_rel18" localSheetId="0" hidden="1">2</definedName>
    <definedName name="solver_rel19" localSheetId="0" hidden="1">2</definedName>
    <definedName name="solver_rel2" localSheetId="0" hidden="1">1</definedName>
    <definedName name="solver_rel20" localSheetId="0" hidden="1">2</definedName>
    <definedName name="solver_rel21" localSheetId="0" hidden="1">2</definedName>
    <definedName name="solver_rel22" localSheetId="0" hidden="1">2</definedName>
    <definedName name="solver_rel23" localSheetId="0" hidden="1">2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1</definedName>
    <definedName name="solver_rel9" localSheetId="0" hidden="1">3</definedName>
    <definedName name="solver_rhs1" localSheetId="0" hidden="1">AlocacaoCarteira!$AA$24</definedName>
    <definedName name="solver_rhs10" localSheetId="0" hidden="1">AlocacaoCarteira!$J$32</definedName>
    <definedName name="solver_rhs11" localSheetId="0" hidden="1">AlocacaoCarteira!$AA$22</definedName>
    <definedName name="solver_rhs12" localSheetId="0" hidden="1">AlocacaoCarteira!$L$38</definedName>
    <definedName name="solver_rhs13" localSheetId="0" hidden="1">AlocacaoCarteira!$AA$23</definedName>
    <definedName name="solver_rhs14" localSheetId="0" hidden="1">AlocacaoCarteira!$L$39</definedName>
    <definedName name="solver_rhs15" localSheetId="0" hidden="1">AlocacaoCarteira!$AA$21</definedName>
    <definedName name="solver_rhs16" localSheetId="0" hidden="1">AlocacaoCarteira!$L$37</definedName>
    <definedName name="solver_rhs17" localSheetId="0" hidden="1">AlocacaoCarteira!$J$27</definedName>
    <definedName name="solver_rhs18" localSheetId="0" hidden="1">AlocacaoCarteira!$J$27</definedName>
    <definedName name="solver_rhs19" localSheetId="0" hidden="1">AlocacaoCarteira!$J$27</definedName>
    <definedName name="solver_rhs2" localSheetId="0" hidden="1">AlocacaoCarteira!$L$40</definedName>
    <definedName name="solver_rhs20" localSheetId="0" hidden="1">AlocacaoCarteira!$J$27</definedName>
    <definedName name="solver_rhs21" localSheetId="0" hidden="1">AlocacaoCarteira!$J$27</definedName>
    <definedName name="solver_rhs22" localSheetId="0" hidden="1">AlocacaoCarteira!$J$27</definedName>
    <definedName name="solver_rhs23" localSheetId="0" hidden="1">AlocacaoCarteira!$J$27</definedName>
    <definedName name="solver_rhs3" localSheetId="0" hidden="1">1</definedName>
    <definedName name="solver_rhs4" localSheetId="0" hidden="1">AlocacaoCarteira!$AA$20</definedName>
    <definedName name="solver_rhs5" localSheetId="0" hidden="1">AlocacaoCarteira!$L$36</definedName>
    <definedName name="solver_rhs6" localSheetId="0" hidden="1">AlocacaoCarteira!$J$31</definedName>
    <definedName name="solver_rhs7" localSheetId="0" hidden="1">AlocacaoCarteira!$AA$19</definedName>
    <definedName name="solver_rhs8" localSheetId="0" hidden="1">AlocacaoCarteira!$L$35</definedName>
    <definedName name="solver_rhs9" localSheetId="0" hidden="1">AlocacaoCarteira!$J$30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" i="1" l="1"/>
  <c r="K32" i="1"/>
  <c r="AG16" i="1" l="1"/>
  <c r="AF46" i="1" l="1"/>
  <c r="J27" i="1" s="1"/>
  <c r="M40" i="1"/>
  <c r="L40" i="1"/>
  <c r="M39" i="1"/>
  <c r="L39" i="1"/>
  <c r="M38" i="1"/>
  <c r="L38" i="1"/>
  <c r="M37" i="1"/>
  <c r="L37" i="1"/>
  <c r="M36" i="1"/>
  <c r="L36" i="1"/>
  <c r="M35" i="1"/>
  <c r="L35" i="1"/>
  <c r="J32" i="1"/>
  <c r="AJ19" i="1" s="1"/>
  <c r="K31" i="1"/>
  <c r="J31" i="1" s="1"/>
  <c r="K30" i="1"/>
  <c r="AG20" i="1"/>
  <c r="AJ21" i="1" s="1"/>
  <c r="AG19" i="1"/>
  <c r="AJ20" i="1" s="1"/>
  <c r="AG18" i="1"/>
  <c r="I18" i="1" a="1"/>
  <c r="M18" i="1" s="1"/>
  <c r="AG17" i="1"/>
  <c r="AJ17" i="1" s="1"/>
  <c r="AJ16" i="1"/>
  <c r="L16" i="1"/>
  <c r="J16" i="1"/>
  <c r="L15" i="1"/>
  <c r="L14" i="1"/>
  <c r="L13" i="1"/>
  <c r="L12" i="1"/>
  <c r="O8" i="1"/>
  <c r="O7" i="1"/>
  <c r="N7" i="1"/>
  <c r="O6" i="1"/>
  <c r="N6" i="1"/>
  <c r="M6" i="1"/>
  <c r="O5" i="1"/>
  <c r="N5" i="1"/>
  <c r="M5" i="1"/>
  <c r="L5" i="1"/>
  <c r="O4" i="1"/>
  <c r="N4" i="1"/>
  <c r="M4" i="1"/>
  <c r="L4" i="1"/>
  <c r="K4" i="1"/>
  <c r="O3" i="1"/>
  <c r="N3" i="1"/>
  <c r="M3" i="1"/>
  <c r="L3" i="1"/>
  <c r="K3" i="1"/>
  <c r="J3" i="1"/>
  <c r="I19" i="1" l="1" a="1"/>
  <c r="N19" i="1" s="1"/>
  <c r="N11" i="1" a="1"/>
  <c r="AJ18" i="1"/>
  <c r="N18" i="1"/>
  <c r="I18" i="1"/>
  <c r="J18" i="1"/>
  <c r="J30" i="1"/>
  <c r="K18" i="1"/>
  <c r="L18" i="1"/>
  <c r="AG21" i="1"/>
  <c r="AJ22" i="1" s="1"/>
  <c r="J25" i="1"/>
  <c r="K19" i="1" l="1"/>
  <c r="N13" i="1"/>
  <c r="N12" i="1"/>
  <c r="N11" i="1"/>
  <c r="N16" i="1"/>
  <c r="N15" i="1"/>
  <c r="N14" i="1"/>
  <c r="L19" i="1"/>
  <c r="I19" i="1"/>
  <c r="M19" i="1"/>
  <c r="J19" i="1"/>
  <c r="AG26" i="1"/>
  <c r="J26" i="1"/>
  <c r="AH26" i="1" s="1"/>
  <c r="J22" i="1" l="1" a="1"/>
  <c r="J22" i="1" s="1"/>
  <c r="J23" i="1" s="1"/>
  <c r="J24" i="1" s="1"/>
  <c r="AG28" i="1" s="1"/>
  <c r="AH28" i="1" s="1"/>
  <c r="AG27" i="1" l="1"/>
  <c r="AH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<sst xmlns="http://schemas.openxmlformats.org/spreadsheetml/2006/main" count="100" uniqueCount="56">
  <si>
    <t>Data</t>
  </si>
  <si>
    <t>ARX_Acoes</t>
  </si>
  <si>
    <t>Votorantim_Cambial</t>
  </si>
  <si>
    <t>BNPTargus_RF</t>
  </si>
  <si>
    <t>XPTop_CreditoPrivado</t>
  </si>
  <si>
    <t>SPX_Macro</t>
  </si>
  <si>
    <t>GAP_LongShort</t>
  </si>
  <si>
    <t>Peso</t>
  </si>
  <si>
    <t>Retorno CDI</t>
  </si>
  <si>
    <t>Retorno Abs</t>
  </si>
  <si>
    <t>Peso x Cov</t>
  </si>
  <si>
    <t>12 meses</t>
  </si>
  <si>
    <t>CDI</t>
  </si>
  <si>
    <t>Perguntas</t>
  </si>
  <si>
    <t>Inflação</t>
  </si>
  <si>
    <t>Juro Real 3 anos</t>
  </si>
  <si>
    <t>1-Qual sua despesa mensal</t>
  </si>
  <si>
    <t>Carteira</t>
  </si>
  <si>
    <t>Índice Big Mac</t>
  </si>
  <si>
    <t>2-Qual o montante annual de despesa em moeda forte?</t>
  </si>
  <si>
    <t>3-Qual a renda mensal?</t>
  </si>
  <si>
    <t>Ações</t>
  </si>
  <si>
    <t>4-Você possui aversão a algum tipo de investimento? Coloque 0 para aquelas que sim e 1 não</t>
  </si>
  <si>
    <t>Cambial</t>
  </si>
  <si>
    <t>Renda Fixa DI</t>
  </si>
  <si>
    <t>Renda Fixa</t>
  </si>
  <si>
    <t>Crédito Privado</t>
  </si>
  <si>
    <t>Previdência RF</t>
  </si>
  <si>
    <t>Moedas</t>
  </si>
  <si>
    <t>Macro</t>
  </si>
  <si>
    <t>Long-Short</t>
  </si>
  <si>
    <t>Var</t>
  </si>
  <si>
    <t>Desvio Annual</t>
  </si>
  <si>
    <t xml:space="preserve">5-Dentre os portfólios abaixo, qual representaria sua opção de investimento preferida? </t>
  </si>
  <si>
    <t>B</t>
  </si>
  <si>
    <t>Abs.</t>
  </si>
  <si>
    <t>Retorno Esperado</t>
  </si>
  <si>
    <t>Vol alvo</t>
  </si>
  <si>
    <t>Pior Retorno</t>
  </si>
  <si>
    <t>Melhor Retorno</t>
  </si>
  <si>
    <t>Alocações alvo</t>
  </si>
  <si>
    <t>Reserva</t>
  </si>
  <si>
    <t>PGBL RF</t>
  </si>
  <si>
    <t>Max</t>
  </si>
  <si>
    <t>Min</t>
  </si>
  <si>
    <t>6-Qual o seu patrimônio para investir hoje?</t>
  </si>
  <si>
    <t>Vol Esperda</t>
  </si>
  <si>
    <t>Lista respostas</t>
  </si>
  <si>
    <t>Limite de Vol</t>
  </si>
  <si>
    <t>A</t>
  </si>
  <si>
    <t>Objetivo</t>
  </si>
  <si>
    <t>C</t>
  </si>
  <si>
    <t>D</t>
  </si>
  <si>
    <t>Vol</t>
  </si>
  <si>
    <t>Retorno % CDI</t>
  </si>
  <si>
    <t>Desvio Diário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</si>
</sst>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0000000_-;\-* #,##0.0000000000_-;_-* &quot;-&quot;??_-;_-@_-"/>
    <numFmt numFmtId="165" formatCode="0.0%"/>
    <numFmt numFmtId="166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9"/>
      <color rgb="FF333333"/>
      <name val="Arial"/>
      <family val="2"/>
    </font>
    <font>
      <sz val="11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right" vertical="top" wrapText="1"/>
    </xf>
    <xf numFmtId="14" fontId="4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164" fontId="0" fillId="0" borderId="1" xfId="1" applyNumberFormat="1" applyFont="1" applyBorder="1"/>
    <xf numFmtId="0" fontId="2" fillId="0" borderId="1" xfId="0" applyFont="1" applyBorder="1" applyAlignment="1">
      <alignment horizontal="center"/>
    </xf>
    <xf numFmtId="9" fontId="0" fillId="0" borderId="1" xfId="0" applyNumberFormat="1" applyBorder="1"/>
    <xf numFmtId="0" fontId="0" fillId="0" borderId="1" xfId="0" applyBorder="1" applyAlignment="1">
      <alignment horizontal="center"/>
    </xf>
    <xf numFmtId="165" fontId="0" fillId="0" borderId="1" xfId="0" applyNumberForma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5" xfId="0" applyFont="1" applyBorder="1"/>
    <xf numFmtId="43" fontId="0" fillId="0" borderId="1" xfId="1" applyFont="1" applyBorder="1"/>
    <xf numFmtId="10" fontId="0" fillId="0" borderId="1" xfId="2" applyNumberFormat="1" applyFont="1" applyBorder="1"/>
    <xf numFmtId="9" fontId="0" fillId="0" borderId="1" xfId="2" applyFont="1" applyBorder="1"/>
    <xf numFmtId="0" fontId="2" fillId="0" borderId="0" xfId="0" applyFont="1"/>
    <xf numFmtId="0" fontId="7" fillId="0" borderId="1" xfId="0" applyFont="1" applyBorder="1"/>
    <xf numFmtId="10" fontId="0" fillId="0" borderId="1" xfId="0" applyNumberFormat="1" applyBorder="1"/>
    <xf numFmtId="10" fontId="2" fillId="0" borderId="0" xfId="0" applyNumberFormat="1" applyFont="1"/>
    <xf numFmtId="43" fontId="8" fillId="0" borderId="1" xfId="1" applyFont="1" applyBorder="1"/>
    <xf numFmtId="0" fontId="9" fillId="0" borderId="1" xfId="0" applyFont="1" applyBorder="1"/>
    <xf numFmtId="0" fontId="8" fillId="0" borderId="1" xfId="0" applyFont="1" applyBorder="1" applyAlignment="1">
      <alignment horizontal="center"/>
    </xf>
    <xf numFmtId="0" fontId="5" fillId="0" borderId="0" xfId="0" applyFont="1"/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0" fontId="0" fillId="0" borderId="7" xfId="0" applyBorder="1"/>
    <xf numFmtId="10" fontId="0" fillId="0" borderId="8" xfId="2" applyNumberFormat="1" applyFont="1" applyFill="1" applyBorder="1"/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166" fontId="0" fillId="0" borderId="1" xfId="2" applyNumberFormat="1" applyFont="1" applyBorder="1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43" fontId="0" fillId="5" borderId="8" xfId="1" applyFont="1" applyFill="1" applyBorder="1"/>
    <xf numFmtId="43" fontId="0" fillId="5" borderId="1" xfId="1" applyFont="1" applyFill="1" applyBorder="1"/>
    <xf numFmtId="43" fontId="8" fillId="5" borderId="1" xfId="1" applyFont="1" applyFill="1" applyBorder="1"/>
    <xf numFmtId="10" fontId="0" fillId="0" borderId="0" xfId="2" applyNumberFormat="1" applyFont="1"/>
    <xf numFmtId="166" fontId="0" fillId="5" borderId="1" xfId="2" applyNumberFormat="1" applyFont="1" applyFill="1" applyBorder="1"/>
    <xf numFmtId="165" fontId="0" fillId="5" borderId="1" xfId="0" applyNumberFormat="1" applyFill="1" applyBorder="1"/>
    <xf numFmtId="9" fontId="8" fillId="0" borderId="1" xfId="2" applyFont="1" applyBorder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161925</xdr:colOff>
      <xdr:row>25</xdr:row>
      <xdr:rowOff>126206</xdr:rowOff>
    </xdr:from>
    <xdr:ext cx="4619625" cy="1154907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59475" y="5041106"/>
          <a:ext cx="4619625" cy="11549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3"/>
  <dimension ref="A1:AK1239"/>
  <sheetViews>
    <sheetView showGridLines="0" tabSelected="1" topLeftCell="S13" zoomScale="85" zoomScaleNormal="85" workbookViewId="0">
      <selection activeCell="AG27" sqref="AG27:AG28"/>
    </sheetView>
  </sheetViews>
  <sheetFormatPr defaultRowHeight="14.5" x14ac:dyDescent="0.35"/>
  <cols>
    <col min="1" max="1" width="9.81640625" bestFit="1" customWidth="1"/>
    <col min="2" max="2" width="12.7265625" bestFit="1" customWidth="1"/>
    <col min="3" max="3" width="14.7265625" bestFit="1" customWidth="1"/>
    <col min="4" max="7" width="12" bestFit="1" customWidth="1"/>
    <col min="9" max="9" width="21.1796875" bestFit="1" customWidth="1"/>
    <col min="10" max="10" width="18.6328125" bestFit="1" customWidth="1"/>
    <col min="11" max="11" width="20.453125" bestFit="1" customWidth="1"/>
    <col min="12" max="12" width="14.81640625" bestFit="1" customWidth="1"/>
    <col min="13" max="13" width="21.7265625" bestFit="1" customWidth="1"/>
    <col min="14" max="14" width="14.6328125" bestFit="1" customWidth="1"/>
    <col min="15" max="15" width="15.7265625" bestFit="1" customWidth="1"/>
    <col min="16" max="16" width="15.1796875" bestFit="1" customWidth="1"/>
    <col min="22" max="22" width="13.453125" customWidth="1"/>
    <col min="26" max="26" width="14.54296875" customWidth="1"/>
    <col min="27" max="27" width="11.81640625" bestFit="1" customWidth="1"/>
    <col min="29" max="29" width="8.1796875" customWidth="1"/>
    <col min="31" max="31" width="5.1796875" customWidth="1"/>
    <col min="32" max="32" width="21.1796875" bestFit="1" customWidth="1"/>
    <col min="33" max="33" width="13.453125" bestFit="1" customWidth="1"/>
    <col min="35" max="35" width="21.1796875" bestFit="1" customWidth="1"/>
    <col min="36" max="36" width="13.453125" bestFit="1" customWidth="1"/>
  </cols>
  <sheetData>
    <row r="1" spans="1:37" ht="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37" x14ac:dyDescent="0.35">
      <c r="A2" s="3">
        <v>41641</v>
      </c>
      <c r="B2" s="18">
        <v>7.3786359044536454E-5</v>
      </c>
      <c r="C2" s="18">
        <v>-5.3048013518832704E-3</v>
      </c>
      <c r="D2" s="18">
        <v>3.5041295681681461E-4</v>
      </c>
      <c r="E2" s="18">
        <v>3.816606524817967E-4</v>
      </c>
      <c r="F2" s="18">
        <v>-6.4615707141657541E-4</v>
      </c>
      <c r="G2" s="18">
        <v>-2.9128688368315059E-3</v>
      </c>
      <c r="I2" s="4"/>
      <c r="J2" s="5" t="s">
        <v>1</v>
      </c>
      <c r="K2" s="5" t="s">
        <v>2</v>
      </c>
      <c r="L2" s="5" t="s">
        <v>3</v>
      </c>
      <c r="M2" s="5" t="s">
        <v>4</v>
      </c>
      <c r="N2" s="5" t="s">
        <v>5</v>
      </c>
      <c r="O2" s="5" t="s">
        <v>6</v>
      </c>
    </row>
    <row r="3" spans="1:37" x14ac:dyDescent="0.35">
      <c r="A3" s="3">
        <v>41642</v>
      </c>
      <c r="B3" s="18">
        <v>-3.5155614940287627E-3</v>
      </c>
      <c r="C3" s="18">
        <v>-1.9751489031395453E-3</v>
      </c>
      <c r="D3" s="18">
        <v>3.9126843689474278E-4</v>
      </c>
      <c r="E3" s="18">
        <v>3.875759868934292E-4</v>
      </c>
      <c r="F3" s="18">
        <v>1.0658564205603405E-3</v>
      </c>
      <c r="G3" s="18">
        <v>-5.8667821629554417E-5</v>
      </c>
      <c r="I3" s="5" t="s">
        <v>1</v>
      </c>
      <c r="J3" s="6">
        <f>VARP(AlocacaoCarteira!$B$2:$B$1239)</f>
        <v>1.9629364627760768E-4</v>
      </c>
      <c r="K3" s="6">
        <f>J4</f>
        <v>-6.2734053316121835E-5</v>
      </c>
      <c r="L3" s="6">
        <f>J5</f>
        <v>-1.2381752205190362E-8</v>
      </c>
      <c r="M3" s="6">
        <f>J6</f>
        <v>2.9127744566348462E-8</v>
      </c>
      <c r="N3" s="6">
        <f>J7</f>
        <v>-5.8022301397739004E-6</v>
      </c>
      <c r="O3" s="6">
        <f>J8</f>
        <v>-2.6298303717525426E-6</v>
      </c>
    </row>
    <row r="4" spans="1:37" x14ac:dyDescent="0.35">
      <c r="A4" s="3">
        <v>41645</v>
      </c>
      <c r="B4" s="18">
        <v>-6.5518828415773722E-3</v>
      </c>
      <c r="C4" s="18">
        <v>-1.9365426614236236E-3</v>
      </c>
      <c r="D4" s="18">
        <v>3.833160738335728E-4</v>
      </c>
      <c r="E4" s="18">
        <v>3.8686192438297518E-4</v>
      </c>
      <c r="F4" s="18">
        <v>7.1669472912239129E-4</v>
      </c>
      <c r="G4" s="18">
        <v>9.6603251958482517E-5</v>
      </c>
      <c r="I4" s="5" t="s">
        <v>2</v>
      </c>
      <c r="J4" s="6">
        <v>-6.2734053316121835E-5</v>
      </c>
      <c r="K4" s="6">
        <f>VARP(AlocacaoCarteira!$C$2:$C$1239)</f>
        <v>9.55478368782158E-5</v>
      </c>
      <c r="L4" s="6">
        <f>K5</f>
        <v>-3.5910170765038904E-8</v>
      </c>
      <c r="M4" s="6">
        <f>K6</f>
        <v>3.8402005182181455E-8</v>
      </c>
      <c r="N4" s="6">
        <f>K7</f>
        <v>1.0809934549039183E-5</v>
      </c>
      <c r="O4" s="6">
        <f>K8</f>
        <v>3.9478985876858517E-7</v>
      </c>
    </row>
    <row r="5" spans="1:37" x14ac:dyDescent="0.35">
      <c r="A5" s="3">
        <v>41646</v>
      </c>
      <c r="B5" s="18">
        <v>3.9340812540586967E-3</v>
      </c>
      <c r="C5" s="18">
        <v>7.207608573760238E-3</v>
      </c>
      <c r="D5" s="18">
        <v>3.7200615505073031E-4</v>
      </c>
      <c r="E5" s="18">
        <v>4.0236892086165099E-4</v>
      </c>
      <c r="F5" s="18">
        <v>4.2508503715557033E-3</v>
      </c>
      <c r="G5" s="18">
        <v>1.2761148569675473E-3</v>
      </c>
      <c r="I5" s="5" t="s">
        <v>3</v>
      </c>
      <c r="J5" s="6">
        <f>_xlfn.COVARIANCE.P(D2:D1239,B2:B1239)</f>
        <v>-1.2381752205190362E-8</v>
      </c>
      <c r="K5" s="6">
        <v>-3.5910170765038904E-8</v>
      </c>
      <c r="L5" s="6">
        <f>VARP(AlocacaoCarteira!$D$2:$D$1239)</f>
        <v>1.3307777494452774E-8</v>
      </c>
      <c r="M5" s="6">
        <f>L6</f>
        <v>1.0040233206107433E-8</v>
      </c>
      <c r="N5" s="6">
        <f>L7</f>
        <v>2.4888030426146988E-8</v>
      </c>
      <c r="O5" s="6">
        <f>L8</f>
        <v>8.1289598383477342E-9</v>
      </c>
    </row>
    <row r="6" spans="1:37" x14ac:dyDescent="0.35">
      <c r="A6" s="3">
        <v>41647</v>
      </c>
      <c r="B6" s="18">
        <v>-2.1533087584838073E-2</v>
      </c>
      <c r="C6" s="18">
        <v>3.2438617316048468E-3</v>
      </c>
      <c r="D6" s="18">
        <v>3.6346413999255311E-4</v>
      </c>
      <c r="E6" s="18">
        <v>3.777463407583781E-4</v>
      </c>
      <c r="F6" s="18">
        <v>3.0182034823698078E-3</v>
      </c>
      <c r="G6" s="18">
        <v>-4.4698694072387024E-4</v>
      </c>
      <c r="I6" s="5" t="s">
        <v>4</v>
      </c>
      <c r="J6" s="6">
        <v>2.9127744566348462E-8</v>
      </c>
      <c r="K6" s="6">
        <v>3.8402005182181455E-8</v>
      </c>
      <c r="L6" s="6">
        <v>1.0040233206107433E-8</v>
      </c>
      <c r="M6" s="6">
        <f>VARP(AlocacaoCarteira!$E$2:$E$1239)</f>
        <v>1.4626073237976806E-7</v>
      </c>
      <c r="N6" s="6">
        <f>M7</f>
        <v>5.1776964849092206E-9</v>
      </c>
      <c r="O6" s="6">
        <f>M8</f>
        <v>2.5831098699726152E-8</v>
      </c>
    </row>
    <row r="7" spans="1:37" x14ac:dyDescent="0.35">
      <c r="A7" s="3">
        <v>41648</v>
      </c>
      <c r="B7" s="18">
        <v>8.1651305557013387E-3</v>
      </c>
      <c r="C7" s="18">
        <v>-1.1935610794578277E-2</v>
      </c>
      <c r="D7" s="18">
        <v>3.3792985899094852E-4</v>
      </c>
      <c r="E7" s="18">
        <v>3.951073074039968E-4</v>
      </c>
      <c r="F7" s="18">
        <v>-3.8867902088660644E-3</v>
      </c>
      <c r="G7" s="18">
        <v>2.3516055314298789E-4</v>
      </c>
      <c r="I7" s="5" t="s">
        <v>5</v>
      </c>
      <c r="J7" s="6">
        <v>-5.8022301397739004E-6</v>
      </c>
      <c r="K7" s="6">
        <v>1.0809934549039183E-5</v>
      </c>
      <c r="L7" s="6">
        <v>2.4888030426146988E-8</v>
      </c>
      <c r="M7" s="6">
        <v>5.1776964849092206E-9</v>
      </c>
      <c r="N7" s="6">
        <f>VARP(AlocacaoCarteira!$F$2:$F$1239)</f>
        <v>1.0841395431479434E-5</v>
      </c>
      <c r="O7" s="6">
        <f>N8</f>
        <v>4.2577493406359861E-7</v>
      </c>
    </row>
    <row r="8" spans="1:37" x14ac:dyDescent="0.35">
      <c r="A8" s="3">
        <v>41649</v>
      </c>
      <c r="B8" s="18">
        <v>-4.0243929136744017E-3</v>
      </c>
      <c r="C8" s="18">
        <v>-3.5842491025558365E-3</v>
      </c>
      <c r="D8" s="18">
        <v>3.3017189146100634E-4</v>
      </c>
      <c r="E8" s="18">
        <v>4.0231476126706411E-4</v>
      </c>
      <c r="F8" s="18">
        <v>-2.2384702953596181E-3</v>
      </c>
      <c r="G8" s="18">
        <v>1.0495447815845882E-3</v>
      </c>
      <c r="I8" s="5" t="s">
        <v>6</v>
      </c>
      <c r="J8" s="6">
        <v>-2.6298303717525426E-6</v>
      </c>
      <c r="K8" s="6">
        <v>3.9478985876858517E-7</v>
      </c>
      <c r="L8" s="6">
        <v>8.1289598383477342E-9</v>
      </c>
      <c r="M8" s="6">
        <v>2.5831098699726152E-8</v>
      </c>
      <c r="N8" s="6">
        <v>4.2577493406359861E-7</v>
      </c>
      <c r="O8" s="6">
        <f>VARP(AlocacaoCarteira!$G$2:$G$1239)</f>
        <v>1.6406478718862797E-6</v>
      </c>
    </row>
    <row r="9" spans="1:37" x14ac:dyDescent="0.35">
      <c r="A9" s="3">
        <v>41652</v>
      </c>
      <c r="B9" s="18">
        <v>2.7143002988860854E-3</v>
      </c>
      <c r="C9" s="18">
        <v>-2.1980732444608631E-3</v>
      </c>
      <c r="D9" s="18">
        <v>4.2520096345133318E-4</v>
      </c>
      <c r="E9" s="18">
        <v>3.7057560943964951E-4</v>
      </c>
      <c r="F9" s="18">
        <v>2.2409680589055014E-3</v>
      </c>
      <c r="G9" s="18">
        <v>1.6185549157334833E-3</v>
      </c>
    </row>
    <row r="10" spans="1:37" x14ac:dyDescent="0.35">
      <c r="A10" s="3">
        <v>41653</v>
      </c>
      <c r="B10" s="18">
        <v>7.5628490628953937E-3</v>
      </c>
      <c r="C10" s="18">
        <v>-2.2455828322676119E-3</v>
      </c>
      <c r="D10" s="18">
        <v>3.7401082222920934E-4</v>
      </c>
      <c r="E10" s="18">
        <v>3.6600180056600706E-4</v>
      </c>
      <c r="F10" s="18">
        <v>1.1956463361864067E-3</v>
      </c>
      <c r="G10" s="18">
        <v>2.0262827874035771E-3</v>
      </c>
      <c r="I10" s="4"/>
      <c r="J10" s="5" t="s">
        <v>7</v>
      </c>
      <c r="K10" s="5" t="s">
        <v>8</v>
      </c>
      <c r="L10" s="5" t="s">
        <v>9</v>
      </c>
      <c r="N10" s="7" t="s">
        <v>10</v>
      </c>
    </row>
    <row r="11" spans="1:37" ht="15" thickBot="1" x14ac:dyDescent="0.4">
      <c r="A11" s="3">
        <v>41654</v>
      </c>
      <c r="B11" s="18">
        <v>-4.7436719211042533E-3</v>
      </c>
      <c r="C11" s="18">
        <v>5.7726086388292241E-3</v>
      </c>
      <c r="D11" s="18">
        <v>5.2521202191990746E-4</v>
      </c>
      <c r="E11" s="18">
        <v>3.9800853867189012E-4</v>
      </c>
      <c r="F11" s="18">
        <v>-1.0290743416466741E-3</v>
      </c>
      <c r="G11" s="18">
        <v>1.3364057729627898E-3</v>
      </c>
      <c r="I11" s="5" t="s">
        <v>1</v>
      </c>
      <c r="J11" s="8">
        <v>3.3871879437397258E-2</v>
      </c>
      <c r="K11" s="4"/>
      <c r="L11" s="8">
        <v>0.15</v>
      </c>
      <c r="N11" s="9">
        <f t="array" ref="N11:N16">MMULT(J3:O8,J11:J16)</f>
        <v>2.1681519652638105E-6</v>
      </c>
      <c r="P11" s="5"/>
      <c r="Q11" s="5" t="s">
        <v>11</v>
      </c>
    </row>
    <row r="12" spans="1:37" x14ac:dyDescent="0.35">
      <c r="A12" s="3">
        <v>41655</v>
      </c>
      <c r="B12" s="18">
        <v>-8.97479746551888E-3</v>
      </c>
      <c r="C12" s="18">
        <v>-6.1190600597793576E-3</v>
      </c>
      <c r="D12" s="18">
        <v>3.9629984202016466E-4</v>
      </c>
      <c r="E12" s="18">
        <v>3.8387938885886541E-4</v>
      </c>
      <c r="F12" s="18">
        <v>-1.6954749494121346E-3</v>
      </c>
      <c r="G12" s="18">
        <v>2.3863977867844E-4</v>
      </c>
      <c r="I12" s="5" t="s">
        <v>2</v>
      </c>
      <c r="J12" s="8">
        <v>4.2583636909912438E-2</v>
      </c>
      <c r="K12" s="8">
        <v>1.3</v>
      </c>
      <c r="L12" s="10">
        <f>K12*$Q$12</f>
        <v>0.16900000000000001</v>
      </c>
      <c r="N12" s="9">
        <v>4.2135426754152523E-6</v>
      </c>
      <c r="P12" s="5" t="s">
        <v>12</v>
      </c>
      <c r="Q12" s="54">
        <v>0.13</v>
      </c>
      <c r="V12" s="11" t="s">
        <v>13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3"/>
    </row>
    <row r="13" spans="1:37" x14ac:dyDescent="0.35">
      <c r="A13" s="3">
        <v>41656</v>
      </c>
      <c r="B13" s="18">
        <v>-1.0866709805938402E-2</v>
      </c>
      <c r="C13" s="18">
        <v>-4.1617320585767281E-3</v>
      </c>
      <c r="D13" s="18">
        <v>3.9071133565049543E-4</v>
      </c>
      <c r="E13" s="18">
        <v>4.0555868308955745E-4</v>
      </c>
      <c r="F13" s="18">
        <v>-9.8784345796798512E-5</v>
      </c>
      <c r="G13" s="18">
        <v>-8.3049389329092893E-4</v>
      </c>
      <c r="I13" s="5" t="s">
        <v>3</v>
      </c>
      <c r="J13" s="8">
        <v>0.12354448365269026</v>
      </c>
      <c r="K13" s="8">
        <v>1</v>
      </c>
      <c r="L13" s="10">
        <f t="shared" ref="L13:L15" si="0">K13*$Q$12</f>
        <v>0.13</v>
      </c>
      <c r="N13" s="9">
        <v>1.0219451274921687E-8</v>
      </c>
      <c r="P13" s="5" t="s">
        <v>14</v>
      </c>
      <c r="Q13" s="10">
        <v>0.04</v>
      </c>
      <c r="V13" s="14"/>
      <c r="AK13" s="15"/>
    </row>
    <row r="14" spans="1:37" ht="18.5" x14ac:dyDescent="0.45">
      <c r="A14" s="3">
        <v>41659</v>
      </c>
      <c r="B14" s="18">
        <v>-3.4852885994276495E-3</v>
      </c>
      <c r="C14" s="18">
        <v>1.0855679602375767E-2</v>
      </c>
      <c r="D14" s="18">
        <v>3.943971751136921E-4</v>
      </c>
      <c r="E14" s="18">
        <v>4.0031732125700437E-4</v>
      </c>
      <c r="F14" s="18">
        <v>3.094798636955165E-3</v>
      </c>
      <c r="G14" s="18">
        <v>-3.3431842110476229E-4</v>
      </c>
      <c r="I14" s="5" t="s">
        <v>4</v>
      </c>
      <c r="J14" s="8">
        <v>0.35</v>
      </c>
      <c r="K14" s="8">
        <v>1.1499999999999999</v>
      </c>
      <c r="L14" s="10">
        <f t="shared" si="0"/>
        <v>0.14949999999999999</v>
      </c>
      <c r="N14" s="9">
        <v>6.2546894229558591E-8</v>
      </c>
      <c r="P14" s="5" t="s">
        <v>15</v>
      </c>
      <c r="Q14" s="10">
        <v>6.5000000000000002E-2</v>
      </c>
      <c r="V14" s="16" t="s">
        <v>16</v>
      </c>
      <c r="AA14" s="50">
        <v>5000</v>
      </c>
      <c r="AD14" s="27"/>
      <c r="AF14" s="48" t="s">
        <v>17</v>
      </c>
      <c r="AG14" s="48"/>
      <c r="AI14" s="48" t="s">
        <v>17</v>
      </c>
      <c r="AJ14" s="48"/>
      <c r="AK14" s="15"/>
    </row>
    <row r="15" spans="1:37" x14ac:dyDescent="0.35">
      <c r="A15" s="3">
        <v>41660</v>
      </c>
      <c r="B15" s="18">
        <v>1.3366073284390323E-2</v>
      </c>
      <c r="C15" s="18">
        <v>3.6879045927007414E-3</v>
      </c>
      <c r="D15" s="18">
        <v>3.9783926300729355E-4</v>
      </c>
      <c r="E15" s="18">
        <v>3.9540951038552485E-4</v>
      </c>
      <c r="F15" s="18">
        <v>1.7800802568850305E-3</v>
      </c>
      <c r="G15" s="18">
        <v>3.6314380832047632E-4</v>
      </c>
      <c r="I15" s="5" t="s">
        <v>5</v>
      </c>
      <c r="J15" s="8">
        <v>0.2</v>
      </c>
      <c r="K15" s="8">
        <v>1.4</v>
      </c>
      <c r="L15" s="10">
        <f t="shared" si="0"/>
        <v>0.182</v>
      </c>
      <c r="N15" s="9">
        <v>2.5434036805433838E-6</v>
      </c>
      <c r="P15" s="5" t="s">
        <v>18</v>
      </c>
      <c r="Q15" s="8">
        <v>0.5</v>
      </c>
      <c r="V15" s="16" t="s">
        <v>19</v>
      </c>
      <c r="AA15" s="17">
        <v>0</v>
      </c>
      <c r="AD15" s="27"/>
      <c r="AK15" s="15"/>
    </row>
    <row r="16" spans="1:37" x14ac:dyDescent="0.35">
      <c r="A16" s="3">
        <v>41661</v>
      </c>
      <c r="B16" s="18">
        <v>-1.5658274609607781E-2</v>
      </c>
      <c r="C16" s="18">
        <v>9.4504874903600378E-3</v>
      </c>
      <c r="D16" s="18">
        <v>4.0719632762131752E-4</v>
      </c>
      <c r="E16" s="18">
        <v>4.0625431094065689E-4</v>
      </c>
      <c r="F16" s="18">
        <v>2.681015170729939E-3</v>
      </c>
      <c r="G16" s="18">
        <v>6.0834567119405492E-4</v>
      </c>
      <c r="I16" s="5" t="s">
        <v>6</v>
      </c>
      <c r="J16" s="8">
        <f>1-SUM(J11:J15)</f>
        <v>0.25</v>
      </c>
      <c r="K16" s="8">
        <v>1.25</v>
      </c>
      <c r="L16" s="10">
        <f>K16*$Q$12</f>
        <v>0.16250000000000001</v>
      </c>
      <c r="N16" s="9">
        <v>4.3309641818376524E-7</v>
      </c>
      <c r="V16" s="16" t="s">
        <v>20</v>
      </c>
      <c r="AA16" s="17">
        <v>15000</v>
      </c>
      <c r="AD16" s="27"/>
      <c r="AF16" s="5" t="s">
        <v>21</v>
      </c>
      <c r="AG16" s="8">
        <f>J11</f>
        <v>3.3871879437397258E-2</v>
      </c>
      <c r="AI16" s="5" t="s">
        <v>1</v>
      </c>
      <c r="AJ16" s="8">
        <f>AG16</f>
        <v>3.3871879437397258E-2</v>
      </c>
      <c r="AK16" s="15"/>
    </row>
    <row r="17" spans="1:37" x14ac:dyDescent="0.35">
      <c r="A17" s="3">
        <v>41662</v>
      </c>
      <c r="B17" s="4">
        <v>-9.2244115299267015E-3</v>
      </c>
      <c r="C17" s="4">
        <v>3.8434334154140437E-3</v>
      </c>
      <c r="D17" s="4">
        <v>3.8904708575127067E-4</v>
      </c>
      <c r="E17" s="4">
        <v>3.7985608080193245E-4</v>
      </c>
      <c r="F17" s="4">
        <v>-1.9412691642641811E-3</v>
      </c>
      <c r="G17" s="4">
        <v>1.2372109712019963E-3</v>
      </c>
      <c r="V17" s="16" t="s">
        <v>22</v>
      </c>
      <c r="AF17" s="5" t="s">
        <v>23</v>
      </c>
      <c r="AG17" s="8">
        <f t="shared" ref="AG17:AG21" si="1">J12</f>
        <v>4.2583636909912438E-2</v>
      </c>
      <c r="AI17" s="5" t="s">
        <v>2</v>
      </c>
      <c r="AJ17" s="8">
        <f>AG17</f>
        <v>4.2583636909912438E-2</v>
      </c>
      <c r="AK17" s="15"/>
    </row>
    <row r="18" spans="1:37" x14ac:dyDescent="0.35">
      <c r="A18" s="3">
        <v>41663</v>
      </c>
      <c r="B18" s="4">
        <v>-4.0342790066132395E-3</v>
      </c>
      <c r="C18" s="4">
        <v>5.5946964230941809E-3</v>
      </c>
      <c r="D18" s="4">
        <v>3.8435751555643272E-4</v>
      </c>
      <c r="E18" s="4">
        <v>3.7599962140011378E-4</v>
      </c>
      <c r="F18" s="4">
        <v>3.020555657217816E-3</v>
      </c>
      <c r="G18" s="4">
        <v>-1.3085321531214333E-5</v>
      </c>
      <c r="I18" s="5" t="str">
        <f t="array" ref="I18:N18">TRANSPOSE(I11:I16)</f>
        <v>ARX_Acoes</v>
      </c>
      <c r="J18" s="5" t="str">
        <v>Votorantim_Cambial</v>
      </c>
      <c r="K18" s="5" t="str">
        <v>BNPTargus_RF</v>
      </c>
      <c r="L18" s="5" t="str">
        <v>XPTop_CreditoPrivado</v>
      </c>
      <c r="M18" s="5" t="str">
        <v>SPX_Macro</v>
      </c>
      <c r="N18" s="5" t="str">
        <v>GAP_LongShort</v>
      </c>
      <c r="V18" s="14"/>
      <c r="AF18" s="5" t="s">
        <v>24</v>
      </c>
      <c r="AG18" s="8">
        <f t="shared" si="1"/>
        <v>0.12354448365269026</v>
      </c>
      <c r="AI18" s="5" t="s">
        <v>3</v>
      </c>
      <c r="AJ18" s="8">
        <f>AG18-J32</f>
        <v>4.554448365269026E-2</v>
      </c>
      <c r="AK18" s="15"/>
    </row>
    <row r="19" spans="1:37" x14ac:dyDescent="0.35">
      <c r="A19" s="3">
        <v>41666</v>
      </c>
      <c r="B19" s="4">
        <v>4.7327050552548044E-3</v>
      </c>
      <c r="C19" s="4">
        <v>3.00591464168809E-3</v>
      </c>
      <c r="D19" s="4">
        <v>3.8989310926496046E-4</v>
      </c>
      <c r="E19" s="4">
        <v>-6.6442413252598698E-5</v>
      </c>
      <c r="F19" s="4">
        <v>-3.3257121350160901E-5</v>
      </c>
      <c r="G19" s="4">
        <v>-8.2075789205193761E-4</v>
      </c>
      <c r="I19" s="18">
        <f t="array" ref="I19:N19">TRANSPOSE(J11:J16)</f>
        <v>3.3871879437397258E-2</v>
      </c>
      <c r="J19" s="18">
        <v>4.2583636909912438E-2</v>
      </c>
      <c r="K19" s="18">
        <v>0.12354448365269026</v>
      </c>
      <c r="L19" s="18">
        <v>0.35</v>
      </c>
      <c r="M19" s="18">
        <v>0.2</v>
      </c>
      <c r="N19" s="18">
        <v>0.25</v>
      </c>
      <c r="V19" s="14"/>
      <c r="W19" s="47" t="s">
        <v>25</v>
      </c>
      <c r="X19" s="47"/>
      <c r="Y19" s="47"/>
      <c r="Z19" s="47"/>
      <c r="AA19" s="4">
        <v>1</v>
      </c>
      <c r="AF19" s="5" t="s">
        <v>26</v>
      </c>
      <c r="AG19" s="8">
        <f t="shared" si="1"/>
        <v>0.35</v>
      </c>
      <c r="AI19" s="5" t="s">
        <v>27</v>
      </c>
      <c r="AJ19" s="19">
        <f>J32</f>
        <v>7.8E-2</v>
      </c>
      <c r="AK19" s="15"/>
    </row>
    <row r="20" spans="1:37" x14ac:dyDescent="0.35">
      <c r="A20" s="3">
        <v>41667</v>
      </c>
      <c r="B20" s="4">
        <v>-2.6041590140830628E-3</v>
      </c>
      <c r="C20" s="4">
        <v>3.5969487900562314E-3</v>
      </c>
      <c r="D20" s="4">
        <v>3.4116252887228526E-4</v>
      </c>
      <c r="E20" s="4">
        <v>1.9354711276675651E-4</v>
      </c>
      <c r="F20" s="4">
        <v>-3.302163434173444E-4</v>
      </c>
      <c r="G20" s="4">
        <v>3.3206299789787508E-3</v>
      </c>
      <c r="V20" s="14"/>
      <c r="W20" s="47" t="s">
        <v>28</v>
      </c>
      <c r="X20" s="47"/>
      <c r="Y20" s="47"/>
      <c r="Z20" s="47"/>
      <c r="AA20" s="4">
        <v>1</v>
      </c>
      <c r="AF20" s="5" t="s">
        <v>29</v>
      </c>
      <c r="AG20" s="8">
        <f t="shared" si="1"/>
        <v>0.2</v>
      </c>
      <c r="AI20" s="5" t="s">
        <v>4</v>
      </c>
      <c r="AJ20" s="8">
        <f>AG19</f>
        <v>0.35</v>
      </c>
      <c r="AK20" s="15"/>
    </row>
    <row r="21" spans="1:37" x14ac:dyDescent="0.35">
      <c r="A21" s="3">
        <v>41668</v>
      </c>
      <c r="B21" s="4">
        <v>-1.0601663022793861E-2</v>
      </c>
      <c r="C21" s="4">
        <v>-9.4798510772496902E-3</v>
      </c>
      <c r="D21" s="4">
        <v>3.8744551655600645E-4</v>
      </c>
      <c r="E21" s="4">
        <v>3.7968060466497811E-4</v>
      </c>
      <c r="F21" s="4">
        <v>-5.8114283399738342E-3</v>
      </c>
      <c r="G21" s="4">
        <v>-1.8832641834433117E-3</v>
      </c>
      <c r="V21" s="14"/>
      <c r="W21" s="47" t="s">
        <v>30</v>
      </c>
      <c r="X21" s="47"/>
      <c r="Y21" s="47"/>
      <c r="Z21" s="47"/>
      <c r="AA21" s="4">
        <v>1</v>
      </c>
      <c r="AF21" s="5" t="s">
        <v>30</v>
      </c>
      <c r="AG21" s="8">
        <f t="shared" si="1"/>
        <v>0.25</v>
      </c>
      <c r="AI21" s="5" t="s">
        <v>5</v>
      </c>
      <c r="AJ21" s="8">
        <f>AG20</f>
        <v>0.2</v>
      </c>
      <c r="AK21" s="15"/>
    </row>
    <row r="22" spans="1:37" x14ac:dyDescent="0.35">
      <c r="A22" s="3">
        <v>41669</v>
      </c>
      <c r="B22" s="4">
        <v>7.5952739513309719E-3</v>
      </c>
      <c r="C22" s="4">
        <v>6.0394287452547601E-4</v>
      </c>
      <c r="D22" s="4">
        <v>3.9104881254159451E-4</v>
      </c>
      <c r="E22" s="4">
        <v>4.5763846514845774E-4</v>
      </c>
      <c r="F22" s="4">
        <v>2.2493445844773419E-3</v>
      </c>
      <c r="G22" s="4">
        <v>2.3410473484750671E-3</v>
      </c>
      <c r="I22" s="5" t="s">
        <v>31</v>
      </c>
      <c r="J22" s="46" cm="1">
        <f t="array" ref="J22">MMULT(I19:N19,N11:N16)</f>
        <v>8.9297616382961339E-7</v>
      </c>
      <c r="V22" s="14"/>
      <c r="W22" s="47" t="s">
        <v>26</v>
      </c>
      <c r="X22" s="47"/>
      <c r="Y22" s="47"/>
      <c r="Z22" s="47"/>
      <c r="AA22" s="4">
        <v>1</v>
      </c>
      <c r="AI22" s="5" t="s">
        <v>6</v>
      </c>
      <c r="AJ22" s="8">
        <f>AG21</f>
        <v>0.25</v>
      </c>
      <c r="AK22" s="15"/>
    </row>
    <row r="23" spans="1:37" x14ac:dyDescent="0.35">
      <c r="A23" s="3">
        <v>41670</v>
      </c>
      <c r="B23" s="4">
        <v>-3.0034620869394568E-2</v>
      </c>
      <c r="C23" s="4">
        <v>7.9759482510459723E-3</v>
      </c>
      <c r="D23" s="4">
        <v>4.0592440893427728E-4</v>
      </c>
      <c r="E23" s="4">
        <v>7.0716901601208804E-5</v>
      </c>
      <c r="F23" s="4">
        <v>1.1431517844977535E-3</v>
      </c>
      <c r="G23" s="4">
        <v>-5.9444176256462367E-4</v>
      </c>
      <c r="I23" s="5" t="s">
        <v>55</v>
      </c>
      <c r="J23" s="53">
        <f>SQRT(J22)</f>
        <v>9.4497416040313685E-4</v>
      </c>
      <c r="V23" s="14"/>
      <c r="W23" s="47" t="s">
        <v>29</v>
      </c>
      <c r="X23" s="47"/>
      <c r="Y23" s="47"/>
      <c r="Z23" s="47"/>
      <c r="AA23" s="4">
        <v>1</v>
      </c>
      <c r="AK23" s="15"/>
    </row>
    <row r="24" spans="1:37" x14ac:dyDescent="0.35">
      <c r="A24" s="3">
        <v>41673</v>
      </c>
      <c r="B24" s="4">
        <v>9.4870011255319131E-3</v>
      </c>
      <c r="C24" s="4">
        <v>-9.4014720641624194E-3</v>
      </c>
      <c r="D24" s="4">
        <v>2.4799396821872932E-4</v>
      </c>
      <c r="E24" s="4">
        <v>4.2973469226170735E-4</v>
      </c>
      <c r="F24" s="4">
        <v>-6.9208979326174092E-4</v>
      </c>
      <c r="G24" s="4">
        <v>2.9606038188263462E-3</v>
      </c>
      <c r="I24" s="5" t="s">
        <v>32</v>
      </c>
      <c r="J24" s="18">
        <f>J23*SQRT(252)</f>
        <v>1.5000999742852562E-2</v>
      </c>
      <c r="K24" s="52"/>
      <c r="V24" s="14"/>
      <c r="W24" s="47" t="s">
        <v>21</v>
      </c>
      <c r="X24" s="47"/>
      <c r="Y24" s="47"/>
      <c r="Z24" s="47"/>
      <c r="AA24" s="4">
        <v>1</v>
      </c>
      <c r="AK24" s="15"/>
    </row>
    <row r="25" spans="1:37" x14ac:dyDescent="0.35">
      <c r="A25" s="3">
        <v>41674</v>
      </c>
      <c r="B25" s="4">
        <v>-7.8172495361974459E-3</v>
      </c>
      <c r="C25" s="4">
        <v>-4.4837255247089924E-3</v>
      </c>
      <c r="D25" s="4">
        <v>3.8840420093100292E-4</v>
      </c>
      <c r="E25" s="4">
        <v>7.3107870468858138E-4</v>
      </c>
      <c r="F25" s="4">
        <v>4.5664792072241944E-4</v>
      </c>
      <c r="G25" s="4">
        <v>1.9620631113723697E-3</v>
      </c>
      <c r="I25" s="5" t="s">
        <v>9</v>
      </c>
      <c r="J25" s="18">
        <f>SUMPRODUCT(AlocacaoCarteira!J11:J16,AlocacaoCarteira!L11:L16)</f>
        <v>0.15768819942823453</v>
      </c>
      <c r="V25" s="16" t="s">
        <v>33</v>
      </c>
      <c r="AD25" s="4" t="s">
        <v>34</v>
      </c>
      <c r="AF25" s="21" t="s">
        <v>11</v>
      </c>
      <c r="AG25" s="5" t="s">
        <v>35</v>
      </c>
      <c r="AH25" s="5" t="s">
        <v>12</v>
      </c>
      <c r="AK25" s="15"/>
    </row>
    <row r="26" spans="1:37" x14ac:dyDescent="0.35">
      <c r="A26" s="3">
        <v>41675</v>
      </c>
      <c r="B26" s="4">
        <v>2.0668554041728404E-2</v>
      </c>
      <c r="C26" s="4">
        <v>-5.3477725066961579E-3</v>
      </c>
      <c r="D26" s="4">
        <v>3.9164964286730886E-4</v>
      </c>
      <c r="E26" s="4">
        <v>7.5321768763836339E-4</v>
      </c>
      <c r="F26" s="4">
        <v>-3.3749537170224553E-3</v>
      </c>
      <c r="G26" s="4">
        <v>2.0158294316641179E-3</v>
      </c>
      <c r="I26" s="5" t="s">
        <v>54</v>
      </c>
      <c r="J26" s="8">
        <f>J25/Q12</f>
        <v>1.2129861494479579</v>
      </c>
      <c r="V26" s="14"/>
      <c r="AF26" s="5" t="s">
        <v>36</v>
      </c>
      <c r="AG26" s="22">
        <f>J25</f>
        <v>0.15768819942823453</v>
      </c>
      <c r="AH26" s="22">
        <f>J26</f>
        <v>1.2129861494479579</v>
      </c>
      <c r="AK26" s="15"/>
    </row>
    <row r="27" spans="1:37" x14ac:dyDescent="0.35">
      <c r="A27" s="3">
        <v>41676</v>
      </c>
      <c r="B27" s="4">
        <v>3.9457295806410997E-3</v>
      </c>
      <c r="C27" s="4">
        <v>-2.0036405432576343E-3</v>
      </c>
      <c r="D27" s="4">
        <v>3.9687239595886936E-4</v>
      </c>
      <c r="E27" s="4">
        <v>4.627154091485508E-4</v>
      </c>
      <c r="F27" s="4">
        <v>-7.6847897356890904E-4</v>
      </c>
      <c r="G27" s="4">
        <v>-2.2046785837621652E-3</v>
      </c>
      <c r="I27" s="20" t="s">
        <v>37</v>
      </c>
      <c r="J27" s="23">
        <f>AlocacaoCarteira!AF46</f>
        <v>1.4999999999999999E-2</v>
      </c>
      <c r="V27" s="14"/>
      <c r="AF27" s="5" t="s">
        <v>38</v>
      </c>
      <c r="AG27" s="22">
        <f>AG26-1.96*J24</f>
        <v>0.1282862399322435</v>
      </c>
      <c r="AH27" s="22">
        <f>AG27/$Q$12</f>
        <v>0.98681723024802692</v>
      </c>
      <c r="AK27" s="15"/>
    </row>
    <row r="28" spans="1:37" x14ac:dyDescent="0.35">
      <c r="A28" s="3">
        <v>41677</v>
      </c>
      <c r="B28" s="4">
        <v>-9.5362092163484569E-3</v>
      </c>
      <c r="C28" s="4">
        <v>7.2143241461528618E-3</v>
      </c>
      <c r="D28" s="4">
        <v>3.9114187994027105E-4</v>
      </c>
      <c r="E28" s="4">
        <v>4.2640261948778679E-4</v>
      </c>
      <c r="F28" s="4">
        <v>4.7163407628199039E-3</v>
      </c>
      <c r="G28" s="4">
        <v>1.9205512341069486E-4</v>
      </c>
      <c r="V28" s="14"/>
      <c r="AF28" s="5" t="s">
        <v>39</v>
      </c>
      <c r="AG28" s="22">
        <f>AG26+1.96*J24</f>
        <v>0.18709015892422556</v>
      </c>
      <c r="AH28" s="22">
        <f>AG28/$Q$12</f>
        <v>1.4391550686478889</v>
      </c>
      <c r="AK28" s="15"/>
    </row>
    <row r="29" spans="1:37" x14ac:dyDescent="0.35">
      <c r="A29" s="3">
        <v>41680</v>
      </c>
      <c r="B29" s="4">
        <v>1.4093081553892883E-2</v>
      </c>
      <c r="C29" s="4">
        <v>2.3465336843977447E-3</v>
      </c>
      <c r="D29" s="4">
        <v>3.9765477065589749E-4</v>
      </c>
      <c r="E29" s="4">
        <v>4.3664094098372352E-4</v>
      </c>
      <c r="F29" s="4">
        <v>-2.9883833205346377E-5</v>
      </c>
      <c r="G29" s="4">
        <v>-3.159419281999476E-4</v>
      </c>
      <c r="I29" s="20" t="s">
        <v>40</v>
      </c>
      <c r="V29" s="14"/>
      <c r="AK29" s="15"/>
    </row>
    <row r="30" spans="1:37" x14ac:dyDescent="0.35">
      <c r="A30" s="3">
        <v>41681</v>
      </c>
      <c r="B30" s="4">
        <v>-7.4184879293260897E-3</v>
      </c>
      <c r="C30" s="4">
        <v>7.2563860911507572E-3</v>
      </c>
      <c r="D30" s="4">
        <v>4.0465361751285123E-4</v>
      </c>
      <c r="E30" s="4">
        <v>2.8226707043788046E-4</v>
      </c>
      <c r="F30" s="4">
        <v>1.6954330310392507E-3</v>
      </c>
      <c r="G30" s="4">
        <v>-7.1099639552874017E-4</v>
      </c>
      <c r="I30" s="4" t="s">
        <v>41</v>
      </c>
      <c r="J30" s="18">
        <f>K30/AA34-J32</f>
        <v>2.2000000000000006E-2</v>
      </c>
      <c r="K30" s="24">
        <f>AA14*6</f>
        <v>30000</v>
      </c>
      <c r="V30" s="14"/>
      <c r="AK30" s="15"/>
    </row>
    <row r="31" spans="1:37" x14ac:dyDescent="0.35">
      <c r="A31" s="3">
        <v>41682</v>
      </c>
      <c r="B31" s="4">
        <v>-8.5921131613407864E-3</v>
      </c>
      <c r="C31" s="4">
        <v>-7.6434979019845972E-3</v>
      </c>
      <c r="D31" s="4">
        <v>4.0548088177394526E-4</v>
      </c>
      <c r="E31" s="4">
        <v>3.1966904830893483E-4</v>
      </c>
      <c r="F31" s="4">
        <v>-3.2557778624019429E-3</v>
      </c>
      <c r="G31" s="4">
        <v>-1.0253293024172772E-3</v>
      </c>
      <c r="I31" s="4" t="s">
        <v>23</v>
      </c>
      <c r="J31" s="18">
        <f>K31/AA34</f>
        <v>0</v>
      </c>
      <c r="K31" s="51">
        <f>AA15*2</f>
        <v>0</v>
      </c>
      <c r="V31" s="14"/>
      <c r="AK31" s="15"/>
    </row>
    <row r="32" spans="1:37" x14ac:dyDescent="0.35">
      <c r="A32" s="3">
        <v>41683</v>
      </c>
      <c r="B32" s="4">
        <v>6.1999336362963398E-3</v>
      </c>
      <c r="C32" s="4">
        <v>-7.6573685394136781E-3</v>
      </c>
      <c r="D32" s="4">
        <v>3.8764390917700453E-4</v>
      </c>
      <c r="E32" s="4">
        <v>5.9094935878301058E-4</v>
      </c>
      <c r="F32" s="4">
        <v>1.4565352176436619E-3</v>
      </c>
      <c r="G32" s="4">
        <v>8.4329996186260914E-4</v>
      </c>
      <c r="I32" s="4" t="s">
        <v>42</v>
      </c>
      <c r="J32" s="18">
        <f>K32/AA34</f>
        <v>7.8E-2</v>
      </c>
      <c r="K32" s="24">
        <f>AA16*13*0.12</f>
        <v>23400</v>
      </c>
      <c r="V32" s="14"/>
      <c r="AK32" s="15"/>
    </row>
    <row r="33" spans="1:37" x14ac:dyDescent="0.35">
      <c r="A33" s="3">
        <v>41684</v>
      </c>
      <c r="B33" s="4">
        <v>-1.3274127339266806E-2</v>
      </c>
      <c r="C33" s="4">
        <v>-1.4428768772312139E-4</v>
      </c>
      <c r="D33" s="4">
        <v>3.9253092128843647E-4</v>
      </c>
      <c r="E33" s="4">
        <v>4.9472827267060815E-4</v>
      </c>
      <c r="F33" s="4">
        <v>0</v>
      </c>
      <c r="G33" s="4">
        <v>-5.7047519827047033E-5</v>
      </c>
      <c r="V33" s="14"/>
      <c r="AK33" s="15"/>
    </row>
    <row r="34" spans="1:37" ht="15" thickBot="1" x14ac:dyDescent="0.4">
      <c r="A34" s="3">
        <v>41687</v>
      </c>
      <c r="B34" s="4">
        <v>-2.2678050818939366E-2</v>
      </c>
      <c r="C34" s="4">
        <v>2.7190603768043609E-3</v>
      </c>
      <c r="D34" s="4">
        <v>3.8537523347481617E-4</v>
      </c>
      <c r="E34" s="4">
        <v>4.5568128129236385E-4</v>
      </c>
      <c r="F34" s="4">
        <v>3.1530888905531018E-3</v>
      </c>
      <c r="G34" s="4">
        <v>1.3916173235422047E-3</v>
      </c>
      <c r="K34" s="4"/>
      <c r="L34" s="25" t="s">
        <v>43</v>
      </c>
      <c r="M34" s="25" t="s">
        <v>44</v>
      </c>
      <c r="V34" s="28" t="s">
        <v>45</v>
      </c>
      <c r="W34" s="29"/>
      <c r="X34" s="29"/>
      <c r="Y34" s="29"/>
      <c r="Z34" s="29"/>
      <c r="AA34" s="49">
        <v>300000</v>
      </c>
      <c r="AB34" s="29"/>
      <c r="AC34" s="29"/>
      <c r="AD34" s="29"/>
      <c r="AE34" s="29"/>
      <c r="AF34" s="29"/>
      <c r="AG34" s="29"/>
      <c r="AH34" s="29"/>
      <c r="AI34" s="29"/>
      <c r="AJ34" s="29"/>
      <c r="AK34" s="30"/>
    </row>
    <row r="35" spans="1:37" x14ac:dyDescent="0.35">
      <c r="A35" s="3">
        <v>41688</v>
      </c>
      <c r="B35" s="4">
        <v>1.1421890923481337E-2</v>
      </c>
      <c r="C35" s="4">
        <v>-1.6965019540077231E-3</v>
      </c>
      <c r="D35" s="4">
        <v>3.8756297991926481E-4</v>
      </c>
      <c r="E35" s="4">
        <v>4.9809598898953311E-4</v>
      </c>
      <c r="F35" s="4">
        <v>7.8106531742316854E-4</v>
      </c>
      <c r="G35" s="4">
        <v>1.7984400424997382E-3</v>
      </c>
      <c r="K35" s="5" t="s">
        <v>25</v>
      </c>
      <c r="L35" s="55">
        <f>IF($AD$25="A",70%,IF($AD$25="B",60%,IF($AD$25="C",50%,40%)))</f>
        <v>0.6</v>
      </c>
      <c r="M35" s="55">
        <f>IF($AD$25="A",40%,IF($AD$25="B",30%,IF($AD$25="C",15%,10%)))</f>
        <v>0.3</v>
      </c>
    </row>
    <row r="36" spans="1:37" x14ac:dyDescent="0.35">
      <c r="A36" s="3">
        <v>41689</v>
      </c>
      <c r="B36" s="4">
        <v>1.7308130896072083E-3</v>
      </c>
      <c r="C36" s="4">
        <v>-5.2088042069793339E-3</v>
      </c>
      <c r="D36" s="4">
        <v>3.9929167302066304E-4</v>
      </c>
      <c r="E36" s="4">
        <v>3.0974028933061781E-4</v>
      </c>
      <c r="F36" s="4">
        <v>-1.1855015209468744E-3</v>
      </c>
      <c r="G36" s="4">
        <v>3.7158235336010037E-5</v>
      </c>
      <c r="K36" s="5" t="s">
        <v>28</v>
      </c>
      <c r="L36" s="55">
        <f>IF($AD$25="A",10%,IF($AD$25="B",15%,IF($AD$25="C",20%,30%)))</f>
        <v>0.15</v>
      </c>
      <c r="M36" s="55">
        <f>IF(Q15&gt;70%,IF($AD$25="A",0%,IF($AD$25="B",5%,IF($AD$25="C",10%,15%))),IF($AD$25="A",0%,IF($AD$25="B",0%,IF($AD$25="C",0%,0%))))</f>
        <v>0</v>
      </c>
    </row>
    <row r="37" spans="1:37" x14ac:dyDescent="0.35">
      <c r="A37" s="3">
        <v>41690</v>
      </c>
      <c r="B37" s="4">
        <v>6.3299042235076541E-4</v>
      </c>
      <c r="C37" s="4">
        <v>-8.0820872248503761E-3</v>
      </c>
      <c r="D37" s="4">
        <v>3.8640058746475248E-4</v>
      </c>
      <c r="E37" s="4">
        <v>6.0083836678614944E-4</v>
      </c>
      <c r="F37" s="4">
        <v>-2.1623351137526337E-3</v>
      </c>
      <c r="G37" s="4">
        <v>4.1639356501188551E-4</v>
      </c>
      <c r="K37" s="5" t="s">
        <v>30</v>
      </c>
      <c r="L37" s="55">
        <f>IF($AD$25="A",20%,IF($AD$25="B",25%,IF($AD$25="C",30%,30%)))</f>
        <v>0.25</v>
      </c>
      <c r="M37" s="55">
        <f>IF($AD$25="A",0%,IF($AD$25="B",5%,IF($AD$25="C",10%,10%)))</f>
        <v>0.05</v>
      </c>
    </row>
    <row r="38" spans="1:37" x14ac:dyDescent="0.35">
      <c r="A38" s="3">
        <v>41691</v>
      </c>
      <c r="B38" s="4">
        <v>3.6584936794283873E-3</v>
      </c>
      <c r="C38" s="4">
        <v>-6.7505088090705767E-3</v>
      </c>
      <c r="D38" s="4">
        <v>3.8801212526529127E-4</v>
      </c>
      <c r="E38" s="4">
        <v>5.5823365269680458E-4</v>
      </c>
      <c r="F38" s="4">
        <v>-1.0307793783975727E-3</v>
      </c>
      <c r="G38" s="4">
        <v>1.943419971515592E-3</v>
      </c>
      <c r="K38" s="5" t="s">
        <v>26</v>
      </c>
      <c r="L38" s="55">
        <f>IF($AD$25="A",40%,IF($AD$25="B",35%,IF($AD$25="C",30%,25%)))</f>
        <v>0.35</v>
      </c>
      <c r="M38" s="55">
        <f>IF($AD$25="A",25%,IF($AD$25="B",15%,IF($AD$25="C",5%,5%)))</f>
        <v>0.15</v>
      </c>
    </row>
    <row r="39" spans="1:37" x14ac:dyDescent="0.35">
      <c r="A39" s="3">
        <v>41694</v>
      </c>
      <c r="B39" s="4">
        <v>-1.5406192609828895E-2</v>
      </c>
      <c r="C39" s="4">
        <v>-2.0639440089103012E-3</v>
      </c>
      <c r="D39" s="4">
        <v>3.8571462845138349E-4</v>
      </c>
      <c r="E39" s="4">
        <v>4.9824539985765526E-4</v>
      </c>
      <c r="F39" s="4">
        <v>-1.985100995581357E-3</v>
      </c>
      <c r="G39" s="4">
        <v>8.3921343849979735E-4</v>
      </c>
      <c r="K39" s="5" t="s">
        <v>29</v>
      </c>
      <c r="L39" s="55">
        <f>IF($AD$25="A",10%,IF($AD$25="B",20%,IF($AD$25="C",30%,40%)))</f>
        <v>0.2</v>
      </c>
      <c r="M39" s="55">
        <f>IF($AD$25="A",0%,IF($AD$25="B",10%,IF($AD$25="C",15%,20%)))</f>
        <v>0.1</v>
      </c>
    </row>
    <row r="40" spans="1:37" ht="15" thickBot="1" x14ac:dyDescent="0.4">
      <c r="A40" s="3">
        <v>41695</v>
      </c>
      <c r="B40" s="4">
        <v>-1.8257358007529589E-3</v>
      </c>
      <c r="C40" s="4">
        <v>7.0609432140911199E-3</v>
      </c>
      <c r="D40" s="4">
        <v>3.9047590356822148E-4</v>
      </c>
      <c r="E40" s="4">
        <v>5.2962251534882654E-4</v>
      </c>
      <c r="F40" s="4">
        <v>3.0480143101228041E-3</v>
      </c>
      <c r="G40" s="4">
        <v>-4.6857960733737158E-4</v>
      </c>
      <c r="K40" s="5" t="s">
        <v>21</v>
      </c>
      <c r="L40" s="55">
        <f>IF($AD$25="A",5%,IF($AD$25="B",15%,IF($AD$25="C",20%,40%)))</f>
        <v>0.15</v>
      </c>
      <c r="M40" s="55">
        <f>IF($AD$25="A",0%,IF($AD$25="B",5%,IF($AD$25="C",10%,15%)))</f>
        <v>0.05</v>
      </c>
      <c r="AD40" s="31"/>
      <c r="AF40" s="31"/>
      <c r="AG40" s="31"/>
      <c r="AJ40" s="31"/>
      <c r="AK40" s="31"/>
    </row>
    <row r="41" spans="1:37" ht="15" thickBot="1" x14ac:dyDescent="0.4">
      <c r="A41" s="3">
        <v>41696</v>
      </c>
      <c r="B41" s="4">
        <v>2.0115826403798609E-2</v>
      </c>
      <c r="C41" s="4">
        <v>-1.2372531986802993E-2</v>
      </c>
      <c r="D41" s="4">
        <v>4.0955919919216655E-4</v>
      </c>
      <c r="E41" s="4">
        <v>3.8856955858568298E-4</v>
      </c>
      <c r="F41" s="4">
        <v>-6.8396984412374406E-3</v>
      </c>
      <c r="G41" s="4">
        <v>-1.4886488460719161E-4</v>
      </c>
      <c r="AF41" s="43" t="s">
        <v>49</v>
      </c>
      <c r="AG41" s="44" t="s">
        <v>34</v>
      </c>
      <c r="AH41" s="44" t="s">
        <v>51</v>
      </c>
      <c r="AI41" s="45" t="s">
        <v>52</v>
      </c>
      <c r="AJ41" s="31"/>
      <c r="AK41" s="31"/>
    </row>
    <row r="42" spans="1:37" x14ac:dyDescent="0.35">
      <c r="A42" s="3">
        <v>41697</v>
      </c>
      <c r="B42" s="4">
        <v>-1.0328944815994112E-2</v>
      </c>
      <c r="C42" s="4">
        <v>6.9931158139053817E-3</v>
      </c>
      <c r="D42" s="4">
        <v>3.9900415446236792E-4</v>
      </c>
      <c r="E42" s="4">
        <v>5.7900062730920077E-4</v>
      </c>
      <c r="F42" s="4">
        <v>5.0246968998239883E-3</v>
      </c>
      <c r="G42" s="4">
        <v>-4.2069019796708851E-4</v>
      </c>
      <c r="L42" s="7" t="s">
        <v>47</v>
      </c>
      <c r="AD42" s="41" t="s">
        <v>46</v>
      </c>
      <c r="AE42" s="12"/>
      <c r="AF42" s="32">
        <v>3.0000000000000001E-3</v>
      </c>
      <c r="AG42" s="33">
        <v>1.4999999999999999E-2</v>
      </c>
      <c r="AH42" s="33">
        <v>2.5000000000000001E-2</v>
      </c>
      <c r="AI42" s="34">
        <v>0.05</v>
      </c>
      <c r="AJ42" s="31"/>
      <c r="AK42" s="31"/>
    </row>
    <row r="43" spans="1:37" x14ac:dyDescent="0.35">
      <c r="A43" s="3">
        <v>41698</v>
      </c>
      <c r="B43" s="4">
        <v>-1.0491066683351646E-2</v>
      </c>
      <c r="C43" s="4">
        <v>-7.5711727620558777E-3</v>
      </c>
      <c r="D43" s="4">
        <v>4.1379411525555021E-4</v>
      </c>
      <c r="E43" s="4">
        <v>-2.3266064030913469E-5</v>
      </c>
      <c r="F43" s="4">
        <v>2.8988947353081329E-4</v>
      </c>
      <c r="G43" s="4">
        <v>-1.9303534770420683E-5</v>
      </c>
      <c r="L43" s="26" t="s">
        <v>49</v>
      </c>
      <c r="AD43" s="42" t="s">
        <v>48</v>
      </c>
      <c r="AF43" s="35">
        <v>5.0000000000000001E-3</v>
      </c>
      <c r="AG43" s="36">
        <v>0.02</v>
      </c>
      <c r="AH43" s="37">
        <v>0.03</v>
      </c>
      <c r="AI43" s="38">
        <v>0.1</v>
      </c>
      <c r="AJ43" s="31"/>
      <c r="AK43" s="31"/>
    </row>
    <row r="44" spans="1:37" x14ac:dyDescent="0.35">
      <c r="A44" s="3">
        <v>41703</v>
      </c>
      <c r="B44" s="4">
        <v>1.1903569229721134E-2</v>
      </c>
      <c r="C44" s="4">
        <v>-9.1829865751258399E-4</v>
      </c>
      <c r="D44" s="4">
        <v>4.002257023441036E-4</v>
      </c>
      <c r="E44" s="4">
        <v>6.5705461334575332E-4</v>
      </c>
      <c r="F44" s="4">
        <v>1.0942327017107178E-3</v>
      </c>
      <c r="G44" s="4">
        <v>1.4995680509688469E-3</v>
      </c>
      <c r="L44" s="26" t="s">
        <v>34</v>
      </c>
      <c r="AD44" s="42" t="s">
        <v>50</v>
      </c>
      <c r="AF44" s="36">
        <v>1.05</v>
      </c>
      <c r="AG44" s="36">
        <v>1.1499999999999999</v>
      </c>
      <c r="AH44" s="36">
        <v>1.3</v>
      </c>
      <c r="AI44" s="38">
        <v>1.5</v>
      </c>
      <c r="AJ44" s="31"/>
      <c r="AK44" s="31"/>
    </row>
    <row r="45" spans="1:37" x14ac:dyDescent="0.35">
      <c r="A45" s="3">
        <v>41704</v>
      </c>
      <c r="B45" s="4">
        <v>-1.6424262756799313E-2</v>
      </c>
      <c r="C45" s="4">
        <v>1.170546209714618E-2</v>
      </c>
      <c r="D45" s="4">
        <v>4.0439615782905669E-4</v>
      </c>
      <c r="E45" s="4">
        <v>2.3705072748314571E-4</v>
      </c>
      <c r="F45" s="4">
        <v>8.9702191894276417E-3</v>
      </c>
      <c r="G45" s="4">
        <v>-1.5456951175096822E-3</v>
      </c>
      <c r="L45" s="26" t="s">
        <v>51</v>
      </c>
      <c r="AD45" s="14"/>
      <c r="AI45" s="15"/>
      <c r="AJ45" s="31"/>
      <c r="AK45" s="31"/>
    </row>
    <row r="46" spans="1:37" ht="15" thickBot="1" x14ac:dyDescent="0.4">
      <c r="A46" s="3">
        <v>41705</v>
      </c>
      <c r="B46" s="4">
        <v>-1.3082438699719368E-2</v>
      </c>
      <c r="C46" s="4">
        <v>3.6998232737137648E-3</v>
      </c>
      <c r="D46" s="4">
        <v>3.9255531174764435E-4</v>
      </c>
      <c r="E46" s="4">
        <v>3.3147538467193094E-4</v>
      </c>
      <c r="F46" s="4">
        <v>2.5037901055560141E-3</v>
      </c>
      <c r="G46" s="4">
        <v>-7.8897027749047499E-4</v>
      </c>
      <c r="L46" s="26" t="s">
        <v>52</v>
      </c>
      <c r="AD46" s="39"/>
      <c r="AE46" s="29" t="s">
        <v>53</v>
      </c>
      <c r="AF46" s="40">
        <f>IF(AD25="A",AF42,IF(AD25="B",AG42,IF(AD25="C",AH42,AI42)))</f>
        <v>1.4999999999999999E-2</v>
      </c>
      <c r="AG46" s="29"/>
      <c r="AH46" s="29"/>
      <c r="AI46" s="30"/>
      <c r="AJ46" s="31"/>
      <c r="AK46" s="31"/>
    </row>
    <row r="47" spans="1:37" x14ac:dyDescent="0.35">
      <c r="A47" s="3">
        <v>41708</v>
      </c>
      <c r="B47" s="4">
        <v>3.1312971559915859E-3</v>
      </c>
      <c r="C47" s="4">
        <v>4.5727594493842894E-3</v>
      </c>
      <c r="D47" s="4">
        <v>4.1011001117641221E-4</v>
      </c>
      <c r="E47" s="4">
        <v>2.6709725463347489E-4</v>
      </c>
      <c r="F47" s="4">
        <v>3.5218752535315367E-4</v>
      </c>
      <c r="G47" s="4">
        <v>8.0879386090204619E-4</v>
      </c>
      <c r="AJ47" s="31"/>
      <c r="AK47" s="31"/>
    </row>
    <row r="48" spans="1:37" x14ac:dyDescent="0.35">
      <c r="A48" s="3">
        <v>41709</v>
      </c>
      <c r="B48" s="4">
        <v>5.0569845503853905E-3</v>
      </c>
      <c r="C48" s="4">
        <v>-2.0410663165901788E-3</v>
      </c>
      <c r="D48" s="4">
        <v>3.9872114606254172E-4</v>
      </c>
      <c r="E48" s="4">
        <v>4.0595726354486494E-4</v>
      </c>
      <c r="F48" s="4">
        <v>-1.8752389169971462E-3</v>
      </c>
      <c r="G48" s="4">
        <v>-2.7416207219510547E-4</v>
      </c>
      <c r="AJ48" s="31"/>
      <c r="AK48" s="31"/>
    </row>
    <row r="49" spans="1:7" x14ac:dyDescent="0.35">
      <c r="A49" s="3">
        <v>41710</v>
      </c>
      <c r="B49" s="4">
        <v>-4.8110323079940676E-3</v>
      </c>
      <c r="C49" s="4">
        <v>2.0048220418191764E-3</v>
      </c>
      <c r="D49" s="4">
        <v>3.5678955600615403E-4</v>
      </c>
      <c r="E49" s="4">
        <v>4.8583779065713983E-4</v>
      </c>
      <c r="F49" s="4">
        <v>9.7417042701986034E-4</v>
      </c>
      <c r="G49" s="4">
        <v>2.9842727878026665E-4</v>
      </c>
    </row>
    <row r="50" spans="1:7" x14ac:dyDescent="0.35">
      <c r="A50" s="3">
        <v>41711</v>
      </c>
      <c r="B50" s="4">
        <v>-1.0861052766557466E-2</v>
      </c>
      <c r="C50" s="4">
        <v>-4.9986209837561413E-3</v>
      </c>
      <c r="D50" s="4">
        <v>4.4721523010915476E-4</v>
      </c>
      <c r="E50" s="4">
        <v>3.876337542398911E-4</v>
      </c>
      <c r="F50" s="4">
        <v>1.9244585340527642E-4</v>
      </c>
      <c r="G50" s="4">
        <v>4.5465875848660353E-4</v>
      </c>
    </row>
    <row r="51" spans="1:7" x14ac:dyDescent="0.35">
      <c r="A51" s="3">
        <v>41712</v>
      </c>
      <c r="B51" s="4">
        <v>1.0443276141705038E-3</v>
      </c>
      <c r="C51" s="4">
        <v>-1.8703371791393142E-3</v>
      </c>
      <c r="D51" s="4">
        <v>4.7757743572551803E-4</v>
      </c>
      <c r="E51" s="4">
        <v>4.1398384956536916E-4</v>
      </c>
      <c r="F51" s="4">
        <v>4.1557893577093274E-4</v>
      </c>
      <c r="G51" s="4">
        <v>-9.3070816395002254E-4</v>
      </c>
    </row>
    <row r="52" spans="1:7" x14ac:dyDescent="0.35">
      <c r="A52" s="3">
        <v>41715</v>
      </c>
      <c r="B52" s="4">
        <v>2.2161601111124973E-2</v>
      </c>
      <c r="C52" s="4">
        <v>-4.0743457176763975E-3</v>
      </c>
      <c r="D52" s="4">
        <v>3.8291750585295325E-4</v>
      </c>
      <c r="E52" s="4">
        <v>3.7299021317083181E-4</v>
      </c>
      <c r="F52" s="4">
        <v>-9.0550668917366295E-4</v>
      </c>
      <c r="G52" s="4">
        <v>2.6464330802133951E-4</v>
      </c>
    </row>
    <row r="53" spans="1:7" x14ac:dyDescent="0.35">
      <c r="A53" s="3">
        <v>41716</v>
      </c>
      <c r="B53" s="4">
        <v>1.0531952470631323E-2</v>
      </c>
      <c r="C53" s="4">
        <v>2.8992154116520563E-3</v>
      </c>
      <c r="D53" s="4">
        <v>4.1146283195536704E-4</v>
      </c>
      <c r="E53" s="4">
        <v>3.450593109435296E-4</v>
      </c>
      <c r="F53" s="4">
        <v>5.8360455991894877E-3</v>
      </c>
      <c r="G53" s="4">
        <v>3.2130058612578338E-4</v>
      </c>
    </row>
    <row r="54" spans="1:7" x14ac:dyDescent="0.35">
      <c r="A54" s="3">
        <v>41717</v>
      </c>
      <c r="B54" s="4">
        <v>1.5103811302737968E-2</v>
      </c>
      <c r="C54" s="4">
        <v>-8.4897718454017834E-3</v>
      </c>
      <c r="D54" s="4">
        <v>4.0443437637249779E-4</v>
      </c>
      <c r="E54" s="4">
        <v>2.7432452311071387E-4</v>
      </c>
      <c r="F54" s="4">
        <v>-6.6461899133174462E-5</v>
      </c>
      <c r="G54" s="4">
        <v>-2.3023027538549012E-4</v>
      </c>
    </row>
    <row r="55" spans="1:7" x14ac:dyDescent="0.35">
      <c r="A55" s="3">
        <v>41718</v>
      </c>
      <c r="B55" s="4">
        <v>4.6990803480475574E-3</v>
      </c>
      <c r="C55" s="4">
        <v>-1.2724718328280815E-3</v>
      </c>
      <c r="D55" s="4">
        <v>4.0576639701828121E-4</v>
      </c>
      <c r="E55" s="4">
        <v>4.3254047898044767E-4</v>
      </c>
      <c r="F55" s="4">
        <v>-3.202649799377788E-3</v>
      </c>
      <c r="G55" s="4">
        <v>9.1946487622363016E-4</v>
      </c>
    </row>
    <row r="56" spans="1:7" x14ac:dyDescent="0.35">
      <c r="A56" s="3">
        <v>41719</v>
      </c>
      <c r="B56" s="4">
        <v>9.2132476547706066E-3</v>
      </c>
      <c r="C56" s="4">
        <v>-1.0875233978641097E-3</v>
      </c>
      <c r="D56" s="4">
        <v>4.2464879451076243E-4</v>
      </c>
      <c r="E56" s="4">
        <v>4.9744131479800835E-4</v>
      </c>
      <c r="F56" s="4">
        <v>-1.5561088357246566E-3</v>
      </c>
      <c r="G56" s="4">
        <v>2.6380769667899706E-4</v>
      </c>
    </row>
    <row r="57" spans="1:7" x14ac:dyDescent="0.35">
      <c r="A57" s="3">
        <v>41722</v>
      </c>
      <c r="B57" s="4">
        <v>1.3899720339620725E-3</v>
      </c>
      <c r="C57" s="4">
        <v>-6.9311539706904401E-3</v>
      </c>
      <c r="D57" s="4">
        <v>4.1190091887299829E-4</v>
      </c>
      <c r="E57" s="4">
        <v>5.060332691051439E-4</v>
      </c>
      <c r="F57" s="4">
        <v>-6.1012386015406594E-3</v>
      </c>
      <c r="G57" s="4">
        <v>7.3722234362461059E-4</v>
      </c>
    </row>
    <row r="58" spans="1:7" x14ac:dyDescent="0.35">
      <c r="A58" s="3">
        <v>41723</v>
      </c>
      <c r="B58" s="4">
        <v>-7.4147493289427047E-3</v>
      </c>
      <c r="C58" s="4">
        <v>2.6622352004692651E-3</v>
      </c>
      <c r="D58" s="4">
        <v>4.0202364786745548E-4</v>
      </c>
      <c r="E58" s="4">
        <v>5.7668507268271441E-4</v>
      </c>
      <c r="F58" s="4">
        <v>-5.6599114363375946E-4</v>
      </c>
      <c r="G58" s="4">
        <v>1.2130470938556126E-3</v>
      </c>
    </row>
    <row r="59" spans="1:7" x14ac:dyDescent="0.35">
      <c r="A59" s="3">
        <v>41724</v>
      </c>
      <c r="B59" s="4">
        <v>3.0525334693895623E-2</v>
      </c>
      <c r="C59" s="4">
        <v>-2.1420253953230661E-2</v>
      </c>
      <c r="D59" s="4">
        <v>4.0575704214673713E-4</v>
      </c>
      <c r="E59" s="4">
        <v>4.5811563207220907E-4</v>
      </c>
      <c r="F59" s="4">
        <v>-1.169307498875527E-2</v>
      </c>
      <c r="G59" s="4">
        <v>5.0800258555705469E-4</v>
      </c>
    </row>
    <row r="60" spans="1:7" x14ac:dyDescent="0.35">
      <c r="A60" s="3">
        <v>41725</v>
      </c>
      <c r="B60" s="4">
        <v>4.1668830567569426E-3</v>
      </c>
      <c r="C60" s="4">
        <v>5.1528957816349141E-4</v>
      </c>
      <c r="D60" s="4">
        <v>3.9378791716671024E-4</v>
      </c>
      <c r="E60" s="4">
        <v>6.7467605309712297E-4</v>
      </c>
      <c r="F60" s="4">
        <v>3.7182320555080306E-3</v>
      </c>
      <c r="G60" s="4">
        <v>-1.539023672383788E-3</v>
      </c>
    </row>
    <row r="61" spans="1:7" x14ac:dyDescent="0.35">
      <c r="A61" s="3">
        <v>41726</v>
      </c>
      <c r="B61" s="4">
        <v>1.5643327068860291E-2</v>
      </c>
      <c r="C61" s="4">
        <v>1.4973780111917634E-3</v>
      </c>
      <c r="D61" s="4">
        <v>4.0750235876507723E-4</v>
      </c>
      <c r="E61" s="4">
        <v>3.042619763200527E-4</v>
      </c>
      <c r="F61" s="4">
        <v>3.1987608209276264E-3</v>
      </c>
      <c r="G61" s="4">
        <v>4.1447104404550572E-3</v>
      </c>
    </row>
    <row r="62" spans="1:7" x14ac:dyDescent="0.35">
      <c r="A62" s="3">
        <v>41729</v>
      </c>
      <c r="B62" s="4">
        <v>-2.5427982883658995E-3</v>
      </c>
      <c r="C62" s="4">
        <v>-1.0253707404360712E-3</v>
      </c>
      <c r="D62" s="4">
        <v>3.9928315954207427E-4</v>
      </c>
      <c r="E62" s="4">
        <v>3.5550682995033611E-4</v>
      </c>
      <c r="F62" s="4">
        <v>2.0686516136030342E-3</v>
      </c>
      <c r="G62" s="4">
        <v>1.6097164190507218E-3</v>
      </c>
    </row>
    <row r="63" spans="1:7" x14ac:dyDescent="0.35">
      <c r="A63" s="3">
        <v>41730</v>
      </c>
      <c r="B63" s="4">
        <v>2.3555715258057441E-2</v>
      </c>
      <c r="C63" s="4">
        <v>2.8630480903437672E-3</v>
      </c>
      <c r="D63" s="4">
        <v>4.1147080634895694E-4</v>
      </c>
      <c r="E63" s="4">
        <v>4.1534394444719958E-4</v>
      </c>
      <c r="F63" s="4">
        <v>8.6015880343781603E-4</v>
      </c>
      <c r="G63" s="4">
        <v>-8.9709159152184803E-5</v>
      </c>
    </row>
    <row r="64" spans="1:7" x14ac:dyDescent="0.35">
      <c r="A64" s="3">
        <v>41731</v>
      </c>
      <c r="B64" s="4">
        <v>-4.6114062338770134E-3</v>
      </c>
      <c r="C64" s="4">
        <v>5.183007860259492E-3</v>
      </c>
      <c r="D64" s="4">
        <v>4.2997261729427194E-4</v>
      </c>
      <c r="E64" s="4">
        <v>3.7634534843622447E-4</v>
      </c>
      <c r="F64" s="4">
        <v>1.8705212805325555E-3</v>
      </c>
      <c r="G64" s="4">
        <v>1.8878369120800542E-4</v>
      </c>
    </row>
    <row r="65" spans="1:7" x14ac:dyDescent="0.35">
      <c r="A65" s="3">
        <v>41732</v>
      </c>
      <c r="B65" s="4">
        <v>-6.4854639535933956E-3</v>
      </c>
      <c r="C65" s="4">
        <v>-1.7753058786215581E-2</v>
      </c>
      <c r="D65" s="4">
        <v>4.2069857594007054E-4</v>
      </c>
      <c r="E65" s="4">
        <v>5.103716507142142E-4</v>
      </c>
      <c r="F65" s="4">
        <v>-8.560953286038453E-3</v>
      </c>
      <c r="G65" s="4">
        <v>6.1077695900912943E-5</v>
      </c>
    </row>
    <row r="66" spans="1:7" x14ac:dyDescent="0.35">
      <c r="A66" s="3">
        <v>41733</v>
      </c>
      <c r="B66" s="4">
        <v>1.4409649604715025E-2</v>
      </c>
      <c r="C66" s="4">
        <v>-1.2513582645366284E-2</v>
      </c>
      <c r="D66" s="4">
        <v>4.0615960626566583E-4</v>
      </c>
      <c r="E66" s="4">
        <v>5.1986423453542763E-4</v>
      </c>
      <c r="F66" s="4">
        <v>-7.5766794611162869E-3</v>
      </c>
      <c r="G66" s="4">
        <v>1.3732380356776819E-3</v>
      </c>
    </row>
    <row r="67" spans="1:7" x14ac:dyDescent="0.35">
      <c r="A67" s="3">
        <v>41736</v>
      </c>
      <c r="B67" s="4">
        <v>-1.2504490873014307E-2</v>
      </c>
      <c r="C67" s="4">
        <v>-3.3819177436279491E-3</v>
      </c>
      <c r="D67" s="4">
        <v>4.0770022070457657E-4</v>
      </c>
      <c r="E67" s="4">
        <v>5.5337121429466229E-4</v>
      </c>
      <c r="F67" s="4">
        <v>-5.7696898548385001E-3</v>
      </c>
      <c r="G67" s="4">
        <v>-2.1093418575443001E-3</v>
      </c>
    </row>
    <row r="68" spans="1:7" x14ac:dyDescent="0.35">
      <c r="A68" s="3">
        <v>41737</v>
      </c>
      <c r="B68" s="4">
        <v>-7.1507148126267461E-3</v>
      </c>
      <c r="C68" s="4">
        <v>-3.2597295809289051E-3</v>
      </c>
      <c r="D68" s="4">
        <v>4.0250331493019154E-4</v>
      </c>
      <c r="E68" s="4">
        <v>5.7932802457205668E-4</v>
      </c>
      <c r="F68" s="4">
        <v>-1.6145200363537615E-4</v>
      </c>
      <c r="G68" s="4">
        <v>-1.391861219843693E-3</v>
      </c>
    </row>
    <row r="69" spans="1:7" x14ac:dyDescent="0.35">
      <c r="A69" s="3">
        <v>41738</v>
      </c>
      <c r="B69" s="4">
        <v>-2.1111656990702166E-5</v>
      </c>
      <c r="C69" s="4">
        <v>-4.2878796977581235E-3</v>
      </c>
      <c r="D69" s="4">
        <v>3.520422822036462E-4</v>
      </c>
      <c r="E69" s="4">
        <v>3.8034039404344355E-4</v>
      </c>
      <c r="F69" s="4">
        <v>6.3150200051476091E-4</v>
      </c>
      <c r="G69" s="4">
        <v>2.521123798483238E-3</v>
      </c>
    </row>
    <row r="70" spans="1:7" x14ac:dyDescent="0.35">
      <c r="A70" s="3">
        <v>41739</v>
      </c>
      <c r="B70" s="4">
        <v>1.1884621242899573E-2</v>
      </c>
      <c r="C70" s="4">
        <v>1.2221173518675688E-2</v>
      </c>
      <c r="D70" s="4">
        <v>4.708086824098956E-4</v>
      </c>
      <c r="E70" s="4">
        <v>3.5032215976471548E-4</v>
      </c>
      <c r="F70" s="4">
        <v>2.9765702755302215E-3</v>
      </c>
      <c r="G70" s="4">
        <v>-1.3361454241045401E-4</v>
      </c>
    </row>
    <row r="71" spans="1:7" x14ac:dyDescent="0.35">
      <c r="A71" s="3">
        <v>41740</v>
      </c>
      <c r="B71" s="4">
        <v>-1.7849257600617285E-3</v>
      </c>
      <c r="C71" s="4">
        <v>-6.8463238212224109E-4</v>
      </c>
      <c r="D71" s="4">
        <v>4.2136524989477842E-4</v>
      </c>
      <c r="E71" s="4">
        <v>4.2504895881556592E-4</v>
      </c>
      <c r="F71" s="4">
        <v>3.2042047080100833E-3</v>
      </c>
      <c r="G71" s="4">
        <v>1.3257953816732115E-3</v>
      </c>
    </row>
    <row r="72" spans="1:7" x14ac:dyDescent="0.35">
      <c r="A72" s="3">
        <v>41743</v>
      </c>
      <c r="B72" s="4">
        <v>-1.6053165022111182E-2</v>
      </c>
      <c r="C72" s="4">
        <v>9.6663663746330286E-3</v>
      </c>
      <c r="D72" s="4">
        <v>4.1396722746922521E-4</v>
      </c>
      <c r="E72" s="4">
        <v>3.463747873750922E-4</v>
      </c>
      <c r="F72" s="4">
        <v>4.9555165637915621E-3</v>
      </c>
      <c r="G72" s="4">
        <v>2.9254721806757367E-3</v>
      </c>
    </row>
    <row r="73" spans="1:7" x14ac:dyDescent="0.35">
      <c r="A73" s="3">
        <v>41744</v>
      </c>
      <c r="B73" s="4">
        <v>1.2780360942375113E-2</v>
      </c>
      <c r="C73" s="4">
        <v>1.9017692423439758E-3</v>
      </c>
      <c r="D73" s="4">
        <v>4.0708523065369207E-4</v>
      </c>
      <c r="E73" s="4">
        <v>3.6566305400231869E-4</v>
      </c>
      <c r="F73" s="4">
        <v>2.0289096801289208E-3</v>
      </c>
      <c r="G73" s="4">
        <v>6.8039483287840596E-4</v>
      </c>
    </row>
    <row r="74" spans="1:7" x14ac:dyDescent="0.35">
      <c r="A74" s="3">
        <v>41745</v>
      </c>
      <c r="B74" s="4">
        <v>1.960896352760888E-2</v>
      </c>
      <c r="C74" s="4">
        <v>1.6511126576657098E-4</v>
      </c>
      <c r="D74" s="4">
        <v>4.1106656515932372E-4</v>
      </c>
      <c r="E74" s="4">
        <v>3.7838177009419383E-4</v>
      </c>
      <c r="F74" s="4">
        <v>5.406452693090813E-5</v>
      </c>
      <c r="G74" s="4">
        <v>4.3797062318717828E-4</v>
      </c>
    </row>
    <row r="75" spans="1:7" x14ac:dyDescent="0.35">
      <c r="A75" s="3">
        <v>41746</v>
      </c>
      <c r="B75" s="4">
        <v>-4.1731558794485535E-3</v>
      </c>
      <c r="C75" s="4">
        <v>-6.5931399086804898E-4</v>
      </c>
      <c r="D75" s="4">
        <v>4.0452742308327849E-4</v>
      </c>
      <c r="E75" s="4">
        <v>5.7935918183060764E-4</v>
      </c>
      <c r="F75" s="4">
        <v>5.6428074333814138E-4</v>
      </c>
      <c r="G75" s="4">
        <v>-1.0143757346876559E-3</v>
      </c>
    </row>
    <row r="76" spans="1:7" x14ac:dyDescent="0.35">
      <c r="A76" s="3">
        <v>41751</v>
      </c>
      <c r="B76" s="4">
        <v>-8.6859827343019891E-3</v>
      </c>
      <c r="C76" s="4">
        <v>-6.2523062460814183E-3</v>
      </c>
      <c r="D76" s="4">
        <v>4.1089039484298873E-4</v>
      </c>
      <c r="E76" s="4">
        <v>4.583531822703879E-4</v>
      </c>
      <c r="F76" s="4">
        <v>-3.8847352516123701E-3</v>
      </c>
      <c r="G76" s="4">
        <v>1.0400985953860076E-3</v>
      </c>
    </row>
    <row r="77" spans="1:7" x14ac:dyDescent="0.35">
      <c r="A77" s="3">
        <v>41752</v>
      </c>
      <c r="B77" s="4">
        <v>5.0983588682491643E-3</v>
      </c>
      <c r="C77" s="4">
        <v>-3.1722833730170041E-3</v>
      </c>
      <c r="D77" s="4">
        <v>4.0635950054057624E-4</v>
      </c>
      <c r="E77" s="4">
        <v>5.8105850876821741E-4</v>
      </c>
      <c r="F77" s="4">
        <v>4.3311589978167753E-4</v>
      </c>
      <c r="G77" s="4">
        <v>2.5543703891446334E-3</v>
      </c>
    </row>
    <row r="78" spans="1:7" x14ac:dyDescent="0.35">
      <c r="A78" s="3">
        <v>41753</v>
      </c>
      <c r="B78" s="4">
        <v>-6.5794861443969621E-3</v>
      </c>
      <c r="C78" s="4">
        <v>1.0182635223312975E-2</v>
      </c>
      <c r="D78" s="4">
        <v>4.0962384746912051E-4</v>
      </c>
      <c r="E78" s="4">
        <v>4.8174982934812149E-4</v>
      </c>
      <c r="F78" s="4">
        <v>3.5861174568552201E-3</v>
      </c>
      <c r="G78" s="4">
        <v>-2.3308625962914498E-4</v>
      </c>
    </row>
    <row r="79" spans="1:7" x14ac:dyDescent="0.35">
      <c r="A79" s="3">
        <v>41754</v>
      </c>
      <c r="B79" s="4">
        <v>-2.1562506302766904E-3</v>
      </c>
      <c r="C79" s="4">
        <v>-7.8421389463873004E-3</v>
      </c>
      <c r="D79" s="4">
        <v>4.1309660305555163E-4</v>
      </c>
      <c r="E79" s="4">
        <v>4.4601060360793809E-4</v>
      </c>
      <c r="F79" s="4">
        <v>-1.7695607819656622E-4</v>
      </c>
      <c r="G79" s="4">
        <v>-3.8732948253272781E-4</v>
      </c>
    </row>
    <row r="80" spans="1:7" x14ac:dyDescent="0.35">
      <c r="A80" s="3">
        <v>41757</v>
      </c>
      <c r="B80" s="4">
        <v>2.9478510488378795E-3</v>
      </c>
      <c r="C80" s="4">
        <v>1.929189941692E-3</v>
      </c>
      <c r="D80" s="4">
        <v>4.1124888565002848E-4</v>
      </c>
      <c r="E80" s="4">
        <v>3.7955503201070329E-4</v>
      </c>
      <c r="F80" s="4">
        <v>1.3158510021682446E-4</v>
      </c>
      <c r="G80" s="4">
        <v>1.0626793350112518E-3</v>
      </c>
    </row>
    <row r="81" spans="1:7" x14ac:dyDescent="0.35">
      <c r="A81" s="3">
        <v>41758</v>
      </c>
      <c r="B81" s="4">
        <v>-2.8498111596291231E-3</v>
      </c>
      <c r="C81" s="4">
        <v>-3.5606222710982127E-4</v>
      </c>
      <c r="D81" s="4">
        <v>4.1159298205561967E-4</v>
      </c>
      <c r="E81" s="4">
        <v>4.3938169152379913E-4</v>
      </c>
      <c r="F81" s="4">
        <v>4.6551619153678558E-5</v>
      </c>
      <c r="G81" s="4">
        <v>2.7133823797398371E-4</v>
      </c>
    </row>
    <row r="82" spans="1:7" x14ac:dyDescent="0.35">
      <c r="A82" s="3">
        <v>41759</v>
      </c>
      <c r="B82" s="4">
        <v>2.9064139895766727E-2</v>
      </c>
      <c r="C82" s="4">
        <v>-3.0374594763260543E-3</v>
      </c>
      <c r="D82" s="4">
        <v>4.1677321328426054E-4</v>
      </c>
      <c r="E82" s="4">
        <v>4.0663704051446814E-4</v>
      </c>
      <c r="F82" s="4">
        <v>-3.2300562949368894E-3</v>
      </c>
      <c r="G82" s="4">
        <v>1.1919084114668799E-3</v>
      </c>
    </row>
    <row r="83" spans="1:7" x14ac:dyDescent="0.35">
      <c r="A83" s="3">
        <v>41761</v>
      </c>
      <c r="B83" s="4">
        <v>1.0404472180529423E-2</v>
      </c>
      <c r="C83" s="4">
        <v>9.613686462532689E-3</v>
      </c>
      <c r="D83" s="4">
        <v>4.1062154359083891E-4</v>
      </c>
      <c r="E83" s="4">
        <v>5.9556497714763346E-4</v>
      </c>
      <c r="F83" s="4">
        <v>4.4170981444575652E-3</v>
      </c>
      <c r="G83" s="4">
        <v>6.4827538476919244E-4</v>
      </c>
    </row>
    <row r="84" spans="1:7" x14ac:dyDescent="0.35">
      <c r="A84" s="3">
        <v>41764</v>
      </c>
      <c r="B84" s="4">
        <v>8.3184192392427025E-3</v>
      </c>
      <c r="C84" s="4">
        <v>-7.6759072923552329E-3</v>
      </c>
      <c r="D84" s="4">
        <v>4.1396578699326447E-4</v>
      </c>
      <c r="E84" s="4">
        <v>3.6478338599521543E-4</v>
      </c>
      <c r="F84" s="4">
        <v>-5.4655631780835545E-3</v>
      </c>
      <c r="G84" s="4">
        <v>-3.6674563212013567E-4</v>
      </c>
    </row>
    <row r="85" spans="1:7" x14ac:dyDescent="0.35">
      <c r="A85" s="3">
        <v>41765</v>
      </c>
      <c r="B85" s="4">
        <v>6.2199588823499408E-3</v>
      </c>
      <c r="C85" s="4">
        <v>-3.2094219195568652E-3</v>
      </c>
      <c r="D85" s="4">
        <v>3.9838528719715605E-4</v>
      </c>
      <c r="E85" s="4">
        <v>6.374837506073483E-4</v>
      </c>
      <c r="F85" s="4">
        <v>-1.2735912283340367E-3</v>
      </c>
      <c r="G85" s="4">
        <v>9.5941650483100105E-4</v>
      </c>
    </row>
    <row r="86" spans="1:7" x14ac:dyDescent="0.35">
      <c r="A86" s="3">
        <v>41766</v>
      </c>
      <c r="B86" s="4">
        <v>-1.4268157518480873E-2</v>
      </c>
      <c r="C86" s="4">
        <v>-4.4830870713558069E-3</v>
      </c>
      <c r="D86" s="4">
        <v>3.926263827151999E-4</v>
      </c>
      <c r="E86" s="4">
        <v>4.8259155691887656E-4</v>
      </c>
      <c r="F86" s="4">
        <v>-1.8979599493139654E-3</v>
      </c>
      <c r="G86" s="4">
        <v>7.4331647267866785E-4</v>
      </c>
    </row>
    <row r="87" spans="1:7" x14ac:dyDescent="0.35">
      <c r="A87" s="3">
        <v>41767</v>
      </c>
      <c r="B87" s="4">
        <v>-5.0101980742003338E-3</v>
      </c>
      <c r="C87" s="4">
        <v>4.3060726187622578E-3</v>
      </c>
      <c r="D87" s="4">
        <v>4.3540999220548215E-4</v>
      </c>
      <c r="E87" s="4">
        <v>3.3315747541862173E-4</v>
      </c>
      <c r="F87" s="4">
        <v>1.0399269935510436E-3</v>
      </c>
      <c r="G87" s="4">
        <v>3.0926688468158048E-4</v>
      </c>
    </row>
    <row r="88" spans="1:7" x14ac:dyDescent="0.35">
      <c r="A88" s="3">
        <v>41768</v>
      </c>
      <c r="B88" s="4">
        <v>2.0887757165908738E-2</v>
      </c>
      <c r="C88" s="4">
        <v>1.1881120784318355E-5</v>
      </c>
      <c r="D88" s="4">
        <v>3.696167337960965E-4</v>
      </c>
      <c r="E88" s="4">
        <v>4.3881601109596602E-4</v>
      </c>
      <c r="F88" s="4">
        <v>1.4537971422243778E-3</v>
      </c>
      <c r="G88" s="4">
        <v>-1.6661134400219879E-4</v>
      </c>
    </row>
    <row r="89" spans="1:7" x14ac:dyDescent="0.35">
      <c r="A89" s="3">
        <v>41771</v>
      </c>
      <c r="B89" s="4">
        <v>-1.747217226539699E-3</v>
      </c>
      <c r="C89" s="4">
        <v>-3.4861908894875393E-3</v>
      </c>
      <c r="D89" s="4">
        <v>4.5281202960478772E-4</v>
      </c>
      <c r="E89" s="4">
        <v>3.7605808210305902E-4</v>
      </c>
      <c r="F89" s="4">
        <v>-1.9169831360938971E-3</v>
      </c>
      <c r="G89" s="4">
        <v>1.8096017190027958E-4</v>
      </c>
    </row>
    <row r="90" spans="1:7" x14ac:dyDescent="0.35">
      <c r="A90" s="3">
        <v>41772</v>
      </c>
      <c r="B90" s="4">
        <v>6.913823465885649E-3</v>
      </c>
      <c r="C90" s="4">
        <v>-1.9174794598864064E-3</v>
      </c>
      <c r="D90" s="4">
        <v>4.0993485812679253E-4</v>
      </c>
      <c r="E90" s="4">
        <v>4.3835085256938022E-4</v>
      </c>
      <c r="F90" s="4">
        <v>-4.0504415942046457E-3</v>
      </c>
      <c r="G90" s="4">
        <v>9.3848681784969301E-4</v>
      </c>
    </row>
    <row r="91" spans="1:7" x14ac:dyDescent="0.35">
      <c r="A91" s="3">
        <v>41773</v>
      </c>
      <c r="B91" s="4">
        <v>-5.143393507449967E-3</v>
      </c>
      <c r="C91" s="4">
        <v>5.497039735332665E-3</v>
      </c>
      <c r="D91" s="4">
        <v>4.0264952856983172E-4</v>
      </c>
      <c r="E91" s="4">
        <v>5.2077010887896513E-4</v>
      </c>
      <c r="F91" s="4">
        <v>1.1320496749744891E-3</v>
      </c>
      <c r="G91" s="4">
        <v>2.083703700678452E-3</v>
      </c>
    </row>
    <row r="92" spans="1:7" x14ac:dyDescent="0.35">
      <c r="A92" s="3">
        <v>41774</v>
      </c>
      <c r="B92" s="4">
        <v>2.4208318058316358E-4</v>
      </c>
      <c r="C92" s="4">
        <v>-2.9348201744272551E-3</v>
      </c>
      <c r="D92" s="4">
        <v>4.0822049688538087E-4</v>
      </c>
      <c r="E92" s="4">
        <v>4.415791043625994E-4</v>
      </c>
      <c r="F92" s="4">
        <v>1.6985220181986449E-4</v>
      </c>
      <c r="G92" s="4">
        <v>1.3598077614955795E-3</v>
      </c>
    </row>
    <row r="93" spans="1:7" x14ac:dyDescent="0.35">
      <c r="A93" s="3">
        <v>41775</v>
      </c>
      <c r="B93" s="4">
        <v>-1.3531021375631336E-2</v>
      </c>
      <c r="C93" s="4">
        <v>-2.1728736598352061E-3</v>
      </c>
      <c r="D93" s="4">
        <v>4.5458819577004483E-4</v>
      </c>
      <c r="E93" s="4">
        <v>4.748004336607714E-4</v>
      </c>
      <c r="F93" s="4">
        <v>-1.2982738330614696E-3</v>
      </c>
      <c r="G93" s="4">
        <v>2.829533747246149E-4</v>
      </c>
    </row>
    <row r="94" spans="1:7" x14ac:dyDescent="0.35">
      <c r="A94" s="3">
        <v>41778</v>
      </c>
      <c r="B94" s="4">
        <v>-1.8171742271713476E-2</v>
      </c>
      <c r="C94" s="4">
        <v>4.0668978929838673E-3</v>
      </c>
      <c r="D94" s="4">
        <v>4.1052854198975197E-4</v>
      </c>
      <c r="E94" s="4">
        <v>4.4069207824848355E-4</v>
      </c>
      <c r="F94" s="4">
        <v>1.7514200916988187E-3</v>
      </c>
      <c r="G94" s="4">
        <v>9.6350081973262114E-4</v>
      </c>
    </row>
    <row r="95" spans="1:7" x14ac:dyDescent="0.35">
      <c r="A95" s="3">
        <v>41779</v>
      </c>
      <c r="B95" s="4">
        <v>-5.0134198667677321E-3</v>
      </c>
      <c r="C95" s="4">
        <v>-3.7281000243075679E-3</v>
      </c>
      <c r="D95" s="4">
        <v>4.1020054848739385E-4</v>
      </c>
      <c r="E95" s="4">
        <v>3.6698157403702858E-4</v>
      </c>
      <c r="F95" s="4">
        <v>-1.8619340383737581E-3</v>
      </c>
      <c r="G95" s="4">
        <v>-5.3176895079898312E-4</v>
      </c>
    </row>
    <row r="96" spans="1:7" x14ac:dyDescent="0.35">
      <c r="A96" s="3">
        <v>41780</v>
      </c>
      <c r="B96" s="4">
        <v>1.2404957347943668E-2</v>
      </c>
      <c r="C96" s="4">
        <v>3.5630892974700679E-3</v>
      </c>
      <c r="D96" s="4">
        <v>3.9489798185954328E-4</v>
      </c>
      <c r="E96" s="4">
        <v>5.9527834973160942E-4</v>
      </c>
      <c r="F96" s="4">
        <v>1.251529712321453E-3</v>
      </c>
      <c r="G96" s="4">
        <v>-6.5348981153179331E-4</v>
      </c>
    </row>
    <row r="97" spans="1:7" x14ac:dyDescent="0.35">
      <c r="A97" s="3">
        <v>41781</v>
      </c>
      <c r="B97" s="4">
        <v>-4.0186372715835805E-3</v>
      </c>
      <c r="C97" s="4">
        <v>2.07096824635844E-3</v>
      </c>
      <c r="D97" s="4">
        <v>4.204634941726848E-4</v>
      </c>
      <c r="E97" s="4">
        <v>4.4109779415046901E-4</v>
      </c>
      <c r="F97" s="4">
        <v>8.2111756536895619E-4</v>
      </c>
      <c r="G97" s="4">
        <v>8.0586457934894717E-4</v>
      </c>
    </row>
    <row r="98" spans="1:7" x14ac:dyDescent="0.35">
      <c r="A98" s="3">
        <v>41782</v>
      </c>
      <c r="B98" s="4">
        <v>8.2390891841463976E-3</v>
      </c>
      <c r="C98" s="4">
        <v>1.1083326128658033E-3</v>
      </c>
      <c r="D98" s="4">
        <v>4.565130072000656E-4</v>
      </c>
      <c r="E98" s="4">
        <v>4.8483709876978587E-4</v>
      </c>
      <c r="F98" s="4">
        <v>5.5884811187123518E-5</v>
      </c>
      <c r="G98" s="4">
        <v>7.5578682743060455E-4</v>
      </c>
    </row>
    <row r="99" spans="1:7" x14ac:dyDescent="0.35">
      <c r="A99" s="3">
        <v>41785</v>
      </c>
      <c r="B99" s="4">
        <v>-1.0487726581700496E-2</v>
      </c>
      <c r="C99" s="4">
        <v>6.5560101149135797E-3</v>
      </c>
      <c r="D99" s="4">
        <v>4.011267991075318E-4</v>
      </c>
      <c r="E99" s="4">
        <v>3.8811996345722299E-4</v>
      </c>
      <c r="F99" s="4">
        <v>3.5192435964386259E-3</v>
      </c>
      <c r="G99" s="4">
        <v>1.8292097261067841E-3</v>
      </c>
    </row>
    <row r="100" spans="1:7" x14ac:dyDescent="0.35">
      <c r="A100" s="3">
        <v>41786</v>
      </c>
      <c r="B100" s="4">
        <v>6.1667270509082606E-3</v>
      </c>
      <c r="C100" s="4">
        <v>-1.7106675046516528E-3</v>
      </c>
      <c r="D100" s="4">
        <v>4.0849327860925655E-4</v>
      </c>
      <c r="E100" s="4">
        <v>3.2281930836752792E-4</v>
      </c>
      <c r="F100" s="4">
        <v>-5.732554143256241E-4</v>
      </c>
      <c r="G100" s="4">
        <v>4.4331631481164813E-4</v>
      </c>
    </row>
    <row r="101" spans="1:7" x14ac:dyDescent="0.35">
      <c r="A101" s="3">
        <v>41787</v>
      </c>
      <c r="B101" s="4">
        <v>-7.6030716307260438E-3</v>
      </c>
      <c r="C101" s="4">
        <v>-5.4475790434992399E-3</v>
      </c>
      <c r="D101" s="4">
        <v>4.0248175466595093E-4</v>
      </c>
      <c r="E101" s="4">
        <v>5.2735198869324762E-4</v>
      </c>
      <c r="F101" s="4">
        <v>-2.3706324877010854E-3</v>
      </c>
      <c r="G101" s="4">
        <v>7.8363832356709295E-4</v>
      </c>
    </row>
    <row r="102" spans="1:7" x14ac:dyDescent="0.35">
      <c r="A102" s="3">
        <v>41788</v>
      </c>
      <c r="B102" s="4">
        <v>-1.6507053164812935E-2</v>
      </c>
      <c r="C102" s="4">
        <v>8.4933707030876437E-3</v>
      </c>
      <c r="D102" s="4">
        <v>4.0068075221810773E-4</v>
      </c>
      <c r="E102" s="4">
        <v>6.6328876510945989E-4</v>
      </c>
      <c r="F102" s="4">
        <v>4.3153934269897221E-3</v>
      </c>
      <c r="G102" s="4">
        <v>1.9597597515499388E-3</v>
      </c>
    </row>
    <row r="103" spans="1:7" x14ac:dyDescent="0.35">
      <c r="A103" s="3">
        <v>41789</v>
      </c>
      <c r="B103" s="4">
        <v>4.0070806742114051E-3</v>
      </c>
      <c r="C103" s="4">
        <v>1.1818932820045536E-2</v>
      </c>
      <c r="D103" s="4">
        <v>4.0837336010368652E-4</v>
      </c>
      <c r="E103" s="4">
        <v>4.9342330109070076E-4</v>
      </c>
      <c r="F103" s="4">
        <v>5.1750806533765736E-3</v>
      </c>
      <c r="G103" s="4">
        <v>-9.0270090024469063E-4</v>
      </c>
    </row>
    <row r="104" spans="1:7" x14ac:dyDescent="0.35">
      <c r="A104" s="3">
        <v>41792</v>
      </c>
      <c r="B104" s="4">
        <v>1.2442504595036263E-2</v>
      </c>
      <c r="C104" s="4">
        <v>4.8565280096088959E-3</v>
      </c>
      <c r="D104" s="4">
        <v>4.0003215014561277E-4</v>
      </c>
      <c r="E104" s="4">
        <v>1.9859573598068891E-4</v>
      </c>
      <c r="F104" s="4">
        <v>1.6700991164420032E-3</v>
      </c>
      <c r="G104" s="4">
        <v>8.5004012866018996E-4</v>
      </c>
    </row>
    <row r="105" spans="1:7" x14ac:dyDescent="0.35">
      <c r="A105" s="3">
        <v>41793</v>
      </c>
      <c r="B105" s="4">
        <v>-1.0996265613172351E-3</v>
      </c>
      <c r="C105" s="4">
        <v>8.4068331635256399E-4</v>
      </c>
      <c r="D105" s="4">
        <v>4.121505947907167E-4</v>
      </c>
      <c r="E105" s="4">
        <v>3.5613259659506014E-4</v>
      </c>
      <c r="F105" s="4">
        <v>1.9485548449775791E-3</v>
      </c>
      <c r="G105" s="4">
        <v>2.6156576665825604E-4</v>
      </c>
    </row>
    <row r="106" spans="1:7" x14ac:dyDescent="0.35">
      <c r="A106" s="3">
        <v>41794</v>
      </c>
      <c r="B106" s="4">
        <v>-6.5131529733476468E-3</v>
      </c>
      <c r="C106" s="4">
        <v>-6.8978903063412478E-3</v>
      </c>
      <c r="D106" s="4">
        <v>4.0503471398922741E-4</v>
      </c>
      <c r="E106" s="4">
        <v>4.1550062500106399E-4</v>
      </c>
      <c r="F106" s="4">
        <v>1.4420198775555448E-4</v>
      </c>
      <c r="G106" s="4">
        <v>8.7231531153375563E-4</v>
      </c>
    </row>
    <row r="107" spans="1:7" x14ac:dyDescent="0.35">
      <c r="A107" s="3">
        <v>41795</v>
      </c>
      <c r="B107" s="4">
        <v>2.5000426422607136E-2</v>
      </c>
      <c r="C107" s="4">
        <v>-7.888395063325726E-3</v>
      </c>
      <c r="D107" s="4">
        <v>4.0420429313936523E-4</v>
      </c>
      <c r="E107" s="4">
        <v>5.2588596185443315E-4</v>
      </c>
      <c r="F107" s="4">
        <v>-3.383388960089162E-3</v>
      </c>
      <c r="G107" s="4">
        <v>-4.3843107765706435E-4</v>
      </c>
    </row>
    <row r="108" spans="1:7" x14ac:dyDescent="0.35">
      <c r="A108" s="3">
        <v>41796</v>
      </c>
      <c r="B108" s="4">
        <v>2.092795578468265E-2</v>
      </c>
      <c r="C108" s="4">
        <v>-9.1244124692435591E-3</v>
      </c>
      <c r="D108" s="4">
        <v>3.8819224180541845E-4</v>
      </c>
      <c r="E108" s="4">
        <v>7.1422711212365542E-4</v>
      </c>
      <c r="F108" s="4">
        <v>-9.6790923530210016E-4</v>
      </c>
      <c r="G108" s="4">
        <v>-9.9489049322221135E-6</v>
      </c>
    </row>
    <row r="109" spans="1:7" x14ac:dyDescent="0.35">
      <c r="A109" s="3">
        <v>41799</v>
      </c>
      <c r="B109" s="4">
        <v>3.0642086593404283E-3</v>
      </c>
      <c r="C109" s="4">
        <v>-7.4955651863373163E-4</v>
      </c>
      <c r="D109" s="4">
        <v>4.0369788918526162E-4</v>
      </c>
      <c r="E109" s="4">
        <v>-1.3167554798819703E-3</v>
      </c>
      <c r="F109" s="4">
        <v>-6.6856147889093887E-4</v>
      </c>
      <c r="G109" s="4">
        <v>3.8568695149177046E-5</v>
      </c>
    </row>
    <row r="110" spans="1:7" x14ac:dyDescent="0.35">
      <c r="A110" s="3">
        <v>41800</v>
      </c>
      <c r="B110" s="4">
        <v>8.3113952247155787E-3</v>
      </c>
      <c r="C110" s="4">
        <v>4.3523031340020335E-3</v>
      </c>
      <c r="D110" s="4">
        <v>3.9771102732677477E-4</v>
      </c>
      <c r="E110" s="4">
        <v>4.1911480933531919E-4</v>
      </c>
      <c r="F110" s="4">
        <v>-1.0706315013064849E-3</v>
      </c>
      <c r="G110" s="4">
        <v>2.1259009685825614E-3</v>
      </c>
    </row>
    <row r="111" spans="1:7" x14ac:dyDescent="0.35">
      <c r="A111" s="3">
        <v>41801</v>
      </c>
      <c r="B111" s="4">
        <v>-1.1671115186262515E-4</v>
      </c>
      <c r="C111" s="4">
        <v>3.5535481736759245E-4</v>
      </c>
      <c r="D111" s="4">
        <v>3.8244857430247414E-4</v>
      </c>
      <c r="E111" s="4">
        <v>4.3051947730998741E-4</v>
      </c>
      <c r="F111" s="4">
        <v>-1.0493935521797004E-3</v>
      </c>
      <c r="G111" s="4">
        <v>2.8206449294954083E-4</v>
      </c>
    </row>
    <row r="112" spans="1:7" x14ac:dyDescent="0.35">
      <c r="A112" s="3">
        <v>41802</v>
      </c>
      <c r="B112" s="4">
        <v>-3.645360265414177E-3</v>
      </c>
      <c r="C112" s="4">
        <v>-3.1609908149917709E-3</v>
      </c>
      <c r="D112" s="4">
        <v>4.1309922593568693E-4</v>
      </c>
      <c r="E112" s="4">
        <v>4.1412014824948606E-4</v>
      </c>
      <c r="F112" s="4">
        <v>2.8492735517162693E-3</v>
      </c>
      <c r="G112" s="4">
        <v>1.7200159576182816E-3</v>
      </c>
    </row>
    <row r="113" spans="1:7" x14ac:dyDescent="0.35">
      <c r="A113" s="3">
        <v>41803</v>
      </c>
      <c r="B113" s="4">
        <v>-2.644563097613406E-3</v>
      </c>
      <c r="C113" s="4">
        <v>2.2142332023540323E-3</v>
      </c>
      <c r="D113" s="4">
        <v>3.9738660915933366E-4</v>
      </c>
      <c r="E113" s="4">
        <v>4.8910366730048338E-4</v>
      </c>
      <c r="F113" s="4">
        <v>2.6626197942889451E-3</v>
      </c>
      <c r="G113" s="4">
        <v>-2.9674607051766166E-4</v>
      </c>
    </row>
    <row r="114" spans="1:7" x14ac:dyDescent="0.35">
      <c r="A114" s="3">
        <v>41806</v>
      </c>
      <c r="B114" s="4">
        <v>-3.6558626048622811E-3</v>
      </c>
      <c r="C114" s="4">
        <v>1.1833112408809132E-2</v>
      </c>
      <c r="D114" s="4">
        <v>4.1626635713476468E-4</v>
      </c>
      <c r="E114" s="4">
        <v>3.2842919686904004E-4</v>
      </c>
      <c r="F114" s="4">
        <v>4.0907906102636282E-3</v>
      </c>
      <c r="G114" s="4">
        <v>-7.1443547882210634E-4</v>
      </c>
    </row>
    <row r="115" spans="1:7" x14ac:dyDescent="0.35">
      <c r="A115" s="3">
        <v>41807</v>
      </c>
      <c r="B115" s="4">
        <v>1.8714959332642112E-2</v>
      </c>
      <c r="C115" s="4">
        <v>-1.2327859858562551E-2</v>
      </c>
      <c r="D115" s="4">
        <v>4.1315006357511841E-4</v>
      </c>
      <c r="E115" s="4">
        <v>3.5158338404572831E-4</v>
      </c>
      <c r="F115" s="4">
        <v>-4.1409794993113591E-3</v>
      </c>
      <c r="G115" s="4">
        <v>2.5873201489123865E-4</v>
      </c>
    </row>
    <row r="116" spans="1:7" x14ac:dyDescent="0.35">
      <c r="A116" s="3">
        <v>41808</v>
      </c>
      <c r="B116" s="4">
        <v>-1.2783109488592181E-2</v>
      </c>
      <c r="C116" s="4">
        <v>-1.1475579376732936E-3</v>
      </c>
      <c r="D116" s="4">
        <v>4.0723297841482875E-4</v>
      </c>
      <c r="E116" s="4">
        <v>5.3845876284763783E-4</v>
      </c>
      <c r="F116" s="4">
        <v>-1.1597595151934259E-3</v>
      </c>
      <c r="G116" s="4">
        <v>1.2317044770535635E-3</v>
      </c>
    </row>
    <row r="117" spans="1:7" x14ac:dyDescent="0.35">
      <c r="A117" s="3">
        <v>41810</v>
      </c>
      <c r="B117" s="4">
        <v>-7.551336169713041E-3</v>
      </c>
      <c r="C117" s="4">
        <v>-6.2526762592819418E-3</v>
      </c>
      <c r="D117" s="4">
        <v>4.1084242834310558E-4</v>
      </c>
      <c r="E117" s="4">
        <v>3.4285562632097033E-4</v>
      </c>
      <c r="F117" s="4">
        <v>1.4269668659516732E-4</v>
      </c>
      <c r="G117" s="4">
        <v>8.0550192136197296E-4</v>
      </c>
    </row>
    <row r="118" spans="1:7" x14ac:dyDescent="0.35">
      <c r="A118" s="3">
        <v>41813</v>
      </c>
      <c r="B118" s="4">
        <v>-1.2263889194246147E-3</v>
      </c>
      <c r="C118" s="4">
        <v>2.9693513156703322E-3</v>
      </c>
      <c r="D118" s="4">
        <v>4.0028306556161297E-4</v>
      </c>
      <c r="E118" s="4">
        <v>4.2262839915774286E-4</v>
      </c>
      <c r="F118" s="4">
        <v>1.5853754052186364E-3</v>
      </c>
      <c r="G118" s="4">
        <v>9.3968581378112148E-4</v>
      </c>
    </row>
    <row r="119" spans="1:7" x14ac:dyDescent="0.35">
      <c r="A119" s="3">
        <v>41814</v>
      </c>
      <c r="B119" s="4">
        <v>-1.5337215493632428E-2</v>
      </c>
      <c r="C119" s="4">
        <v>-7.3793195113044385E-3</v>
      </c>
      <c r="D119" s="4">
        <v>4.1520074107204152E-4</v>
      </c>
      <c r="E119" s="4">
        <v>4.5615226699435851E-4</v>
      </c>
      <c r="F119" s="4">
        <v>-1.7697306792044953E-3</v>
      </c>
      <c r="G119" s="4">
        <v>1.6785033427080265E-4</v>
      </c>
    </row>
    <row r="120" spans="1:7" x14ac:dyDescent="0.35">
      <c r="A120" s="3">
        <v>41815</v>
      </c>
      <c r="B120" s="4">
        <v>1.8968382228869984E-3</v>
      </c>
      <c r="C120" s="4">
        <v>-1.1872801494501317E-3</v>
      </c>
      <c r="D120" s="4">
        <v>4.0833900361181286E-4</v>
      </c>
      <c r="E120" s="4">
        <v>4.5497480617284758E-4</v>
      </c>
      <c r="F120" s="4">
        <v>-3.3303253106961028E-3</v>
      </c>
      <c r="G120" s="4">
        <v>6.7930543712568792E-5</v>
      </c>
    </row>
    <row r="121" spans="1:7" x14ac:dyDescent="0.35">
      <c r="A121" s="3">
        <v>41816</v>
      </c>
      <c r="B121" s="4">
        <v>-6.1084502362633852E-3</v>
      </c>
      <c r="C121" s="4">
        <v>-2.0952674959469064E-3</v>
      </c>
      <c r="D121" s="4">
        <v>4.101834373666513E-4</v>
      </c>
      <c r="E121" s="4">
        <v>3.8811285327899903E-4</v>
      </c>
      <c r="F121" s="4">
        <v>1.4642591669993266E-3</v>
      </c>
      <c r="G121" s="4">
        <v>3.0276175579395659E-3</v>
      </c>
    </row>
    <row r="122" spans="1:7" x14ac:dyDescent="0.35">
      <c r="A122" s="3">
        <v>41817</v>
      </c>
      <c r="B122" s="4">
        <v>2.0562012710936273E-3</v>
      </c>
      <c r="C122" s="4">
        <v>5.6158170414313258E-3</v>
      </c>
      <c r="D122" s="4">
        <v>4.1399079107895531E-4</v>
      </c>
      <c r="E122" s="4">
        <v>4.2242674949677372E-4</v>
      </c>
      <c r="F122" s="4">
        <v>3.0998918207811865E-3</v>
      </c>
      <c r="G122" s="4">
        <v>1.2164452279965765E-3</v>
      </c>
    </row>
    <row r="123" spans="1:7" x14ac:dyDescent="0.35">
      <c r="A123" s="3">
        <v>41820</v>
      </c>
      <c r="B123" s="4">
        <v>-4.5511799103737927E-3</v>
      </c>
      <c r="C123" s="4">
        <v>-5.2782208404721365E-3</v>
      </c>
      <c r="D123" s="4">
        <v>4.0899113958925426E-4</v>
      </c>
      <c r="E123" s="4">
        <v>4.0851452466017513E-4</v>
      </c>
      <c r="F123" s="4">
        <v>-6.6583393956576309E-4</v>
      </c>
      <c r="G123" s="4">
        <v>5.0516208899020754E-4</v>
      </c>
    </row>
    <row r="124" spans="1:7" x14ac:dyDescent="0.35">
      <c r="A124" s="3">
        <v>41821</v>
      </c>
      <c r="B124" s="4">
        <v>-2.0611408317073865E-3</v>
      </c>
      <c r="C124" s="4">
        <v>8.9829101648597476E-3</v>
      </c>
      <c r="D124" s="4">
        <v>4.0012756211038614E-4</v>
      </c>
      <c r="E124" s="4">
        <v>4.3474689067268812E-4</v>
      </c>
      <c r="F124" s="4">
        <v>3.6120256695482134E-3</v>
      </c>
      <c r="G124" s="4">
        <v>1.0185720094786355E-3</v>
      </c>
    </row>
    <row r="125" spans="1:7" x14ac:dyDescent="0.35">
      <c r="A125" s="3">
        <v>41822</v>
      </c>
      <c r="B125" s="4">
        <v>1.3318783887360519E-2</v>
      </c>
      <c r="C125" s="4">
        <v>-4.5605982306999859E-3</v>
      </c>
      <c r="D125" s="4">
        <v>4.1524884944244E-4</v>
      </c>
      <c r="E125" s="4">
        <v>4.6968082069120953E-4</v>
      </c>
      <c r="F125" s="4">
        <v>-1.1887558555512268E-4</v>
      </c>
      <c r="G125" s="4">
        <v>1.6224168950587092E-3</v>
      </c>
    </row>
    <row r="126" spans="1:7" x14ac:dyDescent="0.35">
      <c r="A126" s="3">
        <v>41823</v>
      </c>
      <c r="B126" s="4">
        <v>5.1467946669292441E-3</v>
      </c>
      <c r="C126" s="4">
        <v>7.8956641660865579E-4</v>
      </c>
      <c r="D126" s="4">
        <v>4.156835653750246E-4</v>
      </c>
      <c r="E126" s="4">
        <v>4.3163853456262835E-4</v>
      </c>
      <c r="F126" s="4">
        <v>4.8873131497773059E-4</v>
      </c>
      <c r="G126" s="4">
        <v>-2.3682075097830602E-4</v>
      </c>
    </row>
    <row r="127" spans="1:7" x14ac:dyDescent="0.35">
      <c r="A127" s="3">
        <v>41824</v>
      </c>
      <c r="B127" s="4">
        <v>-4.3676508620897891E-3</v>
      </c>
      <c r="C127" s="4">
        <v>3.7729440344356213E-3</v>
      </c>
      <c r="D127" s="4">
        <v>4.0493450852197022E-4</v>
      </c>
      <c r="E127" s="4">
        <v>4.6739205639245718E-4</v>
      </c>
      <c r="F127" s="4">
        <v>1.5264464545297063E-3</v>
      </c>
      <c r="G127" s="4">
        <v>1.7064191658038297E-3</v>
      </c>
    </row>
    <row r="128" spans="1:7" x14ac:dyDescent="0.35">
      <c r="A128" s="3">
        <v>41827</v>
      </c>
      <c r="B128" s="4">
        <v>-3.225102052337725E-3</v>
      </c>
      <c r="C128" s="4">
        <v>-3.0822871626515758E-3</v>
      </c>
      <c r="D128" s="4">
        <v>4.0929246816845399E-4</v>
      </c>
      <c r="E128" s="4">
        <v>4.9600025541440829E-4</v>
      </c>
      <c r="F128" s="4">
        <v>-1.2718527644022259E-3</v>
      </c>
      <c r="G128" s="4">
        <v>1.510179239518461E-3</v>
      </c>
    </row>
    <row r="129" spans="1:7" x14ac:dyDescent="0.35">
      <c r="A129" s="3">
        <v>41828</v>
      </c>
      <c r="B129" s="4">
        <v>-1.1762491854738766E-4</v>
      </c>
      <c r="C129" s="4">
        <v>3.5786407957294486E-4</v>
      </c>
      <c r="D129" s="4">
        <v>4.1594752683948855E-4</v>
      </c>
      <c r="E129" s="4">
        <v>4.5972139379246713E-4</v>
      </c>
      <c r="F129" s="4">
        <v>-8.6758937729858321E-4</v>
      </c>
      <c r="G129" s="4">
        <v>2.9337748470603664E-4</v>
      </c>
    </row>
    <row r="130" spans="1:7" x14ac:dyDescent="0.35">
      <c r="A130" s="3">
        <v>41829</v>
      </c>
      <c r="B130" s="4">
        <v>1.4918744016552576E-2</v>
      </c>
      <c r="C130" s="4">
        <v>1.3614267009693926E-3</v>
      </c>
      <c r="D130" s="4">
        <v>4.1554424717848981E-4</v>
      </c>
      <c r="E130" s="4">
        <v>4.5660794386748194E-4</v>
      </c>
      <c r="F130" s="4">
        <v>-9.5549454629018093E-4</v>
      </c>
      <c r="G130" s="4">
        <v>5.5162054192070542E-4</v>
      </c>
    </row>
    <row r="131" spans="1:7" x14ac:dyDescent="0.35">
      <c r="A131" s="3">
        <v>41830</v>
      </c>
      <c r="B131" s="4">
        <v>3.607146510066217E-3</v>
      </c>
      <c r="C131" s="4">
        <v>1.0973030462773092E-3</v>
      </c>
      <c r="D131" s="4">
        <v>4.0955993815328107E-4</v>
      </c>
      <c r="E131" s="4">
        <v>4.3501454171512854E-4</v>
      </c>
      <c r="F131" s="4">
        <v>-1.1744286570599671E-3</v>
      </c>
      <c r="G131" s="4">
        <v>1.5151409519353898E-4</v>
      </c>
    </row>
    <row r="132" spans="1:7" x14ac:dyDescent="0.35">
      <c r="A132" s="3">
        <v>41831</v>
      </c>
      <c r="B132" s="4">
        <v>1.883512443833868E-2</v>
      </c>
      <c r="C132" s="4">
        <v>-3.8620621354097384E-3</v>
      </c>
      <c r="D132" s="4">
        <v>4.0724161294525274E-4</v>
      </c>
      <c r="E132" s="4">
        <v>4.0586024078503868E-4</v>
      </c>
      <c r="F132" s="4">
        <v>-1.541070837736136E-3</v>
      </c>
      <c r="G132" s="4">
        <v>-1.7122214421974036E-3</v>
      </c>
    </row>
    <row r="133" spans="1:7" x14ac:dyDescent="0.35">
      <c r="A133" s="3">
        <v>41834</v>
      </c>
      <c r="B133" s="4">
        <v>6.9297360956555032E-3</v>
      </c>
      <c r="C133" s="4">
        <v>2.2683044800446694E-3</v>
      </c>
      <c r="D133" s="4">
        <v>4.0507090550723213E-4</v>
      </c>
      <c r="E133" s="4">
        <v>5.0597374357952418E-4</v>
      </c>
      <c r="F133" s="4">
        <v>1.6570958835224747E-3</v>
      </c>
      <c r="G133" s="4">
        <v>4.0236700017981519E-4</v>
      </c>
    </row>
    <row r="134" spans="1:7" x14ac:dyDescent="0.35">
      <c r="A134" s="3">
        <v>41835</v>
      </c>
      <c r="B134" s="4">
        <v>-6.8155279004001867E-3</v>
      </c>
      <c r="C134" s="4">
        <v>3.0155798214777096E-3</v>
      </c>
      <c r="D134" s="4">
        <v>4.1013196279560127E-4</v>
      </c>
      <c r="E134" s="4">
        <v>4.5508429557061802E-4</v>
      </c>
      <c r="F134" s="4">
        <v>2.9779463407786366E-4</v>
      </c>
      <c r="G134" s="4">
        <v>-1.1011077814623293E-3</v>
      </c>
    </row>
    <row r="135" spans="1:7" x14ac:dyDescent="0.35">
      <c r="A135" s="3">
        <v>41836</v>
      </c>
      <c r="B135" s="4">
        <v>-7.7236122389956474E-4</v>
      </c>
      <c r="C135" s="4">
        <v>9.4255527128370709E-3</v>
      </c>
      <c r="D135" s="4">
        <v>4.1163582779613073E-4</v>
      </c>
      <c r="E135" s="4">
        <v>4.6213506693315587E-4</v>
      </c>
      <c r="F135" s="4">
        <v>6.5022938046024326E-3</v>
      </c>
      <c r="G135" s="4">
        <v>1.6681578504806893E-4</v>
      </c>
    </row>
    <row r="136" spans="1:7" x14ac:dyDescent="0.35">
      <c r="A136" s="3">
        <v>41837</v>
      </c>
      <c r="B136" s="4">
        <v>1.9589332042353913E-2</v>
      </c>
      <c r="C136" s="4">
        <v>-7.6060624745259986E-3</v>
      </c>
      <c r="D136" s="4">
        <v>4.1367982828388605E-4</v>
      </c>
      <c r="E136" s="4">
        <v>4.7944590906645601E-4</v>
      </c>
      <c r="F136" s="4">
        <v>-3.8223813715656529E-3</v>
      </c>
      <c r="G136" s="4">
        <v>1.129983847513838E-3</v>
      </c>
    </row>
    <row r="137" spans="1:7" x14ac:dyDescent="0.35">
      <c r="A137" s="3">
        <v>41838</v>
      </c>
      <c r="B137" s="4">
        <v>9.2953218577433994E-3</v>
      </c>
      <c r="C137" s="4">
        <v>-2.7854796419540806E-3</v>
      </c>
      <c r="D137" s="4">
        <v>4.0117713530585242E-4</v>
      </c>
      <c r="E137" s="4">
        <v>4.9410099924407369E-4</v>
      </c>
      <c r="F137" s="4">
        <v>-1.7370255966093762E-3</v>
      </c>
      <c r="G137" s="4">
        <v>2.5066765737036256E-4</v>
      </c>
    </row>
    <row r="138" spans="1:7" x14ac:dyDescent="0.35">
      <c r="A138" s="3">
        <v>41841</v>
      </c>
      <c r="B138" s="4">
        <v>8.1262131514618918E-3</v>
      </c>
      <c r="C138" s="4">
        <v>-5.0980461592224913E-3</v>
      </c>
      <c r="D138" s="4">
        <v>4.0492551217341521E-4</v>
      </c>
      <c r="E138" s="4">
        <v>4.8863182321245979E-4</v>
      </c>
      <c r="F138" s="4">
        <v>1.940523823782403E-4</v>
      </c>
      <c r="G138" s="4">
        <v>6.6468436091327021E-4</v>
      </c>
    </row>
    <row r="139" spans="1:7" x14ac:dyDescent="0.35">
      <c r="A139" s="3">
        <v>41842</v>
      </c>
      <c r="B139" s="4">
        <v>-8.4493242158316662E-3</v>
      </c>
      <c r="C139" s="4">
        <v>4.3573818389335273E-3</v>
      </c>
      <c r="D139" s="4">
        <v>4.0329595928922934E-4</v>
      </c>
      <c r="E139" s="4">
        <v>4.8512596662164675E-4</v>
      </c>
      <c r="F139" s="4">
        <v>-1.4539612839881144E-3</v>
      </c>
      <c r="G139" s="4">
        <v>3.1636436483339914E-4</v>
      </c>
    </row>
    <row r="140" spans="1:7" x14ac:dyDescent="0.35">
      <c r="A140" s="3">
        <v>41843</v>
      </c>
      <c r="B140" s="4">
        <v>1.2323757116837308E-2</v>
      </c>
      <c r="C140" s="4">
        <v>5.2798784577312574E-5</v>
      </c>
      <c r="D140" s="4">
        <v>4.1247343553352245E-4</v>
      </c>
      <c r="E140" s="4">
        <v>3.5557058535662378E-4</v>
      </c>
      <c r="F140" s="4">
        <v>-4.0998070364438588E-3</v>
      </c>
      <c r="G140" s="4">
        <v>-8.6870058768728775E-5</v>
      </c>
    </row>
    <row r="141" spans="1:7" x14ac:dyDescent="0.35">
      <c r="A141" s="3">
        <v>41844</v>
      </c>
      <c r="B141" s="4">
        <v>-3.5842414131972422E-3</v>
      </c>
      <c r="C141" s="4">
        <v>3.0576311858030447E-3</v>
      </c>
      <c r="D141" s="4">
        <v>4.165361250660915E-4</v>
      </c>
      <c r="E141" s="4">
        <v>4.1741171318365744E-4</v>
      </c>
      <c r="F141" s="4">
        <v>3.2537708801474441E-3</v>
      </c>
      <c r="G141" s="4">
        <v>1.7757441387364903E-3</v>
      </c>
    </row>
    <row r="142" spans="1:7" x14ac:dyDescent="0.35">
      <c r="A142" s="3">
        <v>41845</v>
      </c>
      <c r="B142" s="4">
        <v>-2.9523836999584274E-3</v>
      </c>
      <c r="C142" s="4">
        <v>-2.2773415965774424E-3</v>
      </c>
      <c r="D142" s="4">
        <v>4.1255026281072915E-4</v>
      </c>
      <c r="E142" s="4">
        <v>4.7573015476309877E-4</v>
      </c>
      <c r="F142" s="4">
        <v>-5.7139995835608914E-4</v>
      </c>
      <c r="G142" s="4">
        <v>7.4495456250356362E-4</v>
      </c>
    </row>
    <row r="143" spans="1:7" x14ac:dyDescent="0.35">
      <c r="A143" s="3">
        <v>41848</v>
      </c>
      <c r="B143" s="4">
        <v>-1.3106008451368223E-2</v>
      </c>
      <c r="C143" s="4">
        <v>3.2792137265571508E-3</v>
      </c>
      <c r="D143" s="4">
        <v>4.1397362005390903E-4</v>
      </c>
      <c r="E143" s="4">
        <v>4.3884500919366687E-4</v>
      </c>
      <c r="F143" s="4">
        <v>7.3572602029425838E-4</v>
      </c>
      <c r="G143" s="4">
        <v>2.3301462002471851E-3</v>
      </c>
    </row>
    <row r="144" spans="1:7" x14ac:dyDescent="0.35">
      <c r="A144" s="3">
        <v>41849</v>
      </c>
      <c r="B144" s="4">
        <v>-2.772177937737208E-3</v>
      </c>
      <c r="C144" s="4">
        <v>8.4917945997617927E-3</v>
      </c>
      <c r="D144" s="4">
        <v>4.0710057498105634E-4</v>
      </c>
      <c r="E144" s="4">
        <v>3.8608137983597857E-4</v>
      </c>
      <c r="F144" s="4">
        <v>5.18084659832585E-3</v>
      </c>
      <c r="G144" s="4">
        <v>-4.8657676213048617E-4</v>
      </c>
    </row>
    <row r="145" spans="1:7" x14ac:dyDescent="0.35">
      <c r="A145" s="3">
        <v>41850</v>
      </c>
      <c r="B145" s="4">
        <v>-1.185441062298509E-2</v>
      </c>
      <c r="C145" s="4">
        <v>7.9096631070993961E-3</v>
      </c>
      <c r="D145" s="4">
        <v>4.1835331788342422E-4</v>
      </c>
      <c r="E145" s="4">
        <v>4.0600391088152499E-4</v>
      </c>
      <c r="F145" s="4">
        <v>2.8074359748910815E-3</v>
      </c>
      <c r="G145" s="4">
        <v>1.6613719071849609E-3</v>
      </c>
    </row>
    <row r="146" spans="1:7" x14ac:dyDescent="0.35">
      <c r="A146" s="3">
        <v>41851</v>
      </c>
      <c r="B146" s="4">
        <v>6.3380003975077592E-4</v>
      </c>
      <c r="C146" s="4">
        <v>-3.3194440968581373E-3</v>
      </c>
      <c r="D146" s="4">
        <v>4.2001234986299707E-4</v>
      </c>
      <c r="E146" s="4">
        <v>3.875849699277456E-4</v>
      </c>
      <c r="F146" s="4">
        <v>-6.5467946615093142E-3</v>
      </c>
      <c r="G146" s="4">
        <v>9.1264720325190396E-4</v>
      </c>
    </row>
    <row r="147" spans="1:7" x14ac:dyDescent="0.35">
      <c r="A147" s="3">
        <v>41852</v>
      </c>
      <c r="B147" s="4">
        <v>1.192360893459643E-2</v>
      </c>
      <c r="C147" s="4">
        <v>-2.7165406622653432E-4</v>
      </c>
      <c r="D147" s="4">
        <v>4.1931629144342786E-4</v>
      </c>
      <c r="E147" s="4">
        <v>3.861133565112862E-4</v>
      </c>
      <c r="F147" s="4">
        <v>-2.6541733193510275E-3</v>
      </c>
      <c r="G147" s="4">
        <v>4.5830459718865235E-4</v>
      </c>
    </row>
    <row r="148" spans="1:7" x14ac:dyDescent="0.35">
      <c r="A148" s="3">
        <v>41855</v>
      </c>
      <c r="B148" s="4">
        <v>-7.2094810185687752E-3</v>
      </c>
      <c r="C148" s="4">
        <v>1.1741827736694077E-2</v>
      </c>
      <c r="D148" s="4">
        <v>4.0799015847858833E-4</v>
      </c>
      <c r="E148" s="4">
        <v>4.3068994932804472E-4</v>
      </c>
      <c r="F148" s="4">
        <v>-1.932861107904249E-3</v>
      </c>
      <c r="G148" s="4">
        <v>8.4552378095303915E-4</v>
      </c>
    </row>
    <row r="149" spans="1:7" x14ac:dyDescent="0.35">
      <c r="A149" s="3">
        <v>41856</v>
      </c>
      <c r="B149" s="4">
        <v>6.7093286815114173E-3</v>
      </c>
      <c r="C149" s="4">
        <v>-4.0010081243884166E-3</v>
      </c>
      <c r="D149" s="4">
        <v>4.3903063099848261E-4</v>
      </c>
      <c r="E149" s="4">
        <v>3.6118749094238289E-4</v>
      </c>
      <c r="F149" s="4">
        <v>5.85636750666918E-4</v>
      </c>
      <c r="G149" s="4">
        <v>6.9421548890735707E-4</v>
      </c>
    </row>
    <row r="150" spans="1:7" x14ac:dyDescent="0.35">
      <c r="A150" s="3">
        <v>41857</v>
      </c>
      <c r="B150" s="4">
        <v>-7.1284091529728588E-3</v>
      </c>
      <c r="C150" s="4">
        <v>7.3189358162946139E-3</v>
      </c>
      <c r="D150" s="4">
        <v>4.1308265566852853E-4</v>
      </c>
      <c r="E150" s="4">
        <v>4.721401562126637E-4</v>
      </c>
      <c r="F150" s="4">
        <v>-1.5711988358512174E-3</v>
      </c>
      <c r="G150" s="4">
        <v>5.7517531231821017E-4</v>
      </c>
    </row>
    <row r="151" spans="1:7" x14ac:dyDescent="0.35">
      <c r="A151" s="3">
        <v>41858</v>
      </c>
      <c r="B151" s="4">
        <v>-4.4930021939418863E-3</v>
      </c>
      <c r="C151" s="4">
        <v>-4.4142628241474746E-3</v>
      </c>
      <c r="D151" s="4">
        <v>4.093084517848844E-4</v>
      </c>
      <c r="E151" s="4">
        <v>4.3578748269390566E-4</v>
      </c>
      <c r="F151" s="4">
        <v>2.0530112010135326E-3</v>
      </c>
      <c r="G151" s="4">
        <v>-4.0672463549018545E-4</v>
      </c>
    </row>
    <row r="152" spans="1:7" x14ac:dyDescent="0.35">
      <c r="A152" s="3">
        <v>41859</v>
      </c>
      <c r="B152" s="4">
        <v>1.8492048967378771E-2</v>
      </c>
      <c r="C152" s="4">
        <v>-2.407732437460508E-3</v>
      </c>
      <c r="D152" s="4">
        <v>4.0513413230680584E-4</v>
      </c>
      <c r="E152" s="4">
        <v>4.7086594265310922E-4</v>
      </c>
      <c r="F152" s="4">
        <v>-6.6403875417342384E-4</v>
      </c>
      <c r="G152" s="4">
        <v>-1.9615253145610634E-4</v>
      </c>
    </row>
    <row r="153" spans="1:7" x14ac:dyDescent="0.35">
      <c r="A153" s="3">
        <v>41862</v>
      </c>
      <c r="B153" s="4">
        <v>-5.430236297702451E-3</v>
      </c>
      <c r="C153" s="4">
        <v>-1.4445217140748312E-3</v>
      </c>
      <c r="D153" s="4">
        <v>4.0581512827064792E-4</v>
      </c>
      <c r="E153" s="4">
        <v>4.7001162320214895E-4</v>
      </c>
      <c r="F153" s="4">
        <v>2.6454197925906975E-4</v>
      </c>
      <c r="G153" s="4">
        <v>2.015500215648558E-4</v>
      </c>
    </row>
    <row r="154" spans="1:7" x14ac:dyDescent="0.35">
      <c r="A154" s="3">
        <v>41863</v>
      </c>
      <c r="B154" s="4">
        <v>-1.8013971851802091E-2</v>
      </c>
      <c r="C154" s="4">
        <v>3.1516802304147884E-3</v>
      </c>
      <c r="D154" s="4">
        <v>4.0873630935678307E-4</v>
      </c>
      <c r="E154" s="4">
        <v>4.4558674776284946E-4</v>
      </c>
      <c r="F154" s="4">
        <v>-1.3347211209159271E-3</v>
      </c>
      <c r="G154" s="4">
        <v>-5.8789181585694461E-4</v>
      </c>
    </row>
    <row r="155" spans="1:7" x14ac:dyDescent="0.35">
      <c r="A155" s="3">
        <v>41864</v>
      </c>
      <c r="B155" s="4">
        <v>1.0764748651983513E-3</v>
      </c>
      <c r="C155" s="4">
        <v>-4.2183775105842924E-3</v>
      </c>
      <c r="D155" s="4">
        <v>4.163606929221686E-4</v>
      </c>
      <c r="E155" s="4">
        <v>4.118558539927264E-4</v>
      </c>
      <c r="F155" s="4">
        <v>-4.598741446473209E-4</v>
      </c>
      <c r="G155" s="4">
        <v>1.424424434877114E-4</v>
      </c>
    </row>
    <row r="156" spans="1:7" x14ac:dyDescent="0.35">
      <c r="A156" s="3">
        <v>41865</v>
      </c>
      <c r="B156" s="4">
        <v>1.9264423760090077E-2</v>
      </c>
      <c r="C156" s="4">
        <v>-3.8541057467855744E-3</v>
      </c>
      <c r="D156" s="4">
        <v>4.0412410673829058E-4</v>
      </c>
      <c r="E156" s="4">
        <v>4.9565803278239784E-4</v>
      </c>
      <c r="F156" s="4">
        <v>-2.0301741936813444E-3</v>
      </c>
      <c r="G156" s="4">
        <v>-5.3259651602965974E-5</v>
      </c>
    </row>
    <row r="157" spans="1:7" x14ac:dyDescent="0.35">
      <c r="A157" s="3">
        <v>41866</v>
      </c>
      <c r="B157" s="4">
        <v>6.1157560182962811E-3</v>
      </c>
      <c r="C157" s="4">
        <v>-1.7014779406819835E-3</v>
      </c>
      <c r="D157" s="4">
        <v>4.0086307304143531E-4</v>
      </c>
      <c r="E157" s="4">
        <v>5.9592915293360527E-4</v>
      </c>
      <c r="F157" s="4">
        <v>1.1631218381036312E-4</v>
      </c>
      <c r="G157" s="4">
        <v>-1.1678141921744878E-4</v>
      </c>
    </row>
    <row r="158" spans="1:7" x14ac:dyDescent="0.35">
      <c r="A158" s="3">
        <v>41869</v>
      </c>
      <c r="B158" s="4">
        <v>1.6290604508831352E-2</v>
      </c>
      <c r="C158" s="4">
        <v>-4.1476347794114909E-3</v>
      </c>
      <c r="D158" s="4">
        <v>4.0594255078274522E-4</v>
      </c>
      <c r="E158" s="4">
        <v>4.965092210014177E-4</v>
      </c>
      <c r="F158" s="4">
        <v>9.1757322469510072E-4</v>
      </c>
      <c r="G158" s="4">
        <v>7.4808887932320545E-5</v>
      </c>
    </row>
    <row r="159" spans="1:7" x14ac:dyDescent="0.35">
      <c r="A159" s="3">
        <v>41870</v>
      </c>
      <c r="B159" s="4">
        <v>7.668083179337426E-3</v>
      </c>
      <c r="C159" s="4">
        <v>3.3208309072236819E-3</v>
      </c>
      <c r="D159" s="4">
        <v>4.1096046158073385E-4</v>
      </c>
      <c r="E159" s="4">
        <v>4.2090806326622321E-4</v>
      </c>
      <c r="F159" s="4">
        <v>1.3654267649936269E-3</v>
      </c>
      <c r="G159" s="4">
        <v>2.8490031203975974E-5</v>
      </c>
    </row>
    <row r="160" spans="1:7" x14ac:dyDescent="0.35">
      <c r="A160" s="3">
        <v>41871</v>
      </c>
      <c r="B160" s="4">
        <v>4.9179275572568404E-3</v>
      </c>
      <c r="C160" s="4">
        <v>1.6990838629049598E-3</v>
      </c>
      <c r="D160" s="4">
        <v>4.1081985312474423E-4</v>
      </c>
      <c r="E160" s="4">
        <v>3.9265577775227101E-4</v>
      </c>
      <c r="F160" s="4">
        <v>1.9996412888390047E-4</v>
      </c>
      <c r="G160" s="4">
        <v>1.2525557159537293E-4</v>
      </c>
    </row>
    <row r="161" spans="1:7" x14ac:dyDescent="0.35">
      <c r="A161" s="3">
        <v>41872</v>
      </c>
      <c r="B161" s="4">
        <v>-8.1671517943291416E-3</v>
      </c>
      <c r="C161" s="4">
        <v>7.5488185934762253E-3</v>
      </c>
      <c r="D161" s="4">
        <v>4.2170848571831954E-4</v>
      </c>
      <c r="E161" s="4">
        <v>3.5192706977804633E-4</v>
      </c>
      <c r="F161" s="4">
        <v>2.7198524750167152E-3</v>
      </c>
      <c r="G161" s="4">
        <v>8.4423343183548383E-4</v>
      </c>
    </row>
    <row r="162" spans="1:7" x14ac:dyDescent="0.35">
      <c r="A162" s="3">
        <v>41873</v>
      </c>
      <c r="B162" s="4">
        <v>1.7786069789571757E-2</v>
      </c>
      <c r="C162" s="4">
        <v>3.0064977328783105E-3</v>
      </c>
      <c r="D162" s="4">
        <v>3.9734903746202477E-4</v>
      </c>
      <c r="E162" s="4">
        <v>4.9465244150059817E-4</v>
      </c>
      <c r="F162" s="4">
        <v>1.9479743548809214E-3</v>
      </c>
      <c r="G162" s="4">
        <v>3.5974868925925385E-4</v>
      </c>
    </row>
    <row r="163" spans="1:7" x14ac:dyDescent="0.35">
      <c r="A163" s="3">
        <v>41876</v>
      </c>
      <c r="B163" s="4">
        <v>1.0619245050811355E-3</v>
      </c>
      <c r="C163" s="4">
        <v>-9.1117221915474333E-3</v>
      </c>
      <c r="D163" s="4">
        <v>4.0939361734571023E-4</v>
      </c>
      <c r="E163" s="4">
        <v>4.627110644916943E-4</v>
      </c>
      <c r="F163" s="4">
        <v>-1.8552488923662125E-4</v>
      </c>
      <c r="G163" s="4">
        <v>9.6219543951736597E-4</v>
      </c>
    </row>
    <row r="164" spans="1:7" x14ac:dyDescent="0.35">
      <c r="A164" s="3">
        <v>41877</v>
      </c>
      <c r="B164" s="4">
        <v>1.8523242651528937E-2</v>
      </c>
      <c r="C164" s="4">
        <v>-1.8069260504115503E-3</v>
      </c>
      <c r="D164" s="4">
        <v>4.1162116001602911E-4</v>
      </c>
      <c r="E164" s="4">
        <v>4.6619339049946973E-4</v>
      </c>
      <c r="F164" s="4">
        <v>1.9778551441802517E-3</v>
      </c>
      <c r="G164" s="4">
        <v>2.3374012225052532E-4</v>
      </c>
    </row>
    <row r="165" spans="1:7" x14ac:dyDescent="0.35">
      <c r="A165" s="3">
        <v>41878</v>
      </c>
      <c r="B165" s="4">
        <v>-7.9024063975356995E-3</v>
      </c>
      <c r="C165" s="4">
        <v>-9.6634280749752222E-3</v>
      </c>
      <c r="D165" s="4">
        <v>4.0873230256099902E-4</v>
      </c>
      <c r="E165" s="4">
        <v>5.1963837229251908E-4</v>
      </c>
      <c r="F165" s="4">
        <v>-2.0911069982628705E-3</v>
      </c>
      <c r="G165" s="4">
        <v>1.4210253003457129E-3</v>
      </c>
    </row>
    <row r="166" spans="1:7" x14ac:dyDescent="0.35">
      <c r="A166" s="3">
        <v>41879</v>
      </c>
      <c r="B166" s="4">
        <v>1.7704546419990974E-2</v>
      </c>
      <c r="C166" s="4">
        <v>6.4431514409002411E-4</v>
      </c>
      <c r="D166" s="4">
        <v>4.1355693147004935E-4</v>
      </c>
      <c r="E166" s="4">
        <v>4.4534062880452474E-4</v>
      </c>
      <c r="F166" s="4">
        <v>3.2436407667173484E-3</v>
      </c>
      <c r="G166" s="4">
        <v>1.0478008709715603E-3</v>
      </c>
    </row>
    <row r="167" spans="1:7" x14ac:dyDescent="0.35">
      <c r="A167" s="3">
        <v>41880</v>
      </c>
      <c r="B167" s="4">
        <v>-2.4253399269787979E-3</v>
      </c>
      <c r="C167" s="4">
        <v>1.0598188060033653E-3</v>
      </c>
      <c r="D167" s="4">
        <v>4.2486546626796518E-4</v>
      </c>
      <c r="E167" s="4">
        <v>4.0220659518008794E-4</v>
      </c>
      <c r="F167" s="4">
        <v>3.2783021908009413E-3</v>
      </c>
      <c r="G167" s="4">
        <v>1.483493175222339E-3</v>
      </c>
    </row>
    <row r="168" spans="1:7" x14ac:dyDescent="0.35">
      <c r="A168" s="3">
        <v>41883</v>
      </c>
      <c r="B168" s="4">
        <v>1.1748965737672146E-2</v>
      </c>
      <c r="C168" s="4">
        <v>8.8632933148602433E-4</v>
      </c>
      <c r="D168" s="4">
        <v>4.066147816583765E-4</v>
      </c>
      <c r="E168" s="4">
        <v>5.1156798257689928E-4</v>
      </c>
      <c r="F168" s="4">
        <v>7.003621881101818E-3</v>
      </c>
      <c r="G168" s="4">
        <v>-2.2419098731282228E-3</v>
      </c>
    </row>
    <row r="169" spans="1:7" x14ac:dyDescent="0.35">
      <c r="A169" s="3">
        <v>41884</v>
      </c>
      <c r="B169" s="4">
        <v>1.1262779760858876E-3</v>
      </c>
      <c r="C169" s="4">
        <v>-6.001174071658455E-3</v>
      </c>
      <c r="D169" s="4">
        <v>4.0398965830679145E-4</v>
      </c>
      <c r="E169" s="4">
        <v>4.816897576447321E-4</v>
      </c>
      <c r="F169" s="4">
        <v>-3.561555295754415E-3</v>
      </c>
      <c r="G169" s="4">
        <v>7.1022482282279142E-4</v>
      </c>
    </row>
    <row r="170" spans="1:7" x14ac:dyDescent="0.35">
      <c r="A170" s="3">
        <v>41885</v>
      </c>
      <c r="B170" s="4">
        <v>-1.0161110462077239E-2</v>
      </c>
      <c r="C170" s="4">
        <v>4.3211220614645107E-3</v>
      </c>
      <c r="D170" s="4">
        <v>4.1303438595230446E-4</v>
      </c>
      <c r="E170" s="4">
        <v>3.8446807032999075E-4</v>
      </c>
      <c r="F170" s="4">
        <v>2.1503497862991328E-3</v>
      </c>
      <c r="G170" s="4">
        <v>-5.8820765545952725E-4</v>
      </c>
    </row>
    <row r="171" spans="1:7" x14ac:dyDescent="0.35">
      <c r="A171" s="3">
        <v>41886</v>
      </c>
      <c r="B171" s="4">
        <v>-1.1556592871855287E-3</v>
      </c>
      <c r="C171" s="4">
        <v>1.0637270235134277E-3</v>
      </c>
      <c r="D171" s="4">
        <v>4.1352035454433889E-4</v>
      </c>
      <c r="E171" s="4">
        <v>3.7080865473182456E-4</v>
      </c>
      <c r="F171" s="4">
        <v>-1.0289524144626583E-3</v>
      </c>
      <c r="G171" s="4">
        <v>1.4521173846275826E-3</v>
      </c>
    </row>
    <row r="172" spans="1:7" x14ac:dyDescent="0.35">
      <c r="A172" s="3">
        <v>41887</v>
      </c>
      <c r="B172" s="4">
        <v>-2.4824388249684803E-2</v>
      </c>
      <c r="C172" s="4">
        <v>9.7350315196129689E-3</v>
      </c>
      <c r="D172" s="4">
        <v>4.1059547191535373E-4</v>
      </c>
      <c r="E172" s="4">
        <v>4.4625159439415363E-4</v>
      </c>
      <c r="F172" s="4">
        <v>-3.9936243969473928E-4</v>
      </c>
      <c r="G172" s="4">
        <v>-2.6787494477686913E-4</v>
      </c>
    </row>
    <row r="173" spans="1:7" x14ac:dyDescent="0.35">
      <c r="A173" s="3">
        <v>41890</v>
      </c>
      <c r="B173" s="4">
        <v>-1.3772854112250044E-2</v>
      </c>
      <c r="C173" s="4">
        <v>8.7519865395002672E-3</v>
      </c>
      <c r="D173" s="4">
        <v>4.185881242868561E-4</v>
      </c>
      <c r="E173" s="4">
        <v>4.1678614603446462E-4</v>
      </c>
      <c r="F173" s="4">
        <v>-2.0055146629059939E-3</v>
      </c>
      <c r="G173" s="4">
        <v>5.7905601711349952E-4</v>
      </c>
    </row>
    <row r="174" spans="1:7" x14ac:dyDescent="0.35">
      <c r="A174" s="3">
        <v>41891</v>
      </c>
      <c r="B174" s="4">
        <v>-1.05012600646055E-2</v>
      </c>
      <c r="C174" s="4">
        <v>4.0527091973279195E-3</v>
      </c>
      <c r="D174" s="4">
        <v>4.2122111506315285E-4</v>
      </c>
      <c r="E174" s="4">
        <v>2.4048200727566638E-4</v>
      </c>
      <c r="F174" s="4">
        <v>-3.3226157161325709E-4</v>
      </c>
      <c r="G174" s="4">
        <v>1.1241597278299764E-4</v>
      </c>
    </row>
    <row r="175" spans="1:7" x14ac:dyDescent="0.35">
      <c r="A175" s="3">
        <v>41892</v>
      </c>
      <c r="B175" s="4">
        <v>4.8528027676704166E-3</v>
      </c>
      <c r="C175" s="4">
        <v>-2.809176032587235E-3</v>
      </c>
      <c r="D175" s="4">
        <v>4.164493781300127E-4</v>
      </c>
      <c r="E175" s="4">
        <v>4.886314654948265E-4</v>
      </c>
      <c r="F175" s="4">
        <v>2.1787488591078485E-3</v>
      </c>
      <c r="G175" s="4">
        <v>3.778325380539016E-4</v>
      </c>
    </row>
    <row r="176" spans="1:7" x14ac:dyDescent="0.35">
      <c r="A176" s="3">
        <v>41893</v>
      </c>
      <c r="B176" s="4">
        <v>-1.9586155401446925E-2</v>
      </c>
      <c r="C176" s="4">
        <v>2.1769295954035872E-2</v>
      </c>
      <c r="D176" s="4">
        <v>4.1601615140862691E-4</v>
      </c>
      <c r="E176" s="4">
        <v>4.9244477457399682E-4</v>
      </c>
      <c r="F176" s="4">
        <v>6.3046890739748562E-4</v>
      </c>
      <c r="G176" s="4">
        <v>-1.8710391290258643E-3</v>
      </c>
    </row>
    <row r="177" spans="1:7" x14ac:dyDescent="0.35">
      <c r="A177" s="3">
        <v>41894</v>
      </c>
      <c r="B177" s="4">
        <v>1.0985067100190982E-2</v>
      </c>
      <c r="C177" s="4">
        <v>3.8735732476280482E-4</v>
      </c>
      <c r="D177" s="4">
        <v>4.3298409028147411E-4</v>
      </c>
      <c r="E177" s="4">
        <v>3.1310472825984981E-4</v>
      </c>
      <c r="F177" s="4">
        <v>-1.348259626219539E-3</v>
      </c>
      <c r="G177" s="4">
        <v>6.9390892777887458E-4</v>
      </c>
    </row>
    <row r="178" spans="1:7" x14ac:dyDescent="0.35">
      <c r="A178" s="3">
        <v>41897</v>
      </c>
      <c r="B178" s="4">
        <v>1.7032740922005463E-2</v>
      </c>
      <c r="C178" s="4">
        <v>-5.9354280597735398E-3</v>
      </c>
      <c r="D178" s="4">
        <v>4.0914869600494619E-4</v>
      </c>
      <c r="E178" s="4">
        <v>4.3289439647331562E-4</v>
      </c>
      <c r="F178" s="4">
        <v>-2.7802151612711379E-3</v>
      </c>
      <c r="G178" s="4">
        <v>9.3010011793492886E-4</v>
      </c>
    </row>
    <row r="179" spans="1:7" x14ac:dyDescent="0.35">
      <c r="A179" s="3">
        <v>41898</v>
      </c>
      <c r="B179" s="4">
        <v>4.2171533923811566E-3</v>
      </c>
      <c r="C179" s="4">
        <v>8.7991420493063188E-3</v>
      </c>
      <c r="D179" s="4">
        <v>4.0672363589266958E-4</v>
      </c>
      <c r="E179" s="4">
        <v>5.1291422446930746E-4</v>
      </c>
      <c r="F179" s="4">
        <v>4.7867282422682234E-3</v>
      </c>
      <c r="G179" s="4">
        <v>2.1406415404048307E-3</v>
      </c>
    </row>
    <row r="180" spans="1:7" x14ac:dyDescent="0.35">
      <c r="A180" s="3">
        <v>41899</v>
      </c>
      <c r="B180" s="4">
        <v>-1.0925819984161977E-2</v>
      </c>
      <c r="C180" s="4">
        <v>7.9250989633328217E-3</v>
      </c>
      <c r="D180" s="4">
        <v>4.1883173925416628E-4</v>
      </c>
      <c r="E180" s="4">
        <v>4.3939449307606182E-4</v>
      </c>
      <c r="F180" s="4">
        <v>3.3653406382765372E-3</v>
      </c>
      <c r="G180" s="4">
        <v>-3.0689014443396889E-4</v>
      </c>
    </row>
    <row r="181" spans="1:7" x14ac:dyDescent="0.35">
      <c r="A181" s="3">
        <v>41900</v>
      </c>
      <c r="B181" s="4">
        <v>-1.0204395615753925E-2</v>
      </c>
      <c r="C181" s="4">
        <v>6.2563351632785036E-3</v>
      </c>
      <c r="D181" s="4">
        <v>4.2219327816450658E-4</v>
      </c>
      <c r="E181" s="4">
        <v>3.9418818412850776E-4</v>
      </c>
      <c r="F181" s="4">
        <v>3.0221356968005431E-3</v>
      </c>
      <c r="G181" s="4">
        <v>1.6900932222929654E-4</v>
      </c>
    </row>
    <row r="182" spans="1:7" x14ac:dyDescent="0.35">
      <c r="A182" s="3">
        <v>41901</v>
      </c>
      <c r="B182" s="4">
        <v>-1.7333779256217263E-2</v>
      </c>
      <c r="C182" s="4">
        <v>6.2598370506616874E-3</v>
      </c>
      <c r="D182" s="4">
        <v>4.1558510589090325E-4</v>
      </c>
      <c r="E182" s="4">
        <v>4.7836778552556858E-4</v>
      </c>
      <c r="F182" s="4">
        <v>-2.2413548927158189E-4</v>
      </c>
      <c r="G182" s="4">
        <v>-2.0956643360263705E-3</v>
      </c>
    </row>
    <row r="183" spans="1:7" x14ac:dyDescent="0.35">
      <c r="A183" s="3">
        <v>41904</v>
      </c>
      <c r="B183" s="4">
        <v>-4.96128398003437E-3</v>
      </c>
      <c r="C183" s="4">
        <v>6.7480386641736168E-3</v>
      </c>
      <c r="D183" s="4">
        <v>4.1281518839486608E-4</v>
      </c>
      <c r="E183" s="4">
        <v>2.4131878262267925E-4</v>
      </c>
      <c r="F183" s="4">
        <v>7.199747230746123E-4</v>
      </c>
      <c r="G183" s="4">
        <v>4.8449762511282302E-4</v>
      </c>
    </row>
    <row r="184" spans="1:7" x14ac:dyDescent="0.35">
      <c r="A184" s="3">
        <v>41905</v>
      </c>
      <c r="B184" s="4">
        <v>3.3804273619599812E-3</v>
      </c>
      <c r="C184" s="4">
        <v>-7.8903535620720167E-3</v>
      </c>
      <c r="D184" s="4">
        <v>4.2797504818525844E-4</v>
      </c>
      <c r="E184" s="4">
        <v>4.5898003737399051E-4</v>
      </c>
      <c r="F184" s="4">
        <v>-4.118966217897535E-4</v>
      </c>
      <c r="G184" s="4">
        <v>1.994677032385761E-3</v>
      </c>
    </row>
    <row r="185" spans="1:7" x14ac:dyDescent="0.35">
      <c r="A185" s="3">
        <v>41906</v>
      </c>
      <c r="B185" s="4">
        <v>-1.0365160385446881E-2</v>
      </c>
      <c r="C185" s="4">
        <v>1.3042013567670097E-2</v>
      </c>
      <c r="D185" s="4">
        <v>3.9931915359114889E-4</v>
      </c>
      <c r="E185" s="4">
        <v>4.9633527461923066E-4</v>
      </c>
      <c r="F185" s="4">
        <v>3.2594993493566538E-3</v>
      </c>
      <c r="G185" s="4">
        <v>1.1313337959151237E-3</v>
      </c>
    </row>
    <row r="186" spans="1:7" x14ac:dyDescent="0.35">
      <c r="A186" s="3">
        <v>41907</v>
      </c>
      <c r="B186" s="4">
        <v>1.6526414976185011E-2</v>
      </c>
      <c r="C186" s="4">
        <v>-3.9372027542153853E-3</v>
      </c>
      <c r="D186" s="4">
        <v>4.2254508381334155E-4</v>
      </c>
      <c r="E186" s="4">
        <v>3.5082474406045172E-4</v>
      </c>
      <c r="F186" s="4">
        <v>1.319324858746862E-3</v>
      </c>
      <c r="G186" s="4">
        <v>8.3053756987272465E-4</v>
      </c>
    </row>
    <row r="187" spans="1:7" x14ac:dyDescent="0.35">
      <c r="A187" s="3">
        <v>41908</v>
      </c>
      <c r="B187" s="4">
        <v>-4.1670315614768416E-2</v>
      </c>
      <c r="C187" s="4">
        <v>1.5666802036857996E-2</v>
      </c>
      <c r="D187" s="4">
        <v>4.1490328303050994E-4</v>
      </c>
      <c r="E187" s="4">
        <v>4.6859697839884973E-4</v>
      </c>
      <c r="F187" s="4">
        <v>4.3040454188472133E-3</v>
      </c>
      <c r="G187" s="4">
        <v>8.4572502563107221E-4</v>
      </c>
    </row>
    <row r="188" spans="1:7" x14ac:dyDescent="0.35">
      <c r="A188" s="3">
        <v>41911</v>
      </c>
      <c r="B188" s="4">
        <v>-6.0735067838504353E-3</v>
      </c>
      <c r="C188" s="4">
        <v>-3.3541655487112632E-3</v>
      </c>
      <c r="D188" s="4">
        <v>4.3770475470306103E-4</v>
      </c>
      <c r="E188" s="4">
        <v>1.5932755819791922E-4</v>
      </c>
      <c r="F188" s="4">
        <v>-7.4924689813760104E-4</v>
      </c>
      <c r="G188" s="4">
        <v>1.8759738933029624E-3</v>
      </c>
    </row>
    <row r="189" spans="1:7" x14ac:dyDescent="0.35">
      <c r="A189" s="3">
        <v>41912</v>
      </c>
      <c r="B189" s="4">
        <v>-2.2114138269045847E-2</v>
      </c>
      <c r="C189" s="4">
        <v>1.6175828896129785E-2</v>
      </c>
      <c r="D189" s="4">
        <v>4.1295954177900107E-4</v>
      </c>
      <c r="E189" s="4">
        <v>5.0868770547851661E-4</v>
      </c>
      <c r="F189" s="4">
        <v>5.2857885600166021E-3</v>
      </c>
      <c r="G189" s="4">
        <v>-2.032064253968735E-3</v>
      </c>
    </row>
    <row r="190" spans="1:7" x14ac:dyDescent="0.35">
      <c r="A190" s="3">
        <v>41913</v>
      </c>
      <c r="B190" s="4">
        <v>1.1465551762730453E-2</v>
      </c>
      <c r="C190" s="4">
        <v>-2.0409984870879416E-3</v>
      </c>
      <c r="D190" s="4">
        <v>4.2662003105053969E-4</v>
      </c>
      <c r="E190" s="4">
        <v>4.3626403902607969E-4</v>
      </c>
      <c r="F190" s="4">
        <v>-3.515476658028871E-3</v>
      </c>
      <c r="G190" s="4">
        <v>1.4890502868334377E-3</v>
      </c>
    </row>
    <row r="191" spans="1:7" x14ac:dyDescent="0.35">
      <c r="A191" s="3">
        <v>41914</v>
      </c>
      <c r="B191" s="4">
        <v>1.4759708423350615E-2</v>
      </c>
      <c r="C191" s="4">
        <v>-1.9915023322653047E-3</v>
      </c>
      <c r="D191" s="4">
        <v>4.1263040849126575E-4</v>
      </c>
      <c r="E191" s="4">
        <v>4.0283112502503826E-4</v>
      </c>
      <c r="F191" s="4">
        <v>-1.5098979087558861E-3</v>
      </c>
      <c r="G191" s="4">
        <v>-1.0155855086979582E-3</v>
      </c>
    </row>
    <row r="192" spans="1:7" x14ac:dyDescent="0.35">
      <c r="A192" s="3">
        <v>41915</v>
      </c>
      <c r="B192" s="4">
        <v>4.1594880333248652E-2</v>
      </c>
      <c r="C192" s="4">
        <v>-1.7298810213534743E-2</v>
      </c>
      <c r="D192" s="4">
        <v>4.4895366415320659E-4</v>
      </c>
      <c r="E192" s="4">
        <v>6.1182346549393252E-4</v>
      </c>
      <c r="F192" s="4">
        <v>-1.3534337740015778E-2</v>
      </c>
      <c r="G192" s="4">
        <v>-8.5281150053617694E-4</v>
      </c>
    </row>
    <row r="193" spans="1:7" x14ac:dyDescent="0.35">
      <c r="A193" s="3">
        <v>41918</v>
      </c>
      <c r="B193" s="4">
        <v>4.9570082267871296E-3</v>
      </c>
      <c r="C193" s="4">
        <v>-1.2283722259696206E-2</v>
      </c>
      <c r="D193" s="4">
        <v>3.9810818481189614E-4</v>
      </c>
      <c r="E193" s="4">
        <v>5.4213931168800578E-4</v>
      </c>
      <c r="F193" s="4">
        <v>-4.5578819122545911E-3</v>
      </c>
      <c r="G193" s="4">
        <v>1.7094029197952665E-3</v>
      </c>
    </row>
    <row r="194" spans="1:7" x14ac:dyDescent="0.35">
      <c r="A194" s="3">
        <v>41919</v>
      </c>
      <c r="B194" s="4">
        <v>-5.8954096027520331E-3</v>
      </c>
      <c r="C194" s="4">
        <v>-7.5976401176759412E-3</v>
      </c>
      <c r="D194" s="4">
        <v>4.0525057739260184E-4</v>
      </c>
      <c r="E194" s="4">
        <v>5.4946540848255232E-4</v>
      </c>
      <c r="F194" s="4">
        <v>-4.7154505060655882E-3</v>
      </c>
      <c r="G194" s="4">
        <v>-3.6510279337903517E-3</v>
      </c>
    </row>
    <row r="195" spans="1:7" x14ac:dyDescent="0.35">
      <c r="A195" s="3">
        <v>41920</v>
      </c>
      <c r="B195" s="4">
        <v>-2.1266635129023603E-3</v>
      </c>
      <c r="C195" s="4">
        <v>2.8263713121261524E-3</v>
      </c>
      <c r="D195" s="4">
        <v>4.4828357820292375E-4</v>
      </c>
      <c r="E195" s="4">
        <v>4.8762171071725646E-4</v>
      </c>
      <c r="F195" s="4">
        <v>-3.2124049289705692E-4</v>
      </c>
      <c r="G195" s="4">
        <v>1.6711468825532094E-3</v>
      </c>
    </row>
    <row r="196" spans="1:7" x14ac:dyDescent="0.35">
      <c r="A196" s="3">
        <v>41921</v>
      </c>
      <c r="B196" s="4">
        <v>-3.1482271065304213E-2</v>
      </c>
      <c r="C196" s="4">
        <v>6.6649635839213239E-3</v>
      </c>
      <c r="D196" s="4">
        <v>4.1644465895585014E-4</v>
      </c>
      <c r="E196" s="4">
        <v>4.4189310723474762E-4</v>
      </c>
      <c r="F196" s="4">
        <v>-6.6549596420761858E-4</v>
      </c>
      <c r="G196" s="4">
        <v>4.3761336009695562E-4</v>
      </c>
    </row>
    <row r="197" spans="1:7" x14ac:dyDescent="0.35">
      <c r="A197" s="3">
        <v>41922</v>
      </c>
      <c r="B197" s="4">
        <v>3.9278652171672146E-2</v>
      </c>
      <c r="C197" s="4">
        <v>-8.990720293690968E-3</v>
      </c>
      <c r="D197" s="4">
        <v>4.1972605421070064E-4</v>
      </c>
      <c r="E197" s="4">
        <v>3.5876446851124122E-4</v>
      </c>
      <c r="F197" s="4">
        <v>-3.1358967601202714E-3</v>
      </c>
      <c r="G197" s="4">
        <v>2.2823885876732675E-3</v>
      </c>
    </row>
    <row r="198" spans="1:7" x14ac:dyDescent="0.35">
      <c r="A198" s="3">
        <v>41925</v>
      </c>
      <c r="B198" s="4">
        <v>4.408339518830795E-3</v>
      </c>
      <c r="C198" s="4">
        <v>7.6868640400644672E-3</v>
      </c>
      <c r="D198" s="4">
        <v>3.9621638373366075E-4</v>
      </c>
      <c r="E198" s="4">
        <v>6.6025222828813845E-4</v>
      </c>
      <c r="F198" s="4">
        <v>1.7229886008141015E-3</v>
      </c>
      <c r="G198" s="4">
        <v>-1.1238219000777594E-3</v>
      </c>
    </row>
    <row r="199" spans="1:7" x14ac:dyDescent="0.35">
      <c r="A199" s="3">
        <v>41926</v>
      </c>
      <c r="B199" s="4">
        <v>-2.9862722458689817E-2</v>
      </c>
      <c r="C199" s="4">
        <v>1.3461597754208299E-2</v>
      </c>
      <c r="D199" s="4">
        <v>4.0183538867366586E-4</v>
      </c>
      <c r="E199" s="4">
        <v>3.7351476648339599E-4</v>
      </c>
      <c r="F199" s="4">
        <v>-1.9351295769987065E-3</v>
      </c>
      <c r="G199" s="4">
        <v>-1.4144737153498621E-4</v>
      </c>
    </row>
    <row r="200" spans="1:7" x14ac:dyDescent="0.35">
      <c r="A200" s="3">
        <v>41927</v>
      </c>
      <c r="B200" s="4">
        <v>-3.1305984670972786E-2</v>
      </c>
      <c r="C200" s="4">
        <v>1.2205894192630407E-2</v>
      </c>
      <c r="D200" s="4">
        <v>4.2030390082903324E-4</v>
      </c>
      <c r="E200" s="4">
        <v>3.4253388431348952E-4</v>
      </c>
      <c r="F200" s="4">
        <v>1.8462635014371287E-3</v>
      </c>
      <c r="G200" s="4">
        <v>-3.9000634444397164E-4</v>
      </c>
    </row>
    <row r="201" spans="1:7" x14ac:dyDescent="0.35">
      <c r="A201" s="3">
        <v>41928</v>
      </c>
      <c r="B201" s="4">
        <v>1.7314796058189641E-2</v>
      </c>
      <c r="C201" s="4">
        <v>-1.018605422435126E-2</v>
      </c>
      <c r="D201" s="4">
        <v>4.2832468520881406E-4</v>
      </c>
      <c r="E201" s="4">
        <v>3.5905082447640346E-4</v>
      </c>
      <c r="F201" s="4">
        <v>3.0878912867482455E-4</v>
      </c>
      <c r="G201" s="4">
        <v>2.4172013830343619E-3</v>
      </c>
    </row>
    <row r="202" spans="1:7" x14ac:dyDescent="0.35">
      <c r="A202" s="3">
        <v>41929</v>
      </c>
      <c r="B202" s="4">
        <v>-2.31506144567456E-2</v>
      </c>
      <c r="C202" s="4">
        <v>7.1077980870752899E-3</v>
      </c>
      <c r="D202" s="4">
        <v>4.0237524498598631E-4</v>
      </c>
      <c r="E202" s="4">
        <v>4.7813875108770887E-4</v>
      </c>
      <c r="F202" s="4">
        <v>2.1922263246183515E-3</v>
      </c>
      <c r="G202" s="4">
        <v>-4.8069837772835022E-5</v>
      </c>
    </row>
    <row r="203" spans="1:7" x14ac:dyDescent="0.35">
      <c r="A203" s="3">
        <v>41932</v>
      </c>
      <c r="B203" s="4">
        <v>-3.2314855674514309E-2</v>
      </c>
      <c r="C203" s="4">
        <v>5.7844606190480263E-3</v>
      </c>
      <c r="D203" s="4">
        <v>4.2054220747145266E-4</v>
      </c>
      <c r="E203" s="4">
        <v>3.9346684797303411E-4</v>
      </c>
      <c r="F203" s="4">
        <v>-1.2595975844762464E-3</v>
      </c>
      <c r="G203" s="4">
        <v>4.8763488136960298E-4</v>
      </c>
    </row>
    <row r="204" spans="1:7" x14ac:dyDescent="0.35">
      <c r="A204" s="3">
        <v>41933</v>
      </c>
      <c r="B204" s="4">
        <v>1.5199771323781697E-4</v>
      </c>
      <c r="C204" s="4">
        <v>6.952985641881515E-3</v>
      </c>
      <c r="D204" s="4">
        <v>4.1670120638603869E-4</v>
      </c>
      <c r="E204" s="4">
        <v>3.0497748214508569E-4</v>
      </c>
      <c r="F204" s="4">
        <v>2.3397327003988888E-3</v>
      </c>
      <c r="G204" s="4">
        <v>8.4199049243594004E-4</v>
      </c>
    </row>
    <row r="205" spans="1:7" x14ac:dyDescent="0.35">
      <c r="A205" s="3">
        <v>41934</v>
      </c>
      <c r="B205" s="4">
        <v>-2.3203690866915538E-2</v>
      </c>
      <c r="C205" s="4">
        <v>8.4237264978543891E-3</v>
      </c>
      <c r="D205" s="4">
        <v>4.2459340323697248E-4</v>
      </c>
      <c r="E205" s="4">
        <v>4.092844469376633E-4</v>
      </c>
      <c r="F205" s="4">
        <v>4.4282417156622511E-3</v>
      </c>
      <c r="G205" s="4">
        <v>-1.388147509544968E-3</v>
      </c>
    </row>
    <row r="206" spans="1:7" x14ac:dyDescent="0.35">
      <c r="A206" s="3">
        <v>41935</v>
      </c>
      <c r="B206" s="4">
        <v>2.6728602808166135E-2</v>
      </c>
      <c r="C206" s="4">
        <v>-1.9573046986513076E-2</v>
      </c>
      <c r="D206" s="4">
        <v>4.2655539419023114E-4</v>
      </c>
      <c r="E206" s="4">
        <v>3.2425995948281994E-4</v>
      </c>
      <c r="F206" s="4">
        <v>-5.6339071363359361E-3</v>
      </c>
      <c r="G206" s="4">
        <v>5.7740702501041241E-4</v>
      </c>
    </row>
    <row r="207" spans="1:7" x14ac:dyDescent="0.35">
      <c r="A207" s="3">
        <v>41936</v>
      </c>
      <c r="B207" s="4">
        <v>-3.297367091217196E-2</v>
      </c>
      <c r="C207" s="4">
        <v>2.3463418617482246E-2</v>
      </c>
      <c r="D207" s="4">
        <v>4.2559102072092792E-4</v>
      </c>
      <c r="E207" s="4">
        <v>5.1893193010066341E-4</v>
      </c>
      <c r="F207" s="4">
        <v>1.4214969509134256E-2</v>
      </c>
      <c r="G207" s="4">
        <v>5.3329787449152288E-3</v>
      </c>
    </row>
    <row r="208" spans="1:7" x14ac:dyDescent="0.35">
      <c r="A208" s="3">
        <v>41939</v>
      </c>
      <c r="B208" s="4">
        <v>3.0249418950654583E-2</v>
      </c>
      <c r="C208" s="4">
        <v>-1.6027884956819727E-2</v>
      </c>
      <c r="D208" s="4">
        <v>4.2836949802893542E-4</v>
      </c>
      <c r="E208" s="4">
        <v>3.5066206306266778E-4</v>
      </c>
      <c r="F208" s="4">
        <v>-3.9200581419522873E-3</v>
      </c>
      <c r="G208" s="4">
        <v>3.1059125781585095E-4</v>
      </c>
    </row>
    <row r="209" spans="1:7" x14ac:dyDescent="0.35">
      <c r="A209" s="3">
        <v>41940</v>
      </c>
      <c r="B209" s="4">
        <v>-2.248422239588832E-2</v>
      </c>
      <c r="C209" s="4">
        <v>-1.3457197368864526E-2</v>
      </c>
      <c r="D209" s="4">
        <v>4.1953529039173709E-4</v>
      </c>
      <c r="E209" s="4">
        <v>5.9022307250256034E-4</v>
      </c>
      <c r="F209" s="4">
        <v>3.0523103604509494E-3</v>
      </c>
      <c r="G209" s="4">
        <v>2.231088194647457E-3</v>
      </c>
    </row>
    <row r="210" spans="1:7" x14ac:dyDescent="0.35">
      <c r="A210" s="3">
        <v>41941</v>
      </c>
      <c r="B210" s="4">
        <v>2.2166074658792834E-2</v>
      </c>
      <c r="C210" s="4">
        <v>-1.7161479784485012E-2</v>
      </c>
      <c r="D210" s="4">
        <v>4.3650583726528858E-4</v>
      </c>
      <c r="E210" s="4">
        <v>2.8772194823667441E-4</v>
      </c>
      <c r="F210" s="4">
        <v>-1.9081891937725581E-3</v>
      </c>
      <c r="G210" s="4">
        <v>-7.4765906818730077E-4</v>
      </c>
    </row>
    <row r="211" spans="1:7" x14ac:dyDescent="0.35">
      <c r="A211" s="3">
        <v>41942</v>
      </c>
      <c r="B211" s="4">
        <v>4.212394048330026E-2</v>
      </c>
      <c r="C211" s="4">
        <v>2.6731761161924217E-2</v>
      </c>
      <c r="D211" s="4">
        <v>4.2326368862499741E-4</v>
      </c>
      <c r="E211" s="4">
        <v>4.506735913314408E-4</v>
      </c>
      <c r="F211" s="4">
        <v>5.8915463421258529E-3</v>
      </c>
      <c r="G211" s="4">
        <v>-7.5739831291354864E-4</v>
      </c>
    </row>
    <row r="212" spans="1:7" x14ac:dyDescent="0.35">
      <c r="A212" s="3">
        <v>41943</v>
      </c>
      <c r="B212" s="4">
        <v>-9.8345190962174645E-3</v>
      </c>
      <c r="C212" s="4">
        <v>1.2526471885870638E-2</v>
      </c>
      <c r="D212" s="4">
        <v>4.2586628998786402E-4</v>
      </c>
      <c r="E212" s="4">
        <v>5.9964211281071655E-4</v>
      </c>
      <c r="F212" s="4">
        <v>5.11399991298922E-3</v>
      </c>
      <c r="G212" s="4">
        <v>1.556508013094593E-3</v>
      </c>
    </row>
    <row r="213" spans="1:7" x14ac:dyDescent="0.35">
      <c r="A213" s="3">
        <v>41946</v>
      </c>
      <c r="B213" s="4">
        <v>7.0116805859568032E-3</v>
      </c>
      <c r="C213" s="4">
        <v>3.5870244794333761E-3</v>
      </c>
      <c r="D213" s="4">
        <v>4.2926535198617444E-4</v>
      </c>
      <c r="E213" s="4">
        <v>3.9363788050228443E-4</v>
      </c>
      <c r="F213" s="4">
        <v>2.0794129213259627E-3</v>
      </c>
      <c r="G213" s="4">
        <v>-2.2078070326263521E-3</v>
      </c>
    </row>
    <row r="214" spans="1:7" x14ac:dyDescent="0.35">
      <c r="A214" s="3">
        <v>41947</v>
      </c>
      <c r="B214" s="4">
        <v>-9.9773282636024252E-3</v>
      </c>
      <c r="C214" s="4">
        <v>1.9655078271922921E-3</v>
      </c>
      <c r="D214" s="4">
        <v>4.3273519566655594E-4</v>
      </c>
      <c r="E214" s="4">
        <v>3.6393958721991915E-4</v>
      </c>
      <c r="F214" s="4">
        <v>3.6135609938214852E-3</v>
      </c>
      <c r="G214" s="4">
        <v>1.6266067938146556E-3</v>
      </c>
    </row>
    <row r="215" spans="1:7" x14ac:dyDescent="0.35">
      <c r="A215" s="3">
        <v>41948</v>
      </c>
      <c r="B215" s="4">
        <v>-1.3502178872218051E-2</v>
      </c>
      <c r="C215" s="4">
        <v>1.4310342312635838E-2</v>
      </c>
      <c r="D215" s="4">
        <v>4.1630264009295814E-4</v>
      </c>
      <c r="E215" s="4">
        <v>4.9422675144228378E-4</v>
      </c>
      <c r="F215" s="4">
        <v>6.4208280806175022E-3</v>
      </c>
      <c r="G215" s="4">
        <v>2.6083790564279674E-3</v>
      </c>
    </row>
    <row r="216" spans="1:7" x14ac:dyDescent="0.35">
      <c r="A216" s="3">
        <v>41949</v>
      </c>
      <c r="B216" s="4">
        <v>1.0930856375307441E-2</v>
      </c>
      <c r="C216" s="4">
        <v>7.5121019383730392E-3</v>
      </c>
      <c r="D216" s="4">
        <v>4.3107994062463462E-4</v>
      </c>
      <c r="E216" s="4">
        <v>3.707202212910321E-4</v>
      </c>
      <c r="F216" s="4">
        <v>-2.0891810694432245E-3</v>
      </c>
      <c r="G216" s="4">
        <v>-2.6517317045082756E-4</v>
      </c>
    </row>
    <row r="217" spans="1:7" x14ac:dyDescent="0.35">
      <c r="A217" s="3">
        <v>41950</v>
      </c>
      <c r="B217" s="4">
        <v>-7.2091510202599851E-3</v>
      </c>
      <c r="C217" s="4">
        <v>-8.5341535633227661E-3</v>
      </c>
      <c r="D217" s="4">
        <v>4.2779039260421037E-4</v>
      </c>
      <c r="E217" s="4">
        <v>4.3283578742658868E-4</v>
      </c>
      <c r="F217" s="4">
        <v>1.4399069136306064E-3</v>
      </c>
      <c r="G217" s="4">
        <v>-7.7255488542504747E-4</v>
      </c>
    </row>
    <row r="218" spans="1:7" x14ac:dyDescent="0.35">
      <c r="A218" s="3">
        <v>41953</v>
      </c>
      <c r="B218" s="4">
        <v>2.3467613563665779E-4</v>
      </c>
      <c r="C218" s="4">
        <v>6.8192451194675208E-3</v>
      </c>
      <c r="D218" s="4">
        <v>4.2030078235777424E-4</v>
      </c>
      <c r="E218" s="4">
        <v>4.8862414368322504E-4</v>
      </c>
      <c r="F218" s="4">
        <v>2.4358159464827889E-3</v>
      </c>
      <c r="G218" s="4">
        <v>-4.5749038902798134E-4</v>
      </c>
    </row>
    <row r="219" spans="1:7" x14ac:dyDescent="0.35">
      <c r="A219" s="3">
        <v>41954</v>
      </c>
      <c r="B219" s="4">
        <v>4.8336684856951084E-3</v>
      </c>
      <c r="C219" s="4">
        <v>-2.1271145118076928E-3</v>
      </c>
      <c r="D219" s="4">
        <v>4.5411194212086059E-4</v>
      </c>
      <c r="E219" s="4">
        <v>3.8952343491072128E-4</v>
      </c>
      <c r="F219" s="4">
        <v>1.8480779696350425E-5</v>
      </c>
      <c r="G219" s="4">
        <v>1.3228039073931441E-3</v>
      </c>
    </row>
    <row r="220" spans="1:7" x14ac:dyDescent="0.35">
      <c r="A220" s="3">
        <v>41955</v>
      </c>
      <c r="B220" s="4">
        <v>-1.5317463272692455E-2</v>
      </c>
      <c r="C220" s="4">
        <v>1.3792070523114486E-2</v>
      </c>
      <c r="D220" s="4">
        <v>4.240561591033476E-4</v>
      </c>
      <c r="E220" s="4">
        <v>4.2472186242692445E-4</v>
      </c>
      <c r="F220" s="4">
        <v>4.822613497057926E-3</v>
      </c>
      <c r="G220" s="4">
        <v>2.2473151601387631E-3</v>
      </c>
    </row>
    <row r="221" spans="1:7" x14ac:dyDescent="0.35">
      <c r="A221" s="3">
        <v>41956</v>
      </c>
      <c r="B221" s="4">
        <v>1.6690617233976468E-3</v>
      </c>
      <c r="C221" s="4">
        <v>2.1559438699110256E-3</v>
      </c>
      <c r="D221" s="4">
        <v>4.2047190666716361E-4</v>
      </c>
      <c r="E221" s="4">
        <v>4.6144656127422579E-4</v>
      </c>
      <c r="F221" s="4">
        <v>-3.2114312706109649E-3</v>
      </c>
      <c r="G221" s="4">
        <v>2.0309440724004535E-3</v>
      </c>
    </row>
    <row r="222" spans="1:7" x14ac:dyDescent="0.35">
      <c r="A222" s="3">
        <v>41957</v>
      </c>
      <c r="B222" s="4">
        <v>-1.2270209373697161E-2</v>
      </c>
      <c r="C222" s="4">
        <v>1.1991647837403807E-3</v>
      </c>
      <c r="D222" s="4">
        <v>4.1610497306177052E-4</v>
      </c>
      <c r="E222" s="4">
        <v>4.8834246041495888E-4</v>
      </c>
      <c r="F222" s="4">
        <v>9.5061610409441499E-4</v>
      </c>
      <c r="G222" s="4">
        <v>3.048798481444237E-4</v>
      </c>
    </row>
    <row r="223" spans="1:7" x14ac:dyDescent="0.35">
      <c r="A223" s="3">
        <v>41960</v>
      </c>
      <c r="B223" s="4">
        <v>1.2436003462276801E-2</v>
      </c>
      <c r="C223" s="4">
        <v>-4.7787895811408632E-3</v>
      </c>
      <c r="D223" s="4">
        <v>4.2118586402173364E-4</v>
      </c>
      <c r="E223" s="4">
        <v>5.3537941629300256E-4</v>
      </c>
      <c r="F223" s="4">
        <v>-1.5970267587172016E-3</v>
      </c>
      <c r="G223" s="4">
        <v>1.3617852204272918E-3</v>
      </c>
    </row>
    <row r="224" spans="1:7" x14ac:dyDescent="0.35">
      <c r="A224" s="3">
        <v>41961</v>
      </c>
      <c r="B224" s="4">
        <v>2.2488298116124295E-2</v>
      </c>
      <c r="C224" s="4">
        <v>-4.450500986516337E-3</v>
      </c>
      <c r="D224" s="4">
        <v>4.6680976773205707E-4</v>
      </c>
      <c r="E224" s="4">
        <v>4.4321309266459608E-4</v>
      </c>
      <c r="F224" s="4">
        <v>-1.4107910792704459E-3</v>
      </c>
      <c r="G224" s="4">
        <v>1.1249497432490596E-3</v>
      </c>
    </row>
    <row r="225" spans="1:7" x14ac:dyDescent="0.35">
      <c r="A225" s="3">
        <v>41962</v>
      </c>
      <c r="B225" s="4">
        <v>-8.1967790901860127E-5</v>
      </c>
      <c r="C225" s="4">
        <v>3.7677291360593834E-4</v>
      </c>
      <c r="D225" s="4">
        <v>4.2080211960726643E-4</v>
      </c>
      <c r="E225" s="4">
        <v>4.7031606272973647E-4</v>
      </c>
      <c r="F225" s="4">
        <v>2.5780496390437335E-4</v>
      </c>
      <c r="G225" s="4">
        <v>2.9731695171975048E-4</v>
      </c>
    </row>
    <row r="226" spans="1:7" x14ac:dyDescent="0.35">
      <c r="A226" s="3">
        <v>41963</v>
      </c>
      <c r="B226" s="4">
        <v>4.3415522382406868E-2</v>
      </c>
      <c r="C226" s="4">
        <v>-2.5383494414141672E-2</v>
      </c>
      <c r="D226" s="4">
        <v>4.2478316561034291E-4</v>
      </c>
      <c r="E226" s="4">
        <v>4.6981078510111018E-4</v>
      </c>
      <c r="F226" s="4">
        <v>-6.4476934973548561E-3</v>
      </c>
      <c r="G226" s="4">
        <v>3.7566048263348861E-4</v>
      </c>
    </row>
    <row r="227" spans="1:7" x14ac:dyDescent="0.35">
      <c r="A227" s="3">
        <v>41964</v>
      </c>
      <c r="B227" s="4">
        <v>-8.4968870507087235E-3</v>
      </c>
      <c r="C227" s="4">
        <v>1.3522155210964781E-2</v>
      </c>
      <c r="D227" s="4">
        <v>4.0601958297559193E-4</v>
      </c>
      <c r="E227" s="4">
        <v>4.6469145114036436E-4</v>
      </c>
      <c r="F227" s="4">
        <v>6.0352390355555841E-4</v>
      </c>
      <c r="G227" s="4">
        <v>6.7345263575036007E-4</v>
      </c>
    </row>
    <row r="228" spans="1:7" x14ac:dyDescent="0.35">
      <c r="A228" s="3">
        <v>41967</v>
      </c>
      <c r="B228" s="4">
        <v>2.78971749561574E-3</v>
      </c>
      <c r="C228" s="4">
        <v>-4.6740322618703534E-3</v>
      </c>
      <c r="D228" s="4">
        <v>4.1271585931945687E-4</v>
      </c>
      <c r="E228" s="4">
        <v>7.6725760569673618E-4</v>
      </c>
      <c r="F228" s="4">
        <v>-1.5927794174326326E-3</v>
      </c>
      <c r="G228" s="4">
        <v>2.5777009886742697E-3</v>
      </c>
    </row>
    <row r="229" spans="1:7" x14ac:dyDescent="0.35">
      <c r="A229" s="3">
        <v>41968</v>
      </c>
      <c r="B229" s="4">
        <v>-8.328344644819019E-3</v>
      </c>
      <c r="C229" s="4">
        <v>-1.4853725747897339E-2</v>
      </c>
      <c r="D229" s="4">
        <v>3.9312372897803982E-4</v>
      </c>
      <c r="E229" s="4">
        <v>4.8641292106443856E-4</v>
      </c>
      <c r="F229" s="4">
        <v>-3.0373316385823301E-4</v>
      </c>
      <c r="G229" s="4">
        <v>5.8667604493867209E-4</v>
      </c>
    </row>
    <row r="230" spans="1:7" x14ac:dyDescent="0.35">
      <c r="A230" s="3">
        <v>41969</v>
      </c>
      <c r="B230" s="4">
        <v>-1.6715945882550542E-4</v>
      </c>
      <c r="C230" s="4">
        <v>5.8344920599637806E-3</v>
      </c>
      <c r="D230" s="4">
        <v>4.1779205367387107E-4</v>
      </c>
      <c r="E230" s="4">
        <v>4.8905255574971385E-4</v>
      </c>
      <c r="F230" s="4">
        <v>-3.414756628733473E-4</v>
      </c>
      <c r="G230" s="4">
        <v>1.426027066049107E-3</v>
      </c>
    </row>
    <row r="231" spans="1:7" x14ac:dyDescent="0.35">
      <c r="A231" s="3">
        <v>41970</v>
      </c>
      <c r="B231" s="4">
        <v>2.8442434332440758E-3</v>
      </c>
      <c r="C231" s="4">
        <v>2.4674316582989242E-2</v>
      </c>
      <c r="D231" s="4">
        <v>4.2961162078913873E-4</v>
      </c>
      <c r="E231" s="4">
        <v>4.4595911326017479E-4</v>
      </c>
      <c r="F231" s="4">
        <v>9.9943636612973563E-3</v>
      </c>
      <c r="G231" s="4">
        <v>1.7073891958754306E-3</v>
      </c>
    </row>
    <row r="232" spans="1:7" x14ac:dyDescent="0.35">
      <c r="A232" s="3">
        <v>41971</v>
      </c>
      <c r="B232" s="4">
        <v>-4.0118559262188325E-2</v>
      </c>
      <c r="C232" s="4">
        <v>-7.2770408349197568E-3</v>
      </c>
      <c r="D232" s="4">
        <v>4.2190945830533622E-4</v>
      </c>
      <c r="E232" s="4">
        <v>4.8503596079108036E-4</v>
      </c>
      <c r="F232" s="4">
        <v>-4.4151425467174876E-3</v>
      </c>
      <c r="G232" s="4">
        <v>2.7543761048294257E-3</v>
      </c>
    </row>
    <row r="233" spans="1:7" x14ac:dyDescent="0.35">
      <c r="A233" s="3">
        <v>41974</v>
      </c>
      <c r="B233" s="4">
        <v>-9.0219979808654482E-3</v>
      </c>
      <c r="C233" s="4">
        <v>7.7468516624423778E-3</v>
      </c>
      <c r="D233" s="4">
        <v>4.2953207107099267E-4</v>
      </c>
      <c r="E233" s="4">
        <v>4.0735718660167564E-4</v>
      </c>
      <c r="F233" s="4">
        <v>5.1948002795738635E-3</v>
      </c>
      <c r="G233" s="4">
        <v>4.6818079766075549E-4</v>
      </c>
    </row>
    <row r="234" spans="1:7" x14ac:dyDescent="0.35">
      <c r="A234" s="3">
        <v>41975</v>
      </c>
      <c r="B234" s="4">
        <v>1.4544023052685207E-2</v>
      </c>
      <c r="C234" s="4">
        <v>-8.1059121885820318E-3</v>
      </c>
      <c r="D234" s="4">
        <v>4.2718533616814547E-4</v>
      </c>
      <c r="E234" s="4">
        <v>3.7826131172646882E-4</v>
      </c>
      <c r="F234" s="4">
        <v>-7.4926858350976566E-4</v>
      </c>
      <c r="G234" s="4">
        <v>-6.7007419057230067E-4</v>
      </c>
    </row>
    <row r="235" spans="1:7" x14ac:dyDescent="0.35">
      <c r="A235" s="3">
        <v>41976</v>
      </c>
      <c r="B235" s="4">
        <v>-1.6454193285280527E-2</v>
      </c>
      <c r="C235" s="4">
        <v>1.2595247613272909E-2</v>
      </c>
      <c r="D235" s="4">
        <v>4.3425253996631774E-4</v>
      </c>
      <c r="E235" s="4">
        <v>5.8418925922354425E-4</v>
      </c>
      <c r="F235" s="4">
        <v>6.6518051864994376E-4</v>
      </c>
      <c r="G235" s="4">
        <v>9.2128310617667353E-4</v>
      </c>
    </row>
    <row r="236" spans="1:7" x14ac:dyDescent="0.35">
      <c r="A236" s="3">
        <v>41977</v>
      </c>
      <c r="B236" s="4">
        <v>8.0488744052611416E-3</v>
      </c>
      <c r="C236" s="4">
        <v>1.1075554205057792E-3</v>
      </c>
      <c r="D236" s="4">
        <v>4.244328468532288E-4</v>
      </c>
      <c r="E236" s="4">
        <v>3.7639381306653341E-4</v>
      </c>
      <c r="F236" s="4">
        <v>5.7168536653089408E-3</v>
      </c>
      <c r="G236" s="4">
        <v>7.6065461156193948E-4</v>
      </c>
    </row>
    <row r="237" spans="1:7" x14ac:dyDescent="0.35">
      <c r="A237" s="3">
        <v>41978</v>
      </c>
      <c r="B237" s="4">
        <v>-2.7646088808689906E-2</v>
      </c>
      <c r="C237" s="4">
        <v>8.8463680776507125E-3</v>
      </c>
      <c r="D237" s="4">
        <v>4.4260743618917964E-4</v>
      </c>
      <c r="E237" s="4">
        <v>5.1845239109105101E-4</v>
      </c>
      <c r="F237" s="4">
        <v>6.4120647261578512E-4</v>
      </c>
      <c r="G237" s="4">
        <v>1.4292441586363225E-3</v>
      </c>
    </row>
    <row r="238" spans="1:7" x14ac:dyDescent="0.35">
      <c r="A238" s="3">
        <v>41981</v>
      </c>
      <c r="B238" s="4">
        <v>-5.1397831343592548E-3</v>
      </c>
      <c r="C238" s="4">
        <v>-6.517191278544554E-3</v>
      </c>
      <c r="D238" s="4">
        <v>4.494578627558532E-4</v>
      </c>
      <c r="E238" s="4">
        <v>4.2389635885986543E-4</v>
      </c>
      <c r="F238" s="4">
        <v>-3.4871847010553569E-3</v>
      </c>
      <c r="G238" s="4">
        <v>2.9809367258004649E-4</v>
      </c>
    </row>
    <row r="239" spans="1:7" x14ac:dyDescent="0.35">
      <c r="A239" s="3">
        <v>41982</v>
      </c>
      <c r="B239" s="4">
        <v>-9.1075558071475049E-3</v>
      </c>
      <c r="C239" s="4">
        <v>5.5924122792592179E-3</v>
      </c>
      <c r="D239" s="4">
        <v>4.4290962422310898E-4</v>
      </c>
      <c r="E239" s="4">
        <v>5.0255946268995544E-4</v>
      </c>
      <c r="F239" s="4">
        <v>8.6864830865418519E-4</v>
      </c>
      <c r="G239" s="4">
        <v>4.5323546946240967E-4</v>
      </c>
    </row>
    <row r="240" spans="1:7" x14ac:dyDescent="0.35">
      <c r="A240" s="3">
        <v>41983</v>
      </c>
      <c r="B240" s="4">
        <v>5.2749786507146901E-3</v>
      </c>
      <c r="C240" s="4">
        <v>1.2124092431946565E-2</v>
      </c>
      <c r="D240" s="4">
        <v>4.3467992070578276E-4</v>
      </c>
      <c r="E240" s="4">
        <v>4.778133931477857E-4</v>
      </c>
      <c r="F240" s="4">
        <v>-5.8116196948510002E-4</v>
      </c>
      <c r="G240" s="4">
        <v>4.6585879964755605E-4</v>
      </c>
    </row>
    <row r="241" spans="1:7" x14ac:dyDescent="0.35">
      <c r="A241" s="3">
        <v>41984</v>
      </c>
      <c r="B241" s="4">
        <v>-3.3527832637548882E-2</v>
      </c>
      <c r="C241" s="4">
        <v>8.0535559764958187E-3</v>
      </c>
      <c r="D241" s="4">
        <v>4.3111265071549276E-4</v>
      </c>
      <c r="E241" s="4">
        <v>3.6506067437680478E-4</v>
      </c>
      <c r="F241" s="4">
        <v>-1.1431958264551678E-3</v>
      </c>
      <c r="G241" s="4">
        <v>4.1468748329798188E-4</v>
      </c>
    </row>
    <row r="242" spans="1:7" x14ac:dyDescent="0.35">
      <c r="A242" s="3">
        <v>41985</v>
      </c>
      <c r="B242" s="4">
        <v>-1.6667403618120136E-2</v>
      </c>
      <c r="C242" s="4">
        <v>8.4835664095928021E-3</v>
      </c>
      <c r="D242" s="4">
        <v>4.5231728768446722E-4</v>
      </c>
      <c r="E242" s="4">
        <v>4.415236226154029E-4</v>
      </c>
      <c r="F242" s="4">
        <v>-2.9811276670999032E-4</v>
      </c>
      <c r="G242" s="4">
        <v>1.2101764070360232E-3</v>
      </c>
    </row>
    <row r="243" spans="1:7" x14ac:dyDescent="0.35">
      <c r="A243" s="3">
        <v>41988</v>
      </c>
      <c r="B243" s="4">
        <v>3.2782534159769838E-3</v>
      </c>
      <c r="C243" s="4">
        <v>1.838115134025653E-2</v>
      </c>
      <c r="D243" s="4">
        <v>4.5095698730079903E-4</v>
      </c>
      <c r="E243" s="4">
        <v>4.7160493080999899E-4</v>
      </c>
      <c r="F243" s="4">
        <v>-9.1411999463871796E-3</v>
      </c>
      <c r="G243" s="4">
        <v>2.9741314668108032E-4</v>
      </c>
    </row>
    <row r="244" spans="1:7" x14ac:dyDescent="0.35">
      <c r="A244" s="3">
        <v>41989</v>
      </c>
      <c r="B244" s="4">
        <v>3.1894718879424078E-2</v>
      </c>
      <c r="C244" s="4">
        <v>-1.3522089460936138E-2</v>
      </c>
      <c r="D244" s="4">
        <v>4.2893032838309253E-4</v>
      </c>
      <c r="E244" s="4">
        <v>4.3446801747171193E-4</v>
      </c>
      <c r="F244" s="4">
        <v>-3.3739280480294953E-3</v>
      </c>
      <c r="G244" s="4">
        <v>-1.1581828561713081E-4</v>
      </c>
    </row>
    <row r="245" spans="1:7" x14ac:dyDescent="0.35">
      <c r="A245" s="3">
        <v>41990</v>
      </c>
      <c r="B245" s="4">
        <v>-1.1270089057506816E-3</v>
      </c>
      <c r="C245" s="4">
        <v>-1.739962224727587E-2</v>
      </c>
      <c r="D245" s="4">
        <v>4.403759340312341E-4</v>
      </c>
      <c r="E245" s="4">
        <v>4.7017760769141326E-4</v>
      </c>
      <c r="F245" s="4">
        <v>-2.5196675306864424E-3</v>
      </c>
      <c r="G245" s="4">
        <v>2.2356949342168253E-3</v>
      </c>
    </row>
    <row r="246" spans="1:7" x14ac:dyDescent="0.35">
      <c r="A246" s="3">
        <v>41991</v>
      </c>
      <c r="B246" s="4">
        <v>1.7324790578799432E-2</v>
      </c>
      <c r="C246" s="4">
        <v>2.1005774626141616E-3</v>
      </c>
      <c r="D246" s="4">
        <v>4.4040220314878198E-4</v>
      </c>
      <c r="E246" s="4">
        <v>5.3164804127359133E-4</v>
      </c>
      <c r="F246" s="4">
        <v>-7.4068259523552005E-4</v>
      </c>
      <c r="G246" s="4">
        <v>8.0178883876236284E-4</v>
      </c>
    </row>
    <row r="247" spans="1:7" x14ac:dyDescent="0.35">
      <c r="A247" s="3">
        <v>41992</v>
      </c>
      <c r="B247" s="4">
        <v>7.8003383561184858E-3</v>
      </c>
      <c r="C247" s="4">
        <v>3.9672213471719786E-4</v>
      </c>
      <c r="D247" s="4">
        <v>4.3915733437716042E-4</v>
      </c>
      <c r="E247" s="4">
        <v>4.8030961231049218E-4</v>
      </c>
      <c r="F247" s="4">
        <v>2.768441140599931E-3</v>
      </c>
      <c r="G247" s="4">
        <v>-9.1611140325775775E-4</v>
      </c>
    </row>
    <row r="248" spans="1:7" x14ac:dyDescent="0.35">
      <c r="A248" s="3">
        <v>41995</v>
      </c>
      <c r="B248" s="4">
        <v>1.6394194771010007E-2</v>
      </c>
      <c r="C248" s="4">
        <v>1.7353816131899569E-2</v>
      </c>
      <c r="D248" s="4">
        <v>4.3580023564238068E-4</v>
      </c>
      <c r="E248" s="4">
        <v>4.4770764388979423E-4</v>
      </c>
      <c r="F248" s="4">
        <v>5.7531947418498763E-3</v>
      </c>
      <c r="G248" s="4">
        <v>-1.3566666373932001E-4</v>
      </c>
    </row>
    <row r="249" spans="1:7" x14ac:dyDescent="0.35">
      <c r="A249" s="3">
        <v>41996</v>
      </c>
      <c r="B249" s="4">
        <v>-7.8649590549151327E-5</v>
      </c>
      <c r="C249" s="4">
        <v>3.8496032389034873E-4</v>
      </c>
      <c r="D249" s="4">
        <v>4.3681608437529107E-4</v>
      </c>
      <c r="E249" s="4">
        <v>5.1645339414974067E-4</v>
      </c>
      <c r="F249" s="4">
        <v>2.6670505652548471E-4</v>
      </c>
      <c r="G249" s="4">
        <v>3.2268394025547487E-4</v>
      </c>
    </row>
    <row r="250" spans="1:7" x14ac:dyDescent="0.35">
      <c r="A250" s="3">
        <v>41997</v>
      </c>
      <c r="B250" s="4">
        <v>-1.1329779446568322E-2</v>
      </c>
      <c r="C250" s="4">
        <v>-1.0609559728488094E-2</v>
      </c>
      <c r="D250" s="4">
        <v>4.4941622383265489E-4</v>
      </c>
      <c r="E250" s="4">
        <v>4.5661207001135296E-4</v>
      </c>
      <c r="F250" s="4">
        <v>-2.1296774349357506E-3</v>
      </c>
      <c r="G250" s="4">
        <v>1.4292692234363358E-3</v>
      </c>
    </row>
    <row r="251" spans="1:7" x14ac:dyDescent="0.35">
      <c r="A251" s="3">
        <v>41999</v>
      </c>
      <c r="B251" s="4">
        <v>1.0344836732872009E-2</v>
      </c>
      <c r="C251" s="4">
        <v>8.4812719132187908E-3</v>
      </c>
      <c r="D251" s="4">
        <v>4.3433232901901597E-4</v>
      </c>
      <c r="E251" s="4">
        <v>4.3841301530389565E-4</v>
      </c>
      <c r="F251" s="4">
        <v>1.2202379356045512E-3</v>
      </c>
      <c r="G251" s="4">
        <v>1.1976766865382515E-3</v>
      </c>
    </row>
    <row r="252" spans="1:7" x14ac:dyDescent="0.35">
      <c r="A252" s="3">
        <v>42002</v>
      </c>
      <c r="B252" s="4">
        <v>-6.7282925863278997E-3</v>
      </c>
      <c r="C252" s="4">
        <v>-2.0197414007954606E-2</v>
      </c>
      <c r="D252" s="4">
        <v>4.3517942372184315E-4</v>
      </c>
      <c r="E252" s="4">
        <v>3.9813166742086459E-4</v>
      </c>
      <c r="F252" s="4">
        <v>-3.6623934279051973E-3</v>
      </c>
      <c r="G252" s="4">
        <v>2.6796188134610155E-3</v>
      </c>
    </row>
    <row r="253" spans="1:7" x14ac:dyDescent="0.35">
      <c r="A253" s="3">
        <v>42003</v>
      </c>
      <c r="B253" s="4">
        <v>-7.8733679877540652E-5</v>
      </c>
      <c r="C253" s="4">
        <v>4.0195279694144048E-4</v>
      </c>
      <c r="D253" s="4">
        <v>4.3718205841192237E-4</v>
      </c>
      <c r="E253" s="4">
        <v>5.5607103212640396E-4</v>
      </c>
      <c r="F253" s="4">
        <v>2.6798949129736016E-4</v>
      </c>
      <c r="G253" s="4">
        <v>2.9979803575619357E-4</v>
      </c>
    </row>
    <row r="254" spans="1:7" x14ac:dyDescent="0.35">
      <c r="A254" s="3">
        <v>42004</v>
      </c>
      <c r="B254" s="4">
        <v>-2.8522177001975124E-2</v>
      </c>
      <c r="C254" s="4">
        <v>1.7432890770944454E-2</v>
      </c>
      <c r="D254" s="4">
        <v>4.3898095336269982E-4</v>
      </c>
      <c r="E254" s="4">
        <v>4.371032936367758E-4</v>
      </c>
      <c r="F254" s="4">
        <v>5.6060810170777131E-3</v>
      </c>
      <c r="G254" s="4">
        <v>-1.2596371559678854E-3</v>
      </c>
    </row>
    <row r="255" spans="1:7" x14ac:dyDescent="0.35">
      <c r="A255" s="3">
        <v>42006</v>
      </c>
      <c r="B255" s="4">
        <v>-2.2588042277599807E-2</v>
      </c>
      <c r="C255" s="4">
        <v>1.1675428841151581E-2</v>
      </c>
      <c r="D255" s="4">
        <v>4.3419926320509283E-4</v>
      </c>
      <c r="E255" s="4">
        <v>4.0178543633540009E-4</v>
      </c>
      <c r="F255" s="4">
        <v>4.5681921831026706E-3</v>
      </c>
      <c r="G255" s="4">
        <v>-1.1857545914765177E-3</v>
      </c>
    </row>
    <row r="256" spans="1:7" x14ac:dyDescent="0.35">
      <c r="A256" s="3">
        <v>42009</v>
      </c>
      <c r="B256" s="4">
        <v>1.5781600865621526E-2</v>
      </c>
      <c r="C256" s="4">
        <v>-1.0400584639878918E-2</v>
      </c>
      <c r="D256" s="4">
        <v>4.3089448700439625E-4</v>
      </c>
      <c r="E256" s="4">
        <v>4.4265118862329977E-4</v>
      </c>
      <c r="F256" s="4">
        <v>-3.2944240276993053E-3</v>
      </c>
      <c r="G256" s="4">
        <v>1.5204954510061874E-4</v>
      </c>
    </row>
    <row r="257" spans="1:7" x14ac:dyDescent="0.35">
      <c r="A257" s="3">
        <v>42010</v>
      </c>
      <c r="B257" s="4">
        <v>3.071829540449067E-2</v>
      </c>
      <c r="C257" s="4">
        <v>-6.8803718477139508E-4</v>
      </c>
      <c r="D257" s="4">
        <v>4.3116389103547981E-4</v>
      </c>
      <c r="E257" s="4">
        <v>5.7115775222582599E-4</v>
      </c>
      <c r="F257" s="4">
        <v>1.6302600219142427E-4</v>
      </c>
      <c r="G257" s="4">
        <v>-1.0167898034770806E-3</v>
      </c>
    </row>
    <row r="258" spans="1:7" x14ac:dyDescent="0.35">
      <c r="A258" s="3">
        <v>42011</v>
      </c>
      <c r="B258" s="4">
        <v>2.7743688507044784E-3</v>
      </c>
      <c r="C258" s="4">
        <v>-8.5192856352559465E-3</v>
      </c>
      <c r="D258" s="4">
        <v>4.3937496196044812E-4</v>
      </c>
      <c r="E258" s="4">
        <v>4.336924668946196E-4</v>
      </c>
      <c r="F258" s="4">
        <v>-1.1995169644714032E-3</v>
      </c>
      <c r="G258" s="4">
        <v>1.5655596684149842E-5</v>
      </c>
    </row>
    <row r="259" spans="1:7" x14ac:dyDescent="0.35">
      <c r="A259" s="3">
        <v>42012</v>
      </c>
      <c r="B259" s="4">
        <v>-2.530463882575662E-2</v>
      </c>
      <c r="C259" s="4">
        <v>-1.2090431143849112E-2</v>
      </c>
      <c r="D259" s="4">
        <v>4.4149890188460716E-4</v>
      </c>
      <c r="E259" s="4">
        <v>4.1801164099775079E-4</v>
      </c>
      <c r="F259" s="4">
        <v>-1.840312469246097E-3</v>
      </c>
      <c r="G259" s="4">
        <v>9.0258649090069198E-5</v>
      </c>
    </row>
    <row r="260" spans="1:7" x14ac:dyDescent="0.35">
      <c r="A260" s="3">
        <v>42013</v>
      </c>
      <c r="B260" s="4">
        <v>-1.7053132030257712E-2</v>
      </c>
      <c r="C260" s="4">
        <v>9.5983660115233072E-3</v>
      </c>
      <c r="D260" s="4">
        <v>4.4854352753276316E-4</v>
      </c>
      <c r="E260" s="4">
        <v>5.1822026603920435E-4</v>
      </c>
      <c r="F260" s="4">
        <v>1.245286347627772E-3</v>
      </c>
      <c r="G260" s="4">
        <v>2.5529204679641815E-4</v>
      </c>
    </row>
    <row r="261" spans="1:7" x14ac:dyDescent="0.35">
      <c r="A261" s="3">
        <v>42016</v>
      </c>
      <c r="B261" s="4">
        <v>-1.9986873755228896E-4</v>
      </c>
      <c r="C261" s="4">
        <v>-1.1716011562722284E-2</v>
      </c>
      <c r="D261" s="4">
        <v>4.4362042399326285E-4</v>
      </c>
      <c r="E261" s="4">
        <v>3.9447818472737595E-4</v>
      </c>
      <c r="F261" s="4">
        <v>-2.0620271056792649E-4</v>
      </c>
      <c r="G261" s="4">
        <v>5.0616544786041828E-4</v>
      </c>
    </row>
    <row r="262" spans="1:7" x14ac:dyDescent="0.35">
      <c r="A262" s="3">
        <v>42017</v>
      </c>
      <c r="B262" s="4">
        <v>-4.0797669278851423E-3</v>
      </c>
      <c r="C262" s="4">
        <v>-6.0783573198008867E-3</v>
      </c>
      <c r="D262" s="4">
        <v>4.3293451962811424E-4</v>
      </c>
      <c r="E262" s="4">
        <v>5.6257441774310024E-4</v>
      </c>
      <c r="F262" s="4">
        <v>-2.5151222048698241E-3</v>
      </c>
      <c r="G262" s="4">
        <v>1.4303216307076649E-3</v>
      </c>
    </row>
    <row r="263" spans="1:7" x14ac:dyDescent="0.35">
      <c r="A263" s="3">
        <v>42018</v>
      </c>
      <c r="B263" s="4">
        <v>8.4172531325676925E-3</v>
      </c>
      <c r="C263" s="4">
        <v>6.8453170362814397E-3</v>
      </c>
      <c r="D263" s="4">
        <v>4.3406401874146461E-4</v>
      </c>
      <c r="E263" s="4">
        <v>4.4426672599628958E-4</v>
      </c>
      <c r="F263" s="4">
        <v>3.114557315341715E-3</v>
      </c>
      <c r="G263" s="4">
        <v>-2.2600576933485828E-3</v>
      </c>
    </row>
    <row r="264" spans="1:7" x14ac:dyDescent="0.35">
      <c r="A264" s="3">
        <v>42019</v>
      </c>
      <c r="B264" s="4">
        <v>1.9857730562034659E-2</v>
      </c>
      <c r="C264" s="4">
        <v>-5.2275156357862729E-3</v>
      </c>
      <c r="D264" s="4">
        <v>4.308336999037099E-4</v>
      </c>
      <c r="E264" s="4">
        <v>5.1679105373403367E-4</v>
      </c>
      <c r="F264" s="4">
        <v>-1.7178245087637878E-3</v>
      </c>
      <c r="G264" s="4">
        <v>1.4173217540265348E-3</v>
      </c>
    </row>
    <row r="265" spans="1:7" x14ac:dyDescent="0.35">
      <c r="A265" s="3">
        <v>42020</v>
      </c>
      <c r="B265" s="4">
        <v>-3.0794526449703263E-2</v>
      </c>
      <c r="C265" s="4">
        <v>8.5307257799420722E-3</v>
      </c>
      <c r="D265" s="4">
        <v>4.4464726881288108E-4</v>
      </c>
      <c r="E265" s="4">
        <v>5.2161666973082887E-4</v>
      </c>
      <c r="F265" s="4">
        <v>1.9552068139563339E-3</v>
      </c>
      <c r="G265" s="4">
        <v>-8.9357873369944052E-5</v>
      </c>
    </row>
    <row r="266" spans="1:7" x14ac:dyDescent="0.35">
      <c r="A266" s="3">
        <v>42023</v>
      </c>
      <c r="B266" s="4">
        <v>1.7218105457297295E-3</v>
      </c>
      <c r="C266" s="4">
        <v>-1.0243900067528955E-2</v>
      </c>
      <c r="D266" s="4">
        <v>4.4617874898911225E-4</v>
      </c>
      <c r="E266" s="4">
        <v>4.4739585457120867E-4</v>
      </c>
      <c r="F266" s="4">
        <v>-1.7909370374180611E-4</v>
      </c>
      <c r="G266" s="4">
        <v>2.4829494279952069E-3</v>
      </c>
    </row>
    <row r="267" spans="1:7" x14ac:dyDescent="0.35">
      <c r="A267" s="3">
        <v>42024</v>
      </c>
      <c r="B267" s="4">
        <v>2.4377959329775489E-2</v>
      </c>
      <c r="C267" s="4">
        <v>-2.2310006855165154E-3</v>
      </c>
      <c r="D267" s="4">
        <v>4.3259945222495766E-4</v>
      </c>
      <c r="E267" s="4">
        <v>5.5568305363484782E-4</v>
      </c>
      <c r="F267" s="4">
        <v>1.63807531039728E-4</v>
      </c>
      <c r="G267" s="4">
        <v>-5.37776097936149E-4</v>
      </c>
    </row>
    <row r="268" spans="1:7" x14ac:dyDescent="0.35">
      <c r="A268" s="3">
        <v>42025</v>
      </c>
      <c r="B268" s="4">
        <v>6.3970805404054421E-3</v>
      </c>
      <c r="C268" s="4">
        <v>-1.5256182970286747E-2</v>
      </c>
      <c r="D268" s="4">
        <v>4.3437897536557912E-4</v>
      </c>
      <c r="E268" s="4">
        <v>4.9982749670540727E-4</v>
      </c>
      <c r="F268" s="4">
        <v>2.4360505766281015E-3</v>
      </c>
      <c r="G268" s="4">
        <v>-3.6270572287744329E-4</v>
      </c>
    </row>
    <row r="269" spans="1:7" x14ac:dyDescent="0.35">
      <c r="A269" s="3">
        <v>42026</v>
      </c>
      <c r="B269" s="4">
        <v>-7.9748424941601392E-3</v>
      </c>
      <c r="C269" s="4">
        <v>5.3711056462171225E-3</v>
      </c>
      <c r="D269" s="4">
        <v>4.6186695008665346E-4</v>
      </c>
      <c r="E269" s="4">
        <v>4.8187035959901259E-4</v>
      </c>
      <c r="F269" s="4">
        <v>5.1649215990621222E-3</v>
      </c>
      <c r="G269" s="4">
        <v>3.6972632428884378E-3</v>
      </c>
    </row>
    <row r="270" spans="1:7" x14ac:dyDescent="0.35">
      <c r="A270" s="3">
        <v>42027</v>
      </c>
      <c r="B270" s="4">
        <v>-4.4779080596775156E-3</v>
      </c>
      <c r="C270" s="4">
        <v>2.4515614535596253E-3</v>
      </c>
      <c r="D270" s="4">
        <v>4.6270780965551594E-4</v>
      </c>
      <c r="E270" s="4">
        <v>5.6206380318801763E-4</v>
      </c>
      <c r="F270" s="4">
        <v>1.0332131389214627E-3</v>
      </c>
      <c r="G270" s="4">
        <v>-2.6806712123407239E-3</v>
      </c>
    </row>
    <row r="271" spans="1:7" x14ac:dyDescent="0.35">
      <c r="A271" s="3">
        <v>42030</v>
      </c>
      <c r="B271" s="4">
        <v>-2.1896027409282759E-3</v>
      </c>
      <c r="C271" s="4">
        <v>-5.5824461149078797E-3</v>
      </c>
      <c r="D271" s="4">
        <v>4.5933337562442667E-4</v>
      </c>
      <c r="E271" s="4">
        <v>4.786428736316406E-4</v>
      </c>
      <c r="F271" s="4">
        <v>-2.5147187842817775E-3</v>
      </c>
      <c r="G271" s="4">
        <v>1.8629912981105168E-3</v>
      </c>
    </row>
    <row r="272" spans="1:7" x14ac:dyDescent="0.35">
      <c r="A272" s="3">
        <v>42031</v>
      </c>
      <c r="B272" s="4">
        <v>-1.1721021898936423E-2</v>
      </c>
      <c r="C272" s="4">
        <v>8.6330020203106983E-4</v>
      </c>
      <c r="D272" s="4">
        <v>4.4560040125518618E-4</v>
      </c>
      <c r="E272" s="4">
        <v>5.2652699119759561E-4</v>
      </c>
      <c r="F272" s="4">
        <v>3.2443592294975065E-3</v>
      </c>
      <c r="G272" s="4">
        <v>6.8128958414348517E-4</v>
      </c>
    </row>
    <row r="273" spans="1:7" x14ac:dyDescent="0.35">
      <c r="A273" s="3">
        <v>42032</v>
      </c>
      <c r="B273" s="4">
        <v>5.303488659445188E-3</v>
      </c>
      <c r="C273" s="4">
        <v>1.4226378398393358E-2</v>
      </c>
      <c r="D273" s="4">
        <v>4.7574070974132354E-4</v>
      </c>
      <c r="E273" s="4">
        <v>4.7525697273287371E-4</v>
      </c>
      <c r="F273" s="4">
        <v>3.7469214176353294E-3</v>
      </c>
      <c r="G273" s="4">
        <v>5.1686690192287443E-4</v>
      </c>
    </row>
    <row r="274" spans="1:7" x14ac:dyDescent="0.35">
      <c r="A274" s="3">
        <v>42033</v>
      </c>
      <c r="B274" s="4">
        <v>-1.8628009633140152E-2</v>
      </c>
      <c r="C274" s="4">
        <v>2.6358858408838115E-2</v>
      </c>
      <c r="D274" s="4">
        <v>4.5711265844827764E-4</v>
      </c>
      <c r="E274" s="4">
        <v>4.98448117458139E-4</v>
      </c>
      <c r="F274" s="4">
        <v>6.6116121399393268E-3</v>
      </c>
      <c r="G274" s="4">
        <v>2.0039830975417949E-3</v>
      </c>
    </row>
    <row r="275" spans="1:7" x14ac:dyDescent="0.35">
      <c r="A275" s="3">
        <v>42034</v>
      </c>
      <c r="B275" s="4">
        <v>1.7463973368734731E-2</v>
      </c>
      <c r="C275" s="4">
        <v>9.9746465354337843E-3</v>
      </c>
      <c r="D275" s="4">
        <v>4.7962734472539736E-4</v>
      </c>
      <c r="E275" s="4">
        <v>4.2532412362916716E-4</v>
      </c>
      <c r="F275" s="4">
        <v>-1.9918891704429065E-4</v>
      </c>
      <c r="G275" s="4">
        <v>-6.7268711175094698E-4</v>
      </c>
    </row>
    <row r="276" spans="1:7" x14ac:dyDescent="0.35">
      <c r="A276" s="3">
        <v>42037</v>
      </c>
      <c r="B276" s="4">
        <v>1.9388114145001856E-2</v>
      </c>
      <c r="C276" s="4">
        <v>-8.4646207471539281E-4</v>
      </c>
      <c r="D276" s="4">
        <v>4.8036280305696621E-4</v>
      </c>
      <c r="E276" s="4">
        <v>4.6214263095434305E-4</v>
      </c>
      <c r="F276" s="4">
        <v>-2.7775675625925089E-3</v>
      </c>
      <c r="G276" s="4">
        <v>5.0729381662417694E-4</v>
      </c>
    </row>
    <row r="277" spans="1:7" x14ac:dyDescent="0.35">
      <c r="A277" s="3">
        <v>42038</v>
      </c>
      <c r="B277" s="4">
        <v>4.2544870427230208E-3</v>
      </c>
      <c r="C277" s="4">
        <v>1.454753395606545E-2</v>
      </c>
      <c r="D277" s="4">
        <v>4.540066556846245E-4</v>
      </c>
      <c r="E277" s="4">
        <v>5.1597646705081601E-4</v>
      </c>
      <c r="F277" s="4">
        <v>7.9746758853800337E-3</v>
      </c>
      <c r="G277" s="4">
        <v>-7.5635844491861448E-4</v>
      </c>
    </row>
    <row r="278" spans="1:7" x14ac:dyDescent="0.35">
      <c r="A278" s="3">
        <v>42039</v>
      </c>
      <c r="B278" s="4">
        <v>-5.9944720682023611E-3</v>
      </c>
      <c r="C278" s="4">
        <v>-3.1324773392635841E-3</v>
      </c>
      <c r="D278" s="4">
        <v>4.6539016991520299E-4</v>
      </c>
      <c r="E278" s="4">
        <v>5.3558110661477976E-4</v>
      </c>
      <c r="F278" s="4">
        <v>-1.3495856751628565E-3</v>
      </c>
      <c r="G278" s="4">
        <v>-1.7300417213772512E-4</v>
      </c>
    </row>
    <row r="279" spans="1:7" x14ac:dyDescent="0.35">
      <c r="A279" s="3">
        <v>42040</v>
      </c>
      <c r="B279" s="4">
        <v>-4.4417203833132524E-3</v>
      </c>
      <c r="C279" s="4">
        <v>1.3077089486906113E-2</v>
      </c>
      <c r="D279" s="4">
        <v>4.5415841586282646E-4</v>
      </c>
      <c r="E279" s="4">
        <v>5.1579968261594722E-4</v>
      </c>
      <c r="F279" s="4">
        <v>8.1271771612299037E-3</v>
      </c>
      <c r="G279" s="4">
        <v>1.2068794047555009E-3</v>
      </c>
    </row>
    <row r="280" spans="1:7" x14ac:dyDescent="0.35">
      <c r="A280" s="3">
        <v>42041</v>
      </c>
      <c r="B280" s="4">
        <v>7.1679777120439159E-3</v>
      </c>
      <c r="C280" s="4">
        <v>2.3222364607260459E-3</v>
      </c>
      <c r="D280" s="4">
        <v>4.5364844854245412E-4</v>
      </c>
      <c r="E280" s="4">
        <v>4.62263746431546E-4</v>
      </c>
      <c r="F280" s="4">
        <v>-4.6255470158572676E-3</v>
      </c>
      <c r="G280" s="4">
        <v>-2.6885883282291578E-3</v>
      </c>
    </row>
    <row r="281" spans="1:7" x14ac:dyDescent="0.35">
      <c r="A281" s="3">
        <v>42044</v>
      </c>
      <c r="B281" s="4">
        <v>-1.7063141671065707E-2</v>
      </c>
      <c r="C281" s="4">
        <v>1.6079578072040412E-2</v>
      </c>
      <c r="D281" s="4">
        <v>4.6512317404490133E-4</v>
      </c>
      <c r="E281" s="4">
        <v>4.5365581226186613E-4</v>
      </c>
      <c r="F281" s="4">
        <v>9.2807589485621733E-3</v>
      </c>
      <c r="G281" s="4">
        <v>1.9610291299620997E-3</v>
      </c>
    </row>
    <row r="282" spans="1:7" x14ac:dyDescent="0.35">
      <c r="A282" s="3">
        <v>42045</v>
      </c>
      <c r="B282" s="4">
        <v>1.1116498536885011E-3</v>
      </c>
      <c r="C282" s="4">
        <v>1.9151055417312213E-2</v>
      </c>
      <c r="D282" s="4">
        <v>4.6589051372070145E-4</v>
      </c>
      <c r="E282" s="4">
        <v>4.9428159702680219E-4</v>
      </c>
      <c r="F282" s="4">
        <v>5.6138828311553812E-3</v>
      </c>
      <c r="G282" s="4">
        <v>1.884038025899093E-3</v>
      </c>
    </row>
    <row r="283" spans="1:7" x14ac:dyDescent="0.35">
      <c r="A283" s="3">
        <v>42046</v>
      </c>
      <c r="B283" s="4">
        <v>1.6388493251757952E-2</v>
      </c>
      <c r="C283" s="4">
        <v>-1.8402306952756242E-2</v>
      </c>
      <c r="D283" s="4">
        <v>4.5702633889410649E-4</v>
      </c>
      <c r="E283" s="4">
        <v>3.5765914580987435E-4</v>
      </c>
      <c r="F283" s="4">
        <v>-7.3091408336585229E-3</v>
      </c>
      <c r="G283" s="4">
        <v>-3.7165502714164855E-4</v>
      </c>
    </row>
    <row r="284" spans="1:7" x14ac:dyDescent="0.35">
      <c r="A284" s="3">
        <v>42047</v>
      </c>
      <c r="B284" s="4">
        <v>2.1022171686922109E-2</v>
      </c>
      <c r="C284" s="4">
        <v>2.5485011160533144E-3</v>
      </c>
      <c r="D284" s="4">
        <v>4.4725796306677168E-4</v>
      </c>
      <c r="E284" s="4">
        <v>6.3018311625095969E-4</v>
      </c>
      <c r="F284" s="4">
        <v>-2.2819437805332576E-3</v>
      </c>
      <c r="G284" s="4">
        <v>-6.3196517903607585E-4</v>
      </c>
    </row>
    <row r="285" spans="1:7" x14ac:dyDescent="0.35">
      <c r="A285" s="3">
        <v>42048</v>
      </c>
      <c r="B285" s="4">
        <v>1.2374376137264997E-2</v>
      </c>
      <c r="C285" s="4">
        <v>3.3008040133792882E-3</v>
      </c>
      <c r="D285" s="4">
        <v>4.5635953320166678E-4</v>
      </c>
      <c r="E285" s="4">
        <v>4.9190581347113849E-4</v>
      </c>
      <c r="F285" s="4">
        <v>-1.6311177884831274E-4</v>
      </c>
      <c r="G285" s="4">
        <v>-1.6290199575386133E-5</v>
      </c>
    </row>
    <row r="286" spans="1:7" x14ac:dyDescent="0.35">
      <c r="A286" s="3">
        <v>42053</v>
      </c>
      <c r="B286" s="4">
        <v>-2.7340367071101435E-3</v>
      </c>
      <c r="C286" s="4">
        <v>8.3230852587126147E-3</v>
      </c>
      <c r="D286" s="4">
        <v>4.5426830976746935E-4</v>
      </c>
      <c r="E286" s="4">
        <v>4.7006470366262043E-4</v>
      </c>
      <c r="F286" s="4">
        <v>4.0083809190463171E-3</v>
      </c>
      <c r="G286" s="4">
        <v>-1.931375485435316E-3</v>
      </c>
    </row>
    <row r="287" spans="1:7" x14ac:dyDescent="0.35">
      <c r="A287" s="3">
        <v>42054</v>
      </c>
      <c r="B287" s="4">
        <v>-1.1601177050787337E-3</v>
      </c>
      <c r="C287" s="4">
        <v>3.6818354411023435E-3</v>
      </c>
      <c r="D287" s="4">
        <v>4.5942801176113157E-4</v>
      </c>
      <c r="E287" s="4">
        <v>4.8231179822955106E-4</v>
      </c>
      <c r="F287" s="4">
        <v>9.9290672216723053E-4</v>
      </c>
      <c r="G287" s="4">
        <v>6.2018662625118459E-4</v>
      </c>
    </row>
    <row r="288" spans="1:7" x14ac:dyDescent="0.35">
      <c r="A288" s="3">
        <v>42055</v>
      </c>
      <c r="B288" s="4">
        <v>-1.8824741761642727E-3</v>
      </c>
      <c r="C288" s="4">
        <v>-1.8777312693692982E-3</v>
      </c>
      <c r="D288" s="4">
        <v>4.6543140394028626E-4</v>
      </c>
      <c r="E288" s="4">
        <v>4.5331825856664842E-4</v>
      </c>
      <c r="F288" s="4">
        <v>2.8716105751305232E-3</v>
      </c>
      <c r="G288" s="4">
        <v>-6.3920145769325032E-4</v>
      </c>
    </row>
    <row r="289" spans="1:7" x14ac:dyDescent="0.35">
      <c r="A289" s="3">
        <v>42058</v>
      </c>
      <c r="B289" s="4">
        <v>4.8872221679572281E-3</v>
      </c>
      <c r="C289" s="4">
        <v>-1.3816244458985216E-2</v>
      </c>
      <c r="D289" s="4">
        <v>4.4920255152058886E-4</v>
      </c>
      <c r="E289" s="4">
        <v>5.5778679143059229E-4</v>
      </c>
      <c r="F289" s="4">
        <v>-5.3122262447379276E-3</v>
      </c>
      <c r="G289" s="4">
        <v>3.5070439927229469E-3</v>
      </c>
    </row>
    <row r="290" spans="1:7" x14ac:dyDescent="0.35">
      <c r="A290" s="3">
        <v>42059</v>
      </c>
      <c r="B290" s="4">
        <v>1.4495048636096186E-3</v>
      </c>
      <c r="C290" s="4">
        <v>1.4972241544084497E-2</v>
      </c>
      <c r="D290" s="4">
        <v>4.4480861688689366E-4</v>
      </c>
      <c r="E290" s="4">
        <v>5.3715014606026124E-4</v>
      </c>
      <c r="F290" s="4">
        <v>3.6103154136033488E-3</v>
      </c>
      <c r="G290" s="4">
        <v>8.4921364649881426E-4</v>
      </c>
    </row>
    <row r="291" spans="1:7" x14ac:dyDescent="0.35">
      <c r="A291" s="3">
        <v>42060</v>
      </c>
      <c r="B291" s="4">
        <v>8.1573630957021415E-3</v>
      </c>
      <c r="C291" s="4">
        <v>1.8935905400965236E-3</v>
      </c>
      <c r="D291" s="4">
        <v>4.5978513063027471E-4</v>
      </c>
      <c r="E291" s="4">
        <v>4.2418938776656034E-4</v>
      </c>
      <c r="F291" s="4">
        <v>4.3567010727165734E-3</v>
      </c>
      <c r="G291" s="4">
        <v>-6.5500268228990688E-4</v>
      </c>
    </row>
    <row r="292" spans="1:7" x14ac:dyDescent="0.35">
      <c r="A292" s="3">
        <v>42061</v>
      </c>
      <c r="B292" s="4">
        <v>-1.3519838788101923E-3</v>
      </c>
      <c r="C292" s="4">
        <v>-8.8795732826779661E-3</v>
      </c>
      <c r="D292" s="4">
        <v>4.3719249567342189E-4</v>
      </c>
      <c r="E292" s="4">
        <v>5.4164781164844911E-4</v>
      </c>
      <c r="F292" s="4">
        <v>-1.682903958644677E-3</v>
      </c>
      <c r="G292" s="4">
        <v>2.7988527834896804E-3</v>
      </c>
    </row>
    <row r="293" spans="1:7" x14ac:dyDescent="0.35">
      <c r="A293" s="3">
        <v>42062</v>
      </c>
      <c r="B293" s="4">
        <v>-8.839111554673762E-3</v>
      </c>
      <c r="C293" s="4">
        <v>1.1099181981351514E-2</v>
      </c>
      <c r="D293" s="4">
        <v>4.5169544122414251E-4</v>
      </c>
      <c r="E293" s="4">
        <v>5.7752688128354102E-4</v>
      </c>
      <c r="F293" s="4">
        <v>7.9189833061774628E-3</v>
      </c>
      <c r="G293" s="4">
        <v>-7.3825006933858628E-4</v>
      </c>
    </row>
    <row r="294" spans="1:7" x14ac:dyDescent="0.35">
      <c r="A294" s="3">
        <v>42065</v>
      </c>
      <c r="B294" s="4">
        <v>9.0073268963908326E-4</v>
      </c>
      <c r="C294" s="4">
        <v>6.9248649023618825E-3</v>
      </c>
      <c r="D294" s="4">
        <v>4.6249725985991752E-4</v>
      </c>
      <c r="E294" s="4">
        <v>4.5841822133896315E-4</v>
      </c>
      <c r="F294" s="4">
        <v>2.5141774449355392E-3</v>
      </c>
      <c r="G294" s="4">
        <v>5.6247527146857657E-4</v>
      </c>
    </row>
    <row r="295" spans="1:7" x14ac:dyDescent="0.35">
      <c r="A295" s="3">
        <v>42066</v>
      </c>
      <c r="B295" s="4">
        <v>-9.4278800039159227E-3</v>
      </c>
      <c r="C295" s="4">
        <v>2.5960294804129314E-2</v>
      </c>
      <c r="D295" s="4">
        <v>4.5076538148247636E-4</v>
      </c>
      <c r="E295" s="4">
        <v>3.8627271940794294E-4</v>
      </c>
      <c r="F295" s="4">
        <v>8.2300917785975702E-3</v>
      </c>
      <c r="G295" s="4">
        <v>2.3428217425189857E-3</v>
      </c>
    </row>
    <row r="296" spans="1:7" x14ac:dyDescent="0.35">
      <c r="A296" s="3">
        <v>42067</v>
      </c>
      <c r="B296" s="4">
        <v>-3.8963525494417617E-4</v>
      </c>
      <c r="C296" s="4">
        <v>1.0490584170255612E-2</v>
      </c>
      <c r="D296" s="4">
        <v>4.5961194585997234E-4</v>
      </c>
      <c r="E296" s="4">
        <v>4.0174489591393581E-4</v>
      </c>
      <c r="F296" s="4">
        <v>4.3358895742264814E-3</v>
      </c>
      <c r="G296" s="4">
        <v>1.6374062069286488E-3</v>
      </c>
    </row>
    <row r="297" spans="1:7" x14ac:dyDescent="0.35">
      <c r="A297" s="3">
        <v>42068</v>
      </c>
      <c r="B297" s="4">
        <v>-6.0398924151539024E-4</v>
      </c>
      <c r="C297" s="4">
        <v>1.3115415929957797E-2</v>
      </c>
      <c r="D297" s="4">
        <v>4.7199371712736138E-4</v>
      </c>
      <c r="E297" s="4">
        <v>4.3882458793476076E-4</v>
      </c>
      <c r="F297" s="4">
        <v>8.1583121241397549E-3</v>
      </c>
      <c r="G297" s="4">
        <v>8.2752568399313553E-4</v>
      </c>
    </row>
    <row r="298" spans="1:7" x14ac:dyDescent="0.35">
      <c r="A298" s="3">
        <v>42069</v>
      </c>
      <c r="B298" s="4">
        <v>-1.3798595883807274E-2</v>
      </c>
      <c r="C298" s="4">
        <v>2.0757157374425406E-2</v>
      </c>
      <c r="D298" s="4">
        <v>4.8929609971848365E-4</v>
      </c>
      <c r="E298" s="4">
        <v>4.4816522272439485E-4</v>
      </c>
      <c r="F298" s="4">
        <v>6.1006909149701194E-3</v>
      </c>
      <c r="G298" s="4">
        <v>2.7079546336121751E-3</v>
      </c>
    </row>
    <row r="299" spans="1:7" x14ac:dyDescent="0.35">
      <c r="A299" s="3">
        <v>42072</v>
      </c>
      <c r="B299" s="4">
        <v>-5.9493389944520469E-3</v>
      </c>
      <c r="C299" s="4">
        <v>-4.2351689250555991E-3</v>
      </c>
      <c r="D299" s="4">
        <v>4.9236656792839284E-4</v>
      </c>
      <c r="E299" s="4">
        <v>3.9181715322356148E-4</v>
      </c>
      <c r="F299" s="4">
        <v>4.5209853921066578E-3</v>
      </c>
      <c r="G299" s="4">
        <v>3.1276156668627042E-3</v>
      </c>
    </row>
    <row r="300" spans="1:7" x14ac:dyDescent="0.35">
      <c r="A300" s="3">
        <v>42073</v>
      </c>
      <c r="B300" s="4">
        <v>9.9898639371018838E-3</v>
      </c>
      <c r="C300" s="4">
        <v>8.9632386063307479E-3</v>
      </c>
      <c r="D300" s="4">
        <v>4.8443011194621022E-4</v>
      </c>
      <c r="E300" s="4">
        <v>5.4182062647178952E-4</v>
      </c>
      <c r="F300" s="4">
        <v>1.05386064703894E-3</v>
      </c>
      <c r="G300" s="4">
        <v>2.8852847288995953E-4</v>
      </c>
    </row>
    <row r="301" spans="1:7" x14ac:dyDescent="0.35">
      <c r="A301" s="3">
        <v>42074</v>
      </c>
      <c r="B301" s="4">
        <v>5.6167799931974294E-3</v>
      </c>
      <c r="C301" s="4">
        <v>8.6618754032132816E-3</v>
      </c>
      <c r="D301" s="4">
        <v>4.6179840517712734E-4</v>
      </c>
      <c r="E301" s="4">
        <v>4.5966804557506791E-4</v>
      </c>
      <c r="F301" s="4">
        <v>1.346041584151747E-3</v>
      </c>
      <c r="G301" s="4">
        <v>1.7749099181951777E-4</v>
      </c>
    </row>
    <row r="302" spans="1:7" x14ac:dyDescent="0.35">
      <c r="A302" s="3">
        <v>42075</v>
      </c>
      <c r="B302" s="4">
        <v>-4.8458871190530939E-3</v>
      </c>
      <c r="C302" s="4">
        <v>3.1740350063463429E-2</v>
      </c>
      <c r="D302" s="4">
        <v>4.7614773015403067E-4</v>
      </c>
      <c r="E302" s="4">
        <v>4.3564360166681304E-4</v>
      </c>
      <c r="F302" s="4">
        <v>9.6458106569881075E-3</v>
      </c>
      <c r="G302" s="4">
        <v>3.7187359831825084E-4</v>
      </c>
    </row>
    <row r="303" spans="1:7" x14ac:dyDescent="0.35">
      <c r="A303" s="3">
        <v>42076</v>
      </c>
      <c r="B303" s="4">
        <v>1.5555394012816137E-3</v>
      </c>
      <c r="C303" s="4">
        <v>-8.6387477616937103E-3</v>
      </c>
      <c r="D303" s="4">
        <v>4.7984708887605088E-4</v>
      </c>
      <c r="E303" s="4">
        <v>4.7239617144434476E-4</v>
      </c>
      <c r="F303" s="4">
        <v>-5.4549795149105851E-4</v>
      </c>
      <c r="G303" s="4">
        <v>1.081146500818253E-3</v>
      </c>
    </row>
    <row r="304" spans="1:7" x14ac:dyDescent="0.35">
      <c r="A304" s="3">
        <v>42079</v>
      </c>
      <c r="B304" s="4">
        <v>2.6271545900449667E-2</v>
      </c>
      <c r="C304" s="4">
        <v>7.1926591075386348E-3</v>
      </c>
      <c r="D304" s="4">
        <v>4.7166277650512178E-4</v>
      </c>
      <c r="E304" s="4">
        <v>4.5893541960051465E-4</v>
      </c>
      <c r="F304" s="4">
        <v>-1.2540778895600013E-3</v>
      </c>
      <c r="G304" s="4">
        <v>-8.0305698000460168E-4</v>
      </c>
    </row>
    <row r="305" spans="1:7" x14ac:dyDescent="0.35">
      <c r="A305" s="3">
        <v>42080</v>
      </c>
      <c r="B305" s="4">
        <v>1.9074771076752706E-2</v>
      </c>
      <c r="C305" s="4">
        <v>-6.8026141783360528E-3</v>
      </c>
      <c r="D305" s="4">
        <v>4.8204269513085762E-4</v>
      </c>
      <c r="E305" s="4">
        <v>5.5114975517156495E-4</v>
      </c>
      <c r="F305" s="4">
        <v>-6.5563460723957467E-3</v>
      </c>
      <c r="G305" s="4">
        <v>1.060364435789829E-4</v>
      </c>
    </row>
    <row r="306" spans="1:7" x14ac:dyDescent="0.35">
      <c r="A306" s="3">
        <v>42081</v>
      </c>
      <c r="B306" s="4">
        <v>-3.7055656477016363E-3</v>
      </c>
      <c r="C306" s="4">
        <v>1.8324303869005076E-2</v>
      </c>
      <c r="D306" s="4">
        <v>4.7866268219731722E-4</v>
      </c>
      <c r="E306" s="4">
        <v>5.3172575370630248E-4</v>
      </c>
      <c r="F306" s="4">
        <v>8.7530136090601118E-3</v>
      </c>
      <c r="G306" s="4">
        <v>2.7344871954499972E-3</v>
      </c>
    </row>
    <row r="307" spans="1:7" x14ac:dyDescent="0.35">
      <c r="A307" s="3">
        <v>42082</v>
      </c>
      <c r="B307" s="4">
        <v>1.3107663740442144E-2</v>
      </c>
      <c r="C307" s="4">
        <v>-1.8865440047336923E-2</v>
      </c>
      <c r="D307" s="4">
        <v>4.8705932349735193E-4</v>
      </c>
      <c r="E307" s="4">
        <v>3.7314691584700022E-4</v>
      </c>
      <c r="F307" s="4">
        <v>-7.7095258195444272E-3</v>
      </c>
      <c r="G307" s="4">
        <v>-1.3108720936479967E-3</v>
      </c>
    </row>
    <row r="308" spans="1:7" x14ac:dyDescent="0.35">
      <c r="A308" s="3">
        <v>42083</v>
      </c>
      <c r="B308" s="4">
        <v>-6.9809154120206163E-3</v>
      </c>
      <c r="C308" s="4">
        <v>-1.8798084282000693E-2</v>
      </c>
      <c r="D308" s="4">
        <v>4.6708311294163529E-4</v>
      </c>
      <c r="E308" s="4">
        <v>5.3608301774943357E-4</v>
      </c>
      <c r="F308" s="4">
        <v>-5.2750223865782875E-3</v>
      </c>
      <c r="G308" s="4">
        <v>-1.8513832663746843E-4</v>
      </c>
    </row>
    <row r="309" spans="1:7" x14ac:dyDescent="0.35">
      <c r="A309" s="3">
        <v>42086</v>
      </c>
      <c r="B309" s="4">
        <v>-5.6563959743488601E-3</v>
      </c>
      <c r="C309" s="4">
        <v>-1.1351863320201216E-2</v>
      </c>
      <c r="D309" s="4">
        <v>4.8514158470491786E-4</v>
      </c>
      <c r="E309" s="4">
        <v>4.8132702350778267E-4</v>
      </c>
      <c r="F309" s="4">
        <v>-1.886383975581718E-3</v>
      </c>
      <c r="G309" s="4">
        <v>-1.756905980120349E-4</v>
      </c>
    </row>
    <row r="310" spans="1:7" x14ac:dyDescent="0.35">
      <c r="A310" s="3">
        <v>42087</v>
      </c>
      <c r="B310" s="4">
        <v>6.9585381142742708E-3</v>
      </c>
      <c r="C310" s="4">
        <v>1.9687024062046143E-2</v>
      </c>
      <c r="D310" s="4">
        <v>4.6208821601156913E-4</v>
      </c>
      <c r="E310" s="4">
        <v>5.019909984631532E-4</v>
      </c>
      <c r="F310" s="4">
        <v>5.5931733854861498E-3</v>
      </c>
      <c r="G310" s="4">
        <v>-2.6736233837398871E-4</v>
      </c>
    </row>
    <row r="311" spans="1:7" x14ac:dyDescent="0.35">
      <c r="A311" s="3">
        <v>42088</v>
      </c>
      <c r="B311" s="4">
        <v>-1.6312262228218799E-2</v>
      </c>
      <c r="C311" s="4">
        <v>6.7406380333645544E-5</v>
      </c>
      <c r="D311" s="4">
        <v>4.6504147970893861E-4</v>
      </c>
      <c r="E311" s="4">
        <v>4.8775257759192669E-4</v>
      </c>
      <c r="F311" s="4">
        <v>2.2971829210676198E-3</v>
      </c>
      <c r="G311" s="4">
        <v>3.4680102688808834E-3</v>
      </c>
    </row>
    <row r="312" spans="1:7" x14ac:dyDescent="0.35">
      <c r="A312" s="3">
        <v>42089</v>
      </c>
      <c r="B312" s="4">
        <v>-1.3915693290515785E-2</v>
      </c>
      <c r="C312" s="4">
        <v>1.3557672842528623E-2</v>
      </c>
      <c r="D312" s="4">
        <v>4.7500804992206547E-4</v>
      </c>
      <c r="E312" s="4">
        <v>4.6311253053277213E-4</v>
      </c>
      <c r="F312" s="4">
        <v>4.7204565277505495E-3</v>
      </c>
      <c r="G312" s="4">
        <v>1.9314246343338226E-4</v>
      </c>
    </row>
    <row r="313" spans="1:7" x14ac:dyDescent="0.35">
      <c r="A313" s="3">
        <v>42090</v>
      </c>
      <c r="B313" s="4">
        <v>2.1788531972938063E-2</v>
      </c>
      <c r="C313" s="4">
        <v>-4.6274267618333642E-3</v>
      </c>
      <c r="D313" s="4">
        <v>4.6742667944421612E-4</v>
      </c>
      <c r="E313" s="4">
        <v>4.7859439929776038E-4</v>
      </c>
      <c r="F313" s="4">
        <v>-1.5732642076509151E-3</v>
      </c>
      <c r="G313" s="4">
        <v>-1.2218543842463792E-3</v>
      </c>
    </row>
    <row r="314" spans="1:7" x14ac:dyDescent="0.35">
      <c r="A314" s="3">
        <v>42093</v>
      </c>
      <c r="B314" s="4">
        <v>-1.4839861615201233E-4</v>
      </c>
      <c r="C314" s="4">
        <v>-5.2330210182461867E-3</v>
      </c>
      <c r="D314" s="4">
        <v>4.6879078280914754E-4</v>
      </c>
      <c r="E314" s="4">
        <v>4.9616710224498206E-4</v>
      </c>
      <c r="F314" s="4">
        <v>2.3940916532327883E-4</v>
      </c>
      <c r="G314" s="4">
        <v>2.6657219933519105E-3</v>
      </c>
    </row>
    <row r="315" spans="1:7" x14ac:dyDescent="0.35">
      <c r="A315" s="3">
        <v>42094</v>
      </c>
      <c r="B315" s="4">
        <v>1.6696023405804894E-2</v>
      </c>
      <c r="C315" s="4">
        <v>-6.6358666191923543E-3</v>
      </c>
      <c r="D315" s="4">
        <v>4.7775450033604727E-4</v>
      </c>
      <c r="E315" s="4">
        <v>5.0700969420724995E-4</v>
      </c>
      <c r="F315" s="4">
        <v>-4.6999731547426871E-3</v>
      </c>
      <c r="G315" s="4">
        <v>3.7249995191390717E-4</v>
      </c>
    </row>
    <row r="316" spans="1:7" x14ac:dyDescent="0.35">
      <c r="A316" s="3">
        <v>42095</v>
      </c>
      <c r="B316" s="4">
        <v>5.8358637012825287E-3</v>
      </c>
      <c r="C316" s="4">
        <v>-1.55771504344141E-2</v>
      </c>
      <c r="D316" s="4">
        <v>4.7368783421863903E-4</v>
      </c>
      <c r="E316" s="4">
        <v>5.3314581095342817E-4</v>
      </c>
      <c r="F316" s="4">
        <v>-3.7220318455249979E-3</v>
      </c>
      <c r="G316" s="4">
        <v>-1.2106988558925336E-3</v>
      </c>
    </row>
    <row r="317" spans="1:7" x14ac:dyDescent="0.35">
      <c r="A317" s="3">
        <v>42096</v>
      </c>
      <c r="B317" s="4">
        <v>8.9491066629607818E-3</v>
      </c>
      <c r="C317" s="4">
        <v>-5.8384964540887374E-3</v>
      </c>
      <c r="D317" s="4">
        <v>4.6633194140355272E-4</v>
      </c>
      <c r="E317" s="4">
        <v>5.0106052291232217E-4</v>
      </c>
      <c r="F317" s="4">
        <v>-2.7531305952785967E-3</v>
      </c>
      <c r="G317" s="4">
        <v>-1.5383711485972285E-4</v>
      </c>
    </row>
    <row r="318" spans="1:7" x14ac:dyDescent="0.35">
      <c r="A318" s="3">
        <v>42100</v>
      </c>
      <c r="B318" s="4">
        <v>-7.1612771450728641E-3</v>
      </c>
      <c r="C318" s="4">
        <v>4.4979332776933223E-3</v>
      </c>
      <c r="D318" s="4">
        <v>4.5951928070575576E-4</v>
      </c>
      <c r="E318" s="4">
        <v>5.0932558815408591E-4</v>
      </c>
      <c r="F318" s="4">
        <v>1.865422385742832E-3</v>
      </c>
      <c r="G318" s="4">
        <v>-1.2751893153747362E-3</v>
      </c>
    </row>
    <row r="319" spans="1:7" x14ac:dyDescent="0.35">
      <c r="A319" s="3">
        <v>42101</v>
      </c>
      <c r="B319" s="4">
        <v>-4.2359837661019029E-3</v>
      </c>
      <c r="C319" s="4">
        <v>-2.2052218648585531E-2</v>
      </c>
      <c r="D319" s="4">
        <v>4.5236021397387915E-4</v>
      </c>
      <c r="E319" s="4">
        <v>4.7856662568213082E-4</v>
      </c>
      <c r="F319" s="4">
        <v>-3.3434230705443602E-3</v>
      </c>
      <c r="G319" s="4">
        <v>1.956388803650011E-4</v>
      </c>
    </row>
    <row r="320" spans="1:7" x14ac:dyDescent="0.35">
      <c r="A320" s="3">
        <v>42102</v>
      </c>
      <c r="B320" s="4">
        <v>1.6362905811191375E-3</v>
      </c>
      <c r="C320" s="4">
        <v>1.0249764533132311E-3</v>
      </c>
      <c r="D320" s="4">
        <v>4.5773083279287974E-4</v>
      </c>
      <c r="E320" s="4">
        <v>5.4206213160878924E-4</v>
      </c>
      <c r="F320" s="4">
        <v>2.4564323335372062E-3</v>
      </c>
      <c r="G320" s="4">
        <v>-2.2134309484077574E-3</v>
      </c>
    </row>
    <row r="321" spans="1:7" x14ac:dyDescent="0.35">
      <c r="A321" s="3">
        <v>42103</v>
      </c>
      <c r="B321" s="4">
        <v>8.5189299350623138E-3</v>
      </c>
      <c r="C321" s="4">
        <v>8.2044565840075911E-3</v>
      </c>
      <c r="D321" s="4">
        <v>4.6477924985488528E-4</v>
      </c>
      <c r="E321" s="4">
        <v>4.8980203540294198E-4</v>
      </c>
      <c r="F321" s="4">
        <v>1.7104252308675072E-3</v>
      </c>
      <c r="G321" s="4">
        <v>-2.7043933385706431E-5</v>
      </c>
    </row>
    <row r="322" spans="1:7" x14ac:dyDescent="0.35">
      <c r="A322" s="3">
        <v>42104</v>
      </c>
      <c r="B322" s="4">
        <v>2.0757343290183083E-3</v>
      </c>
      <c r="C322" s="4">
        <v>1.1003526463071678E-2</v>
      </c>
      <c r="D322" s="4">
        <v>4.6116166863785502E-4</v>
      </c>
      <c r="E322" s="4">
        <v>5.0097808296589719E-4</v>
      </c>
      <c r="F322" s="4">
        <v>3.0537498750835557E-3</v>
      </c>
      <c r="G322" s="4">
        <v>-2.6748221338016576E-3</v>
      </c>
    </row>
    <row r="323" spans="1:7" x14ac:dyDescent="0.35">
      <c r="A323" s="3">
        <v>42107</v>
      </c>
      <c r="B323" s="4">
        <v>-4.0629895482502398E-3</v>
      </c>
      <c r="C323" s="4">
        <v>-1.7304672221391648E-2</v>
      </c>
      <c r="D323" s="4">
        <v>4.4302424399034201E-4</v>
      </c>
      <c r="E323" s="4">
        <v>4.177877478348524E-4</v>
      </c>
      <c r="F323" s="4">
        <v>-3.3149166642433281E-3</v>
      </c>
      <c r="G323" s="4">
        <v>1.7089823646616598E-3</v>
      </c>
    </row>
    <row r="324" spans="1:7" x14ac:dyDescent="0.35">
      <c r="A324" s="3">
        <v>42108</v>
      </c>
      <c r="B324" s="4">
        <v>1.2460400303375474E-2</v>
      </c>
      <c r="C324" s="4">
        <v>-7.4240603762756319E-3</v>
      </c>
      <c r="D324" s="4">
        <v>4.6468771953089849E-4</v>
      </c>
      <c r="E324" s="4">
        <v>5.2888343522172754E-4</v>
      </c>
      <c r="F324" s="4">
        <v>-3.3251013785197125E-3</v>
      </c>
      <c r="G324" s="4">
        <v>-1.9248334009226431E-3</v>
      </c>
    </row>
    <row r="325" spans="1:7" x14ac:dyDescent="0.35">
      <c r="A325" s="3">
        <v>42109</v>
      </c>
      <c r="B325" s="4">
        <v>-3.6238859712689475E-3</v>
      </c>
      <c r="C325" s="4">
        <v>-1.084469169258051E-2</v>
      </c>
      <c r="D325" s="4">
        <v>4.6831158292381936E-4</v>
      </c>
      <c r="E325" s="4">
        <v>4.8761731368540673E-4</v>
      </c>
      <c r="F325" s="4">
        <v>-2.3235599728935741E-3</v>
      </c>
      <c r="G325" s="4">
        <v>9.2103163586987336E-5</v>
      </c>
    </row>
    <row r="326" spans="1:7" x14ac:dyDescent="0.35">
      <c r="A326" s="3">
        <v>42110</v>
      </c>
      <c r="B326" s="4">
        <v>-1.2447154311329145E-2</v>
      </c>
      <c r="C326" s="4">
        <v>1.4619343653643702E-2</v>
      </c>
      <c r="D326" s="4">
        <v>4.7265581638900045E-4</v>
      </c>
      <c r="E326" s="4">
        <v>4.5865934536815089E-4</v>
      </c>
      <c r="F326" s="4">
        <v>4.0669756505518073E-4</v>
      </c>
      <c r="G326" s="4">
        <v>7.9306026160930188E-4</v>
      </c>
    </row>
    <row r="327" spans="1:7" x14ac:dyDescent="0.35">
      <c r="A327" s="3">
        <v>42111</v>
      </c>
      <c r="B327" s="4">
        <v>-1.7946663508008331E-3</v>
      </c>
      <c r="C327" s="4">
        <v>-7.8319243739769506E-3</v>
      </c>
      <c r="D327" s="4">
        <v>4.7954632047697565E-4</v>
      </c>
      <c r="E327" s="4">
        <v>5.5536066468098166E-3</v>
      </c>
      <c r="F327" s="4">
        <v>-1.1993183584304568E-3</v>
      </c>
      <c r="G327" s="4">
        <v>1.7323901057597624E-4</v>
      </c>
    </row>
    <row r="328" spans="1:7" x14ac:dyDescent="0.35">
      <c r="A328" s="3">
        <v>42114</v>
      </c>
      <c r="B328" s="4">
        <v>1.0048098201185018E-2</v>
      </c>
      <c r="C328" s="4">
        <v>-6.6637521665130484E-3</v>
      </c>
      <c r="D328" s="4">
        <v>7.5834678637765052E-4</v>
      </c>
      <c r="E328" s="4">
        <v>4.6354352410693522E-4</v>
      </c>
      <c r="F328" s="4">
        <v>-1.7656079866879004E-4</v>
      </c>
      <c r="G328" s="4">
        <v>-1.1986206256999754E-3</v>
      </c>
    </row>
    <row r="329" spans="1:7" x14ac:dyDescent="0.35">
      <c r="A329" s="3">
        <v>42116</v>
      </c>
      <c r="B329" s="4">
        <v>1.2719268090958025E-2</v>
      </c>
      <c r="C329" s="4">
        <v>-1.0472179993864628E-2</v>
      </c>
      <c r="D329" s="4">
        <v>4.6185111981089655E-4</v>
      </c>
      <c r="E329" s="4">
        <v>6.2446133326088393E-4</v>
      </c>
      <c r="F329" s="4">
        <v>-5.7531394028675908E-3</v>
      </c>
      <c r="G329" s="4">
        <v>-2.2767856939885922E-3</v>
      </c>
    </row>
    <row r="330" spans="1:7" x14ac:dyDescent="0.35">
      <c r="A330" s="3">
        <v>42117</v>
      </c>
      <c r="B330" s="4">
        <v>9.608796389983576E-3</v>
      </c>
      <c r="C330" s="4">
        <v>-4.5365814481268529E-3</v>
      </c>
      <c r="D330" s="4">
        <v>4.4930115555708028E-4</v>
      </c>
      <c r="E330" s="4">
        <v>4.0451964245513672E-4</v>
      </c>
      <c r="F330" s="4">
        <v>-4.0483428090080098E-3</v>
      </c>
      <c r="G330" s="4">
        <v>-6.6136012939854716E-4</v>
      </c>
    </row>
    <row r="331" spans="1:7" x14ac:dyDescent="0.35">
      <c r="A331" s="3">
        <v>42118</v>
      </c>
      <c r="B331" s="4">
        <v>-1.9129756841960721E-2</v>
      </c>
      <c r="C331" s="4">
        <v>-1.6802398749298342E-2</v>
      </c>
      <c r="D331" s="4">
        <v>4.5575183053325752E-4</v>
      </c>
      <c r="E331" s="4">
        <v>4.3961359075850304E-4</v>
      </c>
      <c r="F331" s="4">
        <v>1.1705345349493079E-3</v>
      </c>
      <c r="G331" s="4">
        <v>-4.7353045317133358E-4</v>
      </c>
    </row>
    <row r="332" spans="1:7" x14ac:dyDescent="0.35">
      <c r="A332" s="3">
        <v>42121</v>
      </c>
      <c r="B332" s="4">
        <v>6.5969147726663291E-3</v>
      </c>
      <c r="C332" s="4">
        <v>6.7626649439693765E-3</v>
      </c>
      <c r="D332" s="4">
        <v>4.5080394023044867E-4</v>
      </c>
      <c r="E332" s="4">
        <v>5.4279329734252535E-4</v>
      </c>
      <c r="F332" s="4">
        <v>2.9421480771674169E-3</v>
      </c>
      <c r="G332" s="4">
        <v>8.5052962426779288E-4</v>
      </c>
    </row>
    <row r="333" spans="1:7" x14ac:dyDescent="0.35">
      <c r="A333" s="3">
        <v>42122</v>
      </c>
      <c r="B333" s="4">
        <v>-6.8773679810703037E-3</v>
      </c>
      <c r="C333" s="4">
        <v>4.9553175722565346E-3</v>
      </c>
      <c r="D333" s="4">
        <v>4.8261880291367021E-4</v>
      </c>
      <c r="E333" s="4">
        <v>5.187230729191139E-4</v>
      </c>
      <c r="F333" s="4">
        <v>3.8944792035917608E-3</v>
      </c>
      <c r="G333" s="4">
        <v>1.1025346558266591E-3</v>
      </c>
    </row>
    <row r="334" spans="1:7" x14ac:dyDescent="0.35">
      <c r="A334" s="3">
        <v>42123</v>
      </c>
      <c r="B334" s="4">
        <v>9.6636482204319751E-3</v>
      </c>
      <c r="C334" s="4">
        <v>2.0407147871733811E-2</v>
      </c>
      <c r="D334" s="4">
        <v>4.066415137391477E-4</v>
      </c>
      <c r="E334" s="4">
        <v>5.7989381580503263E-4</v>
      </c>
      <c r="F334" s="4">
        <v>1.2850912402671E-3</v>
      </c>
      <c r="G334" s="4">
        <v>-3.1557591535891216E-4</v>
      </c>
    </row>
    <row r="335" spans="1:7" x14ac:dyDescent="0.35">
      <c r="A335" s="3">
        <v>42124</v>
      </c>
      <c r="B335" s="4">
        <v>1.4031859351856468E-2</v>
      </c>
      <c r="C335" s="4">
        <v>2.5694152125965042E-2</v>
      </c>
      <c r="D335" s="4">
        <v>5.0000988956644399E-4</v>
      </c>
      <c r="E335" s="4">
        <v>3.1585358054186941E-4</v>
      </c>
      <c r="F335" s="4">
        <v>3.5892835957320735E-3</v>
      </c>
      <c r="G335" s="4">
        <v>-4.1237795965974877E-3</v>
      </c>
    </row>
    <row r="336" spans="1:7" x14ac:dyDescent="0.35">
      <c r="A336" s="3">
        <v>42128</v>
      </c>
      <c r="B336" s="4">
        <v>8.8900703792818003E-3</v>
      </c>
      <c r="C336" s="4">
        <v>-3.0122640046318372E-3</v>
      </c>
      <c r="D336" s="4">
        <v>4.9949730950427096E-4</v>
      </c>
      <c r="E336" s="4">
        <v>5.1963108883379405E-4</v>
      </c>
      <c r="F336" s="4">
        <v>-1.7380333218453003E-3</v>
      </c>
      <c r="G336" s="4">
        <v>-4.2911199651737286E-3</v>
      </c>
    </row>
    <row r="337" spans="1:7" x14ac:dyDescent="0.35">
      <c r="A337" s="3">
        <v>42129</v>
      </c>
      <c r="B337" s="4">
        <v>-1.2354775013462049E-2</v>
      </c>
      <c r="C337" s="4">
        <v>-8.2391441918222563E-3</v>
      </c>
      <c r="D337" s="4">
        <v>5.0060954242003852E-4</v>
      </c>
      <c r="E337" s="4">
        <v>4.4109954355153747E-4</v>
      </c>
      <c r="F337" s="4">
        <v>1.1567427813274911E-3</v>
      </c>
      <c r="G337" s="4">
        <v>-3.9986782732970294E-4</v>
      </c>
    </row>
    <row r="338" spans="1:7" x14ac:dyDescent="0.35">
      <c r="A338" s="3">
        <v>42130</v>
      </c>
      <c r="B338" s="4">
        <v>-7.5415123552240448E-3</v>
      </c>
      <c r="C338" s="4">
        <v>-9.595281768127073E-3</v>
      </c>
      <c r="D338" s="4">
        <v>5.1754314397900458E-4</v>
      </c>
      <c r="E338" s="4">
        <v>4.4682653138972128E-4</v>
      </c>
      <c r="F338" s="4">
        <v>-6.4858292570570963E-3</v>
      </c>
      <c r="G338" s="4">
        <v>3.4451746006070039E-3</v>
      </c>
    </row>
    <row r="339" spans="1:7" x14ac:dyDescent="0.35">
      <c r="A339" s="3">
        <v>42131</v>
      </c>
      <c r="B339" s="4">
        <v>6.1423748937319278E-3</v>
      </c>
      <c r="C339" s="4">
        <v>-1.1614146719003404E-2</v>
      </c>
      <c r="D339" s="4">
        <v>5.1637583807173648E-4</v>
      </c>
      <c r="E339" s="4">
        <v>5.0803749085925887E-4</v>
      </c>
      <c r="F339" s="4">
        <v>3.0765203426152965E-5</v>
      </c>
      <c r="G339" s="4">
        <v>1.9653488489965731E-3</v>
      </c>
    </row>
    <row r="340" spans="1:7" x14ac:dyDescent="0.35">
      <c r="A340" s="3">
        <v>42132</v>
      </c>
      <c r="B340" s="4">
        <v>4.9142075263919338E-3</v>
      </c>
      <c r="C340" s="4">
        <v>2.1408483040519677E-2</v>
      </c>
      <c r="D340" s="4">
        <v>4.808470920742991E-4</v>
      </c>
      <c r="E340" s="4">
        <v>6.5361870957758583E-4</v>
      </c>
      <c r="F340" s="4">
        <v>5.025617463515486E-3</v>
      </c>
      <c r="G340" s="4">
        <v>8.0370250406192056E-4</v>
      </c>
    </row>
    <row r="341" spans="1:7" x14ac:dyDescent="0.35">
      <c r="A341" s="3">
        <v>42135</v>
      </c>
      <c r="B341" s="4">
        <v>-7.7922001249314254E-3</v>
      </c>
      <c r="C341" s="4">
        <v>-8.3288722016127137E-3</v>
      </c>
      <c r="D341" s="4">
        <v>5.0110411991965975E-4</v>
      </c>
      <c r="E341" s="4">
        <v>4.5352457896363774E-4</v>
      </c>
      <c r="F341" s="4">
        <v>1.0324224730684506E-5</v>
      </c>
      <c r="G341" s="4">
        <v>2.6721909186060433E-3</v>
      </c>
    </row>
    <row r="342" spans="1:7" x14ac:dyDescent="0.35">
      <c r="A342" s="3">
        <v>42136</v>
      </c>
      <c r="B342" s="4">
        <v>-1.297895458010645E-2</v>
      </c>
      <c r="C342" s="4">
        <v>4.8849995929052259E-3</v>
      </c>
      <c r="D342" s="4">
        <v>4.9261515409293466E-4</v>
      </c>
      <c r="E342" s="4">
        <v>4.8815948505831486E-4</v>
      </c>
      <c r="F342" s="4">
        <v>7.8040673161483554E-4</v>
      </c>
      <c r="G342" s="4">
        <v>2.3676008575113094E-4</v>
      </c>
    </row>
    <row r="343" spans="1:7" x14ac:dyDescent="0.35">
      <c r="A343" s="3">
        <v>42137</v>
      </c>
      <c r="B343" s="4">
        <v>6.121163755087089E-3</v>
      </c>
      <c r="C343" s="4">
        <v>-1.2421301822385766E-2</v>
      </c>
      <c r="D343" s="4">
        <v>4.8739144266418677E-4</v>
      </c>
      <c r="E343" s="4">
        <v>5.9199862962033833E-4</v>
      </c>
      <c r="F343" s="4">
        <v>-1.3965904130311957E-3</v>
      </c>
      <c r="G343" s="4">
        <v>3.3287488804782939E-3</v>
      </c>
    </row>
    <row r="344" spans="1:7" x14ac:dyDescent="0.35">
      <c r="A344" s="3">
        <v>42138</v>
      </c>
      <c r="B344" s="4">
        <v>8.7185358956594072E-3</v>
      </c>
      <c r="C344" s="4">
        <v>-3.828774367708343E-3</v>
      </c>
      <c r="D344" s="4">
        <v>4.9337582260911006E-4</v>
      </c>
      <c r="E344" s="4">
        <v>5.8262904986294828E-4</v>
      </c>
      <c r="F344" s="4">
        <v>6.2520638335183953E-4</v>
      </c>
      <c r="G344" s="4">
        <v>-3.4518701191698087E-3</v>
      </c>
    </row>
    <row r="345" spans="1:7" x14ac:dyDescent="0.35">
      <c r="A345" s="3">
        <v>42139</v>
      </c>
      <c r="B345" s="4">
        <v>-6.3110903894639803E-3</v>
      </c>
      <c r="C345" s="4">
        <v>1.1546882039618067E-2</v>
      </c>
      <c r="D345" s="4">
        <v>5.0204339373527418E-4</v>
      </c>
      <c r="E345" s="4">
        <v>5.284321306617823E-4</v>
      </c>
      <c r="F345" s="4">
        <v>2.3201318241075075E-3</v>
      </c>
      <c r="G345" s="4">
        <v>2.9556641774353132E-3</v>
      </c>
    </row>
    <row r="346" spans="1:7" x14ac:dyDescent="0.35">
      <c r="A346" s="3">
        <v>42142</v>
      </c>
      <c r="B346" s="4">
        <v>-7.6305246276896499E-3</v>
      </c>
      <c r="C346" s="4">
        <v>1.4618791760345751E-4</v>
      </c>
      <c r="D346" s="4">
        <v>4.7217340285210518E-4</v>
      </c>
      <c r="E346" s="4">
        <v>5.2800261726382303E-4</v>
      </c>
      <c r="F346" s="4">
        <v>2.0847247560973337E-3</v>
      </c>
      <c r="G346" s="4">
        <v>-9.6396601757309242E-5</v>
      </c>
    </row>
    <row r="347" spans="1:7" x14ac:dyDescent="0.35">
      <c r="A347" s="3">
        <v>42143</v>
      </c>
      <c r="B347" s="4">
        <v>-9.2921897373239304E-3</v>
      </c>
      <c r="C347" s="4">
        <v>-6.3502991504290618E-3</v>
      </c>
      <c r="D347" s="4">
        <v>4.9622182956632344E-4</v>
      </c>
      <c r="E347" s="4">
        <v>4.4624487155453529E-4</v>
      </c>
      <c r="F347" s="4">
        <v>3.5842056916186582E-3</v>
      </c>
      <c r="G347" s="4">
        <v>3.1313658282128287E-3</v>
      </c>
    </row>
    <row r="348" spans="1:7" x14ac:dyDescent="0.35">
      <c r="A348" s="3">
        <v>42144</v>
      </c>
      <c r="B348" s="4">
        <v>-4.385816570552592E-3</v>
      </c>
      <c r="C348" s="4">
        <v>9.2669723753640021E-3</v>
      </c>
      <c r="D348" s="4">
        <v>4.8819929715304689E-4</v>
      </c>
      <c r="E348" s="4">
        <v>5.7212023499797482E-4</v>
      </c>
      <c r="F348" s="4">
        <v>-2.2314393610425309E-3</v>
      </c>
      <c r="G348" s="4">
        <v>1.020231415172157E-3</v>
      </c>
    </row>
    <row r="349" spans="1:7" x14ac:dyDescent="0.35">
      <c r="A349" s="3">
        <v>42145</v>
      </c>
      <c r="B349" s="4">
        <v>-7.450930242072995E-3</v>
      </c>
      <c r="C349" s="4">
        <v>1.7854811046712937E-2</v>
      </c>
      <c r="D349" s="4">
        <v>5.4309083184755913E-4</v>
      </c>
      <c r="E349" s="4">
        <v>5.1924747186027354E-4</v>
      </c>
      <c r="F349" s="4">
        <v>4.97578021422318E-3</v>
      </c>
      <c r="G349" s="4">
        <v>8.770152596340175E-4</v>
      </c>
    </row>
    <row r="350" spans="1:7" x14ac:dyDescent="0.35">
      <c r="A350" s="3">
        <v>42146</v>
      </c>
      <c r="B350" s="4">
        <v>3.5102343827169147E-3</v>
      </c>
      <c r="C350" s="4">
        <v>3.9216942477373617E-3</v>
      </c>
      <c r="D350" s="4">
        <v>4.4238236762628169E-4</v>
      </c>
      <c r="E350" s="4">
        <v>5.7706764985665515E-4</v>
      </c>
      <c r="F350" s="4">
        <v>1.6429150312180507E-3</v>
      </c>
      <c r="G350" s="4">
        <v>-9.3872914146797548E-4</v>
      </c>
    </row>
    <row r="351" spans="1:7" x14ac:dyDescent="0.35">
      <c r="A351" s="3">
        <v>42149</v>
      </c>
      <c r="B351" s="4">
        <v>-9.6766811129049835E-3</v>
      </c>
      <c r="C351" s="4">
        <v>1.5576692304779538E-2</v>
      </c>
      <c r="D351" s="4">
        <v>4.7751351227476313E-4</v>
      </c>
      <c r="E351" s="4">
        <v>4.9082393855370832E-4</v>
      </c>
      <c r="F351" s="4">
        <v>7.4984395395598646E-3</v>
      </c>
      <c r="G351" s="4">
        <v>2.2830670618807503E-3</v>
      </c>
    </row>
    <row r="352" spans="1:7" x14ac:dyDescent="0.35">
      <c r="A352" s="3">
        <v>42150</v>
      </c>
      <c r="B352" s="4">
        <v>1.3323426161799823E-2</v>
      </c>
      <c r="C352" s="4">
        <v>-1.2158731972230497E-3</v>
      </c>
      <c r="D352" s="4">
        <v>4.8904973934260632E-4</v>
      </c>
      <c r="E352" s="4">
        <v>5.0918551750478436E-4</v>
      </c>
      <c r="F352" s="4">
        <v>2.619144281466923E-3</v>
      </c>
      <c r="G352" s="4">
        <v>5.7911082903472355E-4</v>
      </c>
    </row>
    <row r="353" spans="1:7" x14ac:dyDescent="0.35">
      <c r="A353" s="3">
        <v>42151</v>
      </c>
      <c r="B353" s="4">
        <v>-6.1141575703346218E-3</v>
      </c>
      <c r="C353" s="4">
        <v>6.1370116314445333E-3</v>
      </c>
      <c r="D353" s="4">
        <v>4.9121634595539199E-4</v>
      </c>
      <c r="E353" s="4">
        <v>4.9390755661526953E-4</v>
      </c>
      <c r="F353" s="4">
        <v>1.5438854091316401E-3</v>
      </c>
      <c r="G353" s="4">
        <v>1.2516269220141929E-3</v>
      </c>
    </row>
    <row r="354" spans="1:7" x14ac:dyDescent="0.35">
      <c r="A354" s="3">
        <v>42152</v>
      </c>
      <c r="B354" s="4">
        <v>-1.6804142518080489E-2</v>
      </c>
      <c r="C354" s="4">
        <v>6.398234620889065E-3</v>
      </c>
      <c r="D354" s="4">
        <v>4.8738810733905957E-4</v>
      </c>
      <c r="E354" s="4">
        <v>5.983214499976075E-4</v>
      </c>
      <c r="F354" s="4">
        <v>2.2623326187150017E-3</v>
      </c>
      <c r="G354" s="4">
        <v>5.3401131610675279E-5</v>
      </c>
    </row>
    <row r="355" spans="1:7" x14ac:dyDescent="0.35">
      <c r="A355" s="3">
        <v>42153</v>
      </c>
      <c r="B355" s="4">
        <v>4.1901704172633281E-3</v>
      </c>
      <c r="C355" s="4">
        <v>-1.3686702960824526E-4</v>
      </c>
      <c r="D355" s="4">
        <v>4.955792078100707E-4</v>
      </c>
      <c r="E355" s="4">
        <v>4.4530442881263177E-4</v>
      </c>
      <c r="F355" s="4">
        <v>-1.9025367195468768E-4</v>
      </c>
      <c r="G355" s="4">
        <v>7.2006346140263133E-4</v>
      </c>
    </row>
    <row r="356" spans="1:7" x14ac:dyDescent="0.35">
      <c r="A356" s="3">
        <v>42156</v>
      </c>
      <c r="B356" s="4">
        <v>8.5914328344496305E-3</v>
      </c>
      <c r="C356" s="4">
        <v>-1.5977526248054374E-2</v>
      </c>
      <c r="D356" s="4">
        <v>4.9414693683647037E-4</v>
      </c>
      <c r="E356" s="4">
        <v>4.7279600334415584E-4</v>
      </c>
      <c r="F356" s="4">
        <v>-3.4625698638837132E-3</v>
      </c>
      <c r="G356" s="4">
        <v>-3.4094873487944266E-4</v>
      </c>
    </row>
    <row r="357" spans="1:7" x14ac:dyDescent="0.35">
      <c r="A357" s="3">
        <v>42157</v>
      </c>
      <c r="B357" s="4">
        <v>-6.6398840840499185E-3</v>
      </c>
      <c r="C357" s="4">
        <v>1.1293984990756734E-3</v>
      </c>
      <c r="D357" s="4">
        <v>4.9679492848020423E-4</v>
      </c>
      <c r="E357" s="4">
        <v>4.9471351416952025E-4</v>
      </c>
      <c r="F357" s="4">
        <v>1.5921835557317632E-3</v>
      </c>
      <c r="G357" s="4">
        <v>1.8819843314323847E-3</v>
      </c>
    </row>
    <row r="358" spans="1:7" x14ac:dyDescent="0.35">
      <c r="A358" s="3">
        <v>42158</v>
      </c>
      <c r="B358" s="4">
        <v>-8.2239392388498977E-3</v>
      </c>
      <c r="C358" s="4">
        <v>4.9392749204546504E-3</v>
      </c>
      <c r="D358" s="4">
        <v>4.9233118517921781E-4</v>
      </c>
      <c r="E358" s="4">
        <v>4.9563856464951428E-4</v>
      </c>
      <c r="F358" s="4">
        <v>6.1395570424425117E-3</v>
      </c>
      <c r="G358" s="4">
        <v>4.4128896046680133E-4</v>
      </c>
    </row>
    <row r="359" spans="1:7" x14ac:dyDescent="0.35">
      <c r="A359" s="3">
        <v>42160</v>
      </c>
      <c r="B359" s="4">
        <v>-7.185290758219165E-3</v>
      </c>
      <c r="C359" s="4">
        <v>-1.0827483985652142E-2</v>
      </c>
      <c r="D359" s="4">
        <v>5.1187055817880633E-4</v>
      </c>
      <c r="E359" s="4">
        <v>4.6683429040372815E-4</v>
      </c>
      <c r="F359" s="4">
        <v>-1.1087898569095422E-4</v>
      </c>
      <c r="G359" s="4">
        <v>1.6484019993430188E-3</v>
      </c>
    </row>
    <row r="360" spans="1:7" x14ac:dyDescent="0.35">
      <c r="A360" s="3">
        <v>42163</v>
      </c>
      <c r="B360" s="4">
        <v>4.8751561723325842E-4</v>
      </c>
      <c r="C360" s="4">
        <v>-5.0872559152999042E-3</v>
      </c>
      <c r="D360" s="4">
        <v>4.9940564542105825E-4</v>
      </c>
      <c r="E360" s="4">
        <v>5.8209097762951245E-4</v>
      </c>
      <c r="F360" s="4">
        <v>4.1907883028624582E-4</v>
      </c>
      <c r="G360" s="4">
        <v>8.6616320010191039E-4</v>
      </c>
    </row>
    <row r="361" spans="1:7" x14ac:dyDescent="0.35">
      <c r="A361" s="3">
        <v>42164</v>
      </c>
      <c r="B361" s="4">
        <v>6.3990638620750051E-3</v>
      </c>
      <c r="C361" s="4">
        <v>3.5489567015138945E-3</v>
      </c>
      <c r="D361" s="4">
        <v>5.1280163446043581E-4</v>
      </c>
      <c r="E361" s="4">
        <v>5.2090425842177268E-4</v>
      </c>
      <c r="F361" s="4">
        <v>-5.1254461314041988E-3</v>
      </c>
      <c r="G361" s="4">
        <v>-1.2983958231723713E-3</v>
      </c>
    </row>
    <row r="362" spans="1:7" x14ac:dyDescent="0.35">
      <c r="A362" s="3">
        <v>42165</v>
      </c>
      <c r="B362" s="4">
        <v>-4.9890831599630481E-4</v>
      </c>
      <c r="C362" s="4">
        <v>-2.65677492793992E-3</v>
      </c>
      <c r="D362" s="4">
        <v>5.1918611262657954E-4</v>
      </c>
      <c r="E362" s="4">
        <v>4.9393595566038506E-4</v>
      </c>
      <c r="F362" s="4">
        <v>8.6442952830534381E-4</v>
      </c>
      <c r="G362" s="4">
        <v>-6.2934369947320601E-4</v>
      </c>
    </row>
    <row r="363" spans="1:7" x14ac:dyDescent="0.35">
      <c r="A363" s="3">
        <v>42166</v>
      </c>
      <c r="B363" s="4">
        <v>-3.7179678516063852E-3</v>
      </c>
      <c r="C363" s="4">
        <v>2.9901564317023066E-3</v>
      </c>
      <c r="D363" s="4">
        <v>5.3744224682139574E-4</v>
      </c>
      <c r="E363" s="4">
        <v>4.6511976378149633E-4</v>
      </c>
      <c r="F363" s="4">
        <v>2.925654641027009E-3</v>
      </c>
      <c r="G363" s="4">
        <v>1.9005480837706035E-3</v>
      </c>
    </row>
    <row r="364" spans="1:7" x14ac:dyDescent="0.35">
      <c r="A364" s="3">
        <v>42167</v>
      </c>
      <c r="B364" s="4">
        <v>-3.985880965149402E-4</v>
      </c>
      <c r="C364" s="4">
        <v>3.7774743115974729E-3</v>
      </c>
      <c r="D364" s="4">
        <v>4.9742078572889703E-4</v>
      </c>
      <c r="E364" s="4">
        <v>5.687349761318572E-4</v>
      </c>
      <c r="F364" s="4">
        <v>-5.4383408246616582E-4</v>
      </c>
      <c r="G364" s="4">
        <v>2.7335969339237209E-5</v>
      </c>
    </row>
    <row r="365" spans="1:7" x14ac:dyDescent="0.35">
      <c r="A365" s="3">
        <v>42170</v>
      </c>
      <c r="B365" s="4">
        <v>6.6128292205331896E-3</v>
      </c>
      <c r="C365" s="4">
        <v>-1.2285456296311392E-2</v>
      </c>
      <c r="D365" s="4">
        <v>5.2217553639155589E-4</v>
      </c>
      <c r="E365" s="4">
        <v>4.7648063763294779E-4</v>
      </c>
      <c r="F365" s="4">
        <v>-3.5006185482094887E-3</v>
      </c>
      <c r="G365" s="4">
        <v>1.3315457911289297E-3</v>
      </c>
    </row>
    <row r="366" spans="1:7" x14ac:dyDescent="0.35">
      <c r="A366" s="3">
        <v>42171</v>
      </c>
      <c r="B366" s="4">
        <v>-5.7406883970725353E-3</v>
      </c>
      <c r="C366" s="4">
        <v>-7.6627084241895904E-3</v>
      </c>
      <c r="D366" s="4">
        <v>5.0704244501820206E-4</v>
      </c>
      <c r="E366" s="4">
        <v>5.6563120732278094E-4</v>
      </c>
      <c r="F366" s="4">
        <v>-2.0442262397923905E-3</v>
      </c>
      <c r="G366" s="4">
        <v>2.7339273263011776E-3</v>
      </c>
    </row>
    <row r="367" spans="1:7" x14ac:dyDescent="0.35">
      <c r="A367" s="3">
        <v>42172</v>
      </c>
      <c r="B367" s="4">
        <v>1.501229588260955E-2</v>
      </c>
      <c r="C367" s="4">
        <v>-2.9249991215788418E-3</v>
      </c>
      <c r="D367" s="4">
        <v>5.2081012355364997E-4</v>
      </c>
      <c r="E367" s="4">
        <v>5.9481736096000937E-4</v>
      </c>
      <c r="F367" s="4">
        <v>-5.6122392996446058E-3</v>
      </c>
      <c r="G367" s="4">
        <v>-1.2260264790830977E-3</v>
      </c>
    </row>
    <row r="368" spans="1:7" x14ac:dyDescent="0.35">
      <c r="A368" s="3">
        <v>42173</v>
      </c>
      <c r="B368" s="4">
        <v>1.82421095622054E-4</v>
      </c>
      <c r="C368" s="4">
        <v>1.3339374934279835E-2</v>
      </c>
      <c r="D368" s="4">
        <v>5.1133501333811004E-4</v>
      </c>
      <c r="E368" s="4">
        <v>4.6966519538904627E-4</v>
      </c>
      <c r="F368" s="4">
        <v>4.6675279211618736E-3</v>
      </c>
      <c r="G368" s="4">
        <v>1.9795010210856834E-3</v>
      </c>
    </row>
    <row r="369" spans="1:7" x14ac:dyDescent="0.35">
      <c r="A369" s="3">
        <v>42174</v>
      </c>
      <c r="B369" s="4">
        <v>4.1303616602654802E-3</v>
      </c>
      <c r="C369" s="4">
        <v>-3.4751679604501096E-3</v>
      </c>
      <c r="D369" s="4">
        <v>5.1634433702751892E-4</v>
      </c>
      <c r="E369" s="4">
        <v>5.1533019373950495E-4</v>
      </c>
      <c r="F369" s="4">
        <v>3.676296042423477E-3</v>
      </c>
      <c r="G369" s="4">
        <v>8.8837935310692728E-4</v>
      </c>
    </row>
    <row r="370" spans="1:7" x14ac:dyDescent="0.35">
      <c r="A370" s="3">
        <v>42177</v>
      </c>
      <c r="B370" s="4">
        <v>4.4342524750338175E-3</v>
      </c>
      <c r="C370" s="4">
        <v>2.4339319204225163E-4</v>
      </c>
      <c r="D370" s="4">
        <v>5.1680267054310391E-4</v>
      </c>
      <c r="E370" s="4">
        <v>5.6263314932580855E-4</v>
      </c>
      <c r="F370" s="4">
        <v>2.685714773196235E-3</v>
      </c>
      <c r="G370" s="4">
        <v>1.3098928815884481E-3</v>
      </c>
    </row>
    <row r="371" spans="1:7" x14ac:dyDescent="0.35">
      <c r="A371" s="3">
        <v>42178</v>
      </c>
      <c r="B371" s="4">
        <v>-4.7166493264353404E-3</v>
      </c>
      <c r="C371" s="4">
        <v>3.5116877923939693E-3</v>
      </c>
      <c r="D371" s="4">
        <v>5.0501973670780131E-4</v>
      </c>
      <c r="E371" s="4">
        <v>5.2161979710629858E-4</v>
      </c>
      <c r="F371" s="4">
        <v>1.7408714414348658E-3</v>
      </c>
      <c r="G371" s="4">
        <v>-2.1624373031103872E-4</v>
      </c>
    </row>
    <row r="372" spans="1:7" x14ac:dyDescent="0.35">
      <c r="A372" s="3">
        <v>42179</v>
      </c>
      <c r="B372" s="4">
        <v>-5.3775818148966703E-3</v>
      </c>
      <c r="C372" s="4">
        <v>6.2659775851992006E-3</v>
      </c>
      <c r="D372" s="4">
        <v>5.1134933909779967E-4</v>
      </c>
      <c r="E372" s="4">
        <v>5.3951118192263614E-4</v>
      </c>
      <c r="F372" s="4">
        <v>3.5080252594221761E-4</v>
      </c>
      <c r="G372" s="4">
        <v>7.2765728644874628E-4</v>
      </c>
    </row>
    <row r="373" spans="1:7" x14ac:dyDescent="0.35">
      <c r="A373" s="3">
        <v>42180</v>
      </c>
      <c r="B373" s="4">
        <v>1.6783753949082048E-2</v>
      </c>
      <c r="C373" s="4">
        <v>2.4005804639828376E-3</v>
      </c>
      <c r="D373" s="4">
        <v>5.2290638706264936E-4</v>
      </c>
      <c r="E373" s="4">
        <v>4.9969230046964519E-4</v>
      </c>
      <c r="F373" s="4">
        <v>1.5396171228565514E-3</v>
      </c>
      <c r="G373" s="4">
        <v>-1.2867863386156753E-4</v>
      </c>
    </row>
    <row r="374" spans="1:7" x14ac:dyDescent="0.35">
      <c r="A374" s="3">
        <v>42181</v>
      </c>
      <c r="B374" s="4">
        <v>-1.265683981016108E-2</v>
      </c>
      <c r="C374" s="4">
        <v>-2.9622603795849134E-3</v>
      </c>
      <c r="D374" s="4">
        <v>5.0432564429714333E-4</v>
      </c>
      <c r="E374" s="4">
        <v>5.6083701434594957E-4</v>
      </c>
      <c r="F374" s="4">
        <v>1.4235380190295022E-3</v>
      </c>
      <c r="G374" s="4">
        <v>2.6133176698108773E-3</v>
      </c>
    </row>
    <row r="375" spans="1:7" x14ac:dyDescent="0.35">
      <c r="A375" s="3">
        <v>42184</v>
      </c>
      <c r="B375" s="4">
        <v>4.1615851217930988E-3</v>
      </c>
      <c r="C375" s="4">
        <v>-4.752366804034347E-3</v>
      </c>
      <c r="D375" s="4">
        <v>4.9651946262896374E-4</v>
      </c>
      <c r="E375" s="4">
        <v>5.3818237732450314E-4</v>
      </c>
      <c r="F375" s="4">
        <v>1.7715657997019463E-3</v>
      </c>
      <c r="G375" s="4">
        <v>4.1995717573928282E-4</v>
      </c>
    </row>
    <row r="376" spans="1:7" x14ac:dyDescent="0.35">
      <c r="A376" s="3">
        <v>42185</v>
      </c>
      <c r="B376" s="4">
        <v>-5.847914351438499E-3</v>
      </c>
      <c r="C376" s="4">
        <v>1.2459127542501225E-2</v>
      </c>
      <c r="D376" s="4">
        <v>5.1039938332397838E-4</v>
      </c>
      <c r="E376" s="4">
        <v>5.0015274771486595E-4</v>
      </c>
      <c r="F376" s="4">
        <v>2.503721022934613E-3</v>
      </c>
      <c r="G376" s="4">
        <v>3.0713937277031533E-3</v>
      </c>
    </row>
    <row r="377" spans="1:7" x14ac:dyDescent="0.35">
      <c r="A377" s="3">
        <v>42186</v>
      </c>
      <c r="B377" s="4">
        <v>3.4192237434120809E-3</v>
      </c>
      <c r="C377" s="4">
        <v>-1.1748139591662099E-2</v>
      </c>
      <c r="D377" s="4">
        <v>5.0980495792929403E-4</v>
      </c>
      <c r="E377" s="4">
        <v>5.1368877666302382E-4</v>
      </c>
      <c r="F377" s="4">
        <v>-2.0357835168038907E-4</v>
      </c>
      <c r="G377" s="4">
        <v>-1.3235149349100084E-4</v>
      </c>
    </row>
    <row r="378" spans="1:7" x14ac:dyDescent="0.35">
      <c r="A378" s="3">
        <v>42187</v>
      </c>
      <c r="B378" s="4">
        <v>-4.7683651210591593E-3</v>
      </c>
      <c r="C378" s="4">
        <v>1.0600165453535038E-2</v>
      </c>
      <c r="D378" s="4">
        <v>5.0023702448731555E-4</v>
      </c>
      <c r="E378" s="4">
        <v>5.6691439183875758E-4</v>
      </c>
      <c r="F378" s="4">
        <v>5.5246553231869111E-3</v>
      </c>
      <c r="G378" s="4">
        <v>9.4948845959796913E-4</v>
      </c>
    </row>
    <row r="379" spans="1:7" x14ac:dyDescent="0.35">
      <c r="A379" s="3">
        <v>42188</v>
      </c>
      <c r="B379" s="4">
        <v>-7.6344326882549218E-3</v>
      </c>
      <c r="C379" s="4">
        <v>4.3249100739901625E-3</v>
      </c>
      <c r="D379" s="4">
        <v>5.0265230899282365E-4</v>
      </c>
      <c r="E379" s="4">
        <v>5.0592534305748948E-4</v>
      </c>
      <c r="F379" s="4">
        <v>6.1821224643348049E-3</v>
      </c>
      <c r="G379" s="4">
        <v>1.2626013515060208E-4</v>
      </c>
    </row>
    <row r="380" spans="1:7" x14ac:dyDescent="0.35">
      <c r="A380" s="3">
        <v>42191</v>
      </c>
      <c r="B380" s="4">
        <v>-2.5297215503161663E-4</v>
      </c>
      <c r="C380" s="4">
        <v>1.3851801007319198E-2</v>
      </c>
      <c r="D380" s="4">
        <v>5.0310499749839366E-4</v>
      </c>
      <c r="E380" s="4">
        <v>5.0182767066164757E-4</v>
      </c>
      <c r="F380" s="4">
        <v>8.031309636784556E-4</v>
      </c>
      <c r="G380" s="4">
        <v>-2.9779529701379204E-4</v>
      </c>
    </row>
    <row r="381" spans="1:7" x14ac:dyDescent="0.35">
      <c r="A381" s="3">
        <v>42192</v>
      </c>
      <c r="B381" s="4">
        <v>-6.8467577084182496E-3</v>
      </c>
      <c r="C381" s="4">
        <v>8.6335799749637232E-3</v>
      </c>
      <c r="D381" s="4">
        <v>5.1150691984247487E-4</v>
      </c>
      <c r="E381" s="4">
        <v>5.3175238253277968E-4</v>
      </c>
      <c r="F381" s="4">
        <v>4.7477912816262791E-3</v>
      </c>
      <c r="G381" s="4">
        <v>1.2204131292068432E-3</v>
      </c>
    </row>
    <row r="382" spans="1:7" x14ac:dyDescent="0.35">
      <c r="A382" s="3">
        <v>42193</v>
      </c>
      <c r="B382" s="4">
        <v>-6.9009559549026989E-5</v>
      </c>
      <c r="C382" s="4">
        <v>4.6712159482753535E-4</v>
      </c>
      <c r="D382" s="4">
        <v>4.9556510617621008E-4</v>
      </c>
      <c r="E382" s="4">
        <v>5.50388667278634E-4</v>
      </c>
      <c r="F382" s="4">
        <v>-2.1627330608914308E-3</v>
      </c>
      <c r="G382" s="4">
        <v>3.2696233668771946E-4</v>
      </c>
    </row>
    <row r="383" spans="1:7" x14ac:dyDescent="0.35">
      <c r="A383" s="3">
        <v>42194</v>
      </c>
      <c r="B383" s="4">
        <v>8.657025074223057E-3</v>
      </c>
      <c r="C383" s="4">
        <v>-1.8569901972776415E-2</v>
      </c>
      <c r="D383" s="4">
        <v>5.2080535837739639E-4</v>
      </c>
      <c r="E383" s="4">
        <v>5.0663406901407804E-4</v>
      </c>
      <c r="F383" s="4">
        <v>-6.1622742921707552E-4</v>
      </c>
      <c r="G383" s="4">
        <v>1.403703105022247E-3</v>
      </c>
    </row>
    <row r="384" spans="1:7" x14ac:dyDescent="0.35">
      <c r="A384" s="3">
        <v>42195</v>
      </c>
      <c r="B384" s="4">
        <v>6.2860050363005016E-3</v>
      </c>
      <c r="C384" s="4">
        <v>-8.7291975310413994E-3</v>
      </c>
      <c r="D384" s="4">
        <v>5.2981655244610515E-4</v>
      </c>
      <c r="E384" s="4">
        <v>5.388760246221036E-4</v>
      </c>
      <c r="F384" s="4">
        <v>-3.2613310421220065E-3</v>
      </c>
      <c r="G384" s="4">
        <v>-1.0599174700168801E-3</v>
      </c>
    </row>
    <row r="385" spans="1:7" x14ac:dyDescent="0.35">
      <c r="A385" s="3">
        <v>42198</v>
      </c>
      <c r="B385" s="4">
        <v>-3.6507393127176435E-3</v>
      </c>
      <c r="C385" s="4">
        <v>-1.0884992940336513E-3</v>
      </c>
      <c r="D385" s="4">
        <v>5.0192511235924719E-4</v>
      </c>
      <c r="E385" s="4">
        <v>5.2579448843581567E-4</v>
      </c>
      <c r="F385" s="4">
        <v>7.3839404068509751E-4</v>
      </c>
      <c r="G385" s="4">
        <v>4.4334125615930198E-4</v>
      </c>
    </row>
    <row r="386" spans="1:7" x14ac:dyDescent="0.35">
      <c r="A386" s="3">
        <v>42199</v>
      </c>
      <c r="B386" s="4">
        <v>-4.0891252920132182E-3</v>
      </c>
      <c r="C386" s="4">
        <v>1.6257463055355803E-3</v>
      </c>
      <c r="D386" s="4">
        <v>5.3094321934210598E-4</v>
      </c>
      <c r="E386" s="4">
        <v>5.6548128043276691E-4</v>
      </c>
      <c r="F386" s="4">
        <v>1.9231078608923369E-3</v>
      </c>
      <c r="G386" s="4">
        <v>1.6267567215044743E-3</v>
      </c>
    </row>
    <row r="387" spans="1:7" x14ac:dyDescent="0.35">
      <c r="A387" s="3">
        <v>42200</v>
      </c>
      <c r="B387" s="4">
        <v>4.521042080327442E-3</v>
      </c>
      <c r="C387" s="4">
        <v>3.7547924799175014E-3</v>
      </c>
      <c r="D387" s="4">
        <v>5.1593566501861865E-4</v>
      </c>
      <c r="E387" s="4">
        <v>5.5052138832034636E-4</v>
      </c>
      <c r="F387" s="4">
        <v>-1.8925788464129178E-3</v>
      </c>
      <c r="G387" s="4">
        <v>1.7482360649974105E-3</v>
      </c>
    </row>
    <row r="388" spans="1:7" x14ac:dyDescent="0.35">
      <c r="A388" s="3">
        <v>42201</v>
      </c>
      <c r="B388" s="4">
        <v>-1.7934131456445845E-2</v>
      </c>
      <c r="C388" s="4">
        <v>1.3732515282418145E-2</v>
      </c>
      <c r="D388" s="4">
        <v>4.9959693423295981E-4</v>
      </c>
      <c r="E388" s="4">
        <v>4.9653339028465915E-4</v>
      </c>
      <c r="F388" s="4">
        <v>6.5045272916433028E-3</v>
      </c>
      <c r="G388" s="4">
        <v>6.8996373780549902E-4</v>
      </c>
    </row>
    <row r="389" spans="1:7" x14ac:dyDescent="0.35">
      <c r="A389" s="3">
        <v>42202</v>
      </c>
      <c r="B389" s="4">
        <v>-5.1932718153570034E-3</v>
      </c>
      <c r="C389" s="4">
        <v>1.3355169193041139E-3</v>
      </c>
      <c r="D389" s="4">
        <v>4.9708013982119326E-4</v>
      </c>
      <c r="E389" s="4">
        <v>5.4148890299243746E-4</v>
      </c>
      <c r="F389" s="4">
        <v>4.1432055128574063E-3</v>
      </c>
      <c r="G389" s="4">
        <v>1.997233589512426E-3</v>
      </c>
    </row>
    <row r="390" spans="1:7" x14ac:dyDescent="0.35">
      <c r="A390" s="3">
        <v>42205</v>
      </c>
      <c r="B390" s="4">
        <v>-5.5998552398779378E-3</v>
      </c>
      <c r="C390" s="4">
        <v>-8.9716476504222431E-3</v>
      </c>
      <c r="D390" s="4">
        <v>5.1503233989924624E-4</v>
      </c>
      <c r="E390" s="4">
        <v>5.5147696466839591E-4</v>
      </c>
      <c r="F390" s="4">
        <v>-2.0036493864840077E-3</v>
      </c>
      <c r="G390" s="4">
        <v>5.7166340533121307E-4</v>
      </c>
    </row>
    <row r="391" spans="1:7" x14ac:dyDescent="0.35">
      <c r="A391" s="3">
        <v>42206</v>
      </c>
      <c r="B391" s="4">
        <v>2.0797119551148047E-3</v>
      </c>
      <c r="C391" s="4">
        <v>1.7652232300795268E-2</v>
      </c>
      <c r="D391" s="4">
        <v>5.0660717949480016E-4</v>
      </c>
      <c r="E391" s="4">
        <v>5.6272510807864329E-4</v>
      </c>
      <c r="F391" s="4">
        <v>6.4573491301036512E-3</v>
      </c>
      <c r="G391" s="4">
        <v>1.0797894799388086E-3</v>
      </c>
    </row>
    <row r="392" spans="1:7" x14ac:dyDescent="0.35">
      <c r="A392" s="3">
        <v>42207</v>
      </c>
      <c r="B392" s="4">
        <v>-1.1824132876272042E-2</v>
      </c>
      <c r="C392" s="4">
        <v>2.0131149293837636E-2</v>
      </c>
      <c r="D392" s="4">
        <v>4.9708884380850193E-4</v>
      </c>
      <c r="E392" s="4">
        <v>4.9937999894766882E-4</v>
      </c>
      <c r="F392" s="4">
        <v>3.8138506727509736E-3</v>
      </c>
      <c r="G392" s="4">
        <v>-1.9276195337065705E-3</v>
      </c>
    </row>
    <row r="393" spans="1:7" x14ac:dyDescent="0.35">
      <c r="A393" s="3">
        <v>42208</v>
      </c>
      <c r="B393" s="4">
        <v>-8.727537412186015E-3</v>
      </c>
      <c r="C393" s="4">
        <v>1.9472349332440686E-2</v>
      </c>
      <c r="D393" s="4">
        <v>5.4176566952723881E-4</v>
      </c>
      <c r="E393" s="4">
        <v>3.420045265323246E-4</v>
      </c>
      <c r="F393" s="4">
        <v>4.6278823342225106E-3</v>
      </c>
      <c r="G393" s="4">
        <v>2.2256371686839582E-3</v>
      </c>
    </row>
    <row r="394" spans="1:7" x14ac:dyDescent="0.35">
      <c r="A394" s="3">
        <v>42209</v>
      </c>
      <c r="B394" s="4">
        <v>-7.3844302272325635E-3</v>
      </c>
      <c r="C394" s="4">
        <v>2.8983107476134862E-3</v>
      </c>
      <c r="D394" s="4">
        <v>5.1621656931577498E-4</v>
      </c>
      <c r="E394" s="4">
        <v>-1.2951154116400687E-3</v>
      </c>
      <c r="F394" s="4">
        <v>1.0049113033610002E-3</v>
      </c>
      <c r="G394" s="4">
        <v>-1.445206545897082E-3</v>
      </c>
    </row>
    <row r="395" spans="1:7" x14ac:dyDescent="0.35">
      <c r="A395" s="3">
        <v>42212</v>
      </c>
      <c r="B395" s="4">
        <v>1.296483833063844E-2</v>
      </c>
      <c r="C395" s="4">
        <v>5.0782474853034998E-3</v>
      </c>
      <c r="D395" s="4">
        <v>5.0552918713298034E-4</v>
      </c>
      <c r="E395" s="4">
        <v>5.904004331889201E-4</v>
      </c>
      <c r="F395" s="4">
        <v>-4.8333760736615217E-3</v>
      </c>
      <c r="G395" s="4">
        <v>1.2965563666571533E-3</v>
      </c>
    </row>
    <row r="396" spans="1:7" x14ac:dyDescent="0.35">
      <c r="A396" s="3">
        <v>42213</v>
      </c>
      <c r="B396" s="4">
        <v>9.1025630160006532E-3</v>
      </c>
      <c r="C396" s="4">
        <v>-1.7124410779200905E-2</v>
      </c>
      <c r="D396" s="4">
        <v>5.1390583015242797E-4</v>
      </c>
      <c r="E396" s="4">
        <v>4.3266235535943665E-4</v>
      </c>
      <c r="F396" s="4">
        <v>7.5125981792645291E-4</v>
      </c>
      <c r="G396" s="4">
        <v>3.1040812597984413E-3</v>
      </c>
    </row>
    <row r="397" spans="1:7" x14ac:dyDescent="0.35">
      <c r="A397" s="3">
        <v>42214</v>
      </c>
      <c r="B397" s="4">
        <v>3.4213445350441685E-3</v>
      </c>
      <c r="C397" s="4">
        <v>1.6627908694689664E-2</v>
      </c>
      <c r="D397" s="4">
        <v>5.049764280267155E-4</v>
      </c>
      <c r="E397" s="4">
        <v>5.7076567865821382E-4</v>
      </c>
      <c r="F397" s="4">
        <v>1.171215005315096E-2</v>
      </c>
      <c r="G397" s="4">
        <v>-1.839411895087073E-4</v>
      </c>
    </row>
    <row r="398" spans="1:7" x14ac:dyDescent="0.35">
      <c r="A398" s="3">
        <v>42215</v>
      </c>
      <c r="B398" s="4">
        <v>1.6500525231027519E-2</v>
      </c>
      <c r="C398" s="4">
        <v>1.2694360721748899E-2</v>
      </c>
      <c r="D398" s="4">
        <v>5.4957518851317388E-4</v>
      </c>
      <c r="E398" s="4">
        <v>5.3162001837137041E-4</v>
      </c>
      <c r="F398" s="4">
        <v>4.818833837982206E-3</v>
      </c>
      <c r="G398" s="4">
        <v>-2.5652583224317071E-3</v>
      </c>
    </row>
    <row r="399" spans="1:7" x14ac:dyDescent="0.35">
      <c r="A399" s="3">
        <v>42216</v>
      </c>
      <c r="B399" s="4">
        <v>-8.1144612651542491E-3</v>
      </c>
      <c r="C399" s="4">
        <v>9.6049312892780847E-3</v>
      </c>
      <c r="D399" s="4">
        <v>5.1129936987437397E-4</v>
      </c>
      <c r="E399" s="4">
        <v>5.570025118128985E-4</v>
      </c>
      <c r="F399" s="4">
        <v>-3.4444243242726102E-5</v>
      </c>
      <c r="G399" s="4">
        <v>1.1688343862701345E-3</v>
      </c>
    </row>
    <row r="400" spans="1:7" x14ac:dyDescent="0.35">
      <c r="A400" s="3">
        <v>42219</v>
      </c>
      <c r="B400" s="4">
        <v>2.1577149537459483E-3</v>
      </c>
      <c r="C400" s="4">
        <v>3.9142547005328598E-3</v>
      </c>
      <c r="D400" s="4">
        <v>5.3782957823278466E-4</v>
      </c>
      <c r="E400" s="4">
        <v>4.8540283336340195E-4</v>
      </c>
      <c r="F400" s="4">
        <v>-3.826820784305851E-3</v>
      </c>
      <c r="G400" s="4">
        <v>-1.0144132836594766E-3</v>
      </c>
    </row>
    <row r="401" spans="1:7" x14ac:dyDescent="0.35">
      <c r="A401" s="3">
        <v>42220</v>
      </c>
      <c r="B401" s="4">
        <v>5.0130928486737947E-3</v>
      </c>
      <c r="C401" s="4">
        <v>6.6996968096433296E-3</v>
      </c>
      <c r="D401" s="4">
        <v>5.4151543207403563E-4</v>
      </c>
      <c r="E401" s="4">
        <v>5.3810253256791896E-4</v>
      </c>
      <c r="F401" s="4">
        <v>-2.0650478682286977E-3</v>
      </c>
      <c r="G401" s="4">
        <v>1.6780891983252388E-3</v>
      </c>
    </row>
    <row r="402" spans="1:7" x14ac:dyDescent="0.35">
      <c r="A402" s="3">
        <v>42221</v>
      </c>
      <c r="B402" s="4">
        <v>-5.0705805658567416E-3</v>
      </c>
      <c r="C402" s="4">
        <v>1.5087468079810318E-2</v>
      </c>
      <c r="D402" s="4">
        <v>5.3033622283704673E-4</v>
      </c>
      <c r="E402" s="4">
        <v>4.866467056361401E-4</v>
      </c>
      <c r="F402" s="4">
        <v>-1.6361490962937264E-3</v>
      </c>
      <c r="G402" s="4">
        <v>2.2933409380732073E-4</v>
      </c>
    </row>
    <row r="403" spans="1:7" x14ac:dyDescent="0.35">
      <c r="A403" s="3">
        <v>42222</v>
      </c>
      <c r="B403" s="4">
        <v>-2.0916334246099511E-2</v>
      </c>
      <c r="C403" s="4">
        <v>-9.5327572746726208E-3</v>
      </c>
      <c r="D403" s="4">
        <v>5.6282364461801571E-4</v>
      </c>
      <c r="E403" s="4">
        <v>3.5188423544307845E-4</v>
      </c>
      <c r="F403" s="4">
        <v>-9.1881860694997819E-4</v>
      </c>
      <c r="G403" s="4">
        <v>-4.7122875239935524E-4</v>
      </c>
    </row>
    <row r="404" spans="1:7" x14ac:dyDescent="0.35">
      <c r="A404" s="3">
        <v>42223</v>
      </c>
      <c r="B404" s="4">
        <v>2.8612901154208004E-3</v>
      </c>
      <c r="C404" s="4">
        <v>-1.5327072717288504E-2</v>
      </c>
      <c r="D404" s="4">
        <v>5.4315950040795258E-4</v>
      </c>
      <c r="E404" s="4">
        <v>5.3242259180530382E-4</v>
      </c>
      <c r="F404" s="4">
        <v>-2.4154084843394097E-3</v>
      </c>
      <c r="G404" s="4">
        <v>6.431093222334372E-4</v>
      </c>
    </row>
    <row r="405" spans="1:7" x14ac:dyDescent="0.35">
      <c r="A405" s="3">
        <v>42226</v>
      </c>
      <c r="B405" s="4">
        <v>-3.7080906070865449E-3</v>
      </c>
      <c r="C405" s="4">
        <v>1.3979205346351664E-2</v>
      </c>
      <c r="D405" s="4">
        <v>5.4077233324445473E-4</v>
      </c>
      <c r="E405" s="4">
        <v>5.8331588556148617E-4</v>
      </c>
      <c r="F405" s="4">
        <v>6.2023116847069737E-3</v>
      </c>
      <c r="G405" s="4">
        <v>3.3787783962035967E-4</v>
      </c>
    </row>
    <row r="406" spans="1:7" x14ac:dyDescent="0.35">
      <c r="A406" s="3">
        <v>42227</v>
      </c>
      <c r="B406" s="4">
        <v>-8.8727572714892844E-3</v>
      </c>
      <c r="C406" s="4">
        <v>-7.59505298721741E-3</v>
      </c>
      <c r="D406" s="4">
        <v>5.4302034425091072E-4</v>
      </c>
      <c r="E406" s="4">
        <v>5.3816997367550634E-4</v>
      </c>
      <c r="F406" s="4">
        <v>-3.6248821704654155E-4</v>
      </c>
      <c r="G406" s="4">
        <v>4.2222388106027964E-5</v>
      </c>
    </row>
    <row r="407" spans="1:7" x14ac:dyDescent="0.35">
      <c r="A407" s="3">
        <v>42228</v>
      </c>
      <c r="B407" s="4">
        <v>-4.5559983526177739E-4</v>
      </c>
      <c r="C407" s="4">
        <v>8.9457930366336758E-3</v>
      </c>
      <c r="D407" s="4">
        <v>5.1262978658117575E-4</v>
      </c>
      <c r="E407" s="4">
        <v>5.8062347087917132E-4</v>
      </c>
      <c r="F407" s="4">
        <v>2.0316719749768897E-3</v>
      </c>
      <c r="G407" s="4">
        <v>3.0171255500395233E-3</v>
      </c>
    </row>
    <row r="408" spans="1:7" x14ac:dyDescent="0.35">
      <c r="A408" s="3">
        <v>42229</v>
      </c>
      <c r="B408" s="4">
        <v>-3.6895872999410662E-3</v>
      </c>
      <c r="C408" s="4">
        <v>-8.4999663355793675E-3</v>
      </c>
      <c r="D408" s="4">
        <v>5.3975212582302312E-4</v>
      </c>
      <c r="E408" s="4">
        <v>5.4513196267436115E-4</v>
      </c>
      <c r="F408" s="4">
        <v>1.6245083801380567E-3</v>
      </c>
      <c r="G408" s="4">
        <v>2.651122308213516E-3</v>
      </c>
    </row>
    <row r="409" spans="1:7" x14ac:dyDescent="0.35">
      <c r="A409" s="3">
        <v>42230</v>
      </c>
      <c r="B409" s="4">
        <v>-4.1318102841840787E-3</v>
      </c>
      <c r="C409" s="4">
        <v>7.8901694663291444E-4</v>
      </c>
      <c r="D409" s="4">
        <v>5.1900350028155628E-4</v>
      </c>
      <c r="E409" s="4">
        <v>3.6338178532813181E-4</v>
      </c>
      <c r="F409" s="4">
        <v>4.8502040596076768E-4</v>
      </c>
      <c r="G409" s="4">
        <v>1.6033016986829463E-3</v>
      </c>
    </row>
    <row r="410" spans="1:7" x14ac:dyDescent="0.35">
      <c r="A410" s="3">
        <v>42233</v>
      </c>
      <c r="B410" s="4">
        <v>4.1671282153779021E-3</v>
      </c>
      <c r="C410" s="4">
        <v>-5.1216194159642292E-3</v>
      </c>
      <c r="D410" s="4">
        <v>5.3318914982347643E-4</v>
      </c>
      <c r="E410" s="4">
        <v>4.9579477911287917E-4</v>
      </c>
      <c r="F410" s="4">
        <v>3.3128471922556635E-3</v>
      </c>
      <c r="G410" s="4">
        <v>1.9544484820279706E-3</v>
      </c>
    </row>
    <row r="411" spans="1:7" x14ac:dyDescent="0.35">
      <c r="A411" s="3">
        <v>42234</v>
      </c>
      <c r="B411" s="4">
        <v>-7.6348936185712812E-3</v>
      </c>
      <c r="C411" s="4">
        <v>7.5692352340892555E-3</v>
      </c>
      <c r="D411" s="4">
        <v>5.6308767151924677E-4</v>
      </c>
      <c r="E411" s="4">
        <v>5.4463163523732483E-4</v>
      </c>
      <c r="F411" s="4">
        <v>5.2802249454497741E-3</v>
      </c>
      <c r="G411" s="4">
        <v>9.2979889628752588E-4</v>
      </c>
    </row>
    <row r="412" spans="1:7" x14ac:dyDescent="0.35">
      <c r="A412" s="3">
        <v>42235</v>
      </c>
      <c r="B412" s="4">
        <v>-5.9674506470105415E-3</v>
      </c>
      <c r="C412" s="4">
        <v>-9.888938327550223E-3</v>
      </c>
      <c r="D412" s="4">
        <v>5.2747788484341918E-4</v>
      </c>
      <c r="E412" s="4">
        <v>5.2382465721767524E-4</v>
      </c>
      <c r="F412" s="4">
        <v>2.4434061392633044E-3</v>
      </c>
      <c r="G412" s="4">
        <v>-1.6734064781489533E-3</v>
      </c>
    </row>
    <row r="413" spans="1:7" x14ac:dyDescent="0.35">
      <c r="A413" s="3">
        <v>42236</v>
      </c>
      <c r="B413" s="4">
        <v>-1.3098458176074135E-2</v>
      </c>
      <c r="C413" s="4">
        <v>1.0731898293763198E-2</v>
      </c>
      <c r="D413" s="4">
        <v>5.2097085977043101E-4</v>
      </c>
      <c r="E413" s="4">
        <v>5.4950590632829588E-4</v>
      </c>
      <c r="F413" s="4">
        <v>3.5656916225244029E-3</v>
      </c>
      <c r="G413" s="4">
        <v>2.0915789607016677E-3</v>
      </c>
    </row>
    <row r="414" spans="1:7" x14ac:dyDescent="0.35">
      <c r="A414" s="3">
        <v>42237</v>
      </c>
      <c r="B414" s="4">
        <v>-2.7738541811353934E-2</v>
      </c>
      <c r="C414" s="4">
        <v>1.7519100394569387E-2</v>
      </c>
      <c r="D414" s="4">
        <v>5.3594625798880635E-4</v>
      </c>
      <c r="E414" s="4">
        <v>5.4314804727240151E-4</v>
      </c>
      <c r="F414" s="4">
        <v>2.275177809551554E-3</v>
      </c>
      <c r="G414" s="4">
        <v>7.4385820428890526E-4</v>
      </c>
    </row>
    <row r="415" spans="1:7" x14ac:dyDescent="0.35">
      <c r="A415" s="3">
        <v>42240</v>
      </c>
      <c r="B415" s="4">
        <v>3.8698962890493238E-3</v>
      </c>
      <c r="C415" s="4">
        <v>8.0073204149446742E-3</v>
      </c>
      <c r="D415" s="4">
        <v>5.4251373160529859E-4</v>
      </c>
      <c r="E415" s="4">
        <v>5.4908104181761175E-4</v>
      </c>
      <c r="F415" s="4">
        <v>3.6558171968223974E-3</v>
      </c>
      <c r="G415" s="4">
        <v>1.1895344329260205E-3</v>
      </c>
    </row>
    <row r="416" spans="1:7" x14ac:dyDescent="0.35">
      <c r="A416" s="3">
        <v>42241</v>
      </c>
      <c r="B416" s="4">
        <v>3.2722233829972414E-2</v>
      </c>
      <c r="C416" s="4">
        <v>8.0713451152922833E-3</v>
      </c>
      <c r="D416" s="4">
        <v>5.2985903302404935E-4</v>
      </c>
      <c r="E416" s="4">
        <v>5.6564751146659376E-4</v>
      </c>
      <c r="F416" s="4">
        <v>4.3286975416065854E-3</v>
      </c>
      <c r="G416" s="4">
        <v>1.5702027200750202E-3</v>
      </c>
    </row>
    <row r="417" spans="1:7" x14ac:dyDescent="0.35">
      <c r="A417" s="3">
        <v>42242</v>
      </c>
      <c r="B417" s="4">
        <v>2.0174032644876716E-2</v>
      </c>
      <c r="C417" s="4">
        <v>-1.4906586654391485E-2</v>
      </c>
      <c r="D417" s="4">
        <v>5.1841788948969736E-4</v>
      </c>
      <c r="E417" s="4">
        <v>5.8062857315288596E-4</v>
      </c>
      <c r="F417" s="4">
        <v>-5.1680908294936545E-3</v>
      </c>
      <c r="G417" s="4">
        <v>-7.845001880346647E-5</v>
      </c>
    </row>
    <row r="418" spans="1:7" x14ac:dyDescent="0.35">
      <c r="A418" s="3">
        <v>42243</v>
      </c>
      <c r="B418" s="4">
        <v>-9.7800228870412731E-3</v>
      </c>
      <c r="C418" s="4">
        <v>6.8031503084504674E-3</v>
      </c>
      <c r="D418" s="4">
        <v>5.2887175102500628E-4</v>
      </c>
      <c r="E418" s="4">
        <v>5.4729187744606556E-4</v>
      </c>
      <c r="F418" s="4">
        <v>-2.6392658559091231E-3</v>
      </c>
      <c r="G418" s="4">
        <v>-2.8361617222727453E-4</v>
      </c>
    </row>
    <row r="419" spans="1:7" x14ac:dyDescent="0.35">
      <c r="A419" s="3">
        <v>42244</v>
      </c>
      <c r="B419" s="4">
        <v>-7.5996813186676171E-3</v>
      </c>
      <c r="C419" s="4">
        <v>1.2918178847191264E-2</v>
      </c>
      <c r="D419" s="4">
        <v>5.3703115477388152E-4</v>
      </c>
      <c r="E419" s="4">
        <v>5.4088609930302844E-4</v>
      </c>
      <c r="F419" s="4">
        <v>1.7834217741814484E-3</v>
      </c>
      <c r="G419" s="4">
        <v>-1.702584548753161E-3</v>
      </c>
    </row>
    <row r="420" spans="1:7" x14ac:dyDescent="0.35">
      <c r="A420" s="3">
        <v>42247</v>
      </c>
      <c r="B420" s="4">
        <v>-1.4639162990974897E-2</v>
      </c>
      <c r="C420" s="4">
        <v>1.8849460646427119E-2</v>
      </c>
      <c r="D420" s="4">
        <v>5.4670656248312355E-4</v>
      </c>
      <c r="E420" s="4">
        <v>4.7213911422105959E-4</v>
      </c>
      <c r="F420" s="4">
        <v>5.0636887306447775E-3</v>
      </c>
      <c r="G420" s="4">
        <v>-1.252566232267549E-3</v>
      </c>
    </row>
    <row r="421" spans="1:7" x14ac:dyDescent="0.35">
      <c r="A421" s="3">
        <v>42248</v>
      </c>
      <c r="B421" s="4">
        <v>2.3583408915581527E-2</v>
      </c>
      <c r="C421" s="4">
        <v>1.7815875675003978E-2</v>
      </c>
      <c r="D421" s="4">
        <v>5.4887759610977582E-4</v>
      </c>
      <c r="E421" s="4">
        <v>4.7376432483270392E-4</v>
      </c>
      <c r="F421" s="4">
        <v>-1.2065969727421688E-3</v>
      </c>
      <c r="G421" s="4">
        <v>-7.0941266567259298E-4</v>
      </c>
    </row>
    <row r="422" spans="1:7" x14ac:dyDescent="0.35">
      <c r="A422" s="3">
        <v>42249</v>
      </c>
      <c r="B422" s="4">
        <v>1.1828874946194556E-2</v>
      </c>
      <c r="C422" s="4">
        <v>-4.9836383330943423E-3</v>
      </c>
      <c r="D422" s="4">
        <v>5.5129008460585993E-4</v>
      </c>
      <c r="E422" s="4">
        <v>5.1731778698949071E-4</v>
      </c>
      <c r="F422" s="4">
        <v>-1.1182620053847847E-3</v>
      </c>
      <c r="G422" s="4">
        <v>1.7183327176182317E-3</v>
      </c>
    </row>
    <row r="423" spans="1:7" x14ac:dyDescent="0.35">
      <c r="A423" s="3">
        <v>42250</v>
      </c>
      <c r="B423" s="4">
        <v>-9.7033871464859978E-3</v>
      </c>
      <c r="C423" s="4">
        <v>2.6592445190997349E-2</v>
      </c>
      <c r="D423" s="4">
        <v>5.2147192110130192E-4</v>
      </c>
      <c r="E423" s="4">
        <v>1.6982025348055707E-3</v>
      </c>
      <c r="F423" s="4">
        <v>7.5237346064125354E-3</v>
      </c>
      <c r="G423" s="4">
        <v>-1.3310525302927534E-3</v>
      </c>
    </row>
    <row r="424" spans="1:7" x14ac:dyDescent="0.35">
      <c r="A424" s="3">
        <v>42251</v>
      </c>
      <c r="B424" s="4">
        <v>8.8123808352438271E-3</v>
      </c>
      <c r="C424" s="4">
        <v>-7.0334097596261858E-3</v>
      </c>
      <c r="D424" s="4">
        <v>5.6613905702485035E-4</v>
      </c>
      <c r="E424" s="4">
        <v>4.7929135856694671E-4</v>
      </c>
      <c r="F424" s="4">
        <v>-3.5371588523066544E-3</v>
      </c>
      <c r="G424" s="4">
        <v>-4.0372249136588767E-4</v>
      </c>
    </row>
    <row r="425" spans="1:7" x14ac:dyDescent="0.35">
      <c r="A425" s="3">
        <v>42255</v>
      </c>
      <c r="B425" s="4">
        <v>-3.0456749488629864E-3</v>
      </c>
      <c r="C425" s="4">
        <v>-3.9343775939818526E-3</v>
      </c>
      <c r="D425" s="4">
        <v>5.0744011170644754E-4</v>
      </c>
      <c r="E425" s="4">
        <v>5.9395546722140757E-4</v>
      </c>
      <c r="F425" s="4">
        <v>2.0889988400516479E-3</v>
      </c>
      <c r="G425" s="4">
        <v>1.7505092494529695E-3</v>
      </c>
    </row>
    <row r="426" spans="1:7" x14ac:dyDescent="0.35">
      <c r="A426" s="3">
        <v>42256</v>
      </c>
      <c r="B426" s="4">
        <v>5.5251485854999061E-3</v>
      </c>
      <c r="C426" s="4">
        <v>1.0513055045994646E-2</v>
      </c>
      <c r="D426" s="4">
        <v>5.4456309369532718E-4</v>
      </c>
      <c r="E426" s="4">
        <v>5.5838169960176209E-4</v>
      </c>
      <c r="F426" s="4">
        <v>1.3292241165148155E-3</v>
      </c>
      <c r="G426" s="4">
        <v>-2.1416120290996821E-3</v>
      </c>
    </row>
    <row r="427" spans="1:7" x14ac:dyDescent="0.35">
      <c r="A427" s="3">
        <v>42257</v>
      </c>
      <c r="B427" s="4">
        <v>3.5604092895435979E-3</v>
      </c>
      <c r="C427" s="4">
        <v>6.0079652737043965E-3</v>
      </c>
      <c r="D427" s="4">
        <v>5.7571017500968047E-4</v>
      </c>
      <c r="E427" s="4">
        <v>6.1189561999031028E-4</v>
      </c>
      <c r="F427" s="4">
        <v>5.4913208104800937E-4</v>
      </c>
      <c r="G427" s="4">
        <v>2.8018561176625933E-3</v>
      </c>
    </row>
    <row r="428" spans="1:7" x14ac:dyDescent="0.35">
      <c r="A428" s="3">
        <v>42258</v>
      </c>
      <c r="B428" s="4">
        <v>1.8179384468334003E-2</v>
      </c>
      <c r="C428" s="4">
        <v>-1.2515348666947146E-2</v>
      </c>
      <c r="D428" s="4">
        <v>5.3800873790144088E-4</v>
      </c>
      <c r="E428" s="4">
        <v>5.6143184644530386E-4</v>
      </c>
      <c r="F428" s="4">
        <v>1.2519174358835983E-3</v>
      </c>
      <c r="G428" s="4">
        <v>4.2436175700661938E-3</v>
      </c>
    </row>
    <row r="429" spans="1:7" x14ac:dyDescent="0.35">
      <c r="A429" s="3">
        <v>42261</v>
      </c>
      <c r="B429" s="4">
        <v>2.404215279828481E-3</v>
      </c>
      <c r="C429" s="4">
        <v>8.9062817083920276E-3</v>
      </c>
      <c r="D429" s="4">
        <v>5.2700450700515766E-4</v>
      </c>
      <c r="E429" s="4">
        <v>5.7472761498789104E-4</v>
      </c>
      <c r="F429" s="4">
        <v>1.1181136562399274E-5</v>
      </c>
      <c r="G429" s="4">
        <v>1.1850443319305626E-4</v>
      </c>
    </row>
    <row r="430" spans="1:7" x14ac:dyDescent="0.35">
      <c r="A430" s="3">
        <v>42262</v>
      </c>
      <c r="B430" s="4">
        <v>1.1663445473484746E-2</v>
      </c>
      <c r="C430" s="4">
        <v>-7.993553851028623E-3</v>
      </c>
      <c r="D430" s="4">
        <v>5.5000841846886139E-4</v>
      </c>
      <c r="E430" s="4">
        <v>5.3691429832647408E-4</v>
      </c>
      <c r="F430" s="4">
        <v>-2.2103999748857017E-3</v>
      </c>
      <c r="G430" s="4">
        <v>1.0660478440565058E-3</v>
      </c>
    </row>
    <row r="431" spans="1:7" x14ac:dyDescent="0.35">
      <c r="A431" s="3">
        <v>42263</v>
      </c>
      <c r="B431" s="4">
        <v>-1.9619917536835008E-3</v>
      </c>
      <c r="C431" s="4">
        <v>1.2434459766512695E-3</v>
      </c>
      <c r="D431" s="4">
        <v>5.4434921046708773E-4</v>
      </c>
      <c r="E431" s="4">
        <v>5.3146004473725306E-4</v>
      </c>
      <c r="F431" s="4">
        <v>2.0632643904852088E-3</v>
      </c>
      <c r="G431" s="4">
        <v>5.4326259980119751E-4</v>
      </c>
    </row>
    <row r="432" spans="1:7" x14ac:dyDescent="0.35">
      <c r="A432" s="3">
        <v>42264</v>
      </c>
      <c r="B432" s="4">
        <v>-2.0219567952554307E-2</v>
      </c>
      <c r="C432" s="4">
        <v>2.4597173587717513E-2</v>
      </c>
      <c r="D432" s="4">
        <v>5.5528931996562392E-4</v>
      </c>
      <c r="E432" s="4">
        <v>5.1519296231372635E-4</v>
      </c>
      <c r="F432" s="4">
        <v>4.0762583261444441E-3</v>
      </c>
      <c r="G432" s="4">
        <v>-2.4599005460165246E-3</v>
      </c>
    </row>
    <row r="433" spans="1:7" x14ac:dyDescent="0.35">
      <c r="A433" s="3">
        <v>42265</v>
      </c>
      <c r="B433" s="4">
        <v>-1.1180253746790103E-2</v>
      </c>
      <c r="C433" s="4">
        <v>6.8347631845635526E-3</v>
      </c>
      <c r="D433" s="4">
        <v>5.5475579635677619E-4</v>
      </c>
      <c r="E433" s="4">
        <v>3.958220991193695E-4</v>
      </c>
      <c r="F433" s="4">
        <v>1.4079593745222052E-3</v>
      </c>
      <c r="G433" s="4">
        <v>-4.3841610209482962E-4</v>
      </c>
    </row>
    <row r="434" spans="1:7" x14ac:dyDescent="0.35">
      <c r="A434" s="3">
        <v>42268</v>
      </c>
      <c r="B434" s="4">
        <v>-1.2737822885217076E-3</v>
      </c>
      <c r="C434" s="4">
        <v>2.3323045243028639E-2</v>
      </c>
      <c r="D434" s="4">
        <v>5.3700289205060869E-4</v>
      </c>
      <c r="E434" s="4">
        <v>5.522101195059026E-4</v>
      </c>
      <c r="F434" s="4">
        <v>7.0390423403374758E-3</v>
      </c>
      <c r="G434" s="4">
        <v>2.2002463517951654E-3</v>
      </c>
    </row>
    <row r="435" spans="1:7" x14ac:dyDescent="0.35">
      <c r="A435" s="3">
        <v>42269</v>
      </c>
      <c r="B435" s="4">
        <v>-1.4819396884463654E-2</v>
      </c>
      <c r="C435" s="4">
        <v>1.9547193951659381E-2</v>
      </c>
      <c r="D435" s="4">
        <v>5.5878053415558959E-4</v>
      </c>
      <c r="E435" s="4">
        <v>5.0522478348935529E-4</v>
      </c>
      <c r="F435" s="4">
        <v>1.0183920425216098E-2</v>
      </c>
      <c r="G435" s="4">
        <v>4.9067652864165368E-4</v>
      </c>
    </row>
    <row r="436" spans="1:7" x14ac:dyDescent="0.35">
      <c r="A436" s="3">
        <v>42270</v>
      </c>
      <c r="B436" s="4">
        <v>-3.6277039148429058E-3</v>
      </c>
      <c r="C436" s="4">
        <v>-1.614783661271979E-2</v>
      </c>
      <c r="D436" s="4">
        <v>6.0874487106699071E-4</v>
      </c>
      <c r="E436" s="4">
        <v>4.1801254583551106E-4</v>
      </c>
      <c r="F436" s="4">
        <v>-7.7931918332189154E-3</v>
      </c>
      <c r="G436" s="4">
        <v>3.8583105196532408E-4</v>
      </c>
    </row>
    <row r="437" spans="1:7" x14ac:dyDescent="0.35">
      <c r="A437" s="3">
        <v>42271</v>
      </c>
      <c r="B437" s="4">
        <v>-4.6620219367088378E-3</v>
      </c>
      <c r="C437" s="4">
        <v>-2.4915688526064295E-2</v>
      </c>
      <c r="D437" s="4">
        <v>5.4000062003112248E-4</v>
      </c>
      <c r="E437" s="4">
        <v>6.8291133627962353E-4</v>
      </c>
      <c r="F437" s="4">
        <v>-5.7873849195001492E-3</v>
      </c>
      <c r="G437" s="4">
        <v>-8.962875312332752E-4</v>
      </c>
    </row>
    <row r="438" spans="1:7" x14ac:dyDescent="0.35">
      <c r="A438" s="3">
        <v>42272</v>
      </c>
      <c r="B438" s="4">
        <v>-7.7778386262276067E-3</v>
      </c>
      <c r="C438" s="4">
        <v>2.1721021140963304E-2</v>
      </c>
      <c r="D438" s="4">
        <v>4.9677600043485093E-4</v>
      </c>
      <c r="E438" s="4">
        <v>5.8491673859828452E-4</v>
      </c>
      <c r="F438" s="4">
        <v>1.1906424419151351E-2</v>
      </c>
      <c r="G438" s="4">
        <v>-1.5196567286668294E-4</v>
      </c>
    </row>
    <row r="439" spans="1:7" x14ac:dyDescent="0.35">
      <c r="A439" s="3">
        <v>42275</v>
      </c>
      <c r="B439" s="4">
        <v>-5.8444626505294028E-4</v>
      </c>
      <c r="C439" s="4">
        <v>-4.5966587441775841E-3</v>
      </c>
      <c r="D439" s="4">
        <v>5.9960764038469172E-4</v>
      </c>
      <c r="E439" s="4">
        <v>4.3094781068520049E-4</v>
      </c>
      <c r="F439" s="4">
        <v>-2.9549830033189783E-3</v>
      </c>
      <c r="G439" s="4">
        <v>1.5572176997415976E-3</v>
      </c>
    </row>
    <row r="440" spans="1:7" x14ac:dyDescent="0.35">
      <c r="A440" s="3">
        <v>42276</v>
      </c>
      <c r="B440" s="4">
        <v>1.8060805239482391E-2</v>
      </c>
      <c r="C440" s="4">
        <v>-1.0391081711211059E-2</v>
      </c>
      <c r="D440" s="4">
        <v>6.0148309711416381E-4</v>
      </c>
      <c r="E440" s="4">
        <v>5.7890371096958049E-4</v>
      </c>
      <c r="F440" s="4">
        <v>-1.3737244943090809E-2</v>
      </c>
      <c r="G440" s="4">
        <v>-8.5618570418677375E-4</v>
      </c>
    </row>
    <row r="441" spans="1:7" x14ac:dyDescent="0.35">
      <c r="A441" s="3">
        <v>42277</v>
      </c>
      <c r="B441" s="4">
        <v>2.3228867072200288E-4</v>
      </c>
      <c r="C441" s="4">
        <v>5.6596659035013097E-4</v>
      </c>
      <c r="D441" s="4">
        <v>5.1729435540837088E-4</v>
      </c>
      <c r="E441" s="4">
        <v>6.2052130542289419E-4</v>
      </c>
      <c r="F441" s="4">
        <v>-4.2301621592244487E-6</v>
      </c>
      <c r="G441" s="4">
        <v>1.8039619500633819E-3</v>
      </c>
    </row>
    <row r="442" spans="1:7" x14ac:dyDescent="0.35">
      <c r="A442" s="3">
        <v>42278</v>
      </c>
      <c r="B442" s="4">
        <v>1.7767191279260741E-2</v>
      </c>
      <c r="C442" s="4">
        <v>-9.9816197341773272E-3</v>
      </c>
      <c r="D442" s="4">
        <v>4.8869124996708813E-4</v>
      </c>
      <c r="E442" s="4">
        <v>4.8859731229677905E-4</v>
      </c>
      <c r="F442" s="4">
        <v>-3.7634144899623134E-3</v>
      </c>
      <c r="G442" s="4">
        <v>2.0209841075491397E-4</v>
      </c>
    </row>
    <row r="443" spans="1:7" x14ac:dyDescent="0.35">
      <c r="A443" s="3">
        <v>42279</v>
      </c>
      <c r="B443" s="4">
        <v>7.1620190121894911E-3</v>
      </c>
      <c r="C443" s="4">
        <v>-1.1866018026894687E-2</v>
      </c>
      <c r="D443" s="4">
        <v>4.5193060637660487E-4</v>
      </c>
      <c r="E443" s="4">
        <v>6.8245204777817037E-4</v>
      </c>
      <c r="F443" s="4">
        <v>-1.9000222789034016E-3</v>
      </c>
      <c r="G443" s="4">
        <v>5.2862801669872894E-4</v>
      </c>
    </row>
    <row r="444" spans="1:7" x14ac:dyDescent="0.35">
      <c r="A444" s="3">
        <v>42282</v>
      </c>
      <c r="B444" s="4">
        <v>9.8142000718226541E-4</v>
      </c>
      <c r="C444" s="4">
        <v>-1.2937113724433735E-2</v>
      </c>
      <c r="D444" s="4">
        <v>5.0062909277004408E-4</v>
      </c>
      <c r="E444" s="4">
        <v>5.3758439918749623E-4</v>
      </c>
      <c r="F444" s="4">
        <v>-1.1972732993191793E-3</v>
      </c>
      <c r="G444" s="4">
        <v>7.4441418821713512E-4</v>
      </c>
    </row>
    <row r="445" spans="1:7" x14ac:dyDescent="0.35">
      <c r="A445" s="3">
        <v>42283</v>
      </c>
      <c r="B445" s="4">
        <v>1.3425961290089106E-2</v>
      </c>
      <c r="C445" s="4">
        <v>5.6734459524290237E-3</v>
      </c>
      <c r="D445" s="4">
        <v>5.0672078652413965E-4</v>
      </c>
      <c r="E445" s="4">
        <v>5.1609406355246357E-4</v>
      </c>
      <c r="F445" s="4">
        <v>-4.2269934290684041E-5</v>
      </c>
      <c r="G445" s="4">
        <v>1.369536170006791E-3</v>
      </c>
    </row>
    <row r="446" spans="1:7" x14ac:dyDescent="0.35">
      <c r="A446" s="3">
        <v>42284</v>
      </c>
      <c r="B446" s="4">
        <v>4.2597694868480307E-3</v>
      </c>
      <c r="C446" s="4">
        <v>-1.5816436773991027E-2</v>
      </c>
      <c r="D446" s="4">
        <v>5.3436113041938071E-4</v>
      </c>
      <c r="E446" s="4">
        <v>4.8342506400622653E-4</v>
      </c>
      <c r="F446" s="4">
        <v>-6.4758767041731558E-3</v>
      </c>
      <c r="G446" s="4">
        <v>-2.372318232429782E-4</v>
      </c>
    </row>
    <row r="447" spans="1:7" x14ac:dyDescent="0.35">
      <c r="A447" s="3">
        <v>42285</v>
      </c>
      <c r="B447" s="4">
        <v>-4.4066030714535742E-3</v>
      </c>
      <c r="C447" s="4">
        <v>-1.6117481736734551E-2</v>
      </c>
      <c r="D447" s="4">
        <v>5.1928979406024034E-4</v>
      </c>
      <c r="E447" s="4">
        <v>5.9013320973355654E-4</v>
      </c>
      <c r="F447" s="4">
        <v>-4.083179443251872E-3</v>
      </c>
      <c r="G447" s="4">
        <v>-2.855049322409986E-4</v>
      </c>
    </row>
    <row r="448" spans="1:7" x14ac:dyDescent="0.35">
      <c r="A448" s="3">
        <v>42286</v>
      </c>
      <c r="B448" s="4">
        <v>-1.4701712848093185E-2</v>
      </c>
      <c r="C448" s="4">
        <v>3.0104030364837886E-2</v>
      </c>
      <c r="D448" s="4">
        <v>5.490926773550342E-4</v>
      </c>
      <c r="E448" s="4">
        <v>4.3829220091895493E-4</v>
      </c>
      <c r="F448" s="4">
        <v>1.0784938619990081E-2</v>
      </c>
      <c r="G448" s="4">
        <v>1.2113649450173902E-3</v>
      </c>
    </row>
    <row r="449" spans="1:7" x14ac:dyDescent="0.35">
      <c r="A449" s="3">
        <v>42290</v>
      </c>
      <c r="B449" s="4">
        <v>-1.474135064207982E-2</v>
      </c>
      <c r="C449" s="4">
        <v>-6.0457127474413674E-3</v>
      </c>
      <c r="D449" s="4">
        <v>5.3516676079223835E-4</v>
      </c>
      <c r="E449" s="4">
        <v>5.3440754984324101E-4</v>
      </c>
      <c r="F449" s="4">
        <v>-2.7786027586773621E-3</v>
      </c>
      <c r="G449" s="4">
        <v>3.7077163725540707E-4</v>
      </c>
    </row>
    <row r="450" spans="1:7" x14ac:dyDescent="0.35">
      <c r="A450" s="3">
        <v>42291</v>
      </c>
      <c r="B450" s="4">
        <v>9.0145660322029642E-3</v>
      </c>
      <c r="C450" s="4">
        <v>-8.0370951525873258E-3</v>
      </c>
      <c r="D450" s="4">
        <v>5.1631339314206492E-4</v>
      </c>
      <c r="E450" s="4">
        <v>5.8231899487437566E-4</v>
      </c>
      <c r="F450" s="4">
        <v>-2.9772874588260834E-3</v>
      </c>
      <c r="G450" s="4">
        <v>6.4200495931254764E-4</v>
      </c>
    </row>
    <row r="451" spans="1:7" x14ac:dyDescent="0.35">
      <c r="A451" s="3">
        <v>42292</v>
      </c>
      <c r="B451" s="4">
        <v>-1.2167540364321772E-3</v>
      </c>
      <c r="C451" s="4">
        <v>5.1933683392497709E-3</v>
      </c>
      <c r="D451" s="4">
        <v>5.319957865010938E-4</v>
      </c>
      <c r="E451" s="4">
        <v>5.7603991806853827E-4</v>
      </c>
      <c r="F451" s="4">
        <v>3.1149016271372343E-3</v>
      </c>
      <c r="G451" s="4">
        <v>-1.2361236377680385E-3</v>
      </c>
    </row>
    <row r="452" spans="1:7" x14ac:dyDescent="0.35">
      <c r="A452" s="3">
        <v>42293</v>
      </c>
      <c r="B452" s="4">
        <v>2.8678886004365189E-3</v>
      </c>
      <c r="C452" s="4">
        <v>1.7810382487741139E-2</v>
      </c>
      <c r="D452" s="4">
        <v>5.2596278596794832E-4</v>
      </c>
      <c r="E452" s="4">
        <v>5.4102352165763534E-4</v>
      </c>
      <c r="F452" s="4">
        <v>4.2915480816194673E-3</v>
      </c>
      <c r="G452" s="4">
        <v>9.4068553403481303E-4</v>
      </c>
    </row>
    <row r="453" spans="1:7" x14ac:dyDescent="0.35">
      <c r="A453" s="3">
        <v>42296</v>
      </c>
      <c r="B453" s="4">
        <v>-1.2373860683748128E-2</v>
      </c>
      <c r="C453" s="4">
        <v>2.3638101228535824E-3</v>
      </c>
      <c r="D453" s="4">
        <v>5.4305137911137003E-4</v>
      </c>
      <c r="E453" s="4">
        <v>5.1663313357264151E-4</v>
      </c>
      <c r="F453" s="4">
        <v>1.9090956161416095E-4</v>
      </c>
      <c r="G453" s="4">
        <v>-9.5031964339076236E-4</v>
      </c>
    </row>
    <row r="454" spans="1:7" x14ac:dyDescent="0.35">
      <c r="A454" s="3">
        <v>42297</v>
      </c>
      <c r="B454" s="4">
        <v>-5.3035132135799135E-3</v>
      </c>
      <c r="C454" s="4">
        <v>8.0362944201419761E-3</v>
      </c>
      <c r="D454" s="4">
        <v>5.2406778778624208E-4</v>
      </c>
      <c r="E454" s="4">
        <v>5.5817858925100161E-4</v>
      </c>
      <c r="F454" s="4">
        <v>2.652905003356576E-3</v>
      </c>
      <c r="G454" s="4">
        <v>-4.8454145879184285E-4</v>
      </c>
    </row>
    <row r="455" spans="1:7" x14ac:dyDescent="0.35">
      <c r="A455" s="3">
        <v>42298</v>
      </c>
      <c r="B455" s="4">
        <v>1.1126621614216292E-2</v>
      </c>
      <c r="C455" s="4">
        <v>-3.8715873345078755E-3</v>
      </c>
      <c r="D455" s="4">
        <v>5.4750502005873614E-4</v>
      </c>
      <c r="E455" s="4">
        <v>5.5598240988952163E-4</v>
      </c>
      <c r="F455" s="4">
        <v>-2.6142739896539702E-4</v>
      </c>
      <c r="G455" s="4">
        <v>8.6049996051396072E-4</v>
      </c>
    </row>
    <row r="456" spans="1:7" x14ac:dyDescent="0.35">
      <c r="A456" s="3">
        <v>42299</v>
      </c>
      <c r="B456" s="4">
        <v>-3.4552564191360213E-3</v>
      </c>
      <c r="C456" s="4">
        <v>-6.9739217163373723E-3</v>
      </c>
      <c r="D456" s="4">
        <v>5.3490846017156812E-4</v>
      </c>
      <c r="E456" s="4">
        <v>5.4304059724641363E-4</v>
      </c>
      <c r="F456" s="4">
        <v>2.6392228717473376E-3</v>
      </c>
      <c r="G456" s="4">
        <v>2.2061539887219261E-4</v>
      </c>
    </row>
    <row r="457" spans="1:7" x14ac:dyDescent="0.35">
      <c r="A457" s="3">
        <v>42300</v>
      </c>
      <c r="B457" s="4">
        <v>-8.1928822599266482E-3</v>
      </c>
      <c r="C457" s="4">
        <v>1.6370380170218635E-3</v>
      </c>
      <c r="D457" s="4">
        <v>5.3867196441181875E-4</v>
      </c>
      <c r="E457" s="4">
        <v>5.0134848996363779E-4</v>
      </c>
      <c r="F457" s="4">
        <v>2.614231754523022E-3</v>
      </c>
      <c r="G457" s="4">
        <v>1.1560817105802368E-3</v>
      </c>
    </row>
    <row r="458" spans="1:7" x14ac:dyDescent="0.35">
      <c r="A458" s="3">
        <v>42303</v>
      </c>
      <c r="B458" s="4">
        <v>2.4695711005249255E-3</v>
      </c>
      <c r="C458" s="4">
        <v>6.6716035086211711E-4</v>
      </c>
      <c r="D458" s="4">
        <v>5.5633505906005354E-4</v>
      </c>
      <c r="E458" s="4">
        <v>5.4903836322384159E-4</v>
      </c>
      <c r="F458" s="4">
        <v>2.0066818189585778E-3</v>
      </c>
      <c r="G458" s="4">
        <v>9.3033283600463257E-4</v>
      </c>
    </row>
    <row r="459" spans="1:7" x14ac:dyDescent="0.35">
      <c r="A459" s="3">
        <v>42304</v>
      </c>
      <c r="B459" s="4">
        <v>-3.2749019782321032E-3</v>
      </c>
      <c r="C459" s="4">
        <v>-9.1060260103204005E-3</v>
      </c>
      <c r="D459" s="4">
        <v>5.1350805151195722E-4</v>
      </c>
      <c r="E459" s="4">
        <v>5.8234684753988297E-4</v>
      </c>
      <c r="F459" s="4">
        <v>-1.3083717457789135E-3</v>
      </c>
      <c r="G459" s="4">
        <v>1.2568840837194895E-3</v>
      </c>
    </row>
    <row r="460" spans="1:7" x14ac:dyDescent="0.35">
      <c r="A460" s="3">
        <v>42305</v>
      </c>
      <c r="B460" s="4">
        <v>-2.0179797721549431E-2</v>
      </c>
      <c r="C460" s="4">
        <v>-2.4165863305908308E-3</v>
      </c>
      <c r="D460" s="4">
        <v>5.582653357141254E-4</v>
      </c>
      <c r="E460" s="4">
        <v>4.9599146247758519E-4</v>
      </c>
      <c r="F460" s="4">
        <v>1.7749584317650058E-3</v>
      </c>
      <c r="G460" s="4">
        <v>8.3576445974009594E-4</v>
      </c>
    </row>
    <row r="461" spans="1:7" x14ac:dyDescent="0.35">
      <c r="A461" s="3">
        <v>42306</v>
      </c>
      <c r="B461" s="4">
        <v>1.8906222159555952E-3</v>
      </c>
      <c r="C461" s="4">
        <v>1.0100951191938101E-4</v>
      </c>
      <c r="D461" s="4">
        <v>5.0631030559644685E-4</v>
      </c>
      <c r="E461" s="4">
        <v>5.37391975799828E-4</v>
      </c>
      <c r="F461" s="4">
        <v>2.5288030238246328E-4</v>
      </c>
      <c r="G461" s="4">
        <v>-3.219142789432361E-4</v>
      </c>
    </row>
    <row r="462" spans="1:7" x14ac:dyDescent="0.35">
      <c r="A462" s="3">
        <v>42307</v>
      </c>
      <c r="B462" s="4">
        <v>3.6104784894115838E-2</v>
      </c>
      <c r="C462" s="4">
        <v>-2.9217877136933801E-2</v>
      </c>
      <c r="D462" s="4">
        <v>5.4367279983891237E-4</v>
      </c>
      <c r="E462" s="4">
        <v>4.8203080972952783E-4</v>
      </c>
      <c r="F462" s="4">
        <v>-1.2509750233190786E-2</v>
      </c>
      <c r="G462" s="4">
        <v>-2.7725565882543712E-3</v>
      </c>
    </row>
    <row r="463" spans="1:7" x14ac:dyDescent="0.35">
      <c r="A463" s="3">
        <v>42311</v>
      </c>
      <c r="B463" s="4">
        <v>4.5762713521502185E-4</v>
      </c>
      <c r="C463" s="4">
        <v>1.2208791818759668E-2</v>
      </c>
      <c r="D463" s="4">
        <v>5.1377972503607872E-4</v>
      </c>
      <c r="E463" s="4">
        <v>5.5415479977294346E-4</v>
      </c>
      <c r="F463" s="4">
        <v>5.4153407057702108E-3</v>
      </c>
      <c r="G463" s="4">
        <v>1.8667945442802925E-3</v>
      </c>
    </row>
    <row r="464" spans="1:7" x14ac:dyDescent="0.35">
      <c r="A464" s="3">
        <v>42312</v>
      </c>
      <c r="B464" s="4">
        <v>6.3695379510861905E-3</v>
      </c>
      <c r="C464" s="4">
        <v>-6.4303470015694142E-3</v>
      </c>
      <c r="D464" s="4">
        <v>5.2885505991029369E-4</v>
      </c>
      <c r="E464" s="4">
        <v>5.7169173016835551E-4</v>
      </c>
      <c r="F464" s="4">
        <v>-1.4065555433608878E-3</v>
      </c>
      <c r="G464" s="4">
        <v>3.7410978902463476E-4</v>
      </c>
    </row>
    <row r="465" spans="1:7" x14ac:dyDescent="0.35">
      <c r="A465" s="3">
        <v>42313</v>
      </c>
      <c r="B465" s="4">
        <v>-1.3651144921613789E-2</v>
      </c>
      <c r="C465" s="4">
        <v>2.1873980956956807E-3</v>
      </c>
      <c r="D465" s="4">
        <v>5.1526392241840746E-4</v>
      </c>
      <c r="E465" s="4">
        <v>5.6477723612813335E-4</v>
      </c>
      <c r="F465" s="4">
        <v>4.7647229046035022E-3</v>
      </c>
      <c r="G465" s="4">
        <v>3.0699552190507351E-3</v>
      </c>
    </row>
    <row r="466" spans="1:7" x14ac:dyDescent="0.35">
      <c r="A466" s="3">
        <v>42314</v>
      </c>
      <c r="B466" s="4">
        <v>-9.6514667626188544E-3</v>
      </c>
      <c r="C466" s="4">
        <v>2.0391449032914899E-3</v>
      </c>
      <c r="D466" s="4">
        <v>5.3126030097350174E-4</v>
      </c>
      <c r="E466" s="4">
        <v>5.217768697312053E-4</v>
      </c>
      <c r="F466" s="4">
        <v>5.1889195268381982E-3</v>
      </c>
      <c r="G466" s="4">
        <v>1.9156798512764972E-4</v>
      </c>
    </row>
    <row r="467" spans="1:7" x14ac:dyDescent="0.35">
      <c r="A467" s="3">
        <v>42317</v>
      </c>
      <c r="B467" s="4">
        <v>3.5873582118579606E-3</v>
      </c>
      <c r="C467" s="4">
        <v>6.8494694969323255E-4</v>
      </c>
      <c r="D467" s="4">
        <v>5.5368196698712957E-4</v>
      </c>
      <c r="E467" s="4">
        <v>5.2772345963436607E-4</v>
      </c>
      <c r="F467" s="4">
        <v>3.9480833685434646E-4</v>
      </c>
      <c r="G467" s="4">
        <v>2.1705942970222658E-3</v>
      </c>
    </row>
    <row r="468" spans="1:7" x14ac:dyDescent="0.35">
      <c r="A468" s="3">
        <v>42318</v>
      </c>
      <c r="B468" s="4">
        <v>1.5638261339817383E-2</v>
      </c>
      <c r="C468" s="4">
        <v>-3.1852165088910311E-3</v>
      </c>
      <c r="D468" s="4">
        <v>5.3778423960704202E-4</v>
      </c>
      <c r="E468" s="4">
        <v>5.4636048948619731E-4</v>
      </c>
      <c r="F468" s="4">
        <v>-4.4281576362232844E-3</v>
      </c>
      <c r="G468" s="4">
        <v>-1.2699536445163195E-3</v>
      </c>
    </row>
    <row r="469" spans="1:7" x14ac:dyDescent="0.35">
      <c r="A469" s="3">
        <v>42319</v>
      </c>
      <c r="B469" s="4">
        <v>-5.5214652040804779E-3</v>
      </c>
      <c r="C469" s="4">
        <v>6.6685355836271221E-4</v>
      </c>
      <c r="D469" s="4">
        <v>5.2419746004250811E-4</v>
      </c>
      <c r="E469" s="4">
        <v>5.7155878704451268E-4</v>
      </c>
      <c r="F469" s="4">
        <v>2.3538286657101004E-3</v>
      </c>
      <c r="G469" s="4">
        <v>3.7162047868191106E-3</v>
      </c>
    </row>
    <row r="470" spans="1:7" x14ac:dyDescent="0.35">
      <c r="A470" s="3">
        <v>42320</v>
      </c>
      <c r="B470" s="4">
        <v>-3.7209916778803143E-3</v>
      </c>
      <c r="C470" s="4">
        <v>1.3410072715958066E-2</v>
      </c>
      <c r="D470" s="4">
        <v>5.2395126871052078E-4</v>
      </c>
      <c r="E470" s="4">
        <v>5.3747953801797088E-4</v>
      </c>
      <c r="F470" s="4">
        <v>5.3725307528249555E-3</v>
      </c>
      <c r="G470" s="4">
        <v>2.0405949004809187E-3</v>
      </c>
    </row>
    <row r="471" spans="1:7" x14ac:dyDescent="0.35">
      <c r="A471" s="3">
        <v>42321</v>
      </c>
      <c r="B471" s="4">
        <v>4.8334131736016417E-4</v>
      </c>
      <c r="C471" s="4">
        <v>-1.1515514731041954E-3</v>
      </c>
      <c r="D471" s="4">
        <v>5.1920946553707381E-4</v>
      </c>
      <c r="E471" s="4">
        <v>5.4519472292091642E-4</v>
      </c>
      <c r="F471" s="4">
        <v>-4.1853509537059796E-4</v>
      </c>
      <c r="G471" s="4">
        <v>-2.5302219631906375E-4</v>
      </c>
    </row>
    <row r="472" spans="1:7" x14ac:dyDescent="0.35">
      <c r="A472" s="3">
        <v>42324</v>
      </c>
      <c r="B472" s="4">
        <v>2.7653859663985259E-3</v>
      </c>
      <c r="C472" s="4">
        <v>-3.6494119339559594E-3</v>
      </c>
      <c r="D472" s="4">
        <v>5.2188792371365977E-4</v>
      </c>
      <c r="E472" s="4">
        <v>5.6256450513791911E-4</v>
      </c>
      <c r="F472" s="4">
        <v>4.4521770552030659E-4</v>
      </c>
      <c r="G472" s="4">
        <v>-1.1780321140083538E-3</v>
      </c>
    </row>
    <row r="473" spans="1:7" x14ac:dyDescent="0.35">
      <c r="A473" s="3">
        <v>42325</v>
      </c>
      <c r="B473" s="4">
        <v>8.9717906449438001E-3</v>
      </c>
      <c r="C473" s="4">
        <v>-6.5662737741292165E-3</v>
      </c>
      <c r="D473" s="4">
        <v>5.6176078804193175E-4</v>
      </c>
      <c r="E473" s="4">
        <v>5.4457298407295518E-4</v>
      </c>
      <c r="F473" s="4">
        <v>-1.7821449540779133E-3</v>
      </c>
      <c r="G473" s="4">
        <v>-1.226084033819741E-3</v>
      </c>
    </row>
    <row r="474" spans="1:7" x14ac:dyDescent="0.35">
      <c r="A474" s="3">
        <v>42326</v>
      </c>
      <c r="B474" s="4">
        <v>4.421709374251348E-3</v>
      </c>
      <c r="C474" s="4">
        <v>-1.3525798863918581E-2</v>
      </c>
      <c r="D474" s="4">
        <v>5.1407147278625942E-4</v>
      </c>
      <c r="E474" s="4">
        <v>5.6079606219583411E-4</v>
      </c>
      <c r="F474" s="4">
        <v>-3.9520213166867046E-3</v>
      </c>
      <c r="G474" s="4">
        <v>-4.8433889472798697E-4</v>
      </c>
    </row>
    <row r="475" spans="1:7" x14ac:dyDescent="0.35">
      <c r="A475" s="3">
        <v>42327</v>
      </c>
      <c r="B475" s="4">
        <v>-8.5450979983914266E-5</v>
      </c>
      <c r="C475" s="4">
        <v>4.8896733592007635E-4</v>
      </c>
      <c r="D475" s="4">
        <v>5.0353895381105573E-4</v>
      </c>
      <c r="E475" s="4">
        <v>6.0437287956149888E-4</v>
      </c>
      <c r="F475" s="4">
        <v>4.1805674709949336E-4</v>
      </c>
      <c r="G475" s="4">
        <v>6.9402218516145808E-5</v>
      </c>
    </row>
    <row r="476" spans="1:7" x14ac:dyDescent="0.35">
      <c r="A476" s="3">
        <v>42328</v>
      </c>
      <c r="B476" s="4">
        <v>3.693337214033976E-3</v>
      </c>
      <c r="C476" s="4">
        <v>-2.5435009806166198E-3</v>
      </c>
      <c r="D476" s="4">
        <v>5.3615637291049012E-4</v>
      </c>
      <c r="E476" s="4">
        <v>5.47830634992863E-4</v>
      </c>
      <c r="F476" s="4">
        <v>-3.5528497994785635E-4</v>
      </c>
      <c r="G476" s="4">
        <v>1.2142897017000109E-3</v>
      </c>
    </row>
    <row r="477" spans="1:7" x14ac:dyDescent="0.35">
      <c r="A477" s="3">
        <v>42331</v>
      </c>
      <c r="B477" s="4">
        <v>-1.8635288857017374E-3</v>
      </c>
      <c r="C477" s="4">
        <v>-7.5212049799593395E-3</v>
      </c>
      <c r="D477" s="4">
        <v>5.1535110868305978E-4</v>
      </c>
      <c r="E477" s="4">
        <v>5.8045930369665655E-4</v>
      </c>
      <c r="F477" s="4">
        <v>-3.4776370166601511E-3</v>
      </c>
      <c r="G477" s="4">
        <v>2.6864232668977195E-4</v>
      </c>
    </row>
    <row r="478" spans="1:7" x14ac:dyDescent="0.35">
      <c r="A478" s="3">
        <v>42332</v>
      </c>
      <c r="B478" s="4">
        <v>-1.2202668416853468E-2</v>
      </c>
      <c r="C478" s="4">
        <v>1.3296645181957611E-2</v>
      </c>
      <c r="D478" s="4">
        <v>5.2268024080359687E-4</v>
      </c>
      <c r="E478" s="4">
        <v>5.3592760758514046E-4</v>
      </c>
      <c r="F478" s="4">
        <v>6.8679891349892053E-3</v>
      </c>
      <c r="G478" s="4">
        <v>2.1174695512427011E-3</v>
      </c>
    </row>
    <row r="479" spans="1:7" x14ac:dyDescent="0.35">
      <c r="A479" s="3">
        <v>42333</v>
      </c>
      <c r="B479" s="4">
        <v>7.9757550863168714E-3</v>
      </c>
      <c r="C479" s="4">
        <v>1.1047309228966462E-3</v>
      </c>
      <c r="D479" s="4">
        <v>5.2329089398095441E-4</v>
      </c>
      <c r="E479" s="4">
        <v>5.5499065534569958E-4</v>
      </c>
      <c r="F479" s="4">
        <v>1.9020736166386332E-3</v>
      </c>
      <c r="G479" s="4">
        <v>3.7468262884865489E-4</v>
      </c>
    </row>
    <row r="480" spans="1:7" x14ac:dyDescent="0.35">
      <c r="A480" s="3">
        <v>42334</v>
      </c>
      <c r="B480" s="4">
        <v>-1.7813228070192588E-2</v>
      </c>
      <c r="C480" s="4">
        <v>1.0106642755134621E-2</v>
      </c>
      <c r="D480" s="4">
        <v>5.4843944366655961E-4</v>
      </c>
      <c r="E480" s="4">
        <v>4.6395463551318628E-4</v>
      </c>
      <c r="F480" s="4">
        <v>7.8081835501775387E-3</v>
      </c>
      <c r="G480" s="4">
        <v>6.4663189108160601E-4</v>
      </c>
    </row>
    <row r="481" spans="1:7" x14ac:dyDescent="0.35">
      <c r="A481" s="3">
        <v>42335</v>
      </c>
      <c r="B481" s="4">
        <v>-1.2637236369215987E-2</v>
      </c>
      <c r="C481" s="4">
        <v>2.8043680387671799E-2</v>
      </c>
      <c r="D481" s="4">
        <v>5.402273055283846E-4</v>
      </c>
      <c r="E481" s="4">
        <v>-2.77489561817168E-4</v>
      </c>
      <c r="F481" s="4">
        <v>7.0168794049796368E-3</v>
      </c>
      <c r="G481" s="4">
        <v>2.246751478484077E-3</v>
      </c>
    </row>
    <row r="482" spans="1:7" x14ac:dyDescent="0.35">
      <c r="A482" s="3">
        <v>42338</v>
      </c>
      <c r="B482" s="4">
        <v>-3.006334107192199E-3</v>
      </c>
      <c r="C482" s="4">
        <v>-8.4232394559785595E-3</v>
      </c>
      <c r="D482" s="4">
        <v>5.3680381440068814E-4</v>
      </c>
      <c r="E482" s="4">
        <v>-2.5558879578395644E-3</v>
      </c>
      <c r="F482" s="4">
        <v>-3.001957966738078E-3</v>
      </c>
      <c r="G482" s="4">
        <v>1.5747121369733552E-3</v>
      </c>
    </row>
    <row r="483" spans="1:7" x14ac:dyDescent="0.35">
      <c r="A483" s="3">
        <v>42339</v>
      </c>
      <c r="B483" s="4">
        <v>-4.6615087059118654E-3</v>
      </c>
      <c r="C483" s="4">
        <v>-3.7258901940825373E-3</v>
      </c>
      <c r="D483" s="4">
        <v>5.2859146081085662E-4</v>
      </c>
      <c r="E483" s="4">
        <v>5.5254758143319371E-4</v>
      </c>
      <c r="F483" s="4">
        <v>-6.5292666966010326E-4</v>
      </c>
      <c r="G483" s="4">
        <v>-9.8886347376547779E-4</v>
      </c>
    </row>
    <row r="484" spans="1:7" x14ac:dyDescent="0.35">
      <c r="A484" s="3">
        <v>42340</v>
      </c>
      <c r="B484" s="4">
        <v>1.5960513129557041E-2</v>
      </c>
      <c r="C484" s="4">
        <v>-2.6446875775722134E-2</v>
      </c>
      <c r="D484" s="4">
        <v>5.3473072269394351E-4</v>
      </c>
      <c r="E484" s="4">
        <v>5.9807504566400382E-4</v>
      </c>
      <c r="F484" s="4">
        <v>-5.9556227281791774E-3</v>
      </c>
      <c r="G484" s="4">
        <v>6.5770432647505039E-4</v>
      </c>
    </row>
    <row r="485" spans="1:7" x14ac:dyDescent="0.35">
      <c r="A485" s="3">
        <v>42341</v>
      </c>
      <c r="B485" s="4">
        <v>-1.4313488894333593E-2</v>
      </c>
      <c r="C485" s="4">
        <v>2.5109684202100357E-3</v>
      </c>
      <c r="D485" s="4">
        <v>5.4139031063948906E-4</v>
      </c>
      <c r="E485" s="4">
        <v>4.9435147539922397E-4</v>
      </c>
      <c r="F485" s="4">
        <v>-1.8881546826943207E-5</v>
      </c>
      <c r="G485" s="4">
        <v>7.1173551928560563E-4</v>
      </c>
    </row>
    <row r="486" spans="1:7" x14ac:dyDescent="0.35">
      <c r="A486" s="3">
        <v>42342</v>
      </c>
      <c r="B486" s="4">
        <v>-2.4185773071515593E-3</v>
      </c>
      <c r="C486" s="4">
        <v>3.0864434142896524E-3</v>
      </c>
      <c r="D486" s="4">
        <v>5.3924756418211039E-4</v>
      </c>
      <c r="E486" s="4">
        <v>1.0371186424995571E-4</v>
      </c>
      <c r="F486" s="4">
        <v>5.6268071972540579E-3</v>
      </c>
      <c r="G486" s="4">
        <v>7.6723144604562421E-4</v>
      </c>
    </row>
    <row r="487" spans="1:7" x14ac:dyDescent="0.35">
      <c r="A487" s="3">
        <v>42345</v>
      </c>
      <c r="B487" s="4">
        <v>-1.5964995107421331E-2</v>
      </c>
      <c r="C487" s="4">
        <v>1.3298274336984939E-2</v>
      </c>
      <c r="D487" s="4">
        <v>5.222052344198147E-4</v>
      </c>
      <c r="E487" s="4">
        <v>2.8076827031497942E-4</v>
      </c>
      <c r="F487" s="4">
        <v>3.6119112143373489E-3</v>
      </c>
      <c r="G487" s="4">
        <v>5.7151399083243959E-4</v>
      </c>
    </row>
    <row r="488" spans="1:7" x14ac:dyDescent="0.35">
      <c r="A488" s="3">
        <v>42346</v>
      </c>
      <c r="B488" s="4">
        <v>2.0374506854598406E-2</v>
      </c>
      <c r="C488" s="4">
        <v>-2.2892730633301661E-2</v>
      </c>
      <c r="D488" s="4">
        <v>5.2491295391488002E-4</v>
      </c>
      <c r="E488" s="4">
        <v>5.0228292717147127E-4</v>
      </c>
      <c r="F488" s="4">
        <v>-5.2791920191911368E-3</v>
      </c>
      <c r="G488" s="4">
        <v>1.0347900662224241E-3</v>
      </c>
    </row>
    <row r="489" spans="1:7" x14ac:dyDescent="0.35">
      <c r="A489" s="3">
        <v>42347</v>
      </c>
      <c r="B489" s="4">
        <v>-4.8015984023943581E-3</v>
      </c>
      <c r="C489" s="4">
        <v>1.887171500162399E-2</v>
      </c>
      <c r="D489" s="4">
        <v>5.0118306401092383E-4</v>
      </c>
      <c r="E489" s="4">
        <v>6.119953509235998E-4</v>
      </c>
      <c r="F489" s="4">
        <v>3.458144702005006E-3</v>
      </c>
      <c r="G489" s="4">
        <v>4.4252613479023317E-4</v>
      </c>
    </row>
    <row r="490" spans="1:7" x14ac:dyDescent="0.35">
      <c r="A490" s="3">
        <v>42348</v>
      </c>
      <c r="B490" s="4">
        <v>-5.9917497337897974E-3</v>
      </c>
      <c r="C490" s="4">
        <v>2.2368239807420531E-2</v>
      </c>
      <c r="D490" s="4">
        <v>5.5076970734679875E-4</v>
      </c>
      <c r="E490" s="4">
        <v>4.7498275809987334E-4</v>
      </c>
      <c r="F490" s="4">
        <v>8.8890713175935332E-3</v>
      </c>
      <c r="G490" s="4">
        <v>7.6016723492955407E-4</v>
      </c>
    </row>
    <row r="491" spans="1:7" x14ac:dyDescent="0.35">
      <c r="A491" s="3">
        <v>42349</v>
      </c>
      <c r="B491" s="4">
        <v>-1.3979354298774171E-2</v>
      </c>
      <c r="C491" s="4">
        <v>8.2636877400532605E-4</v>
      </c>
      <c r="D491" s="4">
        <v>5.3440858067532737E-4</v>
      </c>
      <c r="E491" s="4">
        <v>3.442956310832912E-4</v>
      </c>
      <c r="F491" s="4">
        <v>-6.2952475784761042E-4</v>
      </c>
      <c r="G491" s="4">
        <v>5.5360633127876646E-4</v>
      </c>
    </row>
    <row r="492" spans="1:7" x14ac:dyDescent="0.35">
      <c r="A492" s="3">
        <v>42352</v>
      </c>
      <c r="B492" s="4">
        <v>7.1695714654085307E-3</v>
      </c>
      <c r="C492" s="4">
        <v>2.6377639469650216E-3</v>
      </c>
      <c r="D492" s="4">
        <v>5.2519522980865041E-4</v>
      </c>
      <c r="E492" s="4">
        <v>5.461410735887462E-4</v>
      </c>
      <c r="F492" s="4">
        <v>-5.1625403125488134E-4</v>
      </c>
      <c r="G492" s="4">
        <v>-5.332455071560549E-5</v>
      </c>
    </row>
    <row r="493" spans="1:7" x14ac:dyDescent="0.35">
      <c r="A493" s="3">
        <v>42353</v>
      </c>
      <c r="B493" s="4">
        <v>4.8546296875282557E-3</v>
      </c>
      <c r="C493" s="4">
        <v>8.0609375782745296E-3</v>
      </c>
      <c r="D493" s="4">
        <v>5.2785887518358443E-4</v>
      </c>
      <c r="E493" s="4">
        <v>5.6863190527489671E-4</v>
      </c>
      <c r="F493" s="4">
        <v>2.5966308532843208E-4</v>
      </c>
      <c r="G493" s="4">
        <v>-9.2313187057124768E-4</v>
      </c>
    </row>
    <row r="494" spans="1:7" x14ac:dyDescent="0.35">
      <c r="A494" s="3">
        <v>42354</v>
      </c>
      <c r="B494" s="4">
        <v>5.3500373681918401E-3</v>
      </c>
      <c r="C494" s="4">
        <v>-6.9936063062425724E-3</v>
      </c>
      <c r="D494" s="4">
        <v>5.3263388043278681E-4</v>
      </c>
      <c r="E494" s="4">
        <v>5.250328664854198E-4</v>
      </c>
      <c r="F494" s="4">
        <v>2.9132576987804804E-3</v>
      </c>
      <c r="G494" s="4">
        <v>1.1840298439476094E-3</v>
      </c>
    </row>
    <row r="495" spans="1:7" x14ac:dyDescent="0.35">
      <c r="A495" s="3">
        <v>42355</v>
      </c>
      <c r="B495" s="4">
        <v>-2.1790626301754434E-2</v>
      </c>
      <c r="C495" s="4">
        <v>1.0013784506312851E-2</v>
      </c>
      <c r="D495" s="4">
        <v>5.014150999680389E-4</v>
      </c>
      <c r="E495" s="4">
        <v>6.1498252959535371E-4</v>
      </c>
      <c r="F495" s="4">
        <v>3.7224923826095768E-3</v>
      </c>
      <c r="G495" s="4">
        <v>7.4123023037642177E-4</v>
      </c>
    </row>
    <row r="496" spans="1:7" x14ac:dyDescent="0.35">
      <c r="A496" s="3">
        <v>42356</v>
      </c>
      <c r="B496" s="4">
        <v>-9.840558003590627E-3</v>
      </c>
      <c r="C496" s="4">
        <v>2.0314065001394432E-2</v>
      </c>
      <c r="D496" s="4">
        <v>5.2833474717206563E-4</v>
      </c>
      <c r="E496" s="4">
        <v>5.106651019508579E-4</v>
      </c>
      <c r="F496" s="4">
        <v>3.1437516278842725E-3</v>
      </c>
      <c r="G496" s="4">
        <v>1.3864674850803116E-3</v>
      </c>
    </row>
    <row r="497" spans="1:7" x14ac:dyDescent="0.35">
      <c r="A497" s="3">
        <v>42359</v>
      </c>
      <c r="B497" s="4">
        <v>5.0496435244131721E-3</v>
      </c>
      <c r="C497" s="4">
        <v>-4.6655720137639412E-3</v>
      </c>
      <c r="D497" s="4">
        <v>5.3256009455204811E-4</v>
      </c>
      <c r="E497" s="4">
        <v>5.7876747244645088E-4</v>
      </c>
      <c r="F497" s="4">
        <v>-1.1180998495363692E-3</v>
      </c>
      <c r="G497" s="4">
        <v>-5.2233105122712065E-4</v>
      </c>
    </row>
    <row r="498" spans="1:7" x14ac:dyDescent="0.35">
      <c r="A498" s="3">
        <v>42360</v>
      </c>
      <c r="B498" s="4">
        <v>8.913779468449512E-3</v>
      </c>
      <c r="C498" s="4">
        <v>-9.3817627847743168E-3</v>
      </c>
      <c r="D498" s="4">
        <v>5.2387663739761337E-4</v>
      </c>
      <c r="E498" s="4">
        <v>4.9704104350234424E-4</v>
      </c>
      <c r="F498" s="4">
        <v>-1.1834084914270626E-3</v>
      </c>
      <c r="G498" s="4">
        <v>-3.8860198983348138E-4</v>
      </c>
    </row>
    <row r="499" spans="1:7" x14ac:dyDescent="0.35">
      <c r="A499" s="3">
        <v>42361</v>
      </c>
      <c r="B499" s="4">
        <v>-8.0934303000490537E-5</v>
      </c>
      <c r="C499" s="4">
        <v>4.87504612233014E-4</v>
      </c>
      <c r="D499" s="4">
        <v>5.1378729836448755E-4</v>
      </c>
      <c r="E499" s="4">
        <v>3.4177979009086812E-4</v>
      </c>
      <c r="F499" s="4">
        <v>4.2815473352253441E-4</v>
      </c>
      <c r="G499" s="4">
        <v>2.7676762757411488E-4</v>
      </c>
    </row>
    <row r="500" spans="1:7" x14ac:dyDescent="0.35">
      <c r="A500" s="3">
        <v>42362</v>
      </c>
      <c r="B500" s="4">
        <v>-4.8605426237409155E-3</v>
      </c>
      <c r="C500" s="4">
        <v>-2.6229735863956827E-2</v>
      </c>
      <c r="D500" s="4">
        <v>5.3882174027375385E-4</v>
      </c>
      <c r="E500" s="4">
        <v>6.0800350757661548E-4</v>
      </c>
      <c r="F500" s="4">
        <v>-2.8122442412970017E-3</v>
      </c>
      <c r="G500" s="4">
        <v>-1.4980160647010132E-3</v>
      </c>
    </row>
    <row r="501" spans="1:7" x14ac:dyDescent="0.35">
      <c r="A501" s="3">
        <v>42366</v>
      </c>
      <c r="B501" s="4">
        <v>-2.6555114141258995E-3</v>
      </c>
      <c r="C501" s="4">
        <v>6.6566824464808771E-3</v>
      </c>
      <c r="D501" s="4">
        <v>4.9992716321400898E-4</v>
      </c>
      <c r="E501" s="4">
        <v>-2.0719752210995868E-4</v>
      </c>
      <c r="F501" s="4">
        <v>4.8080388921967199E-4</v>
      </c>
      <c r="G501" s="4">
        <v>7.5144422368511599E-4</v>
      </c>
    </row>
    <row r="502" spans="1:7" x14ac:dyDescent="0.35">
      <c r="A502" s="3">
        <v>42367</v>
      </c>
      <c r="B502" s="4">
        <v>8.7799286032153034E-3</v>
      </c>
      <c r="C502" s="4">
        <v>2.022347967603233E-2</v>
      </c>
      <c r="D502" s="4">
        <v>5.3212387822521023E-4</v>
      </c>
      <c r="E502" s="4">
        <v>5.7060205510151008E-4</v>
      </c>
      <c r="F502" s="4">
        <v>2.6892243888230194E-3</v>
      </c>
      <c r="G502" s="4">
        <v>2.3408072095938426E-3</v>
      </c>
    </row>
    <row r="503" spans="1:7" x14ac:dyDescent="0.35">
      <c r="A503" s="3">
        <v>42368</v>
      </c>
      <c r="B503" s="4">
        <v>-7.8532754591797982E-5</v>
      </c>
      <c r="C503" s="4">
        <v>4.7253922877166232E-4</v>
      </c>
      <c r="D503" s="4">
        <v>5.2757151887794507E-4</v>
      </c>
      <c r="E503" s="4">
        <v>5.5460154292785724E-4</v>
      </c>
      <c r="F503" s="4">
        <v>4.2710049760730229E-4</v>
      </c>
      <c r="G503" s="4">
        <v>5.3958680939114601E-4</v>
      </c>
    </row>
    <row r="504" spans="1:7" x14ac:dyDescent="0.35">
      <c r="A504" s="3">
        <v>42369</v>
      </c>
      <c r="B504" s="4">
        <v>-3.5969404902120528E-2</v>
      </c>
      <c r="C504" s="4">
        <v>2.1712321724132622E-2</v>
      </c>
      <c r="D504" s="4">
        <v>5.9776666222788322E-4</v>
      </c>
      <c r="E504" s="4">
        <v>5.5763001880171359E-4</v>
      </c>
      <c r="F504" s="4">
        <v>6.9609647166120059E-3</v>
      </c>
      <c r="G504" s="4">
        <v>-3.1287995561574133E-3</v>
      </c>
    </row>
    <row r="505" spans="1:7" x14ac:dyDescent="0.35">
      <c r="A505" s="3">
        <v>42373</v>
      </c>
      <c r="B505" s="4">
        <v>2.2921395801311917E-3</v>
      </c>
      <c r="C505" s="4">
        <v>-9.2562330194603248E-3</v>
      </c>
      <c r="D505" s="4">
        <v>4.6479043216041127E-4</v>
      </c>
      <c r="E505" s="4">
        <v>5.4820709204972395E-4</v>
      </c>
      <c r="F505" s="4">
        <v>1.6986802360634545E-3</v>
      </c>
      <c r="G505" s="4">
        <v>4.9571079812622543E-3</v>
      </c>
    </row>
    <row r="506" spans="1:7" x14ac:dyDescent="0.35">
      <c r="A506" s="3">
        <v>42374</v>
      </c>
      <c r="B506" s="4">
        <v>-6.6890752254656904E-3</v>
      </c>
      <c r="C506" s="4">
        <v>1.8452055267070833E-4</v>
      </c>
      <c r="D506" s="4">
        <v>5.2059302928331164E-4</v>
      </c>
      <c r="E506" s="4">
        <v>7.59403883755283E-4</v>
      </c>
      <c r="F506" s="4">
        <v>5.0433945314889428E-3</v>
      </c>
      <c r="G506" s="4">
        <v>2.747218115591199E-3</v>
      </c>
    </row>
    <row r="507" spans="1:7" x14ac:dyDescent="0.35">
      <c r="A507" s="3">
        <v>42375</v>
      </c>
      <c r="B507" s="4">
        <v>-3.0073379037415693E-2</v>
      </c>
      <c r="C507" s="4">
        <v>7.8681008630530069E-3</v>
      </c>
      <c r="D507" s="4">
        <v>5.1107609259859466E-4</v>
      </c>
      <c r="E507" s="4">
        <v>6.7825415319200388E-4</v>
      </c>
      <c r="F507" s="4">
        <v>5.4844161232163735E-3</v>
      </c>
      <c r="G507" s="4">
        <v>1.9405603790660919E-3</v>
      </c>
    </row>
    <row r="508" spans="1:7" x14ac:dyDescent="0.35">
      <c r="A508" s="3">
        <v>42376</v>
      </c>
      <c r="B508" s="4">
        <v>-5.969938650668638E-3</v>
      </c>
      <c r="C508" s="4">
        <v>-3.2827079631676526E-3</v>
      </c>
      <c r="D508" s="4">
        <v>5.2753451169751386E-4</v>
      </c>
      <c r="E508" s="4">
        <v>4.5236233456780184E-4</v>
      </c>
      <c r="F508" s="4">
        <v>1.7263797904198963E-3</v>
      </c>
      <c r="G508" s="4">
        <v>2.0309398143307789E-3</v>
      </c>
    </row>
    <row r="509" spans="1:7" x14ac:dyDescent="0.35">
      <c r="A509" s="3">
        <v>42377</v>
      </c>
      <c r="B509" s="4">
        <v>-1.1276928492035321E-2</v>
      </c>
      <c r="C509" s="4">
        <v>2.9542540486664493E-3</v>
      </c>
      <c r="D509" s="4">
        <v>5.3575089132706921E-4</v>
      </c>
      <c r="E509" s="4">
        <v>5.5465730188597462E-4</v>
      </c>
      <c r="F509" s="4">
        <v>4.3880627949612894E-3</v>
      </c>
      <c r="G509" s="4">
        <v>2.7801066644883576E-4</v>
      </c>
    </row>
    <row r="510" spans="1:7" x14ac:dyDescent="0.35">
      <c r="A510" s="3">
        <v>42380</v>
      </c>
      <c r="B510" s="4">
        <v>-4.4550636856932613E-3</v>
      </c>
      <c r="C510" s="4">
        <v>-1.2721769850457809E-3</v>
      </c>
      <c r="D510" s="4">
        <v>5.3365039448505236E-4</v>
      </c>
      <c r="E510" s="4">
        <v>5.9543353539481814E-4</v>
      </c>
      <c r="F510" s="4">
        <v>2.0403224389275998E-3</v>
      </c>
      <c r="G510" s="4">
        <v>2.2811385271725992E-3</v>
      </c>
    </row>
    <row r="511" spans="1:7" x14ac:dyDescent="0.35">
      <c r="A511" s="3">
        <v>42381</v>
      </c>
      <c r="B511" s="4">
        <v>-1.2929871858109676E-2</v>
      </c>
      <c r="C511" s="4">
        <v>-1.2177336387850013E-2</v>
      </c>
      <c r="D511" s="4">
        <v>5.3132730098215397E-4</v>
      </c>
      <c r="E511" s="4">
        <v>5.2377926306279576E-4</v>
      </c>
      <c r="F511" s="4">
        <v>-3.5324911774159418E-4</v>
      </c>
      <c r="G511" s="4">
        <v>1.0174222191778881E-3</v>
      </c>
    </row>
    <row r="512" spans="1:7" x14ac:dyDescent="0.35">
      <c r="A512" s="3">
        <v>42382</v>
      </c>
      <c r="B512" s="4">
        <v>1.7386913205350574E-3</v>
      </c>
      <c r="C512" s="4">
        <v>2.1665346961163845E-3</v>
      </c>
      <c r="D512" s="4">
        <v>5.4775877005641682E-4</v>
      </c>
      <c r="E512" s="4">
        <v>5.7098219183293608E-4</v>
      </c>
      <c r="F512" s="4">
        <v>-2.1227498788622956E-4</v>
      </c>
      <c r="G512" s="4">
        <v>-1.8554524002657447E-3</v>
      </c>
    </row>
    <row r="513" spans="1:7" x14ac:dyDescent="0.35">
      <c r="A513" s="3">
        <v>42383</v>
      </c>
      <c r="B513" s="4">
        <v>-1.5394769867410507E-2</v>
      </c>
      <c r="C513" s="4">
        <v>1.2306418109322426E-2</v>
      </c>
      <c r="D513" s="4">
        <v>5.3403437893395633E-4</v>
      </c>
      <c r="E513" s="4">
        <v>4.2100054058957781E-4</v>
      </c>
      <c r="F513" s="4">
        <v>5.8891116759387518E-3</v>
      </c>
      <c r="G513" s="4">
        <v>9.8751571353705714E-4</v>
      </c>
    </row>
    <row r="514" spans="1:7" x14ac:dyDescent="0.35">
      <c r="A514" s="3">
        <v>42384</v>
      </c>
      <c r="B514" s="4">
        <v>-1.0577535645014291E-2</v>
      </c>
      <c r="C514" s="4">
        <v>-4.4103643702657624E-3</v>
      </c>
      <c r="D514" s="4">
        <v>5.0434796641840585E-4</v>
      </c>
      <c r="E514" s="4">
        <v>6.5036727485789925E-4</v>
      </c>
      <c r="F514" s="4">
        <v>7.736333474350765E-4</v>
      </c>
      <c r="G514" s="4">
        <v>1.5904875515895256E-3</v>
      </c>
    </row>
    <row r="515" spans="1:7" x14ac:dyDescent="0.35">
      <c r="A515" s="3">
        <v>42387</v>
      </c>
      <c r="B515" s="4">
        <v>-4.1273575886053848E-3</v>
      </c>
      <c r="C515" s="4">
        <v>3.2994045484473489E-3</v>
      </c>
      <c r="D515" s="4">
        <v>5.1740090925722626E-4</v>
      </c>
      <c r="E515" s="4">
        <v>5.3126838298078738E-4</v>
      </c>
      <c r="F515" s="4">
        <v>4.3099133485324792E-4</v>
      </c>
      <c r="G515" s="4">
        <v>1.1017830577020327E-4</v>
      </c>
    </row>
    <row r="516" spans="1:7" x14ac:dyDescent="0.35">
      <c r="A516" s="3">
        <v>42388</v>
      </c>
      <c r="B516" s="4">
        <v>-1.5729426343039088E-2</v>
      </c>
      <c r="C516" s="4">
        <v>1.9552924926833581E-2</v>
      </c>
      <c r="D516" s="4">
        <v>4.2946138037036619E-4</v>
      </c>
      <c r="E516" s="4">
        <v>3.6686235602578776E-4</v>
      </c>
      <c r="F516" s="4">
        <v>1.4292154538064761E-3</v>
      </c>
      <c r="G516" s="4">
        <v>-1.1887787086044543E-3</v>
      </c>
    </row>
    <row r="517" spans="1:7" x14ac:dyDescent="0.35">
      <c r="A517" s="3">
        <v>42389</v>
      </c>
      <c r="B517" s="4">
        <v>4.0979298208472237E-3</v>
      </c>
      <c r="C517" s="4">
        <v>5.5844820902286596E-3</v>
      </c>
      <c r="D517" s="4">
        <v>5.6653038470289019E-4</v>
      </c>
      <c r="E517" s="4">
        <v>4.9799144006423823E-4</v>
      </c>
      <c r="F517" s="4">
        <v>1.1924448270572707E-3</v>
      </c>
      <c r="G517" s="4">
        <v>3.2655551799498639E-4</v>
      </c>
    </row>
    <row r="518" spans="1:7" x14ac:dyDescent="0.35">
      <c r="A518" s="3">
        <v>42390</v>
      </c>
      <c r="B518" s="4">
        <v>1.4751366182625736E-2</v>
      </c>
      <c r="C518" s="4">
        <v>-8.1091803964475906E-3</v>
      </c>
      <c r="D518" s="4">
        <v>4.743235800965806E-4</v>
      </c>
      <c r="E518" s="4">
        <v>5.0127499788099605E-4</v>
      </c>
      <c r="F518" s="4">
        <v>-3.0172821700513719E-4</v>
      </c>
      <c r="G518" s="4">
        <v>-3.051764634330878E-4</v>
      </c>
    </row>
    <row r="519" spans="1:7" x14ac:dyDescent="0.35">
      <c r="A519" s="3">
        <v>42391</v>
      </c>
      <c r="B519" s="4">
        <v>-8.4745071044944886E-5</v>
      </c>
      <c r="C519" s="4">
        <v>4.8836307244148891E-4</v>
      </c>
      <c r="D519" s="4">
        <v>4.7451735708969878E-4</v>
      </c>
      <c r="E519" s="4">
        <v>4.1604327649835682E-4</v>
      </c>
      <c r="F519" s="4">
        <v>4.1326942002450906E-4</v>
      </c>
      <c r="G519" s="4">
        <v>-1.6627593356033366E-4</v>
      </c>
    </row>
    <row r="520" spans="1:7" x14ac:dyDescent="0.35">
      <c r="A520" s="3">
        <v>42394</v>
      </c>
      <c r="B520" s="4">
        <v>-1.3507431640639056E-2</v>
      </c>
      <c r="C520" s="4">
        <v>-1.2847332176974979E-2</v>
      </c>
      <c r="D520" s="4">
        <v>5.5583521639968048E-4</v>
      </c>
      <c r="E520" s="4">
        <v>5.2850511491198127E-4</v>
      </c>
      <c r="F520" s="4">
        <v>-8.6521861862309812E-4</v>
      </c>
      <c r="G520" s="4">
        <v>1.2410726150000606E-3</v>
      </c>
    </row>
    <row r="521" spans="1:7" x14ac:dyDescent="0.35">
      <c r="A521" s="3">
        <v>42395</v>
      </c>
      <c r="B521" s="4">
        <v>2.2631932721313364E-2</v>
      </c>
      <c r="C521" s="4">
        <v>1.4051702005772881E-3</v>
      </c>
      <c r="D521" s="4">
        <v>4.245121115207251E-4</v>
      </c>
      <c r="E521" s="4">
        <v>6.7718180141107531E-4</v>
      </c>
      <c r="F521" s="4">
        <v>-1.2700332086851285E-3</v>
      </c>
      <c r="G521" s="4">
        <v>-6.6088119481966245E-4</v>
      </c>
    </row>
    <row r="522" spans="1:7" x14ac:dyDescent="0.35">
      <c r="A522" s="3">
        <v>42396</v>
      </c>
      <c r="B522" s="4">
        <v>2.6251390758385007E-3</v>
      </c>
      <c r="C522" s="4">
        <v>2.6559530392342712E-3</v>
      </c>
      <c r="D522" s="4">
        <v>5.3249542862054966E-4</v>
      </c>
      <c r="E522" s="4">
        <v>4.8236818548108573E-4</v>
      </c>
      <c r="F522" s="4">
        <v>1.594336448871525E-3</v>
      </c>
      <c r="G522" s="4">
        <v>-5.699935760890007E-4</v>
      </c>
    </row>
    <row r="523" spans="1:7" x14ac:dyDescent="0.35">
      <c r="A523" s="3">
        <v>42397</v>
      </c>
      <c r="B523" s="4">
        <v>4.3053676722311085E-2</v>
      </c>
      <c r="C523" s="4">
        <v>-1.8209885120163416E-2</v>
      </c>
      <c r="D523" s="4">
        <v>4.9308154877647503E-4</v>
      </c>
      <c r="E523" s="4">
        <v>8.1087785636002607E-4</v>
      </c>
      <c r="F523" s="4">
        <v>-4.3673874713739957E-3</v>
      </c>
      <c r="G523" s="4">
        <v>4.3383298287924532E-4</v>
      </c>
    </row>
    <row r="524" spans="1:7" x14ac:dyDescent="0.35">
      <c r="A524" s="3">
        <v>42398</v>
      </c>
      <c r="B524" s="4">
        <v>-2.82131341530234E-3</v>
      </c>
      <c r="C524" s="4">
        <v>-5.1482239183168188E-3</v>
      </c>
      <c r="D524" s="4">
        <v>4.5766320164775109E-4</v>
      </c>
      <c r="E524" s="4">
        <v>5.9913475375927838E-4</v>
      </c>
      <c r="F524" s="4">
        <v>-2.0900996905810487E-3</v>
      </c>
      <c r="G524" s="4">
        <v>-2.1476351800552296E-3</v>
      </c>
    </row>
    <row r="525" spans="1:7" x14ac:dyDescent="0.35">
      <c r="A525" s="3">
        <v>42401</v>
      </c>
      <c r="B525" s="4">
        <v>-3.8327121738250702E-2</v>
      </c>
      <c r="C525" s="4">
        <v>2.7666075632524212E-3</v>
      </c>
      <c r="D525" s="4">
        <v>4.1438286653061596E-4</v>
      </c>
      <c r="E525" s="4">
        <v>-3.659408108092066E-6</v>
      </c>
      <c r="F525" s="4">
        <v>5.5850563085144689E-3</v>
      </c>
      <c r="G525" s="4">
        <v>2.445278757767122E-3</v>
      </c>
    </row>
    <row r="526" spans="1:7" x14ac:dyDescent="0.35">
      <c r="A526" s="3">
        <v>42402</v>
      </c>
      <c r="B526" s="4">
        <v>1.9218903004648125E-2</v>
      </c>
      <c r="C526" s="4">
        <v>-1.7580544302318812E-2</v>
      </c>
      <c r="D526" s="4">
        <v>5.0841845309590461E-4</v>
      </c>
      <c r="E526" s="4">
        <v>5.5284230088514796E-4</v>
      </c>
      <c r="F526" s="4">
        <v>-3.9611533133976362E-3</v>
      </c>
      <c r="G526" s="4">
        <v>6.4081745577126981E-4</v>
      </c>
    </row>
    <row r="527" spans="1:7" x14ac:dyDescent="0.35">
      <c r="A527" s="3">
        <v>42403</v>
      </c>
      <c r="B527" s="4">
        <v>2.6177859697478656E-2</v>
      </c>
      <c r="C527" s="4">
        <v>-9.4496997988134934E-3</v>
      </c>
      <c r="D527" s="4">
        <v>4.9464019433909101E-4</v>
      </c>
      <c r="E527" s="4">
        <v>5.5994048057894652E-4</v>
      </c>
      <c r="F527" s="4">
        <v>-3.6344414653668444E-3</v>
      </c>
      <c r="G527" s="4">
        <v>-1.2260774063744817E-3</v>
      </c>
    </row>
    <row r="528" spans="1:7" x14ac:dyDescent="0.35">
      <c r="A528" s="3">
        <v>42404</v>
      </c>
      <c r="B528" s="4">
        <v>-1.7672991441263219E-3</v>
      </c>
      <c r="C528" s="4">
        <v>5.3238425388151267E-3</v>
      </c>
      <c r="D528" s="4">
        <v>5.1892996971614203E-4</v>
      </c>
      <c r="E528" s="4">
        <v>3.9849365235866685E-4</v>
      </c>
      <c r="F528" s="4">
        <v>2.941183543078596E-3</v>
      </c>
      <c r="G528" s="4">
        <v>-4.5567075189756334E-4</v>
      </c>
    </row>
    <row r="529" spans="1:7" x14ac:dyDescent="0.35">
      <c r="A529" s="3">
        <v>42405</v>
      </c>
      <c r="B529" s="4">
        <v>-1.8447998119094366E-3</v>
      </c>
      <c r="C529" s="4">
        <v>5.6575878386326828E-3</v>
      </c>
      <c r="D529" s="4">
        <v>5.0575148971088169E-4</v>
      </c>
      <c r="E529" s="4">
        <v>5.8873486779220663E-4</v>
      </c>
      <c r="F529" s="4">
        <v>5.3545288720884265E-3</v>
      </c>
      <c r="G529" s="4">
        <v>-2.7770318776044745E-3</v>
      </c>
    </row>
    <row r="530" spans="1:7" x14ac:dyDescent="0.35">
      <c r="A530" s="3">
        <v>42410</v>
      </c>
      <c r="B530" s="4">
        <v>-2.2465129758616698E-2</v>
      </c>
      <c r="C530" s="4">
        <v>1.2522371182674741E-2</v>
      </c>
      <c r="D530" s="4">
        <v>4.9913237042220615E-4</v>
      </c>
      <c r="E530" s="4">
        <v>5.691834508987359E-4</v>
      </c>
      <c r="F530" s="4">
        <v>3.3532631863453233E-3</v>
      </c>
      <c r="G530" s="4">
        <v>2.9963848455656361E-3</v>
      </c>
    </row>
    <row r="531" spans="1:7" x14ac:dyDescent="0.35">
      <c r="A531" s="3">
        <v>42411</v>
      </c>
      <c r="B531" s="4">
        <v>4.5070980235188962E-3</v>
      </c>
      <c r="C531" s="4">
        <v>1.9893648677391518E-3</v>
      </c>
      <c r="D531" s="4">
        <v>5.2288053010718372E-4</v>
      </c>
      <c r="E531" s="4">
        <v>5.559790405333942E-4</v>
      </c>
      <c r="F531" s="4">
        <v>-1.3827849928536029E-3</v>
      </c>
      <c r="G531" s="4">
        <v>4.3384716625904929E-4</v>
      </c>
    </row>
    <row r="532" spans="1:7" x14ac:dyDescent="0.35">
      <c r="A532" s="3">
        <v>42412</v>
      </c>
      <c r="B532" s="4">
        <v>1.1350190081540479E-3</v>
      </c>
      <c r="C532" s="4">
        <v>2.6425019497207103E-3</v>
      </c>
      <c r="D532" s="4">
        <v>5.2968110714068928E-4</v>
      </c>
      <c r="E532" s="4">
        <v>5.5239858284394927E-4</v>
      </c>
      <c r="F532" s="4">
        <v>5.0260757430997671E-4</v>
      </c>
      <c r="G532" s="4">
        <v>-1.4550874646619416E-3</v>
      </c>
    </row>
    <row r="533" spans="1:7" x14ac:dyDescent="0.35">
      <c r="A533" s="3">
        <v>42415</v>
      </c>
      <c r="B533" s="4">
        <v>3.0916870672873742E-2</v>
      </c>
      <c r="C533" s="4">
        <v>1.5133701771515851E-2</v>
      </c>
      <c r="D533" s="4">
        <v>4.9484228555640719E-4</v>
      </c>
      <c r="E533" s="4">
        <v>5.3580429966282317E-4</v>
      </c>
      <c r="F533" s="4">
        <v>2.1468543110281235E-3</v>
      </c>
      <c r="G533" s="4">
        <v>4.0940989161453167E-4</v>
      </c>
    </row>
    <row r="534" spans="1:7" x14ac:dyDescent="0.35">
      <c r="A534" s="3">
        <v>42416</v>
      </c>
      <c r="B534" s="4">
        <v>1.1159548697621924E-2</v>
      </c>
      <c r="C534" s="4">
        <v>-1.8259099520557376E-2</v>
      </c>
      <c r="D534" s="4">
        <v>5.1824204538686303E-4</v>
      </c>
      <c r="E534" s="4">
        <v>5.5943793054646918E-4</v>
      </c>
      <c r="F534" s="4">
        <v>-4.3098809709856134E-3</v>
      </c>
      <c r="G534" s="4">
        <v>-2.8133150691608266E-3</v>
      </c>
    </row>
    <row r="535" spans="1:7" x14ac:dyDescent="0.35">
      <c r="A535" s="3">
        <v>42417</v>
      </c>
      <c r="B535" s="4">
        <v>-5.4546455438823083E-3</v>
      </c>
      <c r="C535" s="4">
        <v>1.5068057514274757E-2</v>
      </c>
      <c r="D535" s="4">
        <v>5.0708183476966262E-4</v>
      </c>
      <c r="E535" s="4">
        <v>3.9109547194837724E-4</v>
      </c>
      <c r="F535" s="4">
        <v>3.2674497307498829E-3</v>
      </c>
      <c r="G535" s="4">
        <v>3.31804204840358E-4</v>
      </c>
    </row>
    <row r="536" spans="1:7" x14ac:dyDescent="0.35">
      <c r="A536" s="3">
        <v>42418</v>
      </c>
      <c r="B536" s="4">
        <v>3.0813424448852267E-3</v>
      </c>
      <c r="C536" s="4">
        <v>7.1352393653478785E-4</v>
      </c>
      <c r="D536" s="4">
        <v>5.2719860630134896E-4</v>
      </c>
      <c r="E536" s="4">
        <v>5.3981944076819666E-4</v>
      </c>
      <c r="F536" s="4">
        <v>1.6708816616262112E-4</v>
      </c>
      <c r="G536" s="4">
        <v>2.585873321121035E-3</v>
      </c>
    </row>
    <row r="537" spans="1:7" x14ac:dyDescent="0.35">
      <c r="A537" s="3">
        <v>42419</v>
      </c>
      <c r="B537" s="4">
        <v>3.0300896528500099E-2</v>
      </c>
      <c r="C537" s="4">
        <v>-2.2508895962348618E-2</v>
      </c>
      <c r="D537" s="4">
        <v>5.0044675858362808E-4</v>
      </c>
      <c r="E537" s="4">
        <v>6.5946094261248867E-4</v>
      </c>
      <c r="F537" s="4">
        <v>-8.5816995418145359E-3</v>
      </c>
      <c r="G537" s="4">
        <v>-4.9187325061680331E-3</v>
      </c>
    </row>
    <row r="538" spans="1:7" x14ac:dyDescent="0.35">
      <c r="A538" s="3">
        <v>42422</v>
      </c>
      <c r="B538" s="4">
        <v>-1.1044165450845411E-2</v>
      </c>
      <c r="C538" s="4">
        <v>2.6121093792670358E-3</v>
      </c>
      <c r="D538" s="4">
        <v>4.8455333048913474E-4</v>
      </c>
      <c r="E538" s="4">
        <v>6.3265188074423939E-4</v>
      </c>
      <c r="F538" s="4">
        <v>6.2899540973799795E-3</v>
      </c>
      <c r="G538" s="4">
        <v>1.2637408457960575E-3</v>
      </c>
    </row>
    <row r="539" spans="1:7" x14ac:dyDescent="0.35">
      <c r="A539" s="3">
        <v>42423</v>
      </c>
      <c r="B539" s="4">
        <v>-8.2940596143350476E-3</v>
      </c>
      <c r="C539" s="4">
        <v>1.9267690433328877E-3</v>
      </c>
      <c r="D539" s="4">
        <v>5.3040996132236451E-4</v>
      </c>
      <c r="E539" s="4">
        <v>5.1185211315307733E-4</v>
      </c>
      <c r="F539" s="4">
        <v>3.1724290610579686E-4</v>
      </c>
      <c r="G539" s="4">
        <v>2.313162503359667E-3</v>
      </c>
    </row>
    <row r="540" spans="1:7" x14ac:dyDescent="0.35">
      <c r="A540" s="3">
        <v>42424</v>
      </c>
      <c r="B540" s="4">
        <v>5.081819021181655E-3</v>
      </c>
      <c r="C540" s="4">
        <v>-7.0658294727603543E-3</v>
      </c>
      <c r="D540" s="4">
        <v>5.1755516133211721E-4</v>
      </c>
      <c r="E540" s="4">
        <v>5.7634312687082634E-4</v>
      </c>
      <c r="F540" s="4">
        <v>-8.9756130272777845E-4</v>
      </c>
      <c r="G540" s="4">
        <v>1.5883120742195E-3</v>
      </c>
    </row>
    <row r="541" spans="1:7" x14ac:dyDescent="0.35">
      <c r="A541" s="3">
        <v>42425</v>
      </c>
      <c r="B541" s="4">
        <v>-2.9779344491810411E-3</v>
      </c>
      <c r="C541" s="4">
        <v>1.2655469935694663E-2</v>
      </c>
      <c r="D541" s="4">
        <v>5.299633199580267E-4</v>
      </c>
      <c r="E541" s="4">
        <v>4.4574852537682119E-4</v>
      </c>
      <c r="F541" s="4">
        <v>3.5732652422024724E-3</v>
      </c>
      <c r="G541" s="4">
        <v>6.2665290501464632E-3</v>
      </c>
    </row>
    <row r="542" spans="1:7" x14ac:dyDescent="0.35">
      <c r="A542" s="3">
        <v>42426</v>
      </c>
      <c r="B542" s="4">
        <v>3.1727407738680213E-2</v>
      </c>
      <c r="C542" s="4">
        <v>5.3672842627472406E-5</v>
      </c>
      <c r="D542" s="4">
        <v>5.1740871232897057E-4</v>
      </c>
      <c r="E542" s="4">
        <v>5.4390754030975152E-4</v>
      </c>
      <c r="F542" s="4">
        <v>-1.3723846507807114E-3</v>
      </c>
      <c r="G542" s="4">
        <v>-3.3948931031485552E-3</v>
      </c>
    </row>
    <row r="543" spans="1:7" x14ac:dyDescent="0.35">
      <c r="A543" s="3">
        <v>42429</v>
      </c>
      <c r="B543" s="4">
        <v>1.3865450424677572E-2</v>
      </c>
      <c r="C543" s="4">
        <v>-1.2629852858605517E-2</v>
      </c>
      <c r="D543" s="4">
        <v>4.9067117642165314E-4</v>
      </c>
      <c r="E543" s="4">
        <v>6.0748914760444528E-4</v>
      </c>
      <c r="F543" s="4">
        <v>-5.0298118606943998E-3</v>
      </c>
      <c r="G543" s="4">
        <v>-3.3369244334061632E-3</v>
      </c>
    </row>
    <row r="544" spans="1:7" x14ac:dyDescent="0.35">
      <c r="A544" s="3">
        <v>42430</v>
      </c>
      <c r="B544" s="4">
        <v>6.0647402535041195E-4</v>
      </c>
      <c r="C544" s="4">
        <v>-1.0687769790397872E-2</v>
      </c>
      <c r="D544" s="4">
        <v>5.1791760144603849E-4</v>
      </c>
      <c r="E544" s="4">
        <v>7.4011977728649647E-4</v>
      </c>
      <c r="F544" s="4">
        <v>-4.3954225392783819E-3</v>
      </c>
      <c r="G544" s="4">
        <v>-4.1181517316212224E-3</v>
      </c>
    </row>
    <row r="545" spans="1:7" x14ac:dyDescent="0.35">
      <c r="A545" s="3">
        <v>42431</v>
      </c>
      <c r="B545" s="4">
        <v>2.1215103654441014E-2</v>
      </c>
      <c r="C545" s="4">
        <v>-2.5064575091803376E-2</v>
      </c>
      <c r="D545" s="4">
        <v>5.4091230755393127E-4</v>
      </c>
      <c r="E545" s="4">
        <v>5.8339292883990979E-4</v>
      </c>
      <c r="F545" s="4">
        <v>-6.2186931338293894E-3</v>
      </c>
      <c r="G545" s="4">
        <v>-2.7733142197393645E-3</v>
      </c>
    </row>
    <row r="546" spans="1:7" x14ac:dyDescent="0.35">
      <c r="A546" s="3">
        <v>42432</v>
      </c>
      <c r="B546" s="4">
        <v>3.1959352202395097E-2</v>
      </c>
      <c r="C546" s="4">
        <v>-1.2422087048224117E-2</v>
      </c>
      <c r="D546" s="4">
        <v>5.2616381454173577E-4</v>
      </c>
      <c r="E546" s="4">
        <v>7.7137566720053563E-4</v>
      </c>
      <c r="F546" s="4">
        <v>-6.1606427654942175E-3</v>
      </c>
      <c r="G546" s="4">
        <v>1.1404798972907138E-3</v>
      </c>
    </row>
    <row r="547" spans="1:7" x14ac:dyDescent="0.35">
      <c r="A547" s="3">
        <v>42433</v>
      </c>
      <c r="B547" s="4">
        <v>-4.1638778529711207E-3</v>
      </c>
      <c r="C547" s="4">
        <v>9.881983004883077E-3</v>
      </c>
      <c r="D547" s="4">
        <v>5.102249161277328E-4</v>
      </c>
      <c r="E547" s="4">
        <v>7.5039456358005907E-4</v>
      </c>
      <c r="F547" s="4">
        <v>-2.8748174949100314E-4</v>
      </c>
      <c r="G547" s="4">
        <v>5.5385257295226253E-4</v>
      </c>
    </row>
    <row r="548" spans="1:7" x14ac:dyDescent="0.35">
      <c r="A548" s="3">
        <v>42436</v>
      </c>
      <c r="B548" s="4">
        <v>-1.4331099713823514E-3</v>
      </c>
      <c r="C548" s="4">
        <v>-8.9468680205677664E-3</v>
      </c>
      <c r="D548" s="4">
        <v>5.1672124155621724E-4</v>
      </c>
      <c r="E548" s="4">
        <v>3.8370270413157215E-4</v>
      </c>
      <c r="F548" s="4">
        <v>2.7081599467941864E-3</v>
      </c>
      <c r="G548" s="4">
        <v>2.1492896277768292E-3</v>
      </c>
    </row>
    <row r="549" spans="1:7" x14ac:dyDescent="0.35">
      <c r="A549" s="3">
        <v>42437</v>
      </c>
      <c r="B549" s="4">
        <v>-2.7756572351502751E-3</v>
      </c>
      <c r="C549" s="4">
        <v>-1.4709555551188691E-2</v>
      </c>
      <c r="D549" s="4">
        <v>5.1575134226955477E-4</v>
      </c>
      <c r="E549" s="4">
        <v>-9.7250278571723303E-3</v>
      </c>
      <c r="F549" s="4">
        <v>7.3101076671333587E-4</v>
      </c>
      <c r="G549" s="4">
        <v>-2.0568627134668338E-3</v>
      </c>
    </row>
    <row r="550" spans="1:7" x14ac:dyDescent="0.35">
      <c r="A550" s="3">
        <v>42438</v>
      </c>
      <c r="B550" s="4">
        <v>1.8496932614050943E-2</v>
      </c>
      <c r="C550" s="4">
        <v>-1.3740700638895542E-2</v>
      </c>
      <c r="D550" s="4">
        <v>5.0329953085959112E-4</v>
      </c>
      <c r="E550" s="4">
        <v>8.1302514979975093E-4</v>
      </c>
      <c r="F550" s="4">
        <v>3.202580193586213E-3</v>
      </c>
      <c r="G550" s="4">
        <v>3.3268398899093388E-3</v>
      </c>
    </row>
    <row r="551" spans="1:7" x14ac:dyDescent="0.35">
      <c r="A551" s="3">
        <v>42439</v>
      </c>
      <c r="B551" s="4">
        <v>1.3474726444052232E-2</v>
      </c>
      <c r="C551" s="4">
        <v>-9.6208740399126302E-3</v>
      </c>
      <c r="D551" s="4">
        <v>5.2863542553205356E-4</v>
      </c>
      <c r="E551" s="4">
        <v>6.5709105436329018E-4</v>
      </c>
      <c r="F551" s="4">
        <v>-1.1289691264174673E-3</v>
      </c>
      <c r="G551" s="4">
        <v>3.1637499848553574E-3</v>
      </c>
    </row>
    <row r="552" spans="1:7" x14ac:dyDescent="0.35">
      <c r="A552" s="3">
        <v>42440</v>
      </c>
      <c r="B552" s="4">
        <v>-1.212883525344377E-2</v>
      </c>
      <c r="C552" s="4">
        <v>2.0202035543979147E-3</v>
      </c>
      <c r="D552" s="4">
        <v>5.2667774074377505E-4</v>
      </c>
      <c r="E552" s="4">
        <v>7.0288108221561174E-4</v>
      </c>
      <c r="F552" s="4">
        <v>-1.7079595650260071E-4</v>
      </c>
      <c r="G552" s="4">
        <v>3.6911737923748245E-3</v>
      </c>
    </row>
    <row r="553" spans="1:7" x14ac:dyDescent="0.35">
      <c r="A553" s="3">
        <v>42443</v>
      </c>
      <c r="B553" s="4">
        <v>-4.207393114166591E-2</v>
      </c>
      <c r="C553" s="4">
        <v>4.051823495923812E-2</v>
      </c>
      <c r="D553" s="4">
        <v>5.3974474638329717E-4</v>
      </c>
      <c r="E553" s="4">
        <v>5.7294433249754917E-4</v>
      </c>
      <c r="F553" s="4">
        <v>-1.2757226958493018E-3</v>
      </c>
      <c r="G553" s="4">
        <v>4.9523712395391772E-3</v>
      </c>
    </row>
    <row r="554" spans="1:7" x14ac:dyDescent="0.35">
      <c r="A554" s="3">
        <v>42444</v>
      </c>
      <c r="B554" s="4">
        <v>1.9662321572112562E-2</v>
      </c>
      <c r="C554" s="4">
        <v>-1.8189297971874518E-3</v>
      </c>
      <c r="D554" s="4">
        <v>5.4602374854950675E-4</v>
      </c>
      <c r="E554" s="4">
        <v>5.0780299117159089E-4</v>
      </c>
      <c r="F554" s="4">
        <v>-6.95739326121525E-3</v>
      </c>
      <c r="G554" s="4">
        <v>-4.1795607046241079E-3</v>
      </c>
    </row>
    <row r="555" spans="1:7" x14ac:dyDescent="0.35">
      <c r="A555" s="3">
        <v>42445</v>
      </c>
      <c r="B555" s="4">
        <v>5.878269100121547E-2</v>
      </c>
      <c r="C555" s="4">
        <v>-3.2307636633323478E-2</v>
      </c>
      <c r="D555" s="4">
        <v>5.2059580665764216E-4</v>
      </c>
      <c r="E555" s="4">
        <v>5.7241847289124514E-4</v>
      </c>
      <c r="F555" s="4">
        <v>-2.01950968566178E-3</v>
      </c>
      <c r="G555" s="4">
        <v>1.0152217739278768E-4</v>
      </c>
    </row>
    <row r="556" spans="1:7" x14ac:dyDescent="0.35">
      <c r="A556" s="3">
        <v>42446</v>
      </c>
      <c r="B556" s="4">
        <v>2.202482215558188E-3</v>
      </c>
      <c r="C556" s="4">
        <v>-1.1768348951612606E-2</v>
      </c>
      <c r="D556" s="4">
        <v>5.0583789257419021E-4</v>
      </c>
      <c r="E556" s="4">
        <v>8.3550060779402635E-4</v>
      </c>
      <c r="F556" s="4">
        <v>2.4239487048174357E-3</v>
      </c>
      <c r="G556" s="4">
        <v>4.8905549166857742E-3</v>
      </c>
    </row>
    <row r="557" spans="1:7" x14ac:dyDescent="0.35">
      <c r="A557" s="3">
        <v>42447</v>
      </c>
      <c r="B557" s="4">
        <v>1.3616749846589338E-2</v>
      </c>
      <c r="C557" s="4">
        <v>2.6675801528064369E-3</v>
      </c>
      <c r="D557" s="4">
        <v>5.2197421829935919E-4</v>
      </c>
      <c r="E557" s="4">
        <v>2.6827524556072291E-4</v>
      </c>
      <c r="F557" s="4">
        <v>1.5757044389941299E-3</v>
      </c>
      <c r="G557" s="4">
        <v>-2.1910777021874051E-3</v>
      </c>
    </row>
    <row r="558" spans="1:7" x14ac:dyDescent="0.35">
      <c r="A558" s="3">
        <v>42450</v>
      </c>
      <c r="B558" s="4">
        <v>-2.6660242945781842E-3</v>
      </c>
      <c r="C558" s="4">
        <v>-5.0843896858623339E-3</v>
      </c>
      <c r="D558" s="4">
        <v>5.1282128237906122E-4</v>
      </c>
      <c r="E558" s="4">
        <v>7.2400217253476562E-4</v>
      </c>
      <c r="F558" s="4">
        <v>3.8534240897658556E-3</v>
      </c>
      <c r="G558" s="4">
        <v>-1.3365964210102499E-3</v>
      </c>
    </row>
    <row r="559" spans="1:7" x14ac:dyDescent="0.35">
      <c r="A559" s="3">
        <v>42451</v>
      </c>
      <c r="B559" s="4">
        <v>-2.5651653735321855E-2</v>
      </c>
      <c r="C559" s="4">
        <v>2.4791247445693276E-2</v>
      </c>
      <c r="D559" s="4">
        <v>5.1282888508619173E-4</v>
      </c>
      <c r="E559" s="4">
        <v>6.764020851677266E-4</v>
      </c>
      <c r="F559" s="4">
        <v>-2.6527133171871942E-4</v>
      </c>
      <c r="G559" s="4">
        <v>3.7777001016985334E-3</v>
      </c>
    </row>
    <row r="560" spans="1:7" x14ac:dyDescent="0.35">
      <c r="A560" s="3">
        <v>42452</v>
      </c>
      <c r="B560" s="4">
        <v>1.8079756292885829E-3</v>
      </c>
      <c r="C560" s="4">
        <v>5.3993069516016234E-3</v>
      </c>
      <c r="D560" s="4">
        <v>5.4531848438621466E-4</v>
      </c>
      <c r="E560" s="4">
        <v>3.7210691681255348E-4</v>
      </c>
      <c r="F560" s="4">
        <v>-3.94001893104301E-3</v>
      </c>
      <c r="G560" s="4">
        <v>-7.1039481468526677E-4</v>
      </c>
    </row>
    <row r="561" spans="1:7" x14ac:dyDescent="0.35">
      <c r="A561" s="3">
        <v>42453</v>
      </c>
      <c r="B561" s="4">
        <v>2.7192674118855287E-2</v>
      </c>
      <c r="C561" s="4">
        <v>-1.6663681017160537E-2</v>
      </c>
      <c r="D561" s="4">
        <v>5.391897542381674E-4</v>
      </c>
      <c r="E561" s="4">
        <v>4.6678472376959768E-4</v>
      </c>
      <c r="F561" s="4">
        <v>4.3066340918394008E-3</v>
      </c>
      <c r="G561" s="4">
        <v>1.5941954381581969E-3</v>
      </c>
    </row>
    <row r="562" spans="1:7" x14ac:dyDescent="0.35">
      <c r="A562" s="3">
        <v>42457</v>
      </c>
      <c r="B562" s="4">
        <v>3.4901589269047406E-3</v>
      </c>
      <c r="C562" s="4">
        <v>3.0154703106810565E-3</v>
      </c>
      <c r="D562" s="4">
        <v>5.0541404227333331E-4</v>
      </c>
      <c r="E562" s="4">
        <v>8.3646557295025126E-4</v>
      </c>
      <c r="F562" s="4">
        <v>-3.8564363272434177E-3</v>
      </c>
      <c r="G562" s="4">
        <v>1.4677191006524648E-3</v>
      </c>
    </row>
    <row r="563" spans="1:7" x14ac:dyDescent="0.35">
      <c r="A563" s="3">
        <v>42458</v>
      </c>
      <c r="B563" s="4">
        <v>5.9643878358015545E-3</v>
      </c>
      <c r="C563" s="4">
        <v>-5.3091426649837237E-3</v>
      </c>
      <c r="D563" s="4">
        <v>5.2337751399833543E-4</v>
      </c>
      <c r="E563" s="4">
        <v>7.6671138693207297E-4</v>
      </c>
      <c r="F563" s="4">
        <v>-4.0588185259864407E-3</v>
      </c>
      <c r="G563" s="4">
        <v>3.6121235983486155E-3</v>
      </c>
    </row>
    <row r="564" spans="1:7" x14ac:dyDescent="0.35">
      <c r="A564" s="3">
        <v>42459</v>
      </c>
      <c r="B564" s="4">
        <v>-2.5776276986669289E-2</v>
      </c>
      <c r="C564" s="4">
        <v>-6.9997086740591907E-3</v>
      </c>
      <c r="D564" s="4">
        <v>5.3058251859749994E-4</v>
      </c>
      <c r="E564" s="4">
        <v>5.3113031844853609E-4</v>
      </c>
      <c r="F564" s="4">
        <v>-4.5478348974181682E-3</v>
      </c>
      <c r="G564" s="4">
        <v>1.7593961150363935E-3</v>
      </c>
    </row>
    <row r="565" spans="1:7" x14ac:dyDescent="0.35">
      <c r="A565" s="3">
        <v>42460</v>
      </c>
      <c r="B565" s="4">
        <v>9.9337102921599474E-3</v>
      </c>
      <c r="C565" s="4">
        <v>-7.4307118026698538E-3</v>
      </c>
      <c r="D565" s="4">
        <v>5.4359496669720286E-4</v>
      </c>
      <c r="E565" s="4">
        <v>4.0514890028608974E-4</v>
      </c>
      <c r="F565" s="4">
        <v>7.6341747980659402E-3</v>
      </c>
      <c r="G565" s="4">
        <v>1.2315091151864355E-3</v>
      </c>
    </row>
    <row r="566" spans="1:7" x14ac:dyDescent="0.35">
      <c r="A566" s="3">
        <v>42461</v>
      </c>
      <c r="B566" s="4">
        <v>-3.9937631460454814E-2</v>
      </c>
      <c r="C566" s="4">
        <v>1.1356462818815416E-2</v>
      </c>
      <c r="D566" s="4">
        <v>5.0816403196085602E-4</v>
      </c>
      <c r="E566" s="4">
        <v>6.4698157607123719E-4</v>
      </c>
      <c r="F566" s="4">
        <v>-8.0796454231646386E-4</v>
      </c>
      <c r="G566" s="4">
        <v>1.597135835107677E-3</v>
      </c>
    </row>
    <row r="567" spans="1:7" x14ac:dyDescent="0.35">
      <c r="A567" s="3">
        <v>42464</v>
      </c>
      <c r="B567" s="4">
        <v>4.6215038287922283E-4</v>
      </c>
      <c r="C567" s="4">
        <v>1.8364382396232504E-2</v>
      </c>
      <c r="D567" s="4">
        <v>5.3003540175255992E-4</v>
      </c>
      <c r="E567" s="4">
        <v>4.0378590057876806E-4</v>
      </c>
      <c r="F567" s="4">
        <v>1.1214412218392145E-3</v>
      </c>
      <c r="G567" s="4">
        <v>-1.3448380708671603E-3</v>
      </c>
    </row>
    <row r="568" spans="1:7" x14ac:dyDescent="0.35">
      <c r="A568" s="3">
        <v>42465</v>
      </c>
      <c r="B568" s="4">
        <v>-2.1409062523749078E-2</v>
      </c>
      <c r="C568" s="4">
        <v>-4.2906898789775161E-3</v>
      </c>
      <c r="D568" s="4">
        <v>6.1149200668708659E-4</v>
      </c>
      <c r="E568" s="4">
        <v>5.5841554666513638E-4</v>
      </c>
      <c r="F568" s="4">
        <v>-2.2115575618751881E-3</v>
      </c>
      <c r="G568" s="4">
        <v>-2.994851204108917E-4</v>
      </c>
    </row>
    <row r="569" spans="1:7" x14ac:dyDescent="0.35">
      <c r="A569" s="3">
        <v>42466</v>
      </c>
      <c r="B569" s="4">
        <v>2.2223505692320344E-3</v>
      </c>
      <c r="C569" s="4">
        <v>1.2266035849906265E-2</v>
      </c>
      <c r="D569" s="4">
        <v>5.2442054224388635E-4</v>
      </c>
      <c r="E569" s="4">
        <v>5.6090146999765444E-4</v>
      </c>
      <c r="F569" s="4">
        <v>-1.8750784820217303E-3</v>
      </c>
      <c r="G569" s="4">
        <v>8.3126976458314239E-4</v>
      </c>
    </row>
    <row r="570" spans="1:7" x14ac:dyDescent="0.35">
      <c r="A570" s="3">
        <v>42467</v>
      </c>
      <c r="B570" s="4">
        <v>4.234333532118506E-2</v>
      </c>
      <c r="C570" s="4">
        <v>-2.1893384542225669E-2</v>
      </c>
      <c r="D570" s="4">
        <v>5.303686873727731E-4</v>
      </c>
      <c r="E570" s="4">
        <v>5.7246851666747922E-4</v>
      </c>
      <c r="F570" s="4">
        <v>5.2959709578053182E-3</v>
      </c>
      <c r="G570" s="4">
        <v>1.3009980514839814E-3</v>
      </c>
    </row>
    <row r="571" spans="1:7" x14ac:dyDescent="0.35">
      <c r="A571" s="3">
        <v>42468</v>
      </c>
      <c r="B571" s="4">
        <v>-1.6070296369636861E-3</v>
      </c>
      <c r="C571" s="4">
        <v>-3.0610442537788551E-2</v>
      </c>
      <c r="D571" s="4">
        <v>5.1675674814255501E-4</v>
      </c>
      <c r="E571" s="4">
        <v>8.459821163102621E-4</v>
      </c>
      <c r="F571" s="4">
        <v>4.1885871980651412E-3</v>
      </c>
      <c r="G571" s="4">
        <v>2.5859971221662281E-3</v>
      </c>
    </row>
    <row r="572" spans="1:7" x14ac:dyDescent="0.35">
      <c r="A572" s="3">
        <v>42471</v>
      </c>
      <c r="B572" s="4">
        <v>3.470234512936532E-2</v>
      </c>
      <c r="C572" s="4">
        <v>3.6806842433563247E-3</v>
      </c>
      <c r="D572" s="4">
        <v>5.1317295939456997E-4</v>
      </c>
      <c r="E572" s="4">
        <v>6.7252179021348724E-4</v>
      </c>
      <c r="F572" s="4">
        <v>-1.1620154012070838E-3</v>
      </c>
      <c r="G572" s="4">
        <v>-7.6597354121821226E-4</v>
      </c>
    </row>
    <row r="573" spans="1:7" x14ac:dyDescent="0.35">
      <c r="A573" s="3">
        <v>42472</v>
      </c>
      <c r="B573" s="4">
        <v>3.2109435412674081E-2</v>
      </c>
      <c r="C573" s="4">
        <v>-7.3675278756982765E-3</v>
      </c>
      <c r="D573" s="4">
        <v>5.8009975259176727E-4</v>
      </c>
      <c r="E573" s="4">
        <v>7.5253918147510923E-4</v>
      </c>
      <c r="F573" s="4">
        <v>6.5548831924926443E-3</v>
      </c>
      <c r="G573" s="4">
        <v>-2.8034795340616814E-3</v>
      </c>
    </row>
    <row r="574" spans="1:7" x14ac:dyDescent="0.35">
      <c r="A574" s="3">
        <v>42473</v>
      </c>
      <c r="B574" s="4">
        <v>-2.2882937482767374E-2</v>
      </c>
      <c r="C574" s="4">
        <v>-5.3092802124693472E-3</v>
      </c>
      <c r="D574" s="4">
        <v>4.9174554417286132E-4</v>
      </c>
      <c r="E574" s="4">
        <v>7.7745384896044101E-4</v>
      </c>
      <c r="F574" s="4">
        <v>4.8944100376331345E-3</v>
      </c>
      <c r="G574" s="4">
        <v>3.4006496826093358E-3</v>
      </c>
    </row>
    <row r="575" spans="1:7" x14ac:dyDescent="0.35">
      <c r="A575" s="3">
        <v>42474</v>
      </c>
      <c r="B575" s="4">
        <v>2.0862990595401865E-2</v>
      </c>
      <c r="C575" s="4">
        <v>1.7636651917477764E-2</v>
      </c>
      <c r="D575" s="4">
        <v>5.1994741734007199E-4</v>
      </c>
      <c r="E575" s="4">
        <v>6.4303060306292181E-4</v>
      </c>
      <c r="F575" s="4">
        <v>4.5914583393558139E-4</v>
      </c>
      <c r="G575" s="4">
        <v>6.3676045499283518E-5</v>
      </c>
    </row>
    <row r="576" spans="1:7" x14ac:dyDescent="0.35">
      <c r="A576" s="3">
        <v>42475</v>
      </c>
      <c r="B576" s="4">
        <v>-1.5394024340378398E-2</v>
      </c>
      <c r="C576" s="4">
        <v>1.2465714606373579E-2</v>
      </c>
      <c r="D576" s="4">
        <v>5.445833984698556E-4</v>
      </c>
      <c r="E576" s="4">
        <v>6.6039625838310023E-4</v>
      </c>
      <c r="F576" s="4">
        <v>4.2652912523344355E-3</v>
      </c>
      <c r="G576" s="4">
        <v>-1.2202347178132955E-3</v>
      </c>
    </row>
    <row r="577" spans="1:7" x14ac:dyDescent="0.35">
      <c r="A577" s="3">
        <v>42478</v>
      </c>
      <c r="B577" s="4">
        <v>1.3271988661410772E-2</v>
      </c>
      <c r="C577" s="4">
        <v>-1.0115575806863064E-2</v>
      </c>
      <c r="D577" s="4">
        <v>5.1305049194261265E-4</v>
      </c>
      <c r="E577" s="4">
        <v>6.6309614789439308E-4</v>
      </c>
      <c r="F577" s="4">
        <v>-1.3088268121215219E-3</v>
      </c>
      <c r="G577" s="4">
        <v>-2.254541226521134E-3</v>
      </c>
    </row>
    <row r="578" spans="1:7" x14ac:dyDescent="0.35">
      <c r="A578" s="3">
        <v>42479</v>
      </c>
      <c r="B578" s="4">
        <v>-3.5267181411017257E-3</v>
      </c>
      <c r="C578" s="4">
        <v>-2.9657755913780059E-3</v>
      </c>
      <c r="D578" s="4">
        <v>5.3010688327170818E-4</v>
      </c>
      <c r="E578" s="4">
        <v>5.8543989780246442E-4</v>
      </c>
      <c r="F578" s="4">
        <v>3.1480980740574704E-3</v>
      </c>
      <c r="G578" s="4">
        <v>1.684149604075369E-4</v>
      </c>
    </row>
    <row r="579" spans="1:7" x14ac:dyDescent="0.35">
      <c r="A579" s="3">
        <v>42480</v>
      </c>
      <c r="B579" s="4">
        <v>-4.5576723576822298E-3</v>
      </c>
      <c r="C579" s="4">
        <v>1.2703502179962634E-2</v>
      </c>
      <c r="D579" s="4">
        <v>4.9416190108564351E-4</v>
      </c>
      <c r="E579" s="4">
        <v>5.9317714794704379E-4</v>
      </c>
      <c r="F579" s="4">
        <v>3.2878041161750193E-3</v>
      </c>
      <c r="G579" s="4">
        <v>2.9220119583173165E-3</v>
      </c>
    </row>
    <row r="580" spans="1:7" x14ac:dyDescent="0.35">
      <c r="A580" s="3">
        <v>42482</v>
      </c>
      <c r="B580" s="4">
        <v>-1.9449117954028039E-2</v>
      </c>
      <c r="C580" s="4">
        <v>-6.6655690178911708E-3</v>
      </c>
      <c r="D580" s="4">
        <v>8.0154839112944742E-4</v>
      </c>
      <c r="E580" s="4">
        <v>5.8106096988663758E-4</v>
      </c>
      <c r="F580" s="4">
        <v>1.4894691268940718E-4</v>
      </c>
      <c r="G580" s="4">
        <v>3.595377142890932E-4</v>
      </c>
    </row>
    <row r="581" spans="1:7" x14ac:dyDescent="0.35">
      <c r="A581" s="3">
        <v>42485</v>
      </c>
      <c r="B581" s="4">
        <v>2.2299788429796408E-2</v>
      </c>
      <c r="C581" s="4">
        <v>-6.9064671355481E-3</v>
      </c>
      <c r="D581" s="4">
        <v>5.1183261695508797E-4</v>
      </c>
      <c r="E581" s="4">
        <v>6.2596470996956199E-4</v>
      </c>
      <c r="F581" s="4">
        <v>-1.3192595177587974E-3</v>
      </c>
      <c r="G581" s="4">
        <v>2.0310089738366788E-3</v>
      </c>
    </row>
    <row r="582" spans="1:7" x14ac:dyDescent="0.35">
      <c r="A582" s="3">
        <v>42486</v>
      </c>
      <c r="B582" s="4">
        <v>3.1729850439761398E-2</v>
      </c>
      <c r="C582" s="4">
        <v>-1.3132361201744214E-3</v>
      </c>
      <c r="D582" s="4">
        <v>4.914235134625411E-4</v>
      </c>
      <c r="E582" s="4">
        <v>5.4769732555848272E-4</v>
      </c>
      <c r="F582" s="4">
        <v>3.2948812523827531E-3</v>
      </c>
      <c r="G582" s="4">
        <v>-2.841887797229159E-4</v>
      </c>
    </row>
    <row r="583" spans="1:7" x14ac:dyDescent="0.35">
      <c r="A583" s="3">
        <v>42487</v>
      </c>
      <c r="B583" s="4">
        <v>-8.33205977441831E-3</v>
      </c>
      <c r="C583" s="4">
        <v>-9.3394955305081684E-3</v>
      </c>
      <c r="D583" s="4">
        <v>5.1121878876569937E-4</v>
      </c>
      <c r="E583" s="4">
        <v>6.9915006665755008E-4</v>
      </c>
      <c r="F583" s="4">
        <v>-3.3577843725571821E-3</v>
      </c>
      <c r="G583" s="4">
        <v>3.3449232360234227E-3</v>
      </c>
    </row>
    <row r="584" spans="1:7" x14ac:dyDescent="0.35">
      <c r="A584" s="3">
        <v>42488</v>
      </c>
      <c r="B584" s="4">
        <v>-7.2152022903018143E-3</v>
      </c>
      <c r="C584" s="4">
        <v>-1.2339214470623583E-2</v>
      </c>
      <c r="D584" s="4">
        <v>5.4751636673300297E-4</v>
      </c>
      <c r="E584" s="4">
        <v>4.3738647186675195E-4</v>
      </c>
      <c r="F584" s="4">
        <v>2.3270016060954468E-3</v>
      </c>
      <c r="G584" s="4">
        <v>6.1845693372530874E-5</v>
      </c>
    </row>
    <row r="585" spans="1:7" x14ac:dyDescent="0.35">
      <c r="A585" s="3">
        <v>42489</v>
      </c>
      <c r="B585" s="4">
        <v>-1.3117293630493299E-2</v>
      </c>
      <c r="C585" s="4">
        <v>1.2455642598867556E-2</v>
      </c>
      <c r="D585" s="4">
        <v>5.091247905406604E-4</v>
      </c>
      <c r="E585" s="4">
        <v>9.5903009019271401E-4</v>
      </c>
      <c r="F585" s="4">
        <v>-1.3371992734179106E-4</v>
      </c>
      <c r="G585" s="4">
        <v>1.141341261379214E-4</v>
      </c>
    </row>
    <row r="586" spans="1:7" x14ac:dyDescent="0.35">
      <c r="A586" s="3">
        <v>42492</v>
      </c>
      <c r="B586" s="4">
        <v>-2.5726151026792432E-2</v>
      </c>
      <c r="C586" s="4">
        <v>2.3401572975547458E-2</v>
      </c>
      <c r="D586" s="4">
        <v>5.2778419275045785E-4</v>
      </c>
      <c r="E586" s="4">
        <v>6.2099570465568021E-4</v>
      </c>
      <c r="F586" s="4">
        <v>1.6178965003725843E-3</v>
      </c>
      <c r="G586" s="4">
        <v>3.1687326863552023E-3</v>
      </c>
    </row>
    <row r="587" spans="1:7" x14ac:dyDescent="0.35">
      <c r="A587" s="3">
        <v>42493</v>
      </c>
      <c r="B587" s="4">
        <v>1.2628099343787058E-2</v>
      </c>
      <c r="C587" s="4">
        <v>-8.6627079986231204E-3</v>
      </c>
      <c r="D587" s="4">
        <v>5.3327318787377287E-4</v>
      </c>
      <c r="E587" s="4">
        <v>5.6692548053782765E-4</v>
      </c>
      <c r="F587" s="4">
        <v>1.548941505668866E-3</v>
      </c>
      <c r="G587" s="4">
        <v>3.1296224149988117E-3</v>
      </c>
    </row>
    <row r="588" spans="1:7" x14ac:dyDescent="0.35">
      <c r="A588" s="3">
        <v>42494</v>
      </c>
      <c r="B588" s="4">
        <v>-1.3369643534496323E-2</v>
      </c>
      <c r="C588" s="4">
        <v>8.2985172661298456E-4</v>
      </c>
      <c r="D588" s="4">
        <v>5.3628748992329278E-4</v>
      </c>
      <c r="E588" s="4">
        <v>5.0503424053993662E-4</v>
      </c>
      <c r="F588" s="4">
        <v>1.2878936519269413E-3</v>
      </c>
      <c r="G588" s="4">
        <v>2.0368642917025781E-3</v>
      </c>
    </row>
    <row r="589" spans="1:7" x14ac:dyDescent="0.35">
      <c r="A589" s="3">
        <v>42495</v>
      </c>
      <c r="B589" s="4">
        <v>6.6686911573823338E-3</v>
      </c>
      <c r="C589" s="4">
        <v>-1.0961442702798307E-2</v>
      </c>
      <c r="D589" s="4">
        <v>5.1594144091993144E-4</v>
      </c>
      <c r="E589" s="4">
        <v>6.4855737962732363E-4</v>
      </c>
      <c r="F589" s="4">
        <v>1.0947598834687433E-3</v>
      </c>
      <c r="G589" s="4">
        <v>2.9177264115518575E-3</v>
      </c>
    </row>
    <row r="590" spans="1:7" x14ac:dyDescent="0.35">
      <c r="A590" s="3">
        <v>42496</v>
      </c>
      <c r="B590" s="4">
        <v>-1.5439132478700324E-2</v>
      </c>
      <c r="C590" s="4">
        <v>5.5113306669172246E-3</v>
      </c>
      <c r="D590" s="4">
        <v>5.3913418650486378E-4</v>
      </c>
      <c r="E590" s="4">
        <v>5.5388233042252821E-4</v>
      </c>
      <c r="F590" s="4">
        <v>6.6852851062604302E-4</v>
      </c>
      <c r="G590" s="4">
        <v>5.1486479697102627E-3</v>
      </c>
    </row>
    <row r="591" spans="1:7" x14ac:dyDescent="0.35">
      <c r="A591" s="3">
        <v>42499</v>
      </c>
      <c r="B591" s="4">
        <v>3.6154250453859671E-2</v>
      </c>
      <c r="C591" s="4">
        <v>-1.3717913590316488E-2</v>
      </c>
      <c r="D591" s="4">
        <v>5.3874308962487127E-4</v>
      </c>
      <c r="E591" s="4">
        <v>5.0761252927311595E-4</v>
      </c>
      <c r="F591" s="4">
        <v>1.7096552585560421E-3</v>
      </c>
      <c r="G591" s="4">
        <v>-3.2065127994351794E-4</v>
      </c>
    </row>
    <row r="592" spans="1:7" x14ac:dyDescent="0.35">
      <c r="A592" s="3">
        <v>42500</v>
      </c>
      <c r="B592" s="4">
        <v>3.1609598911050973E-3</v>
      </c>
      <c r="C592" s="4">
        <v>-7.5238373350562382E-3</v>
      </c>
      <c r="D592" s="4">
        <v>5.014432658236867E-4</v>
      </c>
      <c r="E592" s="4">
        <v>7.5215063297284779E-4</v>
      </c>
      <c r="F592" s="4">
        <v>3.8174039565075368E-3</v>
      </c>
      <c r="G592" s="4">
        <v>4.0083450761847494E-3</v>
      </c>
    </row>
    <row r="593" spans="1:7" x14ac:dyDescent="0.35">
      <c r="A593" s="3">
        <v>42501</v>
      </c>
      <c r="B593" s="4">
        <v>1.1996006567860373E-3</v>
      </c>
      <c r="C593" s="4">
        <v>7.9278627072481012E-3</v>
      </c>
      <c r="D593" s="4">
        <v>5.2668654159049311E-4</v>
      </c>
      <c r="E593" s="4">
        <v>6.9506822907938748E-4</v>
      </c>
      <c r="F593" s="4">
        <v>2.6338908342045109E-3</v>
      </c>
      <c r="G593" s="4">
        <v>4.147886111791621E-4</v>
      </c>
    </row>
    <row r="594" spans="1:7" x14ac:dyDescent="0.35">
      <c r="A594" s="3">
        <v>42502</v>
      </c>
      <c r="B594" s="4">
        <v>-2.9083562908273852E-2</v>
      </c>
      <c r="C594" s="4">
        <v>1.2614465840022016E-2</v>
      </c>
      <c r="D594" s="4">
        <v>5.329126750117652E-4</v>
      </c>
      <c r="E594" s="4">
        <v>5.6298917487862532E-4</v>
      </c>
      <c r="F594" s="4">
        <v>8.9315673439704923E-4</v>
      </c>
      <c r="G594" s="4">
        <v>1.7476551722030997E-3</v>
      </c>
    </row>
    <row r="595" spans="1:7" x14ac:dyDescent="0.35">
      <c r="A595" s="3">
        <v>42503</v>
      </c>
      <c r="B595" s="4">
        <v>-7.949523655953139E-3</v>
      </c>
      <c r="C595" s="4">
        <v>-4.9295091377956624E-3</v>
      </c>
      <c r="D595" s="4">
        <v>5.4677190546481569E-4</v>
      </c>
      <c r="E595" s="4">
        <v>6.606820359014165E-4</v>
      </c>
      <c r="F595" s="4">
        <v>-1.7818000462244132E-4</v>
      </c>
      <c r="G595" s="4">
        <v>2.1344073637674654E-4</v>
      </c>
    </row>
    <row r="596" spans="1:7" x14ac:dyDescent="0.35">
      <c r="A596" s="3">
        <v>42506</v>
      </c>
      <c r="B596" s="4">
        <v>-2.1490292472871153E-2</v>
      </c>
      <c r="C596" s="4">
        <v>-1.2627708935042392E-3</v>
      </c>
      <c r="D596" s="4">
        <v>5.3148221427190556E-4</v>
      </c>
      <c r="E596" s="4">
        <v>5.5476774684271035E-4</v>
      </c>
      <c r="F596" s="4">
        <v>4.2966455894699607E-4</v>
      </c>
      <c r="G596" s="4">
        <v>1.1476466382684958E-3</v>
      </c>
    </row>
    <row r="597" spans="1:7" x14ac:dyDescent="0.35">
      <c r="A597" s="3">
        <v>42507</v>
      </c>
      <c r="B597" s="4">
        <v>-4.821937486570671E-3</v>
      </c>
      <c r="C597" s="4">
        <v>1.5323718575638079E-2</v>
      </c>
      <c r="D597" s="4">
        <v>5.2732933967702955E-4</v>
      </c>
      <c r="E597" s="4">
        <v>5.3726589130742575E-4</v>
      </c>
      <c r="F597" s="4">
        <v>2.0320646314662127E-3</v>
      </c>
      <c r="G597" s="4">
        <v>5.1805051178943629E-4</v>
      </c>
    </row>
    <row r="598" spans="1:7" x14ac:dyDescent="0.35">
      <c r="A598" s="3">
        <v>42508</v>
      </c>
      <c r="B598" s="4">
        <v>-1.2135686935305645E-2</v>
      </c>
      <c r="C598" s="4">
        <v>8.4877224092607673E-3</v>
      </c>
      <c r="D598" s="4">
        <v>5.4360565858790899E-4</v>
      </c>
      <c r="E598" s="4">
        <v>4.097336887545211E-4</v>
      </c>
      <c r="F598" s="4">
        <v>5.3914738690474806E-4</v>
      </c>
      <c r="G598" s="4">
        <v>5.0108220044231544E-4</v>
      </c>
    </row>
    <row r="599" spans="1:7" x14ac:dyDescent="0.35">
      <c r="A599" s="3">
        <v>42509</v>
      </c>
      <c r="B599" s="4">
        <v>-7.333647457504755E-4</v>
      </c>
      <c r="C599" s="4">
        <v>-1.457725139156052E-2</v>
      </c>
      <c r="D599" s="4">
        <v>5.4684846379249308E-4</v>
      </c>
      <c r="E599" s="4">
        <v>6.4513073981364855E-4</v>
      </c>
      <c r="F599" s="4">
        <v>6.8795709251534554E-4</v>
      </c>
      <c r="G599" s="4">
        <v>1.442960419403283E-3</v>
      </c>
    </row>
    <row r="600" spans="1:7" x14ac:dyDescent="0.35">
      <c r="A600" s="3">
        <v>42510</v>
      </c>
      <c r="B600" s="4">
        <v>-1.0357639174506938E-2</v>
      </c>
      <c r="C600" s="4">
        <v>1.210500716685603E-2</v>
      </c>
      <c r="D600" s="4">
        <v>5.6035161260115096E-4</v>
      </c>
      <c r="E600" s="4">
        <v>9.798096452184879E-6</v>
      </c>
      <c r="F600" s="4">
        <v>-4.9814598926045672E-4</v>
      </c>
      <c r="G600" s="4">
        <v>5.0719814920929807E-4</v>
      </c>
    </row>
    <row r="601" spans="1:7" x14ac:dyDescent="0.35">
      <c r="A601" s="3">
        <v>42513</v>
      </c>
      <c r="B601" s="4">
        <v>-4.9371730470696429E-3</v>
      </c>
      <c r="C601" s="4">
        <v>4.0056421932093134E-3</v>
      </c>
      <c r="D601" s="4">
        <v>5.6139069180871637E-4</v>
      </c>
      <c r="E601" s="4">
        <v>4.1121518837217153E-4</v>
      </c>
      <c r="F601" s="4">
        <v>-3.4776995005680877E-4</v>
      </c>
      <c r="G601" s="4">
        <v>1.430070516465376E-3</v>
      </c>
    </row>
    <row r="602" spans="1:7" x14ac:dyDescent="0.35">
      <c r="A602" s="3">
        <v>42514</v>
      </c>
      <c r="B602" s="4">
        <v>5.198069686311646E-3</v>
      </c>
      <c r="C602" s="4">
        <v>3.6308718347919378E-3</v>
      </c>
      <c r="D602" s="4">
        <v>5.3129386213091045E-4</v>
      </c>
      <c r="E602" s="4">
        <v>5.2892340062871135E-4</v>
      </c>
      <c r="F602" s="4">
        <v>-6.5763955441833222E-4</v>
      </c>
      <c r="G602" s="4">
        <v>1.0206585874432683E-3</v>
      </c>
    </row>
    <row r="603" spans="1:7" x14ac:dyDescent="0.35">
      <c r="A603" s="3">
        <v>42515</v>
      </c>
      <c r="B603" s="4">
        <v>-1.071056424919159E-2</v>
      </c>
      <c r="C603" s="4">
        <v>4.3827540032239654E-3</v>
      </c>
      <c r="D603" s="4">
        <v>5.578635504033258E-4</v>
      </c>
      <c r="E603" s="4">
        <v>5.4583184224132886E-4</v>
      </c>
      <c r="F603" s="4">
        <v>-1.0361045808622293E-3</v>
      </c>
      <c r="G603" s="4">
        <v>1.0953037490197826E-3</v>
      </c>
    </row>
    <row r="604" spans="1:7" x14ac:dyDescent="0.35">
      <c r="A604" s="3">
        <v>42517</v>
      </c>
      <c r="B604" s="4">
        <v>-3.1829835315985155E-3</v>
      </c>
      <c r="C604" s="4">
        <v>-8.5454257245518583E-3</v>
      </c>
      <c r="D604" s="4">
        <v>5.6240183000544341E-4</v>
      </c>
      <c r="E604" s="4">
        <v>4.8995995248146684E-4</v>
      </c>
      <c r="F604" s="4">
        <v>1.1124265900530617E-3</v>
      </c>
      <c r="G604" s="4">
        <v>4.2954235876702107E-4</v>
      </c>
    </row>
    <row r="605" spans="1:7" x14ac:dyDescent="0.35">
      <c r="A605" s="3">
        <v>42520</v>
      </c>
      <c r="B605" s="4">
        <v>-9.0065820982057065E-3</v>
      </c>
      <c r="C605" s="4">
        <v>1.1731254674471892E-2</v>
      </c>
      <c r="D605" s="4">
        <v>5.3729735761032238E-4</v>
      </c>
      <c r="E605" s="4">
        <v>6.5967126254773412E-4</v>
      </c>
      <c r="F605" s="4">
        <v>2.6312174651454967E-4</v>
      </c>
      <c r="G605" s="4">
        <v>1.2142311050653554E-3</v>
      </c>
    </row>
    <row r="606" spans="1:7" x14ac:dyDescent="0.35">
      <c r="A606" s="3">
        <v>42521</v>
      </c>
      <c r="B606" s="4">
        <v>5.889083537601314E-3</v>
      </c>
      <c r="C606" s="4">
        <v>-6.844852114221367E-3</v>
      </c>
      <c r="D606" s="4">
        <v>5.4450320399657137E-4</v>
      </c>
      <c r="E606" s="4">
        <v>5.0473605984180381E-4</v>
      </c>
      <c r="F606" s="4">
        <v>4.0688435513636101E-4</v>
      </c>
      <c r="G606" s="4">
        <v>-1.2915076176067686E-5</v>
      </c>
    </row>
    <row r="607" spans="1:7" x14ac:dyDescent="0.35">
      <c r="A607" s="3">
        <v>42522</v>
      </c>
      <c r="B607" s="4">
        <v>1.2608394777951393E-2</v>
      </c>
      <c r="C607" s="4">
        <v>-1.8576360745236054E-3</v>
      </c>
      <c r="D607" s="4">
        <v>4.9548506460750374E-4</v>
      </c>
      <c r="E607" s="4">
        <v>6.9656342060331333E-4</v>
      </c>
      <c r="F607" s="4">
        <v>8.6526018216459555E-4</v>
      </c>
      <c r="G607" s="4">
        <v>-1.06069863032765E-3</v>
      </c>
    </row>
    <row r="608" spans="1:7" x14ac:dyDescent="0.35">
      <c r="A608" s="3">
        <v>42523</v>
      </c>
      <c r="B608" s="4">
        <v>1.0735831110709748E-2</v>
      </c>
      <c r="C608" s="4">
        <v>-1.6615277976597786E-2</v>
      </c>
      <c r="D608" s="4">
        <v>5.3036547706009074E-4</v>
      </c>
      <c r="E608" s="4">
        <v>6.3139235327325238E-4</v>
      </c>
      <c r="F608" s="4">
        <v>-5.0799785248819562E-3</v>
      </c>
      <c r="G608" s="4">
        <v>-6.2079878290999257E-4</v>
      </c>
    </row>
    <row r="609" spans="1:7" x14ac:dyDescent="0.35">
      <c r="A609" s="3">
        <v>42524</v>
      </c>
      <c r="B609" s="4">
        <v>-5.120725886795241E-3</v>
      </c>
      <c r="C609" s="4">
        <v>-9.6397671997190404E-3</v>
      </c>
      <c r="D609" s="4">
        <v>5.1789286108427923E-4</v>
      </c>
      <c r="E609" s="4">
        <v>6.9675701945270951E-4</v>
      </c>
      <c r="F609" s="4">
        <v>9.4348085767403944E-4</v>
      </c>
      <c r="G609" s="4">
        <v>4.1007639481094316E-4</v>
      </c>
    </row>
    <row r="610" spans="1:7" x14ac:dyDescent="0.35">
      <c r="A610" s="3">
        <v>42527</v>
      </c>
      <c r="B610" s="4">
        <v>3.6391772691370949E-3</v>
      </c>
      <c r="C610" s="4">
        <v>-1.3239717347012459E-2</v>
      </c>
      <c r="D610" s="4">
        <v>5.3080798206539548E-4</v>
      </c>
      <c r="E610" s="4">
        <v>6.7590171823717071E-4</v>
      </c>
      <c r="F610" s="4">
        <v>6.9742621684820705E-4</v>
      </c>
      <c r="G610" s="4">
        <v>2.1423203846686611E-3</v>
      </c>
    </row>
    <row r="611" spans="1:7" x14ac:dyDescent="0.35">
      <c r="A611" s="3">
        <v>42528</v>
      </c>
      <c r="B611" s="4">
        <v>2.697015468945696E-2</v>
      </c>
      <c r="C611" s="4">
        <v>-2.1773017851947962E-2</v>
      </c>
      <c r="D611" s="4">
        <v>5.3463320419200322E-4</v>
      </c>
      <c r="E611" s="4">
        <v>5.1813982384829593E-4</v>
      </c>
      <c r="F611" s="4">
        <v>-4.4027002514601676E-5</v>
      </c>
      <c r="G611" s="4">
        <v>9.0754036849483022E-4</v>
      </c>
    </row>
    <row r="612" spans="1:7" x14ac:dyDescent="0.35">
      <c r="A612" s="3">
        <v>42529</v>
      </c>
      <c r="B612" s="4">
        <v>-9.9137396073856188E-3</v>
      </c>
      <c r="C612" s="4">
        <v>6.8421530492182026E-3</v>
      </c>
      <c r="D612" s="4">
        <v>5.2497170401899496E-4</v>
      </c>
      <c r="E612" s="4">
        <v>6.548526850800318E-4</v>
      </c>
      <c r="F612" s="4">
        <v>1.9153805594078754E-3</v>
      </c>
      <c r="G612" s="4">
        <v>2.6439937031321747E-3</v>
      </c>
    </row>
    <row r="613" spans="1:7" x14ac:dyDescent="0.35">
      <c r="A613" s="3">
        <v>42530</v>
      </c>
      <c r="B613" s="4">
        <v>-3.2736555652832178E-2</v>
      </c>
      <c r="C613" s="4">
        <v>1.0944884668643073E-2</v>
      </c>
      <c r="D613" s="4">
        <v>5.4150733733182577E-4</v>
      </c>
      <c r="E613" s="4">
        <v>5.1526144711688815E-4</v>
      </c>
      <c r="F613" s="4">
        <v>1.7498273286162824E-3</v>
      </c>
      <c r="G613" s="4">
        <v>1.2769519668671681E-3</v>
      </c>
    </row>
    <row r="614" spans="1:7" x14ac:dyDescent="0.35">
      <c r="A614" s="3">
        <v>42531</v>
      </c>
      <c r="B614" s="4">
        <v>1.3680821731683057E-3</v>
      </c>
      <c r="C614" s="4">
        <v>1.191011434912248E-2</v>
      </c>
      <c r="D614" s="4">
        <v>5.5055107952672877E-4</v>
      </c>
      <c r="E614" s="4">
        <v>3.0784657790805525E-4</v>
      </c>
      <c r="F614" s="4">
        <v>-8.7837810326174548E-4</v>
      </c>
      <c r="G614" s="4">
        <v>3.7811238610196973E-4</v>
      </c>
    </row>
    <row r="615" spans="1:7" x14ac:dyDescent="0.35">
      <c r="A615" s="3">
        <v>42534</v>
      </c>
      <c r="B615" s="4">
        <v>-2.168671003047884E-2</v>
      </c>
      <c r="C615" s="4">
        <v>5.6085868734168098E-3</v>
      </c>
      <c r="D615" s="4">
        <v>5.3947586403824133E-4</v>
      </c>
      <c r="E615" s="4">
        <v>5.7446012720885342E-4</v>
      </c>
      <c r="F615" s="4">
        <v>-3.5581306317167272E-4</v>
      </c>
      <c r="G615" s="4">
        <v>8.5092214004034439E-4</v>
      </c>
    </row>
    <row r="616" spans="1:7" x14ac:dyDescent="0.35">
      <c r="A616" s="3">
        <v>42535</v>
      </c>
      <c r="B616" s="4">
        <v>6.6355874073931176E-3</v>
      </c>
      <c r="C616" s="4">
        <v>-9.3832690036478317E-3</v>
      </c>
      <c r="D616" s="4">
        <v>5.2372460286553846E-4</v>
      </c>
      <c r="E616" s="4">
        <v>5.1214921776154831E-4</v>
      </c>
      <c r="F616" s="4">
        <v>-3.4215638993084774E-5</v>
      </c>
      <c r="G616" s="4">
        <v>3.6849075019507183E-4</v>
      </c>
    </row>
    <row r="617" spans="1:7" x14ac:dyDescent="0.35">
      <c r="A617" s="3">
        <v>42536</v>
      </c>
      <c r="B617" s="4">
        <v>9.802718896487761E-3</v>
      </c>
      <c r="C617" s="4">
        <v>2.8465590893487214E-3</v>
      </c>
      <c r="D617" s="4">
        <v>5.3859023976565723E-4</v>
      </c>
      <c r="E617" s="4">
        <v>5.7070560467553655E-4</v>
      </c>
      <c r="F617" s="4">
        <v>-2.2184626333994206E-3</v>
      </c>
      <c r="G617" s="4">
        <v>8.490232442539547E-4</v>
      </c>
    </row>
    <row r="618" spans="1:7" x14ac:dyDescent="0.35">
      <c r="A618" s="3">
        <v>42537</v>
      </c>
      <c r="B618" s="4">
        <v>2.6640414396958967E-3</v>
      </c>
      <c r="C618" s="4">
        <v>-1.2356176815730757E-2</v>
      </c>
      <c r="D618" s="4">
        <v>5.4198174228048401E-4</v>
      </c>
      <c r="E618" s="4">
        <v>5.3687744680486205E-4</v>
      </c>
      <c r="F618" s="4">
        <v>2.4101333001009806E-3</v>
      </c>
      <c r="G618" s="4">
        <v>4.0277842952241016E-4</v>
      </c>
    </row>
    <row r="619" spans="1:7" x14ac:dyDescent="0.35">
      <c r="A619" s="3">
        <v>42538</v>
      </c>
      <c r="B619" s="4">
        <v>1.5511429725609815E-2</v>
      </c>
      <c r="C619" s="4">
        <v>-9.3293342576490357E-3</v>
      </c>
      <c r="D619" s="4">
        <v>5.4454974247875043E-4</v>
      </c>
      <c r="E619" s="4">
        <v>6.0380869419263128E-4</v>
      </c>
      <c r="F619" s="4">
        <v>7.0522022616059665E-4</v>
      </c>
      <c r="G619" s="4">
        <v>4.1177905207656629E-4</v>
      </c>
    </row>
    <row r="620" spans="1:7" x14ac:dyDescent="0.35">
      <c r="A620" s="3">
        <v>42541</v>
      </c>
      <c r="B620" s="4">
        <v>1.2318321912274666E-2</v>
      </c>
      <c r="C620" s="4">
        <v>-3.3330502413675411E-4</v>
      </c>
      <c r="D620" s="4">
        <v>5.3223745463637506E-4</v>
      </c>
      <c r="E620" s="4">
        <v>6.5334796891480806E-4</v>
      </c>
      <c r="F620" s="4">
        <v>1.8181791732048147E-3</v>
      </c>
      <c r="G620" s="4">
        <v>-1.3403787557753066E-3</v>
      </c>
    </row>
    <row r="621" spans="1:7" x14ac:dyDescent="0.35">
      <c r="A621" s="3">
        <v>42542</v>
      </c>
      <c r="B621" s="4">
        <v>-4.3897443373938083E-3</v>
      </c>
      <c r="C621" s="4">
        <v>-4.61314387152989E-3</v>
      </c>
      <c r="D621" s="4">
        <v>5.3150058816564538E-4</v>
      </c>
      <c r="E621" s="4">
        <v>5.6935038693839424E-4</v>
      </c>
      <c r="F621" s="4">
        <v>5.4468163375442913E-4</v>
      </c>
      <c r="G621" s="4">
        <v>9.2896697660904692E-4</v>
      </c>
    </row>
    <row r="622" spans="1:7" x14ac:dyDescent="0.35">
      <c r="A622" s="3">
        <v>42543</v>
      </c>
      <c r="B622" s="4">
        <v>3.3768376528471311E-2</v>
      </c>
      <c r="C622" s="4">
        <v>-7.4748044669189495E-3</v>
      </c>
      <c r="D622" s="4">
        <v>5.5686810239019557E-4</v>
      </c>
      <c r="E622" s="4">
        <v>8.5254468306228404E-4</v>
      </c>
      <c r="F622" s="4">
        <v>2.0477936559326615E-4</v>
      </c>
      <c r="G622" s="4">
        <v>-3.3898527499554021E-4</v>
      </c>
    </row>
    <row r="623" spans="1:7" x14ac:dyDescent="0.35">
      <c r="A623" s="3">
        <v>42544</v>
      </c>
      <c r="B623" s="4">
        <v>-2.8508547714352184E-2</v>
      </c>
      <c r="C623" s="4">
        <v>6.9801622244811679E-3</v>
      </c>
      <c r="D623" s="4">
        <v>5.7140711690295554E-4</v>
      </c>
      <c r="E623" s="4">
        <v>6.5157687200767533E-4</v>
      </c>
      <c r="F623" s="4">
        <v>-1.5494846715599087E-3</v>
      </c>
      <c r="G623" s="4">
        <v>1.4633102094920858E-3</v>
      </c>
    </row>
    <row r="624" spans="1:7" x14ac:dyDescent="0.35">
      <c r="A624" s="3">
        <v>42545</v>
      </c>
      <c r="B624" s="4">
        <v>-1.8431466788581541E-2</v>
      </c>
      <c r="C624" s="4">
        <v>7.0816251813112796E-3</v>
      </c>
      <c r="D624" s="4">
        <v>5.2797404578064366E-4</v>
      </c>
      <c r="E624" s="4">
        <v>5.427156334232297E-4</v>
      </c>
      <c r="F624" s="4">
        <v>4.4491110279523127E-3</v>
      </c>
      <c r="G624" s="4">
        <v>5.8010077447412378E-4</v>
      </c>
    </row>
    <row r="625" spans="1:7" x14ac:dyDescent="0.35">
      <c r="A625" s="3">
        <v>42548</v>
      </c>
      <c r="B625" s="4">
        <v>1.6846740492409973E-2</v>
      </c>
      <c r="C625" s="4">
        <v>-2.7401929994175123E-2</v>
      </c>
      <c r="D625" s="4">
        <v>5.1215425398321024E-4</v>
      </c>
      <c r="E625" s="4">
        <v>6.3821860689627918E-4</v>
      </c>
      <c r="F625" s="4">
        <v>-1.2217948249894084E-3</v>
      </c>
      <c r="G625" s="4">
        <v>8.7469728306865946E-5</v>
      </c>
    </row>
    <row r="626" spans="1:7" x14ac:dyDescent="0.35">
      <c r="A626" s="3">
        <v>42549</v>
      </c>
      <c r="B626" s="4">
        <v>2.1975753909819318E-2</v>
      </c>
      <c r="C626" s="4">
        <v>-1.8078175996666834E-2</v>
      </c>
      <c r="D626" s="4">
        <v>5.3007664569326707E-4</v>
      </c>
      <c r="E626" s="4">
        <v>6.8000891953201581E-4</v>
      </c>
      <c r="F626" s="4">
        <v>-5.4369116746303403E-3</v>
      </c>
      <c r="G626" s="4">
        <v>7.5111625477486399E-4</v>
      </c>
    </row>
    <row r="627" spans="1:7" x14ac:dyDescent="0.35">
      <c r="A627" s="3">
        <v>42550</v>
      </c>
      <c r="B627" s="4">
        <v>7.0590689480283242E-3</v>
      </c>
      <c r="C627" s="4">
        <v>-8.7004464264551773E-3</v>
      </c>
      <c r="D627" s="4">
        <v>5.7836036161562632E-4</v>
      </c>
      <c r="E627" s="4">
        <v>5.3061131327969413E-4</v>
      </c>
      <c r="F627" s="4">
        <v>-3.9976427793020353E-4</v>
      </c>
      <c r="G627" s="4">
        <v>1.9808490051105299E-3</v>
      </c>
    </row>
    <row r="628" spans="1:7" x14ac:dyDescent="0.35">
      <c r="A628" s="3">
        <v>42551</v>
      </c>
      <c r="B628" s="4">
        <v>1.2960047547684983E-2</v>
      </c>
      <c r="C628" s="4">
        <v>2.8582396957690381E-3</v>
      </c>
      <c r="D628" s="4">
        <v>5.2595983704217808E-4</v>
      </c>
      <c r="E628" s="4">
        <v>6.1810171849141504E-4</v>
      </c>
      <c r="F628" s="4">
        <v>4.9672872339390217E-3</v>
      </c>
      <c r="G628" s="4">
        <v>-1.3785577213094591E-3</v>
      </c>
    </row>
    <row r="629" spans="1:7" x14ac:dyDescent="0.35">
      <c r="A629" s="3">
        <v>42552</v>
      </c>
      <c r="B629" s="4">
        <v>8.1975981122544006E-3</v>
      </c>
      <c r="C629" s="4">
        <v>1.1960814222977012E-2</v>
      </c>
      <c r="D629" s="4">
        <v>5.361745546750285E-4</v>
      </c>
      <c r="E629" s="4">
        <v>5.0498201821347344E-4</v>
      </c>
      <c r="F629" s="4">
        <v>-2.9674486828223934E-5</v>
      </c>
      <c r="G629" s="4">
        <v>2.0746765150003732E-4</v>
      </c>
    </row>
    <row r="630" spans="1:7" x14ac:dyDescent="0.35">
      <c r="A630" s="3">
        <v>42555</v>
      </c>
      <c r="B630" s="4">
        <v>-9.924856207471966E-3</v>
      </c>
      <c r="C630" s="4">
        <v>1.2567115949087437E-2</v>
      </c>
      <c r="D630" s="4">
        <v>5.3222786228879215E-4</v>
      </c>
      <c r="E630" s="4">
        <v>6.0686579908963978E-4</v>
      </c>
      <c r="F630" s="4">
        <v>-1.5348061369626631E-3</v>
      </c>
      <c r="G630" s="4">
        <v>2.5429606428450935E-3</v>
      </c>
    </row>
    <row r="631" spans="1:7" x14ac:dyDescent="0.35">
      <c r="A631" s="3">
        <v>42556</v>
      </c>
      <c r="B631" s="4">
        <v>-9.743078682340478E-4</v>
      </c>
      <c r="C631" s="4">
        <v>8.9484008104332435E-3</v>
      </c>
      <c r="D631" s="4">
        <v>5.3790220609273298E-4</v>
      </c>
      <c r="E631" s="4">
        <v>5.2236355722135031E-4</v>
      </c>
      <c r="F631" s="4">
        <v>1.129106935275237E-3</v>
      </c>
      <c r="G631" s="4">
        <v>-5.9536682546879049E-4</v>
      </c>
    </row>
    <row r="632" spans="1:7" x14ac:dyDescent="0.35">
      <c r="A632" s="3">
        <v>42557</v>
      </c>
      <c r="B632" s="4">
        <v>-2.0047669279432689E-5</v>
      </c>
      <c r="C632" s="4">
        <v>8.4772654491713784E-3</v>
      </c>
      <c r="D632" s="4">
        <v>5.3420399750114811E-4</v>
      </c>
      <c r="E632" s="4">
        <v>5.7629433217165627E-4</v>
      </c>
      <c r="F632" s="4">
        <v>-8.7611861659731005E-5</v>
      </c>
      <c r="G632" s="4">
        <v>1.3654335852180122E-3</v>
      </c>
    </row>
    <row r="633" spans="1:7" x14ac:dyDescent="0.35">
      <c r="A633" s="3">
        <v>42558</v>
      </c>
      <c r="B633" s="4">
        <v>1.915633569783326E-2</v>
      </c>
      <c r="C633" s="4">
        <v>-1.9247863640498575E-2</v>
      </c>
      <c r="D633" s="4">
        <v>5.3167718594204771E-4</v>
      </c>
      <c r="E633" s="4">
        <v>5.7935614848636519E-4</v>
      </c>
      <c r="F633" s="4">
        <v>4.6572299005640527E-3</v>
      </c>
      <c r="G633" s="4">
        <v>1.9898431735709821E-4</v>
      </c>
    </row>
    <row r="634" spans="1:7" x14ac:dyDescent="0.35">
      <c r="A634" s="3">
        <v>42559</v>
      </c>
      <c r="B634" s="4">
        <v>2.2979350353605765E-2</v>
      </c>
      <c r="C634" s="4">
        <v>4.2393593784852968E-3</v>
      </c>
      <c r="D634" s="4">
        <v>5.1421082247715688E-4</v>
      </c>
      <c r="E634" s="4">
        <v>7.2904690768660352E-4</v>
      </c>
      <c r="F634" s="4">
        <v>2.4129512425306032E-3</v>
      </c>
      <c r="G634" s="4">
        <v>-1.2744825613618671E-3</v>
      </c>
    </row>
    <row r="635" spans="1:7" x14ac:dyDescent="0.35">
      <c r="A635" s="3">
        <v>42562</v>
      </c>
      <c r="B635" s="4">
        <v>9.4839381673199608E-3</v>
      </c>
      <c r="C635" s="4">
        <v>-4.8476026474068012E-3</v>
      </c>
      <c r="D635" s="4">
        <v>5.2994121128779881E-4</v>
      </c>
      <c r="E635" s="4">
        <v>5.6490651045604245E-4</v>
      </c>
      <c r="F635" s="4">
        <v>-1.7424693657408508E-4</v>
      </c>
      <c r="G635" s="4">
        <v>-1.6152380480138895E-4</v>
      </c>
    </row>
    <row r="636" spans="1:7" x14ac:dyDescent="0.35">
      <c r="A636" s="3">
        <v>42563</v>
      </c>
      <c r="B636" s="4">
        <v>1.0235184975430522E-2</v>
      </c>
      <c r="C636" s="4">
        <v>-1.8683875594698307E-3</v>
      </c>
      <c r="D636" s="4">
        <v>5.3590432831795987E-4</v>
      </c>
      <c r="E636" s="4">
        <v>5.4640823036256059E-4</v>
      </c>
      <c r="F636" s="4">
        <v>-4.7447224087671103E-4</v>
      </c>
      <c r="G636" s="4">
        <v>1.1371201222740712E-3</v>
      </c>
    </row>
    <row r="637" spans="1:7" x14ac:dyDescent="0.35">
      <c r="A637" s="3">
        <v>42564</v>
      </c>
      <c r="B637" s="4">
        <v>2.3856037404448083E-2</v>
      </c>
      <c r="C637" s="4">
        <v>-8.3190460920845588E-3</v>
      </c>
      <c r="D637" s="4">
        <v>5.3544649162695634E-4</v>
      </c>
      <c r="E637" s="4">
        <v>6.0117789912172981E-4</v>
      </c>
      <c r="F637" s="4">
        <v>-1.2851425072558653E-3</v>
      </c>
      <c r="G637" s="4">
        <v>1.004031575588149E-3</v>
      </c>
    </row>
    <row r="638" spans="1:7" x14ac:dyDescent="0.35">
      <c r="A638" s="3">
        <v>42565</v>
      </c>
      <c r="B638" s="4">
        <v>3.8425092823206608E-3</v>
      </c>
      <c r="C638" s="4">
        <v>2.7685959670276095E-3</v>
      </c>
      <c r="D638" s="4">
        <v>5.4335497131408061E-4</v>
      </c>
      <c r="E638" s="4">
        <v>6.0045226699090293E-4</v>
      </c>
      <c r="F638" s="4">
        <v>3.5075636561947565E-3</v>
      </c>
      <c r="G638" s="4">
        <v>1.3710654979937065E-3</v>
      </c>
    </row>
    <row r="639" spans="1:7" x14ac:dyDescent="0.35">
      <c r="A639" s="3">
        <v>42566</v>
      </c>
      <c r="B639" s="4">
        <v>2.116805129498589E-2</v>
      </c>
      <c r="C639" s="4">
        <v>-2.1531475698131075E-3</v>
      </c>
      <c r="D639" s="4">
        <v>5.260573033805116E-4</v>
      </c>
      <c r="E639" s="4">
        <v>7.1918321792918682E-4</v>
      </c>
      <c r="F639" s="4">
        <v>5.8606620759982242E-4</v>
      </c>
      <c r="G639" s="4">
        <v>-2.2205281273501853E-5</v>
      </c>
    </row>
    <row r="640" spans="1:7" x14ac:dyDescent="0.35">
      <c r="A640" s="3">
        <v>42569</v>
      </c>
      <c r="B640" s="4">
        <v>5.2299408347562526E-3</v>
      </c>
      <c r="C640" s="4">
        <v>2.8545990961577061E-3</v>
      </c>
      <c r="D640" s="4">
        <v>5.2725068086489912E-4</v>
      </c>
      <c r="E640" s="4">
        <v>5.173525671660073E-4</v>
      </c>
      <c r="F640" s="4">
        <v>-1.5082665030252684E-4</v>
      </c>
      <c r="G640" s="4">
        <v>4.440129715597152E-4</v>
      </c>
    </row>
    <row r="641" spans="1:7" x14ac:dyDescent="0.35">
      <c r="A641" s="3">
        <v>42570</v>
      </c>
      <c r="B641" s="4">
        <v>-1.1191960597471962E-3</v>
      </c>
      <c r="C641" s="4">
        <v>-3.0377400295649171E-3</v>
      </c>
      <c r="D641" s="4">
        <v>5.2896632705490276E-4</v>
      </c>
      <c r="E641" s="4">
        <v>5.2491295358114698E-4</v>
      </c>
      <c r="F641" s="4">
        <v>1.4600957088664046E-3</v>
      </c>
      <c r="G641" s="4">
        <v>4.1262935321206839E-4</v>
      </c>
    </row>
    <row r="642" spans="1:7" x14ac:dyDescent="0.35">
      <c r="A642" s="3">
        <v>42571</v>
      </c>
      <c r="B642" s="4">
        <v>2.3221547569958201E-3</v>
      </c>
      <c r="C642" s="4">
        <v>9.537646937685107E-3</v>
      </c>
      <c r="D642" s="4">
        <v>5.28822655522454E-4</v>
      </c>
      <c r="E642" s="4">
        <v>5.6416297548755878E-4</v>
      </c>
      <c r="F642" s="4">
        <v>-3.8524395825344504E-3</v>
      </c>
      <c r="G642" s="4">
        <v>-7.3850706466305205E-4</v>
      </c>
    </row>
    <row r="643" spans="1:7" x14ac:dyDescent="0.35">
      <c r="A643" s="3">
        <v>42572</v>
      </c>
      <c r="B643" s="4">
        <v>7.9554337284184484E-3</v>
      </c>
      <c r="C643" s="4">
        <v>-2.2959005439803226E-3</v>
      </c>
      <c r="D643" s="4">
        <v>5.5654923322712158E-4</v>
      </c>
      <c r="E643" s="4">
        <v>5.2902307611280008E-4</v>
      </c>
      <c r="F643" s="4">
        <v>3.9950134623345512E-4</v>
      </c>
      <c r="G643" s="4">
        <v>8.6908530504747894E-4</v>
      </c>
    </row>
    <row r="644" spans="1:7" x14ac:dyDescent="0.35">
      <c r="A644" s="3">
        <v>42573</v>
      </c>
      <c r="B644" s="4">
        <v>-3.0186373932362676E-3</v>
      </c>
      <c r="C644" s="4">
        <v>2.3964338322199907E-3</v>
      </c>
      <c r="D644" s="4">
        <v>5.3762460114925581E-4</v>
      </c>
      <c r="E644" s="4">
        <v>5.8591059975166004E-4</v>
      </c>
      <c r="F644" s="4">
        <v>5.6513804108870858E-5</v>
      </c>
      <c r="G644" s="4">
        <v>1.2595519989584414E-3</v>
      </c>
    </row>
    <row r="645" spans="1:7" x14ac:dyDescent="0.35">
      <c r="A645" s="3">
        <v>42576</v>
      </c>
      <c r="B645" s="4">
        <v>-5.4350199157916501E-3</v>
      </c>
      <c r="C645" s="4">
        <v>-3.2984487463332268E-3</v>
      </c>
      <c r="D645" s="4">
        <v>5.3016781947379243E-4</v>
      </c>
      <c r="E645" s="4">
        <v>5.0816381730900417E-4</v>
      </c>
      <c r="F645" s="4">
        <v>-2.4033573736287339E-3</v>
      </c>
      <c r="G645" s="4">
        <v>-4.3816086799775E-4</v>
      </c>
    </row>
    <row r="646" spans="1:7" x14ac:dyDescent="0.35">
      <c r="A646" s="3">
        <v>42577</v>
      </c>
      <c r="B646" s="4">
        <v>5.3872703057944449E-4</v>
      </c>
      <c r="C646" s="4">
        <v>-9.1353942446470437E-4</v>
      </c>
      <c r="D646" s="4">
        <v>5.1138590187793653E-4</v>
      </c>
      <c r="E646" s="4">
        <v>6.6542891702914275E-4</v>
      </c>
      <c r="F646" s="4">
        <v>-1.6737021901647164E-3</v>
      </c>
      <c r="G646" s="4">
        <v>1.5456117676504455E-3</v>
      </c>
    </row>
    <row r="647" spans="1:7" x14ac:dyDescent="0.35">
      <c r="A647" s="3">
        <v>42578</v>
      </c>
      <c r="B647" s="4">
        <v>-1.0437666397418388E-2</v>
      </c>
      <c r="C647" s="4">
        <v>6.2336462955969729E-3</v>
      </c>
      <c r="D647" s="4">
        <v>5.3292660616088838E-4</v>
      </c>
      <c r="E647" s="4">
        <v>6.1892459439527592E-4</v>
      </c>
      <c r="F647" s="4">
        <v>-2.6306561300295517E-3</v>
      </c>
      <c r="G647" s="4">
        <v>-1.1936584263765315E-3</v>
      </c>
    </row>
    <row r="648" spans="1:7" x14ac:dyDescent="0.35">
      <c r="A648" s="3">
        <v>42579</v>
      </c>
      <c r="B648" s="4">
        <v>8.9817180834725896E-3</v>
      </c>
      <c r="C648" s="4">
        <v>-1.3242643463167836E-2</v>
      </c>
      <c r="D648" s="4">
        <v>5.7096767535891324E-4</v>
      </c>
      <c r="E648" s="4">
        <v>5.8177580245066807E-4</v>
      </c>
      <c r="F648" s="4">
        <v>-1.2812886898867504E-3</v>
      </c>
      <c r="G648" s="4">
        <v>8.4772538001187669E-4</v>
      </c>
    </row>
    <row r="649" spans="1:7" x14ac:dyDescent="0.35">
      <c r="A649" s="3">
        <v>42580</v>
      </c>
      <c r="B649" s="4">
        <v>-6.8284424124055443E-3</v>
      </c>
      <c r="C649" s="4">
        <v>6.5933678842484689E-3</v>
      </c>
      <c r="D649" s="4">
        <v>5.140759073123391E-4</v>
      </c>
      <c r="E649" s="4">
        <v>6.4245867280154911E-4</v>
      </c>
      <c r="F649" s="4">
        <v>1.6922822424390027E-3</v>
      </c>
      <c r="G649" s="4">
        <v>2.05716227541064E-3</v>
      </c>
    </row>
    <row r="650" spans="1:7" x14ac:dyDescent="0.35">
      <c r="A650" s="3">
        <v>42583</v>
      </c>
      <c r="B650" s="4">
        <v>-1.403053990605363E-2</v>
      </c>
      <c r="C650" s="4">
        <v>-2.0088691263991931E-3</v>
      </c>
      <c r="D650" s="4">
        <v>5.2746035819373205E-4</v>
      </c>
      <c r="E650" s="4">
        <v>6.0784376588629563E-4</v>
      </c>
      <c r="F650" s="4">
        <v>1.2793155956292157E-3</v>
      </c>
      <c r="G650" s="4">
        <v>1.0179870371329613E-5</v>
      </c>
    </row>
    <row r="651" spans="1:7" x14ac:dyDescent="0.35">
      <c r="A651" s="3">
        <v>42584</v>
      </c>
      <c r="B651" s="4">
        <v>2.3484307465653442E-2</v>
      </c>
      <c r="C651" s="4">
        <v>-4.1270292966308908E-3</v>
      </c>
      <c r="D651" s="4">
        <v>5.3579881496079729E-4</v>
      </c>
      <c r="E651" s="4">
        <v>5.292920446682281E-4</v>
      </c>
      <c r="F651" s="4">
        <v>2.2081713874144704E-3</v>
      </c>
      <c r="G651" s="4">
        <v>-5.0617676138975387E-4</v>
      </c>
    </row>
    <row r="652" spans="1:7" x14ac:dyDescent="0.35">
      <c r="A652" s="3">
        <v>42585</v>
      </c>
      <c r="B652" s="4">
        <v>1.1052820026749455E-2</v>
      </c>
      <c r="C652" s="4">
        <v>-1.2815019730496369E-2</v>
      </c>
      <c r="D652" s="4">
        <v>5.3558253424812463E-4</v>
      </c>
      <c r="E652" s="4">
        <v>4.9433395212905573E-4</v>
      </c>
      <c r="F652" s="4">
        <v>4.0527235393221783E-3</v>
      </c>
      <c r="G652" s="4">
        <v>-1.6363094536508971E-4</v>
      </c>
    </row>
    <row r="653" spans="1:7" x14ac:dyDescent="0.35">
      <c r="A653" s="3">
        <v>42586</v>
      </c>
      <c r="B653" s="4">
        <v>-9.6445607511763676E-5</v>
      </c>
      <c r="C653" s="4">
        <v>-1.1110473777916963E-2</v>
      </c>
      <c r="D653" s="4">
        <v>5.2404446613230071E-4</v>
      </c>
      <c r="E653" s="4">
        <v>6.007786329498277E-4</v>
      </c>
      <c r="F653" s="4">
        <v>4.5298575796817175E-3</v>
      </c>
      <c r="G653" s="4">
        <v>4.6935745905729576E-4</v>
      </c>
    </row>
    <row r="654" spans="1:7" x14ac:dyDescent="0.35">
      <c r="A654" s="3">
        <v>42587</v>
      </c>
      <c r="B654" s="4">
        <v>-6.2839375053376223E-3</v>
      </c>
      <c r="C654" s="4">
        <v>-4.3368769651119798E-4</v>
      </c>
      <c r="D654" s="4">
        <v>5.2743107956931823E-4</v>
      </c>
      <c r="E654" s="4">
        <v>5.7816088097739637E-4</v>
      </c>
      <c r="F654" s="4">
        <v>-3.7135026278090066E-4</v>
      </c>
      <c r="G654" s="4">
        <v>-1.2219280943492894E-4</v>
      </c>
    </row>
    <row r="655" spans="1:7" x14ac:dyDescent="0.35">
      <c r="A655" s="3">
        <v>42590</v>
      </c>
      <c r="B655" s="4">
        <v>1.0461360366580408E-3</v>
      </c>
      <c r="C655" s="4">
        <v>-7.6057382650270844E-3</v>
      </c>
      <c r="D655" s="4">
        <v>5.4102672105416083E-4</v>
      </c>
      <c r="E655" s="4">
        <v>5.3991863456737121E-4</v>
      </c>
      <c r="F655" s="4">
        <v>9.5161918766462072E-4</v>
      </c>
      <c r="G655" s="4">
        <v>-5.8802203671504127E-4</v>
      </c>
    </row>
    <row r="656" spans="1:7" x14ac:dyDescent="0.35">
      <c r="A656" s="3">
        <v>42591</v>
      </c>
      <c r="B656" s="4">
        <v>-1.051369402179203E-2</v>
      </c>
      <c r="C656" s="4">
        <v>-7.6653626996613378E-3</v>
      </c>
      <c r="D656" s="4">
        <v>5.3810920453356559E-4</v>
      </c>
      <c r="E656" s="4">
        <v>4.5065104823049928E-4</v>
      </c>
      <c r="F656" s="4">
        <v>-2.954194808727495E-4</v>
      </c>
      <c r="G656" s="4">
        <v>1.980685240112745E-3</v>
      </c>
    </row>
    <row r="657" spans="1:7" x14ac:dyDescent="0.35">
      <c r="A657" s="3">
        <v>42592</v>
      </c>
      <c r="B657" s="4">
        <v>2.7876519064620631E-2</v>
      </c>
      <c r="C657" s="4">
        <v>4.8549675830988903E-3</v>
      </c>
      <c r="D657" s="4">
        <v>5.2748970151639263E-4</v>
      </c>
      <c r="E657" s="4">
        <v>5.8966044583419475E-4</v>
      </c>
      <c r="F657" s="4">
        <v>1.7509444810912544E-3</v>
      </c>
      <c r="G657" s="4">
        <v>-1.1674216692356687E-3</v>
      </c>
    </row>
    <row r="658" spans="1:7" x14ac:dyDescent="0.35">
      <c r="A658" s="3">
        <v>42593</v>
      </c>
      <c r="B658" s="4">
        <v>7.7139397690340061E-4</v>
      </c>
      <c r="C658" s="4">
        <v>1.6249530286223557E-2</v>
      </c>
      <c r="D658" s="4">
        <v>5.2047182449155294E-4</v>
      </c>
      <c r="E658" s="4">
        <v>5.4123260593219591E-4</v>
      </c>
      <c r="F658" s="4">
        <v>5.7583129300797786E-4</v>
      </c>
      <c r="G658" s="4">
        <v>-9.9490330512885805E-4</v>
      </c>
    </row>
    <row r="659" spans="1:7" x14ac:dyDescent="0.35">
      <c r="A659" s="3">
        <v>42594</v>
      </c>
      <c r="B659" s="4">
        <v>2.2724893645262645E-2</v>
      </c>
      <c r="C659" s="4">
        <v>-3.0290547426176095E-3</v>
      </c>
      <c r="D659" s="4">
        <v>5.3333657657117506E-4</v>
      </c>
      <c r="E659" s="4">
        <v>5.8636849863114016E-4</v>
      </c>
      <c r="F659" s="4">
        <v>2.4868337792294248E-4</v>
      </c>
      <c r="G659" s="4">
        <v>5.7502053746238957E-4</v>
      </c>
    </row>
    <row r="660" spans="1:7" x14ac:dyDescent="0.35">
      <c r="A660" s="3">
        <v>42597</v>
      </c>
      <c r="B660" s="4">
        <v>-4.3518015353025685E-3</v>
      </c>
      <c r="C660" s="4">
        <v>2.2853953511865477E-3</v>
      </c>
      <c r="D660" s="4">
        <v>5.2476339538731764E-4</v>
      </c>
      <c r="E660" s="4">
        <v>5.9159117790152926E-4</v>
      </c>
      <c r="F660" s="4">
        <v>-1.3138908710860209E-3</v>
      </c>
      <c r="G660" s="4">
        <v>1.1797201804220059E-3</v>
      </c>
    </row>
    <row r="661" spans="1:7" x14ac:dyDescent="0.35">
      <c r="A661" s="3">
        <v>42598</v>
      </c>
      <c r="B661" s="4">
        <v>1.2252881805582927E-2</v>
      </c>
      <c r="C661" s="4">
        <v>6.9976911227613847E-3</v>
      </c>
      <c r="D661" s="4">
        <v>1.3491812013848303E-3</v>
      </c>
      <c r="E661" s="4">
        <v>6.1307139811428435E-4</v>
      </c>
      <c r="F661" s="4">
        <v>1.873954581339099E-3</v>
      </c>
      <c r="G661" s="4">
        <v>1.2146969799031737E-4</v>
      </c>
    </row>
    <row r="662" spans="1:7" x14ac:dyDescent="0.35">
      <c r="A662" s="3">
        <v>42599</v>
      </c>
      <c r="B662" s="4">
        <v>2.9502948018300668E-3</v>
      </c>
      <c r="C662" s="4">
        <v>9.7674506664180427E-3</v>
      </c>
      <c r="D662" s="4">
        <v>5.3511948758355743E-4</v>
      </c>
      <c r="E662" s="4">
        <v>5.6913302111771813E-4</v>
      </c>
      <c r="F662" s="4">
        <v>-1.4440844039121936E-3</v>
      </c>
      <c r="G662" s="4">
        <v>1.5649670604918064E-3</v>
      </c>
    </row>
    <row r="663" spans="1:7" x14ac:dyDescent="0.35">
      <c r="A663" s="3">
        <v>42600</v>
      </c>
      <c r="B663" s="4">
        <v>3.4705271994184272E-4</v>
      </c>
      <c r="C663" s="4">
        <v>-6.4003648267830782E-3</v>
      </c>
      <c r="D663" s="4">
        <v>5.5500814593445469E-4</v>
      </c>
      <c r="E663" s="4">
        <v>5.2932853468656837E-4</v>
      </c>
      <c r="F663" s="4">
        <v>3.9938648427313428E-3</v>
      </c>
      <c r="G663" s="4">
        <v>-4.2849179495618728E-4</v>
      </c>
    </row>
    <row r="664" spans="1:7" x14ac:dyDescent="0.35">
      <c r="A664" s="3">
        <v>42601</v>
      </c>
      <c r="B664" s="4">
        <v>-2.607223318713503E-2</v>
      </c>
      <c r="C664" s="4">
        <v>-2.5191111618914075E-3</v>
      </c>
      <c r="D664" s="4">
        <v>5.2738705452459733E-4</v>
      </c>
      <c r="E664" s="4">
        <v>6.2430381602607277E-4</v>
      </c>
      <c r="F664" s="4">
        <v>-9.0305039794680297E-5</v>
      </c>
      <c r="G664" s="4">
        <v>1.9881534944941048E-3</v>
      </c>
    </row>
    <row r="665" spans="1:7" x14ac:dyDescent="0.35">
      <c r="A665" s="3">
        <v>42604</v>
      </c>
      <c r="B665" s="4">
        <v>5.8740539755994803E-3</v>
      </c>
      <c r="C665" s="4">
        <v>5.3803733138810816E-3</v>
      </c>
      <c r="D665" s="4">
        <v>5.5862908779991116E-4</v>
      </c>
      <c r="E665" s="4">
        <v>5.9216801023032062E-4</v>
      </c>
      <c r="F665" s="4">
        <v>4.0937552530406762E-4</v>
      </c>
      <c r="G665" s="4">
        <v>-4.2148814135190005E-4</v>
      </c>
    </row>
    <row r="666" spans="1:7" x14ac:dyDescent="0.35">
      <c r="A666" s="3">
        <v>42605</v>
      </c>
      <c r="B666" s="4">
        <v>-1.0794294122994152E-2</v>
      </c>
      <c r="C666" s="4">
        <v>-8.3265213280003803E-4</v>
      </c>
      <c r="D666" s="4">
        <v>5.380318663688044E-4</v>
      </c>
      <c r="E666" s="4">
        <v>4.8484425369976769E-4</v>
      </c>
      <c r="F666" s="4">
        <v>5.1281457687624155E-5</v>
      </c>
      <c r="G666" s="4">
        <v>-4.7220231216860142E-4</v>
      </c>
    </row>
    <row r="667" spans="1:7" x14ac:dyDescent="0.35">
      <c r="A667" s="3">
        <v>42606</v>
      </c>
      <c r="B667" s="4">
        <v>2.8772350910744038E-4</v>
      </c>
      <c r="C667" s="4">
        <v>2.086771446303981E-3</v>
      </c>
      <c r="D667" s="4">
        <v>5.4497358782512606E-4</v>
      </c>
      <c r="E667" s="4">
        <v>5.4628252275912281E-4</v>
      </c>
      <c r="F667" s="4">
        <v>7.9152499961443468E-4</v>
      </c>
      <c r="G667" s="4">
        <v>4.8163948054202876E-4</v>
      </c>
    </row>
    <row r="668" spans="1:7" x14ac:dyDescent="0.35">
      <c r="A668" s="3">
        <v>42607</v>
      </c>
      <c r="B668" s="4">
        <v>2.9314644552664859E-3</v>
      </c>
      <c r="C668" s="4">
        <v>1.4044116453429289E-2</v>
      </c>
      <c r="D668" s="4">
        <v>5.3737283339150288E-4</v>
      </c>
      <c r="E668" s="4">
        <v>6.3146497433730353E-4</v>
      </c>
      <c r="F668" s="4">
        <v>2.6448617564400756E-4</v>
      </c>
      <c r="G668" s="4">
        <v>1.6649230601495368E-3</v>
      </c>
    </row>
    <row r="669" spans="1:7" x14ac:dyDescent="0.35">
      <c r="A669" s="3">
        <v>42608</v>
      </c>
      <c r="B669" s="4">
        <v>1.3601896787379886E-2</v>
      </c>
      <c r="C669" s="4">
        <v>-1.0584712166014532E-2</v>
      </c>
      <c r="D669" s="4">
        <v>5.5497408850890828E-4</v>
      </c>
      <c r="E669" s="4">
        <v>3.4453111488885746E-4</v>
      </c>
      <c r="F669" s="4">
        <v>5.1527996538536236E-4</v>
      </c>
      <c r="G669" s="4">
        <v>-1.3269591967191019E-4</v>
      </c>
    </row>
    <row r="670" spans="1:7" x14ac:dyDescent="0.35">
      <c r="A670" s="3">
        <v>42611</v>
      </c>
      <c r="B670" s="4">
        <v>2.6562909653125022E-3</v>
      </c>
      <c r="C670" s="4">
        <v>2.3877570857282482E-3</v>
      </c>
      <c r="D670" s="4">
        <v>5.1148765260022877E-4</v>
      </c>
      <c r="E670" s="4">
        <v>7.0641760348366667E-4</v>
      </c>
      <c r="F670" s="4">
        <v>2.0564588413396478E-4</v>
      </c>
      <c r="G670" s="4">
        <v>1.7689040814561352E-3</v>
      </c>
    </row>
    <row r="671" spans="1:7" x14ac:dyDescent="0.35">
      <c r="A671" s="3">
        <v>42612</v>
      </c>
      <c r="B671" s="4">
        <v>-7.6514232950983807E-3</v>
      </c>
      <c r="C671" s="4">
        <v>-4.3430293555926092E-3</v>
      </c>
      <c r="D671" s="4">
        <v>5.4640338662248489E-4</v>
      </c>
      <c r="E671" s="4">
        <v>5.1265080597495682E-4</v>
      </c>
      <c r="F671" s="4">
        <v>2.7780162491244376E-3</v>
      </c>
      <c r="G671" s="4">
        <v>3.1962294213048192E-3</v>
      </c>
    </row>
    <row r="672" spans="1:7" x14ac:dyDescent="0.35">
      <c r="A672" s="3">
        <v>42613</v>
      </c>
      <c r="B672" s="4">
        <v>-1.5160225822274942E-4</v>
      </c>
      <c r="C672" s="4">
        <v>1.9206553890722677E-3</v>
      </c>
      <c r="D672" s="4">
        <v>5.3111007146133815E-4</v>
      </c>
      <c r="E672" s="4">
        <v>6.1231499275304913E-4</v>
      </c>
      <c r="F672" s="4">
        <v>4.0323513642697151E-3</v>
      </c>
      <c r="G672" s="4">
        <v>-1.6402399228646614E-3</v>
      </c>
    </row>
    <row r="673" spans="1:7" x14ac:dyDescent="0.35">
      <c r="A673" s="3">
        <v>42614</v>
      </c>
      <c r="B673" s="4">
        <v>2.6319089413818775E-2</v>
      </c>
      <c r="C673" s="4">
        <v>8.8135831147995169E-4</v>
      </c>
      <c r="D673" s="4">
        <v>5.3251297061240876E-4</v>
      </c>
      <c r="E673" s="4">
        <v>6.1867481027144677E-4</v>
      </c>
      <c r="F673" s="4">
        <v>1.9198709155945348E-3</v>
      </c>
      <c r="G673" s="4">
        <v>-1.9764938825476142E-3</v>
      </c>
    </row>
    <row r="674" spans="1:7" x14ac:dyDescent="0.35">
      <c r="A674" s="3">
        <v>42615</v>
      </c>
      <c r="B674" s="4">
        <v>4.0914508096303592E-3</v>
      </c>
      <c r="C674" s="4">
        <v>8.8682354692719567E-3</v>
      </c>
      <c r="D674" s="4">
        <v>5.1543363395811781E-4</v>
      </c>
      <c r="E674" s="4">
        <v>6.2203530823312647E-4</v>
      </c>
      <c r="F674" s="4">
        <v>-1.3243557724786914E-3</v>
      </c>
      <c r="G674" s="4">
        <v>-3.5271405629255792E-4</v>
      </c>
    </row>
    <row r="675" spans="1:7" x14ac:dyDescent="0.35">
      <c r="A675" s="3">
        <v>42618</v>
      </c>
      <c r="B675" s="4">
        <v>6.6722017085152352E-3</v>
      </c>
      <c r="C675" s="4">
        <v>-1.9851717218273612E-2</v>
      </c>
      <c r="D675" s="4">
        <v>5.402028831777983E-4</v>
      </c>
      <c r="E675" s="4">
        <v>4.761273375921693E-4</v>
      </c>
      <c r="F675" s="4">
        <v>-1.195912098604035E-3</v>
      </c>
      <c r="G675" s="4">
        <v>5.3678240824406309E-4</v>
      </c>
    </row>
    <row r="676" spans="1:7" x14ac:dyDescent="0.35">
      <c r="A676" s="3">
        <v>42619</v>
      </c>
      <c r="B676" s="4">
        <v>4.4852543023734537E-3</v>
      </c>
      <c r="C676" s="4">
        <v>-2.6730034880612097E-3</v>
      </c>
      <c r="D676" s="4">
        <v>5.1068060195258447E-4</v>
      </c>
      <c r="E676" s="4">
        <v>6.4504490962602468E-4</v>
      </c>
      <c r="F676" s="4">
        <v>3.1405397540047453E-3</v>
      </c>
      <c r="G676" s="4">
        <v>8.5779674868002864E-4</v>
      </c>
    </row>
    <row r="677" spans="1:7" x14ac:dyDescent="0.35">
      <c r="A677" s="3">
        <v>42621</v>
      </c>
      <c r="B677" s="4">
        <v>-3.922261025617535E-2</v>
      </c>
      <c r="C677" s="4">
        <v>2.2008926617294922E-2</v>
      </c>
      <c r="D677" s="4">
        <v>5.3896516042950537E-4</v>
      </c>
      <c r="E677" s="4">
        <v>5.5837284176529778E-4</v>
      </c>
      <c r="F677" s="4">
        <v>1.060223161963636E-3</v>
      </c>
      <c r="G677" s="4">
        <v>8.4749167897602007E-4</v>
      </c>
    </row>
    <row r="678" spans="1:7" x14ac:dyDescent="0.35">
      <c r="A678" s="3">
        <v>42622</v>
      </c>
      <c r="B678" s="4">
        <v>9.3208536759321614E-3</v>
      </c>
      <c r="C678" s="4">
        <v>-5.9060806771054075E-3</v>
      </c>
      <c r="D678" s="4">
        <v>5.6560607067979163E-4</v>
      </c>
      <c r="E678" s="4">
        <v>4.0272470157254325E-4</v>
      </c>
      <c r="F678" s="4">
        <v>1.9431678354806525E-3</v>
      </c>
      <c r="G678" s="4">
        <v>-5.1073284139335762E-4</v>
      </c>
    </row>
    <row r="679" spans="1:7" x14ac:dyDescent="0.35">
      <c r="A679" s="3">
        <v>42625</v>
      </c>
      <c r="B679" s="4">
        <v>-3.3020724428527437E-2</v>
      </c>
      <c r="C679" s="4">
        <v>2.1086560295310974E-2</v>
      </c>
      <c r="D679" s="4">
        <v>5.3104646392942989E-4</v>
      </c>
      <c r="E679" s="4">
        <v>6.2603306583031149E-4</v>
      </c>
      <c r="F679" s="4">
        <v>-5.9437804801176775E-4</v>
      </c>
      <c r="G679" s="4">
        <v>1.3985860707370623E-3</v>
      </c>
    </row>
    <row r="680" spans="1:7" x14ac:dyDescent="0.35">
      <c r="A680" s="3">
        <v>42626</v>
      </c>
      <c r="B680" s="4">
        <v>2.2567760066258824E-3</v>
      </c>
      <c r="C680" s="4">
        <v>5.4072398147921863E-3</v>
      </c>
      <c r="D680" s="4">
        <v>5.8466021124981005E-4</v>
      </c>
      <c r="E680" s="4">
        <v>4.179127157835083E-4</v>
      </c>
      <c r="F680" s="4">
        <v>4.4815464742353761E-4</v>
      </c>
      <c r="G680" s="4">
        <v>1.3198723378564647E-3</v>
      </c>
    </row>
    <row r="681" spans="1:7" x14ac:dyDescent="0.35">
      <c r="A681" s="3">
        <v>42627</v>
      </c>
      <c r="B681" s="4">
        <v>1.9137572185317309E-2</v>
      </c>
      <c r="C681" s="4">
        <v>-9.505836294496417E-3</v>
      </c>
      <c r="D681" s="4">
        <v>5.4287208720094071E-4</v>
      </c>
      <c r="E681" s="4">
        <v>5.2827986665815452E-4</v>
      </c>
      <c r="F681" s="4">
        <v>3.7563385289018925E-4</v>
      </c>
      <c r="G681" s="4">
        <v>1.4748082967654952E-3</v>
      </c>
    </row>
    <row r="682" spans="1:7" x14ac:dyDescent="0.35">
      <c r="A682" s="3">
        <v>42628</v>
      </c>
      <c r="B682" s="4">
        <v>-1.9387574180499079E-2</v>
      </c>
      <c r="C682" s="4">
        <v>-8.0797151603315687E-3</v>
      </c>
      <c r="D682" s="4">
        <v>5.1371152067636316E-4</v>
      </c>
      <c r="E682" s="4">
        <v>1.4681031702594716E-3</v>
      </c>
      <c r="F682" s="4">
        <v>2.360601218691416E-3</v>
      </c>
      <c r="G682" s="4">
        <v>-7.4503638844913844E-4</v>
      </c>
    </row>
    <row r="683" spans="1:7" x14ac:dyDescent="0.35">
      <c r="A683" s="3">
        <v>42629</v>
      </c>
      <c r="B683" s="4">
        <v>7.1316865954240694E-3</v>
      </c>
      <c r="C683" s="4">
        <v>-1.7426604402573931E-3</v>
      </c>
      <c r="D683" s="4">
        <v>5.3283117885261078E-4</v>
      </c>
      <c r="E683" s="4">
        <v>5.6495431914327376E-4</v>
      </c>
      <c r="F683" s="4">
        <v>5.6023331531984688E-4</v>
      </c>
      <c r="G683" s="4">
        <v>5.4200166576046094E-4</v>
      </c>
    </row>
    <row r="684" spans="1:7" x14ac:dyDescent="0.35">
      <c r="A684" s="3">
        <v>42632</v>
      </c>
      <c r="B684" s="4">
        <v>8.5295838134549218E-3</v>
      </c>
      <c r="C684" s="4">
        <v>-4.750805674923142E-3</v>
      </c>
      <c r="D684" s="4">
        <v>5.2273069798225436E-4</v>
      </c>
      <c r="E684" s="4">
        <v>5.5683213725710168E-4</v>
      </c>
      <c r="F684" s="4">
        <v>1.5548971380223708E-3</v>
      </c>
      <c r="G684" s="4">
        <v>6.4026817046136664E-4</v>
      </c>
    </row>
    <row r="685" spans="1:7" x14ac:dyDescent="0.35">
      <c r="A685" s="3">
        <v>42633</v>
      </c>
      <c r="B685" s="4">
        <v>9.6215515678503838E-3</v>
      </c>
      <c r="C685" s="4">
        <v>-1.0610895385036234E-2</v>
      </c>
      <c r="D685" s="4">
        <v>5.1796353759447911E-4</v>
      </c>
      <c r="E685" s="4">
        <v>6.1343916522127451E-4</v>
      </c>
      <c r="F685" s="4">
        <v>1.1213128582514553E-3</v>
      </c>
      <c r="G685" s="4">
        <v>-1.8988068576635264E-3</v>
      </c>
    </row>
    <row r="686" spans="1:7" x14ac:dyDescent="0.35">
      <c r="A686" s="3">
        <v>42634</v>
      </c>
      <c r="B686" s="4">
        <v>1.0638506165997708E-2</v>
      </c>
      <c r="C686" s="4">
        <v>1.740422804672459E-4</v>
      </c>
      <c r="D686" s="4">
        <v>5.0209592267758119E-4</v>
      </c>
      <c r="E686" s="4">
        <v>6.8877779274800766E-4</v>
      </c>
      <c r="F686" s="4">
        <v>3.2285279293704505E-3</v>
      </c>
      <c r="G686" s="4">
        <v>9.066442707530431E-4</v>
      </c>
    </row>
    <row r="687" spans="1:7" x14ac:dyDescent="0.35">
      <c r="A687" s="3">
        <v>42635</v>
      </c>
      <c r="B687" s="4">
        <v>-3.0892887614792919E-3</v>
      </c>
      <c r="C687" s="4">
        <v>5.4827744026686442E-3</v>
      </c>
      <c r="D687" s="4">
        <v>5.0909255995890135E-4</v>
      </c>
      <c r="E687" s="4">
        <v>6.9179474416869446E-4</v>
      </c>
      <c r="F687" s="4">
        <v>2.2126495399426016E-3</v>
      </c>
      <c r="G687" s="4">
        <v>1.18415987109044E-3</v>
      </c>
    </row>
    <row r="688" spans="1:7" x14ac:dyDescent="0.35">
      <c r="A688" s="3">
        <v>42636</v>
      </c>
      <c r="B688" s="4">
        <v>-9.5988342812571847E-3</v>
      </c>
      <c r="C688" s="4">
        <v>2.7485234210153919E-3</v>
      </c>
      <c r="D688" s="4">
        <v>5.2974662311222609E-4</v>
      </c>
      <c r="E688" s="4">
        <v>2.560711870884802E-4</v>
      </c>
      <c r="F688" s="4">
        <v>-5.9387695790713568E-4</v>
      </c>
      <c r="G688" s="4">
        <v>-6.9525452520058373E-4</v>
      </c>
    </row>
    <row r="689" spans="1:7" x14ac:dyDescent="0.35">
      <c r="A689" s="3">
        <v>42639</v>
      </c>
      <c r="B689" s="4">
        <v>-1.4983846115906863E-3</v>
      </c>
      <c r="C689" s="4">
        <v>-4.0420542911012713E-3</v>
      </c>
      <c r="D689" s="4">
        <v>5.3176551865896649E-4</v>
      </c>
      <c r="E689" s="4">
        <v>5.5129267770137602E-4</v>
      </c>
      <c r="F689" s="4">
        <v>2.3052842124915429E-3</v>
      </c>
      <c r="G689" s="4">
        <v>9.5557707555471438E-4</v>
      </c>
    </row>
    <row r="690" spans="1:7" x14ac:dyDescent="0.35">
      <c r="A690" s="3">
        <v>42640</v>
      </c>
      <c r="B690" s="4">
        <v>1.4259460167856064E-2</v>
      </c>
      <c r="C690" s="4">
        <v>-3.3384059793146736E-3</v>
      </c>
      <c r="D690" s="4">
        <v>5.0930581198493918E-4</v>
      </c>
      <c r="E690" s="4">
        <v>6.5091698564900824E-4</v>
      </c>
      <c r="F690" s="4">
        <v>1.3384551365214215E-4</v>
      </c>
      <c r="G690" s="4">
        <v>-4.9796911367339103E-4</v>
      </c>
    </row>
    <row r="691" spans="1:7" x14ac:dyDescent="0.35">
      <c r="A691" s="3">
        <v>42641</v>
      </c>
      <c r="B691" s="4">
        <v>-1.6417049423816055E-2</v>
      </c>
      <c r="C691" s="4">
        <v>7.4261731902620642E-3</v>
      </c>
      <c r="D691" s="4">
        <v>4.9928808285892856E-4</v>
      </c>
      <c r="E691" s="4">
        <v>6.8022771972953144E-4</v>
      </c>
      <c r="F691" s="4">
        <v>-2.0578244183716565E-3</v>
      </c>
      <c r="G691" s="4">
        <v>6.9429239003104826E-5</v>
      </c>
    </row>
    <row r="692" spans="1:7" x14ac:dyDescent="0.35">
      <c r="A692" s="3">
        <v>42642</v>
      </c>
      <c r="B692" s="4">
        <v>-1.4107834877439274E-3</v>
      </c>
      <c r="C692" s="4">
        <v>1.2298625104250061E-3</v>
      </c>
      <c r="D692" s="4">
        <v>5.1886185420135789E-4</v>
      </c>
      <c r="E692" s="4">
        <v>5.5203953463744959E-4</v>
      </c>
      <c r="F692" s="4">
        <v>1.2919552988741589E-3</v>
      </c>
      <c r="G692" s="4">
        <v>1.0962663258420324E-3</v>
      </c>
    </row>
    <row r="693" spans="1:7" x14ac:dyDescent="0.35">
      <c r="A693" s="3">
        <v>42643</v>
      </c>
      <c r="B693" s="4">
        <v>1.6736594143025085E-2</v>
      </c>
      <c r="C693" s="4">
        <v>-1.1181214953241314E-2</v>
      </c>
      <c r="D693" s="4">
        <v>5.0649427615434561E-4</v>
      </c>
      <c r="E693" s="4">
        <v>6.7900781871221838E-4</v>
      </c>
      <c r="F693" s="4">
        <v>6.7223055085223749E-3</v>
      </c>
      <c r="G693" s="4">
        <v>2.6220868642676809E-3</v>
      </c>
    </row>
    <row r="694" spans="1:7" x14ac:dyDescent="0.35">
      <c r="A694" s="3">
        <v>42646</v>
      </c>
      <c r="B694" s="4">
        <v>-2.9974826304698388E-3</v>
      </c>
      <c r="C694" s="4">
        <v>1.3338550580413555E-2</v>
      </c>
      <c r="D694" s="4">
        <v>5.0025846890999759E-4</v>
      </c>
      <c r="E694" s="4">
        <v>6.64588497422125E-4</v>
      </c>
      <c r="F694" s="4">
        <v>9.3272203671812548E-4</v>
      </c>
      <c r="G694" s="4">
        <v>1.0094001095692917E-3</v>
      </c>
    </row>
    <row r="695" spans="1:7" x14ac:dyDescent="0.35">
      <c r="A695" s="3">
        <v>42647</v>
      </c>
      <c r="B695" s="4">
        <v>1.7366025421189812E-2</v>
      </c>
      <c r="C695" s="4">
        <v>-9.8348994799006828E-3</v>
      </c>
      <c r="D695" s="4">
        <v>5.4310732320073107E-4</v>
      </c>
      <c r="E695" s="4">
        <v>5.293495255749292E-4</v>
      </c>
      <c r="F695" s="4">
        <v>4.290970453363796E-3</v>
      </c>
      <c r="G695" s="4">
        <v>6.0923534661316836E-4</v>
      </c>
    </row>
    <row r="696" spans="1:7" x14ac:dyDescent="0.35">
      <c r="A696" s="3">
        <v>42648</v>
      </c>
      <c r="B696" s="4">
        <v>1.0579415462523611E-2</v>
      </c>
      <c r="C696" s="4">
        <v>8.7038104478986966E-4</v>
      </c>
      <c r="D696" s="4">
        <v>5.0352159364974725E-4</v>
      </c>
      <c r="E696" s="4">
        <v>6.5195690520902794E-4</v>
      </c>
      <c r="F696" s="4">
        <v>2.6368895650417112E-3</v>
      </c>
      <c r="G696" s="4">
        <v>-4.6638193030390518E-4</v>
      </c>
    </row>
    <row r="697" spans="1:7" x14ac:dyDescent="0.35">
      <c r="A697" s="3">
        <v>42649</v>
      </c>
      <c r="B697" s="4">
        <v>8.5088000704622857E-3</v>
      </c>
      <c r="C697" s="4">
        <v>-1.0547251640032895E-3</v>
      </c>
      <c r="D697" s="4">
        <v>5.125122980604857E-4</v>
      </c>
      <c r="E697" s="4">
        <v>6.0052036612434634E-4</v>
      </c>
      <c r="F697" s="4">
        <v>2.6620089591753437E-3</v>
      </c>
      <c r="G697" s="4">
        <v>1.7512727899891001E-3</v>
      </c>
    </row>
    <row r="698" spans="1:7" x14ac:dyDescent="0.35">
      <c r="A698" s="3">
        <v>42650</v>
      </c>
      <c r="B698" s="4">
        <v>6.6227194142018941E-3</v>
      </c>
      <c r="C698" s="4">
        <v>-3.7782630339813217E-3</v>
      </c>
      <c r="D698" s="4">
        <v>5.9997272377732003E-4</v>
      </c>
      <c r="E698" s="4">
        <v>1.7775302148932415E-3</v>
      </c>
      <c r="F698" s="4">
        <v>1.6909613603726115E-3</v>
      </c>
      <c r="G698" s="4">
        <v>-9.4402516899205757E-4</v>
      </c>
    </row>
    <row r="699" spans="1:7" x14ac:dyDescent="0.35">
      <c r="A699" s="3">
        <v>42653</v>
      </c>
      <c r="B699" s="4">
        <v>-1.0495711601516744E-2</v>
      </c>
      <c r="C699" s="4">
        <v>-4.2842044261759415E-4</v>
      </c>
      <c r="D699" s="4">
        <v>5.2149970043080529E-4</v>
      </c>
      <c r="E699" s="4">
        <v>5.8014556504693005E-4</v>
      </c>
      <c r="F699" s="4">
        <v>6.3200304572808008E-4</v>
      </c>
      <c r="G699" s="4">
        <v>-7.5791281316184289E-5</v>
      </c>
    </row>
    <row r="700" spans="1:7" x14ac:dyDescent="0.35">
      <c r="A700" s="3">
        <v>42654</v>
      </c>
      <c r="B700" s="4">
        <v>4.9887733817741697E-3</v>
      </c>
      <c r="C700" s="4">
        <v>-7.1512089354222041E-3</v>
      </c>
      <c r="D700" s="4">
        <v>5.2745068009274476E-4</v>
      </c>
      <c r="E700" s="4">
        <v>5.7283007072350678E-4</v>
      </c>
      <c r="F700" s="4">
        <v>-6.352736150461169E-4</v>
      </c>
      <c r="G700" s="4">
        <v>1.0864254922202665E-3</v>
      </c>
    </row>
    <row r="701" spans="1:7" x14ac:dyDescent="0.35">
      <c r="A701" s="3">
        <v>42656</v>
      </c>
      <c r="B701" s="4">
        <v>1.1317488377284191E-2</v>
      </c>
      <c r="C701" s="4">
        <v>2.9459664256576978E-3</v>
      </c>
      <c r="D701" s="4">
        <v>5.2218968207440319E-4</v>
      </c>
      <c r="E701" s="4">
        <v>5.9283309838376042E-4</v>
      </c>
      <c r="F701" s="4">
        <v>1.4230887640451773E-3</v>
      </c>
      <c r="G701" s="4">
        <v>1.040740858160305E-5</v>
      </c>
    </row>
    <row r="702" spans="1:7" x14ac:dyDescent="0.35">
      <c r="A702" s="3">
        <v>42657</v>
      </c>
      <c r="B702" s="4">
        <v>1.5983315435109446E-2</v>
      </c>
      <c r="C702" s="4">
        <v>4.228435785431639E-4</v>
      </c>
      <c r="D702" s="4">
        <v>5.1573551877526214E-4</v>
      </c>
      <c r="E702" s="4">
        <v>5.6974167520840169E-4</v>
      </c>
      <c r="F702" s="4">
        <v>1.5765684606270369E-3</v>
      </c>
      <c r="G702" s="4">
        <v>-6.4889430157444306E-4</v>
      </c>
    </row>
    <row r="703" spans="1:7" x14ac:dyDescent="0.35">
      <c r="A703" s="3">
        <v>42660</v>
      </c>
      <c r="B703" s="4">
        <v>1.8811437228969385E-2</v>
      </c>
      <c r="C703" s="4">
        <v>-5.0954501660231966E-3</v>
      </c>
      <c r="D703" s="4">
        <v>5.2200029363191902E-4</v>
      </c>
      <c r="E703" s="4">
        <v>6.0889560805321707E-4</v>
      </c>
      <c r="F703" s="4">
        <v>4.4005367063792988E-4</v>
      </c>
      <c r="G703" s="4">
        <v>-4.3439726053862149E-4</v>
      </c>
    </row>
    <row r="704" spans="1:7" x14ac:dyDescent="0.35">
      <c r="A704" s="3">
        <v>42661</v>
      </c>
      <c r="B704" s="4">
        <v>-2.417385388579163E-3</v>
      </c>
      <c r="C704" s="4">
        <v>-2.4282583695972582E-3</v>
      </c>
      <c r="D704" s="4">
        <v>5.2805278608136774E-4</v>
      </c>
      <c r="E704" s="4">
        <v>6.0745692997765666E-4</v>
      </c>
      <c r="F704" s="4">
        <v>2.2266336741465498E-3</v>
      </c>
      <c r="G704" s="4">
        <v>1.5295129848951206E-3</v>
      </c>
    </row>
    <row r="705" spans="1:7" x14ac:dyDescent="0.35">
      <c r="A705" s="3">
        <v>42662</v>
      </c>
      <c r="B705" s="4">
        <v>6.8948947554017259E-3</v>
      </c>
      <c r="C705" s="4">
        <v>-9.8323724360952491E-3</v>
      </c>
      <c r="D705" s="4">
        <v>5.1928674928181096E-4</v>
      </c>
      <c r="E705" s="4">
        <v>6.4416394802546684E-4</v>
      </c>
      <c r="F705" s="4">
        <v>-3.3024403844372774E-4</v>
      </c>
      <c r="G705" s="4">
        <v>8.3574733035307602E-4</v>
      </c>
    </row>
    <row r="706" spans="1:7" x14ac:dyDescent="0.35">
      <c r="A706" s="3">
        <v>42663</v>
      </c>
      <c r="B706" s="4">
        <v>7.9850761004924831E-3</v>
      </c>
      <c r="C706" s="4">
        <v>8.2847523031845949E-3</v>
      </c>
      <c r="D706" s="4">
        <v>5.2093879566772472E-4</v>
      </c>
      <c r="E706" s="4">
        <v>6.5620270995325747E-4</v>
      </c>
      <c r="F706" s="4">
        <v>-1.8464783232923221E-3</v>
      </c>
      <c r="G706" s="4">
        <v>-4.9258455044332017E-5</v>
      </c>
    </row>
    <row r="707" spans="1:7" x14ac:dyDescent="0.35">
      <c r="A707" s="3">
        <v>42664</v>
      </c>
      <c r="B707" s="4">
        <v>3.824187159187975E-3</v>
      </c>
      <c r="C707" s="4">
        <v>-1.3381087856048413E-2</v>
      </c>
      <c r="D707" s="4">
        <v>5.3508419711145727E-4</v>
      </c>
      <c r="E707" s="4">
        <v>3.8688261986674632E-4</v>
      </c>
      <c r="F707" s="4">
        <v>3.2387603504824281E-3</v>
      </c>
      <c r="G707" s="4">
        <v>1.3079815671221962E-3</v>
      </c>
    </row>
    <row r="708" spans="1:7" x14ac:dyDescent="0.35">
      <c r="A708" s="3">
        <v>42667</v>
      </c>
      <c r="B708" s="4">
        <v>-5.1631507490415007E-3</v>
      </c>
      <c r="C708" s="4">
        <v>-4.9122335220664892E-3</v>
      </c>
      <c r="D708" s="4">
        <v>5.0958749587737273E-4</v>
      </c>
      <c r="E708" s="4">
        <v>6.5903520131405102E-4</v>
      </c>
      <c r="F708" s="4">
        <v>-2.9343884715332669E-3</v>
      </c>
      <c r="G708" s="4">
        <v>7.202739641067879E-4</v>
      </c>
    </row>
    <row r="709" spans="1:7" x14ac:dyDescent="0.35">
      <c r="A709" s="3">
        <v>42668</v>
      </c>
      <c r="B709" s="4">
        <v>-3.0570622141556925E-4</v>
      </c>
      <c r="C709" s="4">
        <v>1.2498953863928186E-2</v>
      </c>
      <c r="D709" s="4">
        <v>5.5115428009466783E-4</v>
      </c>
      <c r="E709" s="4">
        <v>5.8039318203051415E-4</v>
      </c>
      <c r="F709" s="4">
        <v>-5.6905819243258104E-4</v>
      </c>
      <c r="G709" s="4">
        <v>3.812979444826059E-4</v>
      </c>
    </row>
    <row r="710" spans="1:7" x14ac:dyDescent="0.35">
      <c r="A710" s="3">
        <v>42669</v>
      </c>
      <c r="B710" s="4">
        <v>5.5054606694031616E-3</v>
      </c>
      <c r="C710" s="4">
        <v>1.2898868768769223E-3</v>
      </c>
      <c r="D710" s="4">
        <v>5.3719886732794819E-4</v>
      </c>
      <c r="E710" s="4">
        <v>4.601966931103707E-4</v>
      </c>
      <c r="F710" s="4">
        <v>2.4120566591325776E-3</v>
      </c>
      <c r="G710" s="4">
        <v>5.1240344546399363E-4</v>
      </c>
    </row>
    <row r="711" spans="1:7" x14ac:dyDescent="0.35">
      <c r="A711" s="3">
        <v>42670</v>
      </c>
      <c r="B711" s="4">
        <v>4.4532049119845318E-3</v>
      </c>
      <c r="C711" s="4">
        <v>1.6099671645674718E-2</v>
      </c>
      <c r="D711" s="4">
        <v>5.2584489795926004E-4</v>
      </c>
      <c r="E711" s="4">
        <v>5.3042413016934908E-4</v>
      </c>
      <c r="F711" s="4">
        <v>1.2348403311150946E-3</v>
      </c>
      <c r="G711" s="4">
        <v>5.8084490146703693E-4</v>
      </c>
    </row>
    <row r="712" spans="1:7" x14ac:dyDescent="0.35">
      <c r="A712" s="3">
        <v>42671</v>
      </c>
      <c r="B712" s="4">
        <v>6.8585274879502389E-3</v>
      </c>
      <c r="C712" s="4">
        <v>-4.7993321347616913E-3</v>
      </c>
      <c r="D712" s="4">
        <v>5.2305098900262692E-4</v>
      </c>
      <c r="E712" s="4">
        <v>5.6175921010681584E-4</v>
      </c>
      <c r="F712" s="4">
        <v>1.4530380593584802E-3</v>
      </c>
      <c r="G712" s="4">
        <v>1.2350706988537574E-3</v>
      </c>
    </row>
    <row r="713" spans="1:7" x14ac:dyDescent="0.35">
      <c r="A713" s="3">
        <v>42674</v>
      </c>
      <c r="B713" s="4">
        <v>-2.7536574707775374E-2</v>
      </c>
      <c r="C713" s="4">
        <v>2.0373515743405735E-2</v>
      </c>
      <c r="D713" s="4">
        <v>5.5076385385466331E-4</v>
      </c>
      <c r="E713" s="4">
        <v>6.0848702673110822E-4</v>
      </c>
      <c r="F713" s="4">
        <v>-1.5816717425082283E-3</v>
      </c>
      <c r="G713" s="4">
        <v>1.2985778172636131E-3</v>
      </c>
    </row>
    <row r="714" spans="1:7" x14ac:dyDescent="0.35">
      <c r="A714" s="3">
        <v>42675</v>
      </c>
      <c r="B714" s="4">
        <v>-2.4163383035032848E-2</v>
      </c>
      <c r="C714" s="4">
        <v>-4.2231844803967133E-3</v>
      </c>
      <c r="D714" s="4">
        <v>5.2894278848181209E-4</v>
      </c>
      <c r="E714" s="4">
        <v>5.0834455794279698E-4</v>
      </c>
      <c r="F714" s="4">
        <v>-2.1440881836533032E-3</v>
      </c>
      <c r="G714" s="4">
        <v>1.0436286198456379E-4</v>
      </c>
    </row>
    <row r="715" spans="1:7" x14ac:dyDescent="0.35">
      <c r="A715" s="3">
        <v>42677</v>
      </c>
      <c r="B715" s="4">
        <v>6.0731259367829971E-4</v>
      </c>
      <c r="C715" s="4">
        <v>-4.4327582658897358E-3</v>
      </c>
      <c r="D715" s="4">
        <v>5.1509791309145569E-4</v>
      </c>
      <c r="E715" s="4">
        <v>5.0355214981223639E-4</v>
      </c>
      <c r="F715" s="4">
        <v>1.5467861519409265E-3</v>
      </c>
      <c r="G715" s="4">
        <v>1.9157849810815808E-3</v>
      </c>
    </row>
    <row r="716" spans="1:7" x14ac:dyDescent="0.35">
      <c r="A716" s="3">
        <v>42678</v>
      </c>
      <c r="B716" s="4">
        <v>4.1075550707936115E-2</v>
      </c>
      <c r="C716" s="4">
        <v>-6.0902215863746223E-3</v>
      </c>
      <c r="D716" s="4">
        <v>5.0728941668221061E-4</v>
      </c>
      <c r="E716" s="4">
        <v>6.7438201777170192E-4</v>
      </c>
      <c r="F716" s="4">
        <v>7.1739047861671956E-3</v>
      </c>
      <c r="G716" s="4">
        <v>-2.5347969969129469E-3</v>
      </c>
    </row>
    <row r="717" spans="1:7" x14ac:dyDescent="0.35">
      <c r="A717" s="3">
        <v>42681</v>
      </c>
      <c r="B717" s="4">
        <v>-5.1371254149334966E-4</v>
      </c>
      <c r="C717" s="4">
        <v>-8.3229110166385123E-3</v>
      </c>
      <c r="D717" s="4">
        <v>5.0201420011330988E-4</v>
      </c>
      <c r="E717" s="4">
        <v>6.6048914226257693E-4</v>
      </c>
      <c r="F717" s="4">
        <v>2.29682950202581E-3</v>
      </c>
      <c r="G717" s="4">
        <v>-8.8444361777462177E-5</v>
      </c>
    </row>
    <row r="718" spans="1:7" x14ac:dyDescent="0.35">
      <c r="A718" s="3">
        <v>42682</v>
      </c>
      <c r="B718" s="4">
        <v>-1.4217488736452344E-2</v>
      </c>
      <c r="C718" s="4">
        <v>8.9482411570691589E-3</v>
      </c>
      <c r="D718" s="4">
        <v>5.1342456171976636E-4</v>
      </c>
      <c r="E718" s="4">
        <v>6.2896756279084975E-4</v>
      </c>
      <c r="F718" s="4">
        <v>-3.3610916605041341E-3</v>
      </c>
      <c r="G718" s="4">
        <v>1.0053005400356696E-5</v>
      </c>
    </row>
    <row r="719" spans="1:7" x14ac:dyDescent="0.35">
      <c r="A719" s="3">
        <v>42683</v>
      </c>
      <c r="B719" s="4">
        <v>-3.8771397299932508E-2</v>
      </c>
      <c r="C719" s="4">
        <v>4.920673489112648E-2</v>
      </c>
      <c r="D719" s="4">
        <v>5.3921716102722783E-4</v>
      </c>
      <c r="E719" s="4">
        <v>6.4057298446185129E-4</v>
      </c>
      <c r="F719" s="4">
        <v>-9.6463235631648603E-3</v>
      </c>
      <c r="G719" s="4">
        <v>-1.1832908057880509E-3</v>
      </c>
    </row>
    <row r="720" spans="1:7" x14ac:dyDescent="0.35">
      <c r="A720" s="3">
        <v>42684</v>
      </c>
      <c r="B720" s="4">
        <v>-4.2987703866351201E-2</v>
      </c>
      <c r="C720" s="4">
        <v>7.8008002584026848E-3</v>
      </c>
      <c r="D720" s="4">
        <v>5.6301986601292597E-4</v>
      </c>
      <c r="E720" s="4">
        <v>4.1288147348761406E-4</v>
      </c>
      <c r="F720" s="4">
        <v>-1.9585204275807122E-4</v>
      </c>
      <c r="G720" s="4">
        <v>2.450831955962629E-3</v>
      </c>
    </row>
    <row r="721" spans="1:7" x14ac:dyDescent="0.35">
      <c r="A721" s="3">
        <v>42685</v>
      </c>
      <c r="B721" s="4">
        <v>1.1388038717169202E-2</v>
      </c>
      <c r="C721" s="4">
        <v>1.7276709733950346E-2</v>
      </c>
      <c r="D721" s="4">
        <v>5.3966711304198611E-4</v>
      </c>
      <c r="E721" s="4">
        <v>5.4976856323563084E-4</v>
      </c>
      <c r="F721" s="4">
        <v>-9.9615994191767365E-3</v>
      </c>
      <c r="G721" s="4">
        <v>-8.6119164002040893E-4</v>
      </c>
    </row>
    <row r="722" spans="1:7" x14ac:dyDescent="0.35">
      <c r="A722" s="3">
        <v>42688</v>
      </c>
      <c r="B722" s="4">
        <v>1.558287373827727E-2</v>
      </c>
      <c r="C722" s="4">
        <v>-6.7740540043397246E-3</v>
      </c>
      <c r="D722" s="4">
        <v>5.7565699906048096E-4</v>
      </c>
      <c r="E722" s="4">
        <v>3.3568397483008106E-4</v>
      </c>
      <c r="F722" s="4">
        <v>9.8704571878085456E-3</v>
      </c>
      <c r="G722" s="4">
        <v>4.2473502960271858E-4</v>
      </c>
    </row>
    <row r="723" spans="1:7" x14ac:dyDescent="0.35">
      <c r="A723" s="3">
        <v>42690</v>
      </c>
      <c r="B723" s="4">
        <v>-1.5544022406206337E-2</v>
      </c>
      <c r="C723" s="4">
        <v>7.0103145660338484E-4</v>
      </c>
      <c r="D723" s="4">
        <v>4.8986059575928387E-4</v>
      </c>
      <c r="E723" s="4">
        <v>7.5358305596662234E-4</v>
      </c>
      <c r="F723" s="4">
        <v>7.9388876202024505E-4</v>
      </c>
      <c r="G723" s="4">
        <v>2.5545486002975792E-5</v>
      </c>
    </row>
    <row r="724" spans="1:7" x14ac:dyDescent="0.35">
      <c r="A724" s="3">
        <v>42691</v>
      </c>
      <c r="B724" s="4">
        <v>1.2417183930783615E-2</v>
      </c>
      <c r="C724" s="4">
        <v>-1.0460198686883082E-2</v>
      </c>
      <c r="D724" s="4">
        <v>5.3504479507004987E-4</v>
      </c>
      <c r="E724" s="4">
        <v>4.9800419570478205E-4</v>
      </c>
      <c r="F724" s="4">
        <v>6.2625829686582257E-3</v>
      </c>
      <c r="G724" s="4">
        <v>1.5510211399805129E-4</v>
      </c>
    </row>
    <row r="725" spans="1:7" x14ac:dyDescent="0.35">
      <c r="A725" s="3">
        <v>42692</v>
      </c>
      <c r="B725" s="4">
        <v>1.7391550714863202E-2</v>
      </c>
      <c r="C725" s="4">
        <v>-1.1342676533670604E-2</v>
      </c>
      <c r="D725" s="4">
        <v>5.2968358472327282E-4</v>
      </c>
      <c r="E725" s="4">
        <v>5.1632690436087536E-4</v>
      </c>
      <c r="F725" s="4">
        <v>9.3228551948174587E-3</v>
      </c>
      <c r="G725" s="4">
        <v>-1.9129424471151513E-3</v>
      </c>
    </row>
    <row r="726" spans="1:7" x14ac:dyDescent="0.35">
      <c r="A726" s="3">
        <v>42695</v>
      </c>
      <c r="B726" s="4">
        <v>6.8637855120117219E-3</v>
      </c>
      <c r="C726" s="4">
        <v>2.646446987222717E-3</v>
      </c>
      <c r="D726" s="4">
        <v>4.8115601158227328E-4</v>
      </c>
      <c r="E726" s="4">
        <v>7.0057863061911974E-4</v>
      </c>
      <c r="F726" s="4">
        <v>1.0489237849700128E-3</v>
      </c>
      <c r="G726" s="4">
        <v>-2.6063833660978641E-3</v>
      </c>
    </row>
    <row r="727" spans="1:7" x14ac:dyDescent="0.35">
      <c r="A727" s="3">
        <v>42696</v>
      </c>
      <c r="B727" s="4">
        <v>5.109479115993798E-3</v>
      </c>
      <c r="C727" s="4">
        <v>1.0286609100039756E-2</v>
      </c>
      <c r="D727" s="4">
        <v>5.156507232810803E-4</v>
      </c>
      <c r="E727" s="4">
        <v>5.627293931276256E-4</v>
      </c>
      <c r="F727" s="4">
        <v>3.1480089730215877E-3</v>
      </c>
      <c r="G727" s="4">
        <v>7.4042259601925231E-4</v>
      </c>
    </row>
    <row r="728" spans="1:7" x14ac:dyDescent="0.35">
      <c r="A728" s="3">
        <v>42697</v>
      </c>
      <c r="B728" s="4">
        <v>-4.2785278552637251E-3</v>
      </c>
      <c r="C728" s="4">
        <v>1.1943634064150999E-3</v>
      </c>
      <c r="D728" s="4">
        <v>5.3513037972541255E-4</v>
      </c>
      <c r="E728" s="4">
        <v>5.8058159756102512E-4</v>
      </c>
      <c r="F728" s="4">
        <v>2.3332768104122881E-3</v>
      </c>
      <c r="G728" s="4">
        <v>2.6750767377730078E-3</v>
      </c>
    </row>
    <row r="729" spans="1:7" x14ac:dyDescent="0.35">
      <c r="A729" s="3">
        <v>42698</v>
      </c>
      <c r="B729" s="4">
        <v>-5.9255006969038959E-4</v>
      </c>
      <c r="C729" s="4">
        <v>6.7871426554908521E-3</v>
      </c>
      <c r="D729" s="4">
        <v>5.3466647615829643E-4</v>
      </c>
      <c r="E729" s="4">
        <v>5.6591257746929635E-4</v>
      </c>
      <c r="F729" s="4">
        <v>-2.8809550718692511E-3</v>
      </c>
      <c r="G729" s="4">
        <v>2.9394443536201464E-4</v>
      </c>
    </row>
    <row r="730" spans="1:7" x14ac:dyDescent="0.35">
      <c r="A730" s="3">
        <v>42699</v>
      </c>
      <c r="B730" s="4">
        <v>1.3297306857901869E-2</v>
      </c>
      <c r="C730" s="4">
        <v>-8.3067880034722874E-3</v>
      </c>
      <c r="D730" s="4">
        <v>5.2620798308877781E-4</v>
      </c>
      <c r="E730" s="4">
        <v>4.813041497460091E-4</v>
      </c>
      <c r="F730" s="4">
        <v>-1.9201255274436946E-5</v>
      </c>
      <c r="G730" s="4">
        <v>-4.0957602406905824E-3</v>
      </c>
    </row>
    <row r="731" spans="1:7" x14ac:dyDescent="0.35">
      <c r="A731" s="3">
        <v>42702</v>
      </c>
      <c r="B731" s="4">
        <v>-2.5773729064133999E-2</v>
      </c>
      <c r="C731" s="4">
        <v>1.5375777351898101E-3</v>
      </c>
      <c r="D731" s="4">
        <v>5.0304672264367412E-4</v>
      </c>
      <c r="E731" s="4">
        <v>6.3689852661008572E-4</v>
      </c>
      <c r="F731" s="4">
        <v>1.9716032371563941E-4</v>
      </c>
      <c r="G731" s="4">
        <v>1.4257563139647988E-3</v>
      </c>
    </row>
    <row r="732" spans="1:7" x14ac:dyDescent="0.35">
      <c r="A732" s="3">
        <v>42703</v>
      </c>
      <c r="B732" s="4">
        <v>1.5301231620189704E-2</v>
      </c>
      <c r="C732" s="4">
        <v>-2.0284266193788536E-3</v>
      </c>
      <c r="D732" s="4">
        <v>5.0787747850455922E-4</v>
      </c>
      <c r="E732" s="4">
        <v>6.8878378984238431E-4</v>
      </c>
      <c r="F732" s="4">
        <v>5.6497067430347769E-3</v>
      </c>
      <c r="G732" s="4">
        <v>3.1543393575907963E-3</v>
      </c>
    </row>
    <row r="733" spans="1:7" x14ac:dyDescent="0.35">
      <c r="A733" s="3">
        <v>42704</v>
      </c>
      <c r="B733" s="4">
        <v>-4.4050973883480005E-2</v>
      </c>
      <c r="C733" s="4">
        <v>2.4751647783915809E-2</v>
      </c>
      <c r="D733" s="4">
        <v>5.0539390330084366E-4</v>
      </c>
      <c r="E733" s="4">
        <v>6.0077836020155928E-4</v>
      </c>
      <c r="F733" s="4">
        <v>-5.1175270805561279E-3</v>
      </c>
      <c r="G733" s="4">
        <v>2.4032890281437957E-3</v>
      </c>
    </row>
    <row r="734" spans="1:7" x14ac:dyDescent="0.35">
      <c r="A734" s="3">
        <v>42705</v>
      </c>
      <c r="B734" s="4">
        <v>6.7542678219691954E-3</v>
      </c>
      <c r="C734" s="4">
        <v>-1.0865376740949451E-3</v>
      </c>
      <c r="D734" s="4">
        <v>5.7584904022367489E-4</v>
      </c>
      <c r="E734" s="4">
        <v>2.4493759677524096E-4</v>
      </c>
      <c r="F734" s="4">
        <v>-2.9374315036182486E-3</v>
      </c>
      <c r="G734" s="4">
        <v>-4.4834050856024099E-4</v>
      </c>
    </row>
    <row r="735" spans="1:7" x14ac:dyDescent="0.35">
      <c r="A735" s="3">
        <v>42706</v>
      </c>
      <c r="B735" s="4">
        <v>-7.904463367636283E-3</v>
      </c>
      <c r="C735" s="4">
        <v>-1.2200519329581438E-2</v>
      </c>
      <c r="D735" s="4">
        <v>5.1100031139461599E-4</v>
      </c>
      <c r="E735" s="4">
        <v>5.8751752662855594E-4</v>
      </c>
      <c r="F735" s="4">
        <v>8.2933598142942433E-3</v>
      </c>
      <c r="G735" s="4">
        <v>1.443732119647434E-3</v>
      </c>
    </row>
    <row r="736" spans="1:7" x14ac:dyDescent="0.35">
      <c r="A736" s="3">
        <v>42709</v>
      </c>
      <c r="B736" s="4">
        <v>1.4441041825284051E-2</v>
      </c>
      <c r="C736" s="4">
        <v>-4.6305430482665999E-3</v>
      </c>
      <c r="D736" s="4">
        <v>4.8556415527145624E-4</v>
      </c>
      <c r="E736" s="4">
        <v>6.7951421334244699E-4</v>
      </c>
      <c r="F736" s="4">
        <v>1.868573898282655E-3</v>
      </c>
      <c r="G736" s="4">
        <v>-1.9708316952153915E-3</v>
      </c>
    </row>
    <row r="737" spans="1:7" x14ac:dyDescent="0.35">
      <c r="A737" s="3">
        <v>42710</v>
      </c>
      <c r="B737" s="4">
        <v>8.0728860310230743E-3</v>
      </c>
      <c r="C737" s="4">
        <v>-5.2716613732595174E-4</v>
      </c>
      <c r="D737" s="4">
        <v>5.2200103164579126E-4</v>
      </c>
      <c r="E737" s="4">
        <v>5.2543417481287769E-4</v>
      </c>
      <c r="F737" s="4">
        <v>-5.4565430912045798E-4</v>
      </c>
      <c r="G737" s="4">
        <v>1.6522047008460383E-3</v>
      </c>
    </row>
    <row r="738" spans="1:7" x14ac:dyDescent="0.35">
      <c r="A738" s="3">
        <v>42711</v>
      </c>
      <c r="B738" s="4">
        <v>-5.7816160793048299E-3</v>
      </c>
      <c r="C738" s="4">
        <v>-7.8816540565475046E-3</v>
      </c>
      <c r="D738" s="4">
        <v>4.9146543372335927E-4</v>
      </c>
      <c r="E738" s="4">
        <v>5.7194224690038098E-4</v>
      </c>
      <c r="F738" s="4">
        <v>3.799698841456367E-3</v>
      </c>
      <c r="G738" s="4">
        <v>1.8774475022584891E-3</v>
      </c>
    </row>
    <row r="739" spans="1:7" x14ac:dyDescent="0.35">
      <c r="A739" s="3">
        <v>42712</v>
      </c>
      <c r="B739" s="4">
        <v>-6.6632872386291897E-3</v>
      </c>
      <c r="C739" s="4">
        <v>-5.4862690205176312E-3</v>
      </c>
      <c r="D739" s="4">
        <v>4.8019529898657431E-4</v>
      </c>
      <c r="E739" s="4">
        <v>8.3179410944045351E-4</v>
      </c>
      <c r="F739" s="4">
        <v>3.3556277315702765E-3</v>
      </c>
      <c r="G739" s="4">
        <v>1.8048184317145388E-3</v>
      </c>
    </row>
    <row r="740" spans="1:7" x14ac:dyDescent="0.35">
      <c r="A740" s="3">
        <v>42713</v>
      </c>
      <c r="B740" s="4">
        <v>-2.7591165703237608E-2</v>
      </c>
      <c r="C740" s="4">
        <v>-4.8795258264729968E-3</v>
      </c>
      <c r="D740" s="4">
        <v>4.9411200324356308E-4</v>
      </c>
      <c r="E740" s="4">
        <v>8.1554613424938971E-4</v>
      </c>
      <c r="F740" s="4">
        <v>1.0388954883113755E-3</v>
      </c>
      <c r="G740" s="4">
        <v>-1.1940103469676444E-4</v>
      </c>
    </row>
    <row r="741" spans="1:7" x14ac:dyDescent="0.35">
      <c r="A741" s="3">
        <v>42716</v>
      </c>
      <c r="B741" s="4">
        <v>-1.4227970725917416E-3</v>
      </c>
      <c r="C741" s="4">
        <v>-6.6805807696960207E-3</v>
      </c>
      <c r="D741" s="4">
        <v>5.0490238314715441E-4</v>
      </c>
      <c r="E741" s="4">
        <v>5.0188426736230696E-4</v>
      </c>
      <c r="F741" s="4">
        <v>-1.5071470284843125E-3</v>
      </c>
      <c r="G741" s="4">
        <v>-1.4718175135230993E-4</v>
      </c>
    </row>
    <row r="742" spans="1:7" x14ac:dyDescent="0.35">
      <c r="A742" s="3">
        <v>42717</v>
      </c>
      <c r="B742" s="4">
        <v>-2.3187834090519832E-2</v>
      </c>
      <c r="C742" s="4">
        <v>2.7517648748625056E-3</v>
      </c>
      <c r="D742" s="4">
        <v>5.0471463414258899E-4</v>
      </c>
      <c r="E742" s="4">
        <v>5.5411606773048128E-4</v>
      </c>
      <c r="F742" s="4">
        <v>1.6764649948397548E-3</v>
      </c>
      <c r="G742" s="4">
        <v>2.5804035718770546E-3</v>
      </c>
    </row>
    <row r="743" spans="1:7" x14ac:dyDescent="0.35">
      <c r="A743" s="3">
        <v>42718</v>
      </c>
      <c r="B743" s="4">
        <v>1.3575204568488042E-2</v>
      </c>
      <c r="C743" s="4">
        <v>1.1772317917799535E-2</v>
      </c>
      <c r="D743" s="4">
        <v>5.0646007984966879E-4</v>
      </c>
      <c r="E743" s="4">
        <v>5.7253002203450087E-4</v>
      </c>
      <c r="F743" s="4">
        <v>6.7912459654262403E-3</v>
      </c>
      <c r="G743" s="4">
        <v>-1.2088056011899662E-3</v>
      </c>
    </row>
    <row r="744" spans="1:7" x14ac:dyDescent="0.35">
      <c r="A744" s="3">
        <v>42719</v>
      </c>
      <c r="B744" s="4">
        <v>-3.0586239757851574E-3</v>
      </c>
      <c r="C744" s="4">
        <v>5.0074321891329099E-3</v>
      </c>
      <c r="D744" s="4">
        <v>5.1554414240828628E-4</v>
      </c>
      <c r="E744" s="4">
        <v>5.1505390266726181E-4</v>
      </c>
      <c r="F744" s="4">
        <v>5.9139910832661791E-4</v>
      </c>
      <c r="G744" s="4">
        <v>4.4463835619403813E-3</v>
      </c>
    </row>
    <row r="745" spans="1:7" x14ac:dyDescent="0.35">
      <c r="A745" s="3">
        <v>42720</v>
      </c>
      <c r="B745" s="4">
        <v>-1.9358079269314876E-2</v>
      </c>
      <c r="C745" s="4">
        <v>-5.3735238523857642E-3</v>
      </c>
      <c r="D745" s="4">
        <v>4.9448163059184758E-4</v>
      </c>
      <c r="E745" s="4">
        <v>4.9030669829308593E-4</v>
      </c>
      <c r="F745" s="4">
        <v>-1.8950507627013558E-4</v>
      </c>
      <c r="G745" s="4">
        <v>1.1906976634650235E-3</v>
      </c>
    </row>
    <row r="746" spans="1:7" x14ac:dyDescent="0.35">
      <c r="A746" s="3">
        <v>42723</v>
      </c>
      <c r="B746" s="4">
        <v>5.6579697958050179E-3</v>
      </c>
      <c r="C746" s="4">
        <v>-6.5978944543998441E-3</v>
      </c>
      <c r="D746" s="4">
        <v>5.0986575530576062E-4</v>
      </c>
      <c r="E746" s="4">
        <v>5.5896386428355704E-4</v>
      </c>
      <c r="F746" s="4">
        <v>-4.3677214935855524E-4</v>
      </c>
      <c r="G746" s="4">
        <v>1.6202245940057924E-3</v>
      </c>
    </row>
    <row r="747" spans="1:7" x14ac:dyDescent="0.35">
      <c r="A747" s="3">
        <v>42724</v>
      </c>
      <c r="B747" s="4">
        <v>2.1539172802802486E-3</v>
      </c>
      <c r="C747" s="4">
        <v>-5.8730965414017788E-3</v>
      </c>
      <c r="D747" s="4">
        <v>4.917303117653038E-4</v>
      </c>
      <c r="E747" s="4">
        <v>5.9146274230292839E-4</v>
      </c>
      <c r="F747" s="4">
        <v>1.0674524397837892E-3</v>
      </c>
      <c r="G747" s="4">
        <v>2.0310574841584383E-3</v>
      </c>
    </row>
    <row r="748" spans="1:7" x14ac:dyDescent="0.35">
      <c r="A748" s="3">
        <v>42725</v>
      </c>
      <c r="B748" s="4">
        <v>-8.6920010356017485E-3</v>
      </c>
      <c r="C748" s="4">
        <v>-7.5825112130099015E-3</v>
      </c>
      <c r="D748" s="4">
        <v>4.8235195050727597E-4</v>
      </c>
      <c r="E748" s="4">
        <v>6.7634639533675767E-4</v>
      </c>
      <c r="F748" s="4">
        <v>2.0614166138137602E-3</v>
      </c>
      <c r="G748" s="4">
        <v>1.4191144764899022E-3</v>
      </c>
    </row>
    <row r="749" spans="1:7" x14ac:dyDescent="0.35">
      <c r="A749" s="3">
        <v>42726</v>
      </c>
      <c r="B749" s="4">
        <v>1.0937665550931452E-2</v>
      </c>
      <c r="C749" s="4">
        <v>-1.03551380665724E-2</v>
      </c>
      <c r="D749" s="4">
        <v>5.0461315578886889E-4</v>
      </c>
      <c r="E749" s="4">
        <v>5.9627525415040239E-4</v>
      </c>
      <c r="F749" s="4">
        <v>-4.19388962989653E-4</v>
      </c>
      <c r="G749" s="4">
        <v>9.9912192761619778E-5</v>
      </c>
    </row>
    <row r="750" spans="1:7" x14ac:dyDescent="0.35">
      <c r="A750" s="3">
        <v>42727</v>
      </c>
      <c r="B750" s="4">
        <v>1.2947763208455365E-2</v>
      </c>
      <c r="C750" s="4">
        <v>3.7559799489073065E-3</v>
      </c>
      <c r="D750" s="4">
        <v>5.0046657205093936E-4</v>
      </c>
      <c r="E750" s="4">
        <v>5.5254169952467791E-4</v>
      </c>
      <c r="F750" s="4">
        <v>1.2411804659357983E-3</v>
      </c>
      <c r="G750" s="4">
        <v>1.2392147459385772E-3</v>
      </c>
    </row>
    <row r="751" spans="1:7" x14ac:dyDescent="0.35">
      <c r="A751" s="3">
        <v>42730</v>
      </c>
      <c r="B751" s="4">
        <v>4.966019420087342E-3</v>
      </c>
      <c r="C751" s="4">
        <v>-8.3515196021755056E-4</v>
      </c>
      <c r="D751" s="4">
        <v>4.976711221815755E-4</v>
      </c>
      <c r="E751" s="4">
        <v>6.1861405783214529E-4</v>
      </c>
      <c r="F751" s="4">
        <v>-1.6974295172644815E-4</v>
      </c>
      <c r="G751" s="4">
        <v>-6.6393784187745997E-4</v>
      </c>
    </row>
    <row r="752" spans="1:7" x14ac:dyDescent="0.35">
      <c r="A752" s="3">
        <v>42731</v>
      </c>
      <c r="B752" s="4">
        <v>1.4461942621358581E-2</v>
      </c>
      <c r="C752" s="4">
        <v>1.2260312259497752E-3</v>
      </c>
      <c r="D752" s="4">
        <v>4.9737782215220072E-4</v>
      </c>
      <c r="E752" s="4">
        <v>5.1762430250135161E-4</v>
      </c>
      <c r="F752" s="4">
        <v>1.2106498306061475E-3</v>
      </c>
      <c r="G752" s="4">
        <v>3.8892273119128795E-4</v>
      </c>
    </row>
    <row r="753" spans="1:7" x14ac:dyDescent="0.35">
      <c r="A753" s="3">
        <v>42732</v>
      </c>
      <c r="B753" s="4">
        <v>1.1381761686260594E-2</v>
      </c>
      <c r="C753" s="4">
        <v>-1.0125609094459476E-2</v>
      </c>
      <c r="D753" s="4">
        <v>4.9807035073512473E-4</v>
      </c>
      <c r="E753" s="4">
        <v>5.7297745046924753E-4</v>
      </c>
      <c r="F753" s="4">
        <v>-2.3280226951578609E-3</v>
      </c>
      <c r="G753" s="4">
        <v>1.4161039159183986E-3</v>
      </c>
    </row>
    <row r="754" spans="1:7" x14ac:dyDescent="0.35">
      <c r="A754" s="3">
        <v>42733</v>
      </c>
      <c r="B754" s="4">
        <v>-1.1737323654736898E-4</v>
      </c>
      <c r="C754" s="4">
        <v>4.7496541828029315E-4</v>
      </c>
      <c r="D754" s="4">
        <v>5.0937146896590235E-4</v>
      </c>
      <c r="E754" s="4">
        <v>3.0347386694051792E-5</v>
      </c>
      <c r="F754" s="4">
        <v>3.4593570309882082E-4</v>
      </c>
      <c r="G754" s="4">
        <v>5.6978017169795336E-4</v>
      </c>
    </row>
    <row r="755" spans="1:7" x14ac:dyDescent="0.35">
      <c r="A755" s="3">
        <v>42734</v>
      </c>
      <c r="B755" s="4">
        <v>-9.99349453891063E-3</v>
      </c>
      <c r="C755" s="4">
        <v>9.639624296517546E-3</v>
      </c>
      <c r="D755" s="4">
        <v>4.9708770329814911E-4</v>
      </c>
      <c r="E755" s="4">
        <v>5.3859886195350981E-4</v>
      </c>
      <c r="F755" s="4">
        <v>3.1566578802550982E-3</v>
      </c>
      <c r="G755" s="4">
        <v>-5.1030709525201612E-4</v>
      </c>
    </row>
    <row r="756" spans="1:7" x14ac:dyDescent="0.35">
      <c r="A756" s="3">
        <v>42737</v>
      </c>
      <c r="B756" s="4">
        <v>3.311285696321753E-2</v>
      </c>
      <c r="C756" s="4">
        <v>-7.9682897997376267E-3</v>
      </c>
      <c r="D756" s="4">
        <v>4.962377005501839E-4</v>
      </c>
      <c r="E756" s="4">
        <v>7.4059648504687381E-4</v>
      </c>
      <c r="F756" s="4">
        <v>2.7725189429028685E-3</v>
      </c>
      <c r="G756" s="4">
        <v>-1.6557802985817105E-3</v>
      </c>
    </row>
    <row r="757" spans="1:7" x14ac:dyDescent="0.35">
      <c r="A757" s="3">
        <v>42738</v>
      </c>
      <c r="B757" s="4">
        <v>2.7326725258647322E-4</v>
      </c>
      <c r="C757" s="4">
        <v>-9.5590540215659825E-3</v>
      </c>
      <c r="D757" s="4">
        <v>5.0922664669528217E-4</v>
      </c>
      <c r="E757" s="4">
        <v>5.0036031084577104E-4</v>
      </c>
      <c r="F757" s="4">
        <v>-8.1837217599922685E-4</v>
      </c>
      <c r="G757" s="4">
        <v>6.3134082867311037E-4</v>
      </c>
    </row>
    <row r="758" spans="1:7" x14ac:dyDescent="0.35">
      <c r="A758" s="3">
        <v>42739</v>
      </c>
      <c r="B758" s="4">
        <v>9.5784287305329396E-3</v>
      </c>
      <c r="C758" s="4">
        <v>-7.0062440693480221E-3</v>
      </c>
      <c r="D758" s="4">
        <v>5.2452405512593003E-4</v>
      </c>
      <c r="E758" s="4">
        <v>4.3956758077245972E-4</v>
      </c>
      <c r="F758" s="4">
        <v>1.7888864515185343E-3</v>
      </c>
      <c r="G758" s="4">
        <v>-3.8767653648841272E-4</v>
      </c>
    </row>
    <row r="759" spans="1:7" x14ac:dyDescent="0.35">
      <c r="A759" s="3">
        <v>42740</v>
      </c>
      <c r="B759" s="4">
        <v>-2.1118343296955278E-3</v>
      </c>
      <c r="C759" s="4">
        <v>7.08279347391505E-3</v>
      </c>
      <c r="D759" s="4">
        <v>4.9107264426773156E-4</v>
      </c>
      <c r="E759" s="4">
        <v>5.5500299776434225E-4</v>
      </c>
      <c r="F759" s="4">
        <v>4.1028840279098144E-3</v>
      </c>
      <c r="G759" s="4">
        <v>2.8891009995588579E-3</v>
      </c>
    </row>
    <row r="760" spans="1:7" x14ac:dyDescent="0.35">
      <c r="A760" s="3">
        <v>42741</v>
      </c>
      <c r="B760" s="4">
        <v>-3.6844926777658271E-3</v>
      </c>
      <c r="C760" s="4">
        <v>-7.6750872510226165E-3</v>
      </c>
      <c r="D760" s="4">
        <v>5.00686792101801E-4</v>
      </c>
      <c r="E760" s="4">
        <v>5.4487727830965227E-4</v>
      </c>
      <c r="F760" s="4">
        <v>5.1876639130976621E-4</v>
      </c>
      <c r="G760" s="4">
        <v>1.0861263987238523E-4</v>
      </c>
    </row>
    <row r="761" spans="1:7" x14ac:dyDescent="0.35">
      <c r="A761" s="3">
        <v>42744</v>
      </c>
      <c r="B761" s="4">
        <v>6.4979631324457721E-3</v>
      </c>
      <c r="C761" s="4">
        <v>3.6609597613557199E-4</v>
      </c>
      <c r="D761" s="4">
        <v>5.119262006634262E-4</v>
      </c>
      <c r="E761" s="4">
        <v>6.0761612991977465E-4</v>
      </c>
      <c r="F761" s="4">
        <v>8.5339237787418476E-4</v>
      </c>
      <c r="G761" s="4">
        <v>-2.1059202882341976E-3</v>
      </c>
    </row>
    <row r="762" spans="1:7" x14ac:dyDescent="0.35">
      <c r="A762" s="3">
        <v>42745</v>
      </c>
      <c r="B762" s="4">
        <v>9.4924206201081329E-3</v>
      </c>
      <c r="C762" s="4">
        <v>-9.0173405755367142E-4</v>
      </c>
      <c r="D762" s="4">
        <v>4.9136966307350427E-4</v>
      </c>
      <c r="E762" s="4">
        <v>5.6597307748540437E-4</v>
      </c>
      <c r="F762" s="4">
        <v>1.3658093488999601E-3</v>
      </c>
      <c r="G762" s="4">
        <v>6.2638251280255908E-4</v>
      </c>
    </row>
    <row r="763" spans="1:7" x14ac:dyDescent="0.35">
      <c r="A763" s="3">
        <v>42746</v>
      </c>
      <c r="B763" s="4">
        <v>2.3624724206683823E-2</v>
      </c>
      <c r="C763" s="4">
        <v>-6.4581511713699413E-3</v>
      </c>
      <c r="D763" s="4">
        <v>5.0429198468582292E-4</v>
      </c>
      <c r="E763" s="4">
        <v>5.5382729835096178E-4</v>
      </c>
      <c r="F763" s="4">
        <v>4.1384058751572361E-3</v>
      </c>
      <c r="G763" s="4">
        <v>-2.4727206594910012E-4</v>
      </c>
    </row>
    <row r="764" spans="1:7" x14ac:dyDescent="0.35">
      <c r="A764" s="3">
        <v>42747</v>
      </c>
      <c r="B764" s="4">
        <v>-2.844144068518073E-3</v>
      </c>
      <c r="C764" s="4">
        <v>1.109217019256814E-2</v>
      </c>
      <c r="D764" s="4">
        <v>4.501749811844924E-4</v>
      </c>
      <c r="E764" s="4">
        <v>6.1799293324882321E-4</v>
      </c>
      <c r="F764" s="4">
        <v>1.6646012565049162E-3</v>
      </c>
      <c r="G764" s="4">
        <v>2.2816739513988882E-3</v>
      </c>
    </row>
    <row r="765" spans="1:7" x14ac:dyDescent="0.35">
      <c r="A765" s="3">
        <v>42748</v>
      </c>
      <c r="B765" s="4">
        <v>4.7239959817890753E-3</v>
      </c>
      <c r="C765" s="4">
        <v>6.8506497046585402E-3</v>
      </c>
      <c r="D765" s="4">
        <v>4.3655808467857327E-4</v>
      </c>
      <c r="E765" s="4">
        <v>5.1566092894206328E-4</v>
      </c>
      <c r="F765" s="4">
        <v>1.4408194355282067E-3</v>
      </c>
      <c r="G765" s="4">
        <v>-3.256297805840358E-4</v>
      </c>
    </row>
    <row r="766" spans="1:7" x14ac:dyDescent="0.35">
      <c r="A766" s="3">
        <v>42751</v>
      </c>
      <c r="B766" s="4">
        <v>9.2690806157509353E-3</v>
      </c>
      <c r="C766" s="4">
        <v>-5.6497012163563287E-3</v>
      </c>
      <c r="D766" s="4">
        <v>5.3236327762329338E-4</v>
      </c>
      <c r="E766" s="4">
        <v>5.5417524254841588E-4</v>
      </c>
      <c r="F766" s="4">
        <v>-3.1318475826274117E-3</v>
      </c>
      <c r="G766" s="4">
        <v>1.6252261445928173E-3</v>
      </c>
    </row>
    <row r="767" spans="1:7" x14ac:dyDescent="0.35">
      <c r="A767" s="3">
        <v>42752</v>
      </c>
      <c r="B767" s="4">
        <v>-6.7171043818118337E-3</v>
      </c>
      <c r="C767" s="4">
        <v>3.0742095508324851E-3</v>
      </c>
      <c r="D767" s="4">
        <v>4.8961211754328104E-4</v>
      </c>
      <c r="E767" s="4">
        <v>5.5422027168439136E-4</v>
      </c>
      <c r="F767" s="4">
        <v>2.9989060834552106E-3</v>
      </c>
      <c r="G767" s="4">
        <v>2.9339989557439772E-3</v>
      </c>
    </row>
    <row r="768" spans="1:7" x14ac:dyDescent="0.35">
      <c r="A768" s="3">
        <v>42753</v>
      </c>
      <c r="B768" s="4">
        <v>-5.957850749097382E-3</v>
      </c>
      <c r="C768" s="4">
        <v>-7.786516171109592E-3</v>
      </c>
      <c r="D768" s="4">
        <v>4.9293145406448247E-4</v>
      </c>
      <c r="E768" s="4">
        <v>5.1125437356080994E-4</v>
      </c>
      <c r="F768" s="4">
        <v>7.3103077418152917E-3</v>
      </c>
      <c r="G768" s="4">
        <v>2.178345011349947E-3</v>
      </c>
    </row>
    <row r="769" spans="1:7" x14ac:dyDescent="0.35">
      <c r="A769" s="3">
        <v>42754</v>
      </c>
      <c r="B769" s="4">
        <v>6.8588903759889686E-3</v>
      </c>
      <c r="C769" s="4">
        <v>-6.567518420133367E-3</v>
      </c>
      <c r="D769" s="4">
        <v>4.7304198579101175E-4</v>
      </c>
      <c r="E769" s="4">
        <v>6.0802333093978866E-4</v>
      </c>
      <c r="F769" s="4">
        <v>1.7613815035144587E-3</v>
      </c>
      <c r="G769" s="4">
        <v>1.5099724178768703E-4</v>
      </c>
    </row>
    <row r="770" spans="1:7" x14ac:dyDescent="0.35">
      <c r="A770" s="3">
        <v>42755</v>
      </c>
      <c r="B770" s="4">
        <v>1.8248381756448717E-2</v>
      </c>
      <c r="C770" s="4">
        <v>-7.9307858765642614E-4</v>
      </c>
      <c r="D770" s="4">
        <v>5.8011200840124566E-4</v>
      </c>
      <c r="E770" s="4">
        <v>4.1043083357661381E-4</v>
      </c>
      <c r="F770" s="4">
        <v>-5.874557607011055E-3</v>
      </c>
      <c r="G770" s="4">
        <v>1.2542542346012375E-3</v>
      </c>
    </row>
    <row r="771" spans="1:7" x14ac:dyDescent="0.35">
      <c r="A771" s="3">
        <v>42758</v>
      </c>
      <c r="B771" s="4">
        <v>-3.1656498530422406E-3</v>
      </c>
      <c r="C771" s="4">
        <v>-2.1953422309263226E-3</v>
      </c>
      <c r="D771" s="4">
        <v>4.8682216035578207E-4</v>
      </c>
      <c r="E771" s="4">
        <v>5.3663504415268903E-4</v>
      </c>
      <c r="F771" s="4">
        <v>6.183586852648304E-5</v>
      </c>
      <c r="G771" s="4">
        <v>6.0294239565439334E-4</v>
      </c>
    </row>
    <row r="772" spans="1:7" x14ac:dyDescent="0.35">
      <c r="A772" s="3">
        <v>42759</v>
      </c>
      <c r="B772" s="4">
        <v>-1.1123610275520779E-4</v>
      </c>
      <c r="C772" s="4">
        <v>4.3848144290103974E-4</v>
      </c>
      <c r="D772" s="4">
        <v>4.7090586965836678E-4</v>
      </c>
      <c r="E772" s="4">
        <v>5.3328330721624795E-4</v>
      </c>
      <c r="F772" s="4">
        <v>3.4279854621677153E-4</v>
      </c>
      <c r="G772" s="4">
        <v>4.2154150864126549E-4</v>
      </c>
    </row>
    <row r="773" spans="1:7" x14ac:dyDescent="0.35">
      <c r="A773" s="3">
        <v>42760</v>
      </c>
      <c r="B773" s="4">
        <v>4.5942678792028069E-3</v>
      </c>
      <c r="C773" s="4">
        <v>4.6691595955312692E-3</v>
      </c>
      <c r="D773" s="4">
        <v>4.7304615546694961E-4</v>
      </c>
      <c r="E773" s="4">
        <v>5.1301556124849768E-4</v>
      </c>
      <c r="F773" s="4">
        <v>1.7113801760895164E-3</v>
      </c>
      <c r="G773" s="4">
        <v>-2.1256320931473116E-4</v>
      </c>
    </row>
    <row r="774" spans="1:7" x14ac:dyDescent="0.35">
      <c r="A774" s="3">
        <v>42761</v>
      </c>
      <c r="B774" s="4">
        <v>-2.5033259237827732E-4</v>
      </c>
      <c r="C774" s="4">
        <v>-9.8955270524166972E-3</v>
      </c>
      <c r="D774" s="4">
        <v>5.1060660371993194E-4</v>
      </c>
      <c r="E774" s="4">
        <v>5.4330495399179668E-4</v>
      </c>
      <c r="F774" s="4">
        <v>1.614403228048289E-3</v>
      </c>
      <c r="G774" s="4">
        <v>6.8756227606314724E-4</v>
      </c>
    </row>
    <row r="775" spans="1:7" x14ac:dyDescent="0.35">
      <c r="A775" s="3">
        <v>42762</v>
      </c>
      <c r="B775" s="4">
        <v>-2.452428058413203E-2</v>
      </c>
      <c r="C775" s="4">
        <v>-1.1218279594842895E-2</v>
      </c>
      <c r="D775" s="4">
        <v>4.6707075754048866E-4</v>
      </c>
      <c r="E775" s="4">
        <v>5.9241964707168471E-4</v>
      </c>
      <c r="F775" s="4">
        <v>-2.5208756400116883E-3</v>
      </c>
      <c r="G775" s="4">
        <v>2.1367938969174549E-3</v>
      </c>
    </row>
    <row r="776" spans="1:7" x14ac:dyDescent="0.35">
      <c r="A776" s="3">
        <v>42765</v>
      </c>
      <c r="B776" s="4">
        <v>1.264582166614403E-2</v>
      </c>
      <c r="C776" s="4">
        <v>1.2019824732314888E-2</v>
      </c>
      <c r="D776" s="4">
        <v>4.7494967424133172E-4</v>
      </c>
      <c r="E776" s="4">
        <v>4.6694501599175986E-4</v>
      </c>
      <c r="F776" s="4">
        <v>1.3181546492575524E-3</v>
      </c>
      <c r="G776" s="4">
        <v>1.3177268560271571E-3</v>
      </c>
    </row>
    <row r="777" spans="1:7" x14ac:dyDescent="0.35">
      <c r="A777" s="3">
        <v>42766</v>
      </c>
      <c r="B777" s="4">
        <v>2.0057869950897977E-3</v>
      </c>
      <c r="C777" s="4">
        <v>-6.0204533916763392E-4</v>
      </c>
      <c r="D777" s="4">
        <v>4.8149299563626791E-4</v>
      </c>
      <c r="E777" s="4">
        <v>5.2175390775932584E-4</v>
      </c>
      <c r="F777" s="4">
        <v>2.4645129460818538E-3</v>
      </c>
      <c r="G777" s="4">
        <v>-9.4709695155847928E-4</v>
      </c>
    </row>
    <row r="778" spans="1:7" x14ac:dyDescent="0.35">
      <c r="A778" s="3">
        <v>42767</v>
      </c>
      <c r="B778" s="4">
        <v>-2.5398411044414981E-3</v>
      </c>
      <c r="C778" s="4">
        <v>-9.9201072218083608E-3</v>
      </c>
      <c r="D778" s="4">
        <v>5.0140329881376289E-4</v>
      </c>
      <c r="E778" s="4">
        <v>1.831586935326035E-3</v>
      </c>
      <c r="F778" s="4">
        <v>-2.838125105391387E-3</v>
      </c>
      <c r="G778" s="4">
        <v>-2.1535372596107605E-3</v>
      </c>
    </row>
    <row r="779" spans="1:7" x14ac:dyDescent="0.35">
      <c r="A779" s="3">
        <v>42768</v>
      </c>
      <c r="B779" s="4">
        <v>1.224953376087079E-2</v>
      </c>
      <c r="C779" s="4">
        <v>-2.1803130610916766E-3</v>
      </c>
      <c r="D779" s="4">
        <v>4.7282313396346254E-4</v>
      </c>
      <c r="E779" s="4">
        <v>5.6118501826540879E-4</v>
      </c>
      <c r="F779" s="4">
        <v>1.1536270240015689E-3</v>
      </c>
      <c r="G779" s="4">
        <v>2.5278700431230483E-3</v>
      </c>
    </row>
    <row r="780" spans="1:7" x14ac:dyDescent="0.35">
      <c r="A780" s="3">
        <v>42769</v>
      </c>
      <c r="B780" s="4">
        <v>-1.540208014604294E-2</v>
      </c>
      <c r="C780" s="4">
        <v>2.9754105092809624E-3</v>
      </c>
      <c r="D780" s="4">
        <v>4.5582947391831219E-4</v>
      </c>
      <c r="E780" s="4">
        <v>5.5552825238347481E-4</v>
      </c>
      <c r="F780" s="4">
        <v>-1.2469552352746271E-3</v>
      </c>
      <c r="G780" s="4">
        <v>-7.3944434032513495E-4</v>
      </c>
    </row>
    <row r="781" spans="1:7" x14ac:dyDescent="0.35">
      <c r="A781" s="3">
        <v>42772</v>
      </c>
      <c r="B781" s="4">
        <v>-8.6260213650990458E-5</v>
      </c>
      <c r="C781" s="4">
        <v>3.3426386391144369E-4</v>
      </c>
      <c r="D781" s="4">
        <v>4.8809945544281419E-4</v>
      </c>
      <c r="E781" s="4">
        <v>6.3557345848508362E-4</v>
      </c>
      <c r="F781" s="4">
        <v>1.9355306949262463E-3</v>
      </c>
      <c r="G781" s="4">
        <v>1.4373408099859208E-3</v>
      </c>
    </row>
    <row r="782" spans="1:7" x14ac:dyDescent="0.35">
      <c r="A782" s="3">
        <v>42773</v>
      </c>
      <c r="B782" s="4">
        <v>9.3562477579816061E-3</v>
      </c>
      <c r="C782" s="4">
        <v>-2.6805563713124814E-3</v>
      </c>
      <c r="D782" s="4">
        <v>4.8514978396041464E-4</v>
      </c>
      <c r="E782" s="4">
        <v>5.5716993495913414E-4</v>
      </c>
      <c r="F782" s="4">
        <v>-1.5695229113642517E-3</v>
      </c>
      <c r="G782" s="4">
        <v>1.3361866277195045E-3</v>
      </c>
    </row>
    <row r="783" spans="1:7" x14ac:dyDescent="0.35">
      <c r="A783" s="3">
        <v>42774</v>
      </c>
      <c r="B783" s="4">
        <v>8.3710243060797218E-4</v>
      </c>
      <c r="C783" s="4">
        <v>3.7894320459448405E-3</v>
      </c>
      <c r="D783" s="4">
        <v>4.794036874375962E-4</v>
      </c>
      <c r="E783" s="4">
        <v>5.5392201434978361E-4</v>
      </c>
      <c r="F783" s="4">
        <v>2.8072065389537215E-3</v>
      </c>
      <c r="G783" s="4">
        <v>6.1240523543726333E-4</v>
      </c>
    </row>
    <row r="784" spans="1:7" x14ac:dyDescent="0.35">
      <c r="A784" s="3">
        <v>42775</v>
      </c>
      <c r="B784" s="4">
        <v>1.5777989929772751E-2</v>
      </c>
      <c r="C784" s="4">
        <v>-4.7856242456907339E-3</v>
      </c>
      <c r="D784" s="4">
        <v>4.7956184085351516E-4</v>
      </c>
      <c r="E784" s="4">
        <v>5.9196789022086804E-4</v>
      </c>
      <c r="F784" s="4">
        <v>3.0836583031652598E-3</v>
      </c>
      <c r="G784" s="4">
        <v>-2.1157826422735226E-3</v>
      </c>
    </row>
    <row r="785" spans="1:7" x14ac:dyDescent="0.35">
      <c r="A785" s="3">
        <v>42776</v>
      </c>
      <c r="B785" s="4">
        <v>6.5190883409353972E-3</v>
      </c>
      <c r="C785" s="4">
        <v>5.9811929500375172E-4</v>
      </c>
      <c r="D785" s="4">
        <v>4.7541412659191096E-4</v>
      </c>
      <c r="E785" s="4">
        <v>6.4474819728088661E-4</v>
      </c>
      <c r="F785" s="4">
        <v>1.9816666117598025E-3</v>
      </c>
      <c r="G785" s="4">
        <v>-7.1277369653155453E-4</v>
      </c>
    </row>
    <row r="786" spans="1:7" x14ac:dyDescent="0.35">
      <c r="A786" s="3">
        <v>42779</v>
      </c>
      <c r="B786" s="4">
        <v>-2.255213976205761E-3</v>
      </c>
      <c r="C786" s="4">
        <v>-4.3680434688683212E-3</v>
      </c>
      <c r="D786" s="4">
        <v>4.6575134657400596E-4</v>
      </c>
      <c r="E786" s="4">
        <v>5.3072489445882276E-4</v>
      </c>
      <c r="F786" s="4">
        <v>2.6096740088275006E-3</v>
      </c>
      <c r="G786" s="4">
        <v>2.3646836766020307E-3</v>
      </c>
    </row>
    <row r="787" spans="1:7" x14ac:dyDescent="0.35">
      <c r="A787" s="3">
        <v>42780</v>
      </c>
      <c r="B787" s="4">
        <v>1.6609694015879306E-2</v>
      </c>
      <c r="C787" s="4">
        <v>-1.2076903194001787E-2</v>
      </c>
      <c r="D787" s="4">
        <v>4.9679480588515901E-4</v>
      </c>
      <c r="E787" s="4">
        <v>5.2354309248725528E-4</v>
      </c>
      <c r="F787" s="4">
        <v>-6.7107552801937143E-4</v>
      </c>
      <c r="G787" s="4">
        <v>-1.0661792119793789E-3</v>
      </c>
    </row>
    <row r="788" spans="1:7" x14ac:dyDescent="0.35">
      <c r="A788" s="3">
        <v>42781</v>
      </c>
      <c r="B788" s="4">
        <v>2.2488634485278158E-3</v>
      </c>
      <c r="C788" s="4">
        <v>5.3252337567035735E-3</v>
      </c>
      <c r="D788" s="4">
        <v>4.8266661668194821E-4</v>
      </c>
      <c r="E788" s="4">
        <v>5.8658388680687956E-4</v>
      </c>
      <c r="F788" s="4">
        <v>-4.2210871810678396E-3</v>
      </c>
      <c r="G788" s="4">
        <v>6.5211577235380069E-4</v>
      </c>
    </row>
    <row r="789" spans="1:7" x14ac:dyDescent="0.35">
      <c r="A789" s="3">
        <v>42782</v>
      </c>
      <c r="B789" s="4">
        <v>-2.2279979073219769E-3</v>
      </c>
      <c r="C789" s="4">
        <v>5.0418648840642177E-3</v>
      </c>
      <c r="D789" s="4">
        <v>4.9972820457422351E-4</v>
      </c>
      <c r="E789" s="4">
        <v>5.0067957762411908E-4</v>
      </c>
      <c r="F789" s="4">
        <v>2.1201810560003143E-3</v>
      </c>
      <c r="G789" s="4">
        <v>-7.3349963789126615E-4</v>
      </c>
    </row>
    <row r="790" spans="1:7" x14ac:dyDescent="0.35">
      <c r="A790" s="3">
        <v>42783</v>
      </c>
      <c r="B790" s="4">
        <v>8.2081885078939543E-3</v>
      </c>
      <c r="C790" s="4">
        <v>-1.3509438577239408E-3</v>
      </c>
      <c r="D790" s="4">
        <v>4.7064781229688712E-4</v>
      </c>
      <c r="E790" s="4">
        <v>5.1005376986390516E-4</v>
      </c>
      <c r="F790" s="4">
        <v>8.3365075937402722E-4</v>
      </c>
      <c r="G790" s="4">
        <v>3.9460448837569384E-3</v>
      </c>
    </row>
    <row r="791" spans="1:7" x14ac:dyDescent="0.35">
      <c r="A791" s="3">
        <v>42786</v>
      </c>
      <c r="B791" s="4">
        <v>1.3149706488069235E-2</v>
      </c>
      <c r="C791" s="4">
        <v>1.8153877890394465E-3</v>
      </c>
      <c r="D791" s="4">
        <v>4.8545040062974998E-4</v>
      </c>
      <c r="E791" s="4">
        <v>5.5946932985073694E-4</v>
      </c>
      <c r="F791" s="4">
        <v>4.4980729194825653E-3</v>
      </c>
      <c r="G791" s="4">
        <v>7.5633094499427678E-4</v>
      </c>
    </row>
    <row r="792" spans="1:7" x14ac:dyDescent="0.35">
      <c r="A792" s="3">
        <v>42787</v>
      </c>
      <c r="B792" s="4">
        <v>-8.0059565509417174E-3</v>
      </c>
      <c r="C792" s="4">
        <v>-4.8807900916176816E-3</v>
      </c>
      <c r="D792" s="4">
        <v>8.9209734818163078E-4</v>
      </c>
      <c r="E792" s="4">
        <v>5.4041401601234718E-4</v>
      </c>
      <c r="F792" s="4">
        <v>-6.6862642469645017E-4</v>
      </c>
      <c r="G792" s="4">
        <v>-5.4928290522315848E-4</v>
      </c>
    </row>
    <row r="793" spans="1:7" x14ac:dyDescent="0.35">
      <c r="A793" s="3">
        <v>42788</v>
      </c>
      <c r="B793" s="4">
        <v>-1.5531001070953954E-2</v>
      </c>
      <c r="C793" s="4">
        <v>-6.0472947992481485E-3</v>
      </c>
      <c r="D793" s="4">
        <v>4.9315081604239808E-4</v>
      </c>
      <c r="E793" s="4">
        <v>3.4249206820691214E-4</v>
      </c>
      <c r="F793" s="4">
        <v>-3.2440949361933757E-4</v>
      </c>
      <c r="G793" s="4">
        <v>1.1933660879703822E-3</v>
      </c>
    </row>
    <row r="794" spans="1:7" x14ac:dyDescent="0.35">
      <c r="A794" s="3">
        <v>42789</v>
      </c>
      <c r="B794" s="4">
        <v>-9.2821527533635262E-3</v>
      </c>
      <c r="C794" s="4">
        <v>1.6237221255437806E-2</v>
      </c>
      <c r="D794" s="4">
        <v>4.1815450519311348E-4</v>
      </c>
      <c r="E794" s="4">
        <v>6.0097646168033592E-4</v>
      </c>
      <c r="F794" s="4">
        <v>-2.2757638307986383E-3</v>
      </c>
      <c r="G794" s="4">
        <v>-4.5738066734701821E-4</v>
      </c>
    </row>
    <row r="795" spans="1:7" x14ac:dyDescent="0.35">
      <c r="A795" s="3">
        <v>42790</v>
      </c>
      <c r="B795" s="4">
        <v>6.4990431653444425E-3</v>
      </c>
      <c r="C795" s="4">
        <v>-4.3493975140704855E-3</v>
      </c>
      <c r="D795" s="4">
        <v>4.7927771059907975E-4</v>
      </c>
      <c r="E795" s="4">
        <v>4.2425744870278059E-4</v>
      </c>
      <c r="F795" s="4">
        <v>9.0594768749134857E-3</v>
      </c>
      <c r="G795" s="4">
        <v>-1.5343740005682172E-3</v>
      </c>
    </row>
    <row r="796" spans="1:7" x14ac:dyDescent="0.35">
      <c r="A796" s="3">
        <v>42795</v>
      </c>
      <c r="B796" s="4">
        <v>-1.3485135377230839E-2</v>
      </c>
      <c r="C796" s="4">
        <v>1.482190769609093E-2</v>
      </c>
      <c r="D796" s="4">
        <v>4.4367020514224365E-4</v>
      </c>
      <c r="E796" s="4">
        <v>4.9318891677962995E-4</v>
      </c>
      <c r="F796" s="4">
        <v>4.4915286491780115E-3</v>
      </c>
      <c r="G796" s="4">
        <v>1.7464799455371161E-3</v>
      </c>
    </row>
    <row r="797" spans="1:7" x14ac:dyDescent="0.35">
      <c r="A797" s="3">
        <v>42796</v>
      </c>
      <c r="B797" s="4">
        <v>1.6089243947400966E-2</v>
      </c>
      <c r="C797" s="4">
        <v>-7.3042840321160263E-3</v>
      </c>
      <c r="D797" s="4">
        <v>4.8039162308466388E-4</v>
      </c>
      <c r="E797" s="4">
        <v>3.9373127366659766E-4</v>
      </c>
      <c r="F797" s="4">
        <v>4.2341072667111401E-3</v>
      </c>
      <c r="G797" s="4">
        <v>7.8312496957222422E-5</v>
      </c>
    </row>
    <row r="798" spans="1:7" x14ac:dyDescent="0.35">
      <c r="A798" s="3">
        <v>42797</v>
      </c>
      <c r="B798" s="4">
        <v>1.1912820442216976E-4</v>
      </c>
      <c r="C798" s="4">
        <v>1.2774496580560957E-3</v>
      </c>
      <c r="D798" s="4">
        <v>4.213023529453519E-4</v>
      </c>
      <c r="E798" s="4">
        <v>4.8435763134802023E-4</v>
      </c>
      <c r="F798" s="4">
        <v>1.9694347205350127E-3</v>
      </c>
      <c r="G798" s="4">
        <v>1.9176545061172501E-3</v>
      </c>
    </row>
    <row r="799" spans="1:7" x14ac:dyDescent="0.35">
      <c r="A799" s="3">
        <v>42800</v>
      </c>
      <c r="B799" s="4">
        <v>-3.0084175186753104E-3</v>
      </c>
      <c r="C799" s="4">
        <v>-1.4589906275229714E-3</v>
      </c>
      <c r="D799" s="4">
        <v>4.5817053608021574E-4</v>
      </c>
      <c r="E799" s="4">
        <v>5.3202516616934759E-4</v>
      </c>
      <c r="F799" s="4">
        <v>-1.9399280173736377E-3</v>
      </c>
      <c r="G799" s="4">
        <v>-4.3303036074360257E-4</v>
      </c>
    </row>
    <row r="800" spans="1:7" x14ac:dyDescent="0.35">
      <c r="A800" s="3">
        <v>42801</v>
      </c>
      <c r="B800" s="4">
        <v>-1.9618637985957976E-2</v>
      </c>
      <c r="C800" s="4">
        <v>1.3505598651478046E-2</v>
      </c>
      <c r="D800" s="4">
        <v>4.7187799764536464E-4</v>
      </c>
      <c r="E800" s="4">
        <v>4.7199554685506406E-4</v>
      </c>
      <c r="F800" s="4">
        <v>3.0885665317679223E-3</v>
      </c>
      <c r="G800" s="4">
        <v>5.4588052412909427E-3</v>
      </c>
    </row>
    <row r="801" spans="1:7" x14ac:dyDescent="0.35">
      <c r="A801" s="3">
        <v>42802</v>
      </c>
      <c r="B801" s="4">
        <v>-5.0865339795868048E-3</v>
      </c>
      <c r="C801" s="4">
        <v>9.1672906041619928E-3</v>
      </c>
      <c r="D801" s="4">
        <v>4.7978858352881737E-4</v>
      </c>
      <c r="E801" s="4">
        <v>4.1688794011673913E-4</v>
      </c>
      <c r="F801" s="4">
        <v>2.4339960461603471E-3</v>
      </c>
      <c r="G801" s="4">
        <v>1.3084390211528518E-3</v>
      </c>
    </row>
    <row r="802" spans="1:7" x14ac:dyDescent="0.35">
      <c r="A802" s="3">
        <v>42803</v>
      </c>
      <c r="B802" s="4">
        <v>-4.949730253946294E-3</v>
      </c>
      <c r="C802" s="4">
        <v>-1.3246880729103849E-2</v>
      </c>
      <c r="D802" s="4">
        <v>4.7720803375739251E-4</v>
      </c>
      <c r="E802" s="4">
        <v>3.630888446883862E-4</v>
      </c>
      <c r="F802" s="4">
        <v>6.7994069829830917E-3</v>
      </c>
      <c r="G802" s="4">
        <v>1.4676071819819114E-5</v>
      </c>
    </row>
    <row r="803" spans="1:7" x14ac:dyDescent="0.35">
      <c r="A803" s="3">
        <v>42804</v>
      </c>
      <c r="B803" s="4">
        <v>1.3328416991357228E-2</v>
      </c>
      <c r="C803" s="4">
        <v>1.857710373021515E-3</v>
      </c>
      <c r="D803" s="4">
        <v>4.013590620559615E-4</v>
      </c>
      <c r="E803" s="4">
        <v>5.5646659063834925E-4</v>
      </c>
      <c r="F803" s="4">
        <v>1.9997923323706868E-3</v>
      </c>
      <c r="G803" s="4">
        <v>-9.2573979250010208E-4</v>
      </c>
    </row>
    <row r="804" spans="1:7" x14ac:dyDescent="0.35">
      <c r="A804" s="3">
        <v>42807</v>
      </c>
      <c r="B804" s="4">
        <v>-1.3714212595518638E-2</v>
      </c>
      <c r="C804" s="4">
        <v>9.4499697436871699E-3</v>
      </c>
      <c r="D804" s="4">
        <v>4.4630418848212727E-4</v>
      </c>
      <c r="E804" s="4">
        <v>5.0682639410482011E-4</v>
      </c>
      <c r="F804" s="4">
        <v>-3.2174317520411444E-3</v>
      </c>
      <c r="G804" s="4">
        <v>3.6064123660350944E-4</v>
      </c>
    </row>
    <row r="805" spans="1:7" x14ac:dyDescent="0.35">
      <c r="A805" s="3">
        <v>42808</v>
      </c>
      <c r="B805" s="4">
        <v>1.8610815512782208E-2</v>
      </c>
      <c r="C805" s="4">
        <v>-2.1784749350527211E-2</v>
      </c>
      <c r="D805" s="4">
        <v>4.8266084185932812E-4</v>
      </c>
      <c r="E805" s="4">
        <v>3.9327272962519366E-4</v>
      </c>
      <c r="F805" s="4">
        <v>-6.2372996115923618E-3</v>
      </c>
      <c r="G805" s="4">
        <v>-6.0642515002329311E-4</v>
      </c>
    </row>
    <row r="806" spans="1:7" x14ac:dyDescent="0.35">
      <c r="A806" s="3">
        <v>42809</v>
      </c>
      <c r="B806" s="4">
        <v>-6.9970009227688923E-3</v>
      </c>
      <c r="C806" s="4">
        <v>5.6177457540340647E-4</v>
      </c>
      <c r="D806" s="4">
        <v>4.2621499594486245E-4</v>
      </c>
      <c r="E806" s="4">
        <v>5.8120044600618037E-4</v>
      </c>
      <c r="F806" s="4">
        <v>-1.3625857247313578E-3</v>
      </c>
      <c r="G806" s="4">
        <v>2.0148655892167078E-3</v>
      </c>
    </row>
    <row r="807" spans="1:7" x14ac:dyDescent="0.35">
      <c r="A807" s="3">
        <v>42810</v>
      </c>
      <c r="B807" s="4">
        <v>-1.8493118870039349E-2</v>
      </c>
      <c r="C807" s="4">
        <v>-3.4787437023112711E-3</v>
      </c>
      <c r="D807" s="4">
        <v>4.6318793016952853E-4</v>
      </c>
      <c r="E807" s="4">
        <v>6.1646240339929825E-4</v>
      </c>
      <c r="F807" s="4">
        <v>6.0988098645498035E-4</v>
      </c>
      <c r="G807" s="4">
        <v>2.8124693464248729E-4</v>
      </c>
    </row>
    <row r="808" spans="1:7" x14ac:dyDescent="0.35">
      <c r="A808" s="3">
        <v>42811</v>
      </c>
      <c r="B808" s="4">
        <v>6.7851569572994208E-3</v>
      </c>
      <c r="C808" s="4">
        <v>-8.5515552385700966E-3</v>
      </c>
      <c r="D808" s="4">
        <v>4.5426836849804531E-4</v>
      </c>
      <c r="E808" s="4">
        <v>6.8380383817578938E-4</v>
      </c>
      <c r="F808" s="4">
        <v>-3.0461998960255032E-3</v>
      </c>
      <c r="G808" s="4">
        <v>-2.4958744651182307E-4</v>
      </c>
    </row>
    <row r="809" spans="1:7" x14ac:dyDescent="0.35">
      <c r="A809" s="3">
        <v>42814</v>
      </c>
      <c r="B809" s="4">
        <v>-2.812247964384329E-2</v>
      </c>
      <c r="C809" s="4">
        <v>3.6533352894740911E-3</v>
      </c>
      <c r="D809" s="4">
        <v>4.5781917101184177E-4</v>
      </c>
      <c r="E809" s="4">
        <v>2.5121463315369574E-4</v>
      </c>
      <c r="F809" s="4">
        <v>3.529331841496397E-4</v>
      </c>
      <c r="G809" s="4">
        <v>2.3679930599358467E-3</v>
      </c>
    </row>
    <row r="810" spans="1:7" x14ac:dyDescent="0.35">
      <c r="A810" s="3">
        <v>42815</v>
      </c>
      <c r="B810" s="4">
        <v>1.2395595153972483E-2</v>
      </c>
      <c r="C810" s="4">
        <v>1.7477605070312929E-3</v>
      </c>
      <c r="D810" s="4">
        <v>4.3684988797898505E-4</v>
      </c>
      <c r="E810" s="4">
        <v>4.7167080089294267E-4</v>
      </c>
      <c r="F810" s="4">
        <v>-4.2011395589008904E-3</v>
      </c>
      <c r="G810" s="4">
        <v>1.2020003644306332E-3</v>
      </c>
    </row>
    <row r="811" spans="1:7" x14ac:dyDescent="0.35">
      <c r="A811" s="3">
        <v>42816</v>
      </c>
      <c r="B811" s="4">
        <v>3.3192595871622821E-4</v>
      </c>
      <c r="C811" s="4">
        <v>1.1626297220332926E-2</v>
      </c>
      <c r="D811" s="4">
        <v>4.6654962629077978E-4</v>
      </c>
      <c r="E811" s="4">
        <v>4.1863713981404871E-4</v>
      </c>
      <c r="F811" s="4">
        <v>1.7645836975999085E-3</v>
      </c>
      <c r="G811" s="4">
        <v>3.6830287786027149E-4</v>
      </c>
    </row>
    <row r="812" spans="1:7" x14ac:dyDescent="0.35">
      <c r="A812" s="3">
        <v>42817</v>
      </c>
      <c r="B812" s="4">
        <v>-2.8617371504602307E-4</v>
      </c>
      <c r="C812" s="4">
        <v>-5.6313846507942689E-3</v>
      </c>
      <c r="D812" s="4">
        <v>4.6693322960988937E-4</v>
      </c>
      <c r="E812" s="4">
        <v>5.0502064387325518E-4</v>
      </c>
      <c r="F812" s="4">
        <v>3.0779478302749297E-3</v>
      </c>
      <c r="G812" s="4">
        <v>2.8403619988324191E-3</v>
      </c>
    </row>
    <row r="813" spans="1:7" x14ac:dyDescent="0.35">
      <c r="A813" s="3">
        <v>42818</v>
      </c>
      <c r="B813" s="4">
        <v>5.1424465611287218E-3</v>
      </c>
      <c r="C813" s="4">
        <v>8.182910115912545E-3</v>
      </c>
      <c r="D813" s="4">
        <v>4.3064235458456501E-4</v>
      </c>
      <c r="E813" s="4">
        <v>5.0564950662024266E-4</v>
      </c>
      <c r="F813" s="4">
        <v>-1.8606119581308089E-3</v>
      </c>
      <c r="G813" s="4">
        <v>3.5335966427552101E-4</v>
      </c>
    </row>
    <row r="814" spans="1:7" x14ac:dyDescent="0.35">
      <c r="A814" s="3">
        <v>42821</v>
      </c>
      <c r="B814" s="4">
        <v>2.6432933318398799E-3</v>
      </c>
      <c r="C814" s="4">
        <v>3.9399457407784944E-4</v>
      </c>
      <c r="D814" s="4">
        <v>4.4327106235830804E-4</v>
      </c>
      <c r="E814" s="4">
        <v>6.2645847549647193E-4</v>
      </c>
      <c r="F814" s="4">
        <v>2.0747001840937251E-3</v>
      </c>
      <c r="G814" s="4">
        <v>2.196749130634057E-3</v>
      </c>
    </row>
    <row r="815" spans="1:7" x14ac:dyDescent="0.35">
      <c r="A815" s="3">
        <v>42822</v>
      </c>
      <c r="B815" s="4">
        <v>1.4901372750234732E-2</v>
      </c>
      <c r="C815" s="4">
        <v>-4.9106544254355899E-3</v>
      </c>
      <c r="D815" s="4">
        <v>4.7193972388126504E-4</v>
      </c>
      <c r="E815" s="4">
        <v>4.1823436272148129E-4</v>
      </c>
      <c r="F815" s="4">
        <v>-9.0262140762753518E-4</v>
      </c>
      <c r="G815" s="4">
        <v>1.18302663047265E-3</v>
      </c>
    </row>
    <row r="816" spans="1:7" x14ac:dyDescent="0.35">
      <c r="A816" s="3">
        <v>42823</v>
      </c>
      <c r="B816" s="4">
        <v>-4.7568603978085378E-3</v>
      </c>
      <c r="C816" s="4">
        <v>4.5737265892018542E-3</v>
      </c>
      <c r="D816" s="4">
        <v>4.4958271607353772E-4</v>
      </c>
      <c r="E816" s="4">
        <v>5.4095207652782307E-4</v>
      </c>
      <c r="F816" s="4">
        <v>2.2350673017923484E-4</v>
      </c>
      <c r="G816" s="4">
        <v>7.6638545790097545E-4</v>
      </c>
    </row>
    <row r="817" spans="1:7" x14ac:dyDescent="0.35">
      <c r="A817" s="3">
        <v>42824</v>
      </c>
      <c r="B817" s="4">
        <v>-4.577561704110833E-3</v>
      </c>
      <c r="C817" s="4">
        <v>-1.1688290228177856E-3</v>
      </c>
      <c r="D817" s="4">
        <v>4.5448212018395218E-4</v>
      </c>
      <c r="E817" s="4">
        <v>5.2111404991461718E-4</v>
      </c>
      <c r="F817" s="4">
        <v>-4.2736161468071021E-4</v>
      </c>
      <c r="G817" s="4">
        <v>-7.9228729941416276E-4</v>
      </c>
    </row>
    <row r="818" spans="1:7" x14ac:dyDescent="0.35">
      <c r="A818" s="3">
        <v>42825</v>
      </c>
      <c r="B818" s="4">
        <v>1.64266223376619E-3</v>
      </c>
      <c r="C818" s="4">
        <v>-5.0441337369657724E-3</v>
      </c>
      <c r="D818" s="4">
        <v>4.5190862573263324E-4</v>
      </c>
      <c r="E818" s="4">
        <v>5.2126009814634777E-4</v>
      </c>
      <c r="F818" s="4">
        <v>-3.6054819956695683E-3</v>
      </c>
      <c r="G818" s="4">
        <v>1.0379386601750973E-3</v>
      </c>
    </row>
    <row r="819" spans="1:7" x14ac:dyDescent="0.35">
      <c r="A819" s="3">
        <v>42828</v>
      </c>
      <c r="B819" s="4">
        <v>5.1296597273133848E-3</v>
      </c>
      <c r="C819" s="4">
        <v>-4.4015382909892153E-3</v>
      </c>
      <c r="D819" s="4">
        <v>4.5651341156993652E-4</v>
      </c>
      <c r="E819" s="4">
        <v>4.8475686274329632E-4</v>
      </c>
      <c r="F819" s="4">
        <v>2.9532889971739529E-4</v>
      </c>
      <c r="G819" s="4">
        <v>1.0063865599956312E-3</v>
      </c>
    </row>
    <row r="820" spans="1:7" x14ac:dyDescent="0.35">
      <c r="A820" s="3">
        <v>42829</v>
      </c>
      <c r="B820" s="4">
        <v>-1.5368639824183794E-2</v>
      </c>
      <c r="C820" s="4">
        <v>-2.5288011006073807E-3</v>
      </c>
      <c r="D820" s="4">
        <v>4.9298480807413725E-4</v>
      </c>
      <c r="E820" s="4">
        <v>7.2954034304606452E-4</v>
      </c>
      <c r="F820" s="4">
        <v>-3.9977311838834684E-4</v>
      </c>
      <c r="G820" s="4">
        <v>1.7895358608630563E-3</v>
      </c>
    </row>
    <row r="821" spans="1:7" x14ac:dyDescent="0.35">
      <c r="A821" s="3">
        <v>42830</v>
      </c>
      <c r="B821" s="4">
        <v>-9.0689802970789213E-3</v>
      </c>
      <c r="C821" s="4">
        <v>1.541954985726024E-2</v>
      </c>
      <c r="D821" s="4">
        <v>4.7317258731771616E-4</v>
      </c>
      <c r="E821" s="4">
        <v>4.7921325938848902E-4</v>
      </c>
      <c r="F821" s="4">
        <v>-2.4463396868346088E-4</v>
      </c>
      <c r="G821" s="4">
        <v>1.3673566703296114E-3</v>
      </c>
    </row>
    <row r="822" spans="1:7" x14ac:dyDescent="0.35">
      <c r="A822" s="3">
        <v>42831</v>
      </c>
      <c r="B822" s="4">
        <v>3.6651891417802673E-3</v>
      </c>
      <c r="C822" s="4">
        <v>3.9293277088050527E-3</v>
      </c>
      <c r="D822" s="4">
        <v>4.7856939331381021E-4</v>
      </c>
      <c r="E822" s="4">
        <v>4.4810711636733558E-4</v>
      </c>
      <c r="F822" s="4">
        <v>4.0924590998536736E-3</v>
      </c>
      <c r="G822" s="4">
        <v>5.6272247191557767E-4</v>
      </c>
    </row>
    <row r="823" spans="1:7" x14ac:dyDescent="0.35">
      <c r="A823" s="3">
        <v>42832</v>
      </c>
      <c r="B823" s="4">
        <v>-6.6816897572707923E-5</v>
      </c>
      <c r="C823" s="4">
        <v>-4.6676426539050686E-3</v>
      </c>
      <c r="D823" s="4">
        <v>4.2244642284394729E-4</v>
      </c>
      <c r="E823" s="4">
        <v>4.839597349384217E-4</v>
      </c>
      <c r="F823" s="4">
        <v>1.9988351175836971E-3</v>
      </c>
      <c r="G823" s="4">
        <v>-5.566174466631324E-5</v>
      </c>
    </row>
    <row r="824" spans="1:7" x14ac:dyDescent="0.35">
      <c r="A824" s="3">
        <v>42835</v>
      </c>
      <c r="B824" s="4">
        <v>-7.803533809456753E-3</v>
      </c>
      <c r="C824" s="4">
        <v>-8.9574903648637072E-4</v>
      </c>
      <c r="D824" s="4">
        <v>4.5070815721226509E-4</v>
      </c>
      <c r="E824" s="4">
        <v>5.0642974960513065E-4</v>
      </c>
      <c r="F824" s="4">
        <v>-3.651504035246389E-3</v>
      </c>
      <c r="G824" s="4">
        <v>5.8399508006723444E-4</v>
      </c>
    </row>
    <row r="825" spans="1:7" x14ac:dyDescent="0.35">
      <c r="A825" s="3">
        <v>42836</v>
      </c>
      <c r="B825" s="4">
        <v>-9.2182041106454449E-3</v>
      </c>
      <c r="C825" s="4">
        <v>7.083894247485123E-3</v>
      </c>
      <c r="D825" s="4">
        <v>4.6132490860006925E-4</v>
      </c>
      <c r="E825" s="4">
        <v>3.621915415259469E-4</v>
      </c>
      <c r="F825" s="4">
        <v>-2.0511347184480888E-3</v>
      </c>
      <c r="G825" s="4">
        <v>-5.1372973553287515E-5</v>
      </c>
    </row>
    <row r="826" spans="1:7" x14ac:dyDescent="0.35">
      <c r="A826" s="3">
        <v>42837</v>
      </c>
      <c r="B826" s="4">
        <v>-1.6571193404466777E-2</v>
      </c>
      <c r="C826" s="4">
        <v>-3.9316132401125969E-3</v>
      </c>
      <c r="D826" s="4">
        <v>4.5973619068728766E-4</v>
      </c>
      <c r="E826" s="4">
        <v>4.3288084720116693E-4</v>
      </c>
      <c r="F826" s="4">
        <v>-4.0438416734094318E-3</v>
      </c>
      <c r="G826" s="4">
        <v>4.3046985873718135E-4</v>
      </c>
    </row>
    <row r="827" spans="1:7" x14ac:dyDescent="0.35">
      <c r="A827" s="3">
        <v>42838</v>
      </c>
      <c r="B827" s="4">
        <v>2.3798028639183233E-2</v>
      </c>
      <c r="C827" s="4">
        <v>-1.3094249170590877E-2</v>
      </c>
      <c r="D827" s="4">
        <v>4.3697249590768372E-4</v>
      </c>
      <c r="E827" s="4">
        <v>4.0631360847243059E-4</v>
      </c>
      <c r="F827" s="4">
        <v>-1.4010468451147728E-3</v>
      </c>
      <c r="G827" s="4">
        <v>-2.3321260090058971E-4</v>
      </c>
    </row>
    <row r="828" spans="1:7" x14ac:dyDescent="0.35">
      <c r="A828" s="3">
        <v>42842</v>
      </c>
      <c r="B828" s="4">
        <v>-1.5731299679617727E-3</v>
      </c>
      <c r="C828" s="4">
        <v>2.9700299529473728E-3</v>
      </c>
      <c r="D828" s="4">
        <v>3.9236783127893915E-4</v>
      </c>
      <c r="E828" s="4">
        <v>4.8428817471468655E-4</v>
      </c>
      <c r="F828" s="4">
        <v>-8.2982428792788276E-4</v>
      </c>
      <c r="G828" s="4">
        <v>1.2394887932627441E-3</v>
      </c>
    </row>
    <row r="829" spans="1:7" x14ac:dyDescent="0.35">
      <c r="A829" s="3">
        <v>42843</v>
      </c>
      <c r="B829" s="4">
        <v>-8.9100448961386691E-3</v>
      </c>
      <c r="C829" s="4">
        <v>9.1685210034415654E-3</v>
      </c>
      <c r="D829" s="4">
        <v>3.9208559783343588E-4</v>
      </c>
      <c r="E829" s="4">
        <v>1.7386185267209697E-4</v>
      </c>
      <c r="F829" s="4">
        <v>1.3499150042035613E-3</v>
      </c>
      <c r="G829" s="4">
        <v>1.034101437182855E-4</v>
      </c>
    </row>
    <row r="830" spans="1:7" x14ac:dyDescent="0.35">
      <c r="A830" s="3">
        <v>42844</v>
      </c>
      <c r="B830" s="4">
        <v>5.6039078240550655E-3</v>
      </c>
      <c r="C830" s="4">
        <v>5.2401737386411629E-3</v>
      </c>
      <c r="D830" s="4">
        <v>4.0768732251783568E-4</v>
      </c>
      <c r="E830" s="4">
        <v>3.361285749687859E-4</v>
      </c>
      <c r="F830" s="4">
        <v>2.5192178059834092E-3</v>
      </c>
      <c r="G830" s="4">
        <v>-1.1083321419602665E-4</v>
      </c>
    </row>
    <row r="831" spans="1:7" x14ac:dyDescent="0.35">
      <c r="A831" s="3">
        <v>42845</v>
      </c>
      <c r="B831" s="4">
        <v>7.8335696820830414E-3</v>
      </c>
      <c r="C831" s="4">
        <v>-7.8873026724146644E-3</v>
      </c>
      <c r="D831" s="4">
        <v>4.2877340723190827E-4</v>
      </c>
      <c r="E831" s="4">
        <v>3.9378336784423595E-4</v>
      </c>
      <c r="F831" s="4">
        <v>6.7424751190614529E-4</v>
      </c>
      <c r="G831" s="4">
        <v>2.8509262510678646E-4</v>
      </c>
    </row>
    <row r="832" spans="1:7" x14ac:dyDescent="0.35">
      <c r="A832" s="3">
        <v>42849</v>
      </c>
      <c r="B832" s="4">
        <v>1.3200203846271075E-2</v>
      </c>
      <c r="C832" s="4">
        <v>7.3325891210644922E-3</v>
      </c>
      <c r="D832" s="4">
        <v>5.3601445307061013E-4</v>
      </c>
      <c r="E832" s="4">
        <v>3.5710540390798684E-4</v>
      </c>
      <c r="F832" s="4">
        <v>4.5784450105053054E-3</v>
      </c>
      <c r="G832" s="4">
        <v>8.3424214468319491E-4</v>
      </c>
    </row>
    <row r="833" spans="1:7" x14ac:dyDescent="0.35">
      <c r="A833" s="3">
        <v>42850</v>
      </c>
      <c r="B833" s="4">
        <v>-2.4592474450533253E-3</v>
      </c>
      <c r="C833" s="4">
        <v>9.1881066562078395E-3</v>
      </c>
      <c r="D833" s="4">
        <v>4.5087003819221927E-4</v>
      </c>
      <c r="E833" s="4">
        <v>1.9110138651767805E-4</v>
      </c>
      <c r="F833" s="4">
        <v>-1.6667724609842338E-5</v>
      </c>
      <c r="G833" s="4">
        <v>-7.7735033841319634E-4</v>
      </c>
    </row>
    <row r="834" spans="1:7" x14ac:dyDescent="0.35">
      <c r="A834" s="3">
        <v>42851</v>
      </c>
      <c r="B834" s="4">
        <v>-4.6965795504583241E-4</v>
      </c>
      <c r="C834" s="4">
        <v>-1.829742131835177E-3</v>
      </c>
      <c r="D834" s="4">
        <v>4.2369676138043211E-4</v>
      </c>
      <c r="E834" s="4">
        <v>3.3162020744903487E-4</v>
      </c>
      <c r="F834" s="4">
        <v>-3.2307257383402677E-3</v>
      </c>
      <c r="G834" s="4">
        <v>1.0182291502722762E-3</v>
      </c>
    </row>
    <row r="835" spans="1:7" x14ac:dyDescent="0.35">
      <c r="A835" s="3">
        <v>42852</v>
      </c>
      <c r="B835" s="4">
        <v>1.3843245773924151E-2</v>
      </c>
      <c r="C835" s="4">
        <v>-1.467697230863596E-4</v>
      </c>
      <c r="D835" s="4">
        <v>4.3760525344938017E-4</v>
      </c>
      <c r="E835" s="4">
        <v>4.1687052732730656E-4</v>
      </c>
      <c r="F835" s="4">
        <v>2.7502187319159432E-3</v>
      </c>
      <c r="G835" s="4">
        <v>-1.0294192627945398E-3</v>
      </c>
    </row>
    <row r="836" spans="1:7" x14ac:dyDescent="0.35">
      <c r="A836" s="3">
        <v>42853</v>
      </c>
      <c r="B836" s="4">
        <v>1.8814398778797869E-2</v>
      </c>
      <c r="C836" s="4">
        <v>-8.398212069418709E-3</v>
      </c>
      <c r="D836" s="4">
        <v>4.0707807026052478E-4</v>
      </c>
      <c r="E836" s="4">
        <v>4.7989593149244669E-4</v>
      </c>
      <c r="F836" s="4">
        <v>1.9989680445779978E-3</v>
      </c>
      <c r="G836" s="4">
        <v>-2.0010959143357265E-4</v>
      </c>
    </row>
    <row r="837" spans="1:7" x14ac:dyDescent="0.35">
      <c r="A837" s="3">
        <v>42857</v>
      </c>
      <c r="B837" s="4">
        <v>-4.2032680442281034E-3</v>
      </c>
      <c r="C837" s="4">
        <v>-1.1632405376682531E-4</v>
      </c>
      <c r="D837" s="4">
        <v>3.8393917478196649E-4</v>
      </c>
      <c r="E837" s="4">
        <v>5.7519148271256704E-4</v>
      </c>
      <c r="F837" s="4">
        <v>7.763276695693655E-4</v>
      </c>
      <c r="G837" s="4">
        <v>4.9299187812379408E-4</v>
      </c>
    </row>
    <row r="838" spans="1:7" x14ac:dyDescent="0.35">
      <c r="A838" s="3">
        <v>42858</v>
      </c>
      <c r="B838" s="4">
        <v>-2.1872431210386512E-2</v>
      </c>
      <c r="C838" s="4">
        <v>1.1800156195558964E-2</v>
      </c>
      <c r="D838" s="4">
        <v>4.3487008470033395E-4</v>
      </c>
      <c r="E838" s="4">
        <v>5.2301231418816485E-4</v>
      </c>
      <c r="F838" s="4">
        <v>4.010686501702887E-3</v>
      </c>
      <c r="G838" s="4">
        <v>4.9431835582058881E-4</v>
      </c>
    </row>
    <row r="839" spans="1:7" x14ac:dyDescent="0.35">
      <c r="A839" s="3">
        <v>42859</v>
      </c>
      <c r="B839" s="4">
        <v>1.4657161888464998E-2</v>
      </c>
      <c r="C839" s="4">
        <v>-3.2612602337045438E-3</v>
      </c>
      <c r="D839" s="4">
        <v>4.2481035604580164E-4</v>
      </c>
      <c r="E839" s="4">
        <v>5.3942448695143419E-4</v>
      </c>
      <c r="F839" s="4">
        <v>4.4587295258002868E-4</v>
      </c>
      <c r="G839" s="4">
        <v>1.2534892787028351E-3</v>
      </c>
    </row>
    <row r="840" spans="1:7" x14ac:dyDescent="0.35">
      <c r="A840" s="3">
        <v>42860</v>
      </c>
      <c r="B840" s="4">
        <v>-4.3104889038876326E-3</v>
      </c>
      <c r="C840" s="4">
        <v>6.3558652376305425E-3</v>
      </c>
      <c r="D840" s="4">
        <v>4.0266196307991997E-4</v>
      </c>
      <c r="E840" s="4">
        <v>4.258868086173262E-4</v>
      </c>
      <c r="F840" s="4">
        <v>1.3951523692532497E-3</v>
      </c>
      <c r="G840" s="4">
        <v>1.8752856753256886E-4</v>
      </c>
    </row>
    <row r="841" spans="1:7" x14ac:dyDescent="0.35">
      <c r="A841" s="3">
        <v>42863</v>
      </c>
      <c r="B841" s="4">
        <v>1.0077991613439918E-2</v>
      </c>
      <c r="C841" s="4">
        <v>-3.2710128451213238E-3</v>
      </c>
      <c r="D841" s="4">
        <v>4.1783381026205824E-4</v>
      </c>
      <c r="E841" s="4">
        <v>4.7611490375110144E-4</v>
      </c>
      <c r="F841" s="4">
        <v>3.4855198229699624E-3</v>
      </c>
      <c r="G841" s="4">
        <v>-2.83035701038159E-4</v>
      </c>
    </row>
    <row r="842" spans="1:7" x14ac:dyDescent="0.35">
      <c r="A842" s="3">
        <v>42864</v>
      </c>
      <c r="B842" s="4">
        <v>1.9952403326643608E-2</v>
      </c>
      <c r="C842" s="4">
        <v>-7.7011949869388863E-3</v>
      </c>
      <c r="D842" s="4">
        <v>4.0563949927641119E-4</v>
      </c>
      <c r="E842" s="4">
        <v>4.4175685162173295E-4</v>
      </c>
      <c r="F842" s="4">
        <v>-9.4279745451975039E-4</v>
      </c>
      <c r="G842" s="4">
        <v>-8.1753664063821674E-5</v>
      </c>
    </row>
    <row r="843" spans="1:7" x14ac:dyDescent="0.35">
      <c r="A843" s="3">
        <v>42865</v>
      </c>
      <c r="B843" s="4">
        <v>6.864122595797495E-3</v>
      </c>
      <c r="C843" s="4">
        <v>-3.0310819364106623E-3</v>
      </c>
      <c r="D843" s="4">
        <v>4.6119054593352082E-4</v>
      </c>
      <c r="E843" s="4">
        <v>4.6758954772396777E-4</v>
      </c>
      <c r="F843" s="4">
        <v>9.3813605942916212E-4</v>
      </c>
      <c r="G843" s="4">
        <v>7.9579106810911959E-4</v>
      </c>
    </row>
    <row r="844" spans="1:7" x14ac:dyDescent="0.35">
      <c r="A844" s="3">
        <v>42866</v>
      </c>
      <c r="B844" s="4">
        <v>2.8977705913142415E-3</v>
      </c>
      <c r="C844" s="4">
        <v>-8.9542706849845555E-3</v>
      </c>
      <c r="D844" s="4">
        <v>3.9699195077647076E-4</v>
      </c>
      <c r="E844" s="4">
        <v>4.4359654728842735E-4</v>
      </c>
      <c r="F844" s="4">
        <v>-1.9708988508333469E-3</v>
      </c>
      <c r="G844" s="4">
        <v>1.7492192002492857E-3</v>
      </c>
    </row>
    <row r="845" spans="1:7" x14ac:dyDescent="0.35">
      <c r="A845" s="3">
        <v>42867</v>
      </c>
      <c r="B845" s="4">
        <v>4.9499930668344128E-3</v>
      </c>
      <c r="C845" s="4">
        <v>-6.7023406727929613E-3</v>
      </c>
      <c r="D845" s="4">
        <v>4.0240817081582669E-4</v>
      </c>
      <c r="E845" s="4">
        <v>4.4434342645471858E-4</v>
      </c>
      <c r="F845" s="4">
        <v>2.4696345519263918E-3</v>
      </c>
      <c r="G845" s="4">
        <v>3.6682355183392801E-5</v>
      </c>
    </row>
    <row r="846" spans="1:7" x14ac:dyDescent="0.35">
      <c r="A846" s="3">
        <v>42870</v>
      </c>
      <c r="B846" s="4">
        <v>7.1710671254363589E-3</v>
      </c>
      <c r="C846" s="4">
        <v>-1.4922069643212854E-3</v>
      </c>
      <c r="D846" s="4">
        <v>3.9978208855262487E-4</v>
      </c>
      <c r="E846" s="4">
        <v>4.1919859980010798E-4</v>
      </c>
      <c r="F846" s="4">
        <v>1.0362877947454052E-3</v>
      </c>
      <c r="G846" s="4">
        <v>1.2073073915954691E-3</v>
      </c>
    </row>
    <row r="847" spans="1:7" x14ac:dyDescent="0.35">
      <c r="A847" s="3">
        <v>42871</v>
      </c>
      <c r="B847" s="4">
        <v>-1.58763814652223E-2</v>
      </c>
      <c r="C847" s="4">
        <v>8.7760300782406819E-3</v>
      </c>
      <c r="D847" s="4">
        <v>3.8741583149581871E-4</v>
      </c>
      <c r="E847" s="4">
        <v>6.2193620707273745E-4</v>
      </c>
      <c r="F847" s="4">
        <v>-6.5528318174943312E-3</v>
      </c>
      <c r="G847" s="4">
        <v>1.5433014701571324E-4</v>
      </c>
    </row>
    <row r="848" spans="1:7" x14ac:dyDescent="0.35">
      <c r="A848" s="3">
        <v>42872</v>
      </c>
      <c r="B848" s="4">
        <v>-0.10498036115058318</v>
      </c>
      <c r="C848" s="4">
        <v>6.7181000758964382E-2</v>
      </c>
      <c r="D848" s="4">
        <v>4.3629183816706885E-4</v>
      </c>
      <c r="E848" s="4">
        <v>6.0117384655500317E-4</v>
      </c>
      <c r="F848" s="4">
        <v>-1.0238568200215514E-2</v>
      </c>
      <c r="G848" s="4">
        <v>3.614285643274151E-4</v>
      </c>
    </row>
    <row r="849" spans="1:7" x14ac:dyDescent="0.35">
      <c r="A849" s="3">
        <v>42873</v>
      </c>
      <c r="B849" s="4">
        <v>2.72173114312797E-2</v>
      </c>
      <c r="C849" s="4">
        <v>-2.211922162064861E-2</v>
      </c>
      <c r="D849" s="4">
        <v>8.3774057954300041E-4</v>
      </c>
      <c r="E849" s="4">
        <v>8.3997125474688517E-5</v>
      </c>
      <c r="F849" s="4">
        <v>5.192547106747547E-3</v>
      </c>
      <c r="G849" s="4">
        <v>-6.0144828831143471E-4</v>
      </c>
    </row>
    <row r="850" spans="1:7" x14ac:dyDescent="0.35">
      <c r="A850" s="3">
        <v>42874</v>
      </c>
      <c r="B850" s="4">
        <v>-1.8838554806901664E-2</v>
      </c>
      <c r="C850" s="4">
        <v>6.8493646553757781E-3</v>
      </c>
      <c r="D850" s="4">
        <v>3.9229472007651367E-4</v>
      </c>
      <c r="E850" s="4">
        <v>4.4119454833491112E-4</v>
      </c>
      <c r="F850" s="4">
        <v>-1.2107158865791723E-3</v>
      </c>
      <c r="G850" s="4">
        <v>6.3125966485011453E-4</v>
      </c>
    </row>
    <row r="851" spans="1:7" x14ac:dyDescent="0.35">
      <c r="A851" s="3">
        <v>42877</v>
      </c>
      <c r="B851" s="4">
        <v>1.4925762982449076E-2</v>
      </c>
      <c r="C851" s="4">
        <v>-4.9027098316862805E-3</v>
      </c>
      <c r="D851" s="4">
        <v>5.3434975209976088E-4</v>
      </c>
      <c r="E851" s="4">
        <v>3.6563826293511958E-4</v>
      </c>
      <c r="F851" s="4">
        <v>6.3076450962886721E-3</v>
      </c>
      <c r="G851" s="4">
        <v>-1.0418457380745316E-4</v>
      </c>
    </row>
    <row r="852" spans="1:7" x14ac:dyDescent="0.35">
      <c r="A852" s="3">
        <v>42878</v>
      </c>
      <c r="B852" s="4">
        <v>9.3273340684003614E-3</v>
      </c>
      <c r="C852" s="4">
        <v>4.1134403095210992E-4</v>
      </c>
      <c r="D852" s="4">
        <v>2.2069051719886268E-4</v>
      </c>
      <c r="E852" s="4">
        <v>5.3671149385903227E-4</v>
      </c>
      <c r="F852" s="4">
        <v>1.7427143761037378E-3</v>
      </c>
      <c r="G852" s="4">
        <v>1.1588506691317946E-3</v>
      </c>
    </row>
    <row r="853" spans="1:7" x14ac:dyDescent="0.35">
      <c r="A853" s="3">
        <v>42879</v>
      </c>
      <c r="B853" s="4">
        <v>-4.8317425929856883E-3</v>
      </c>
      <c r="C853" s="4">
        <v>6.3330550409710362E-3</v>
      </c>
      <c r="D853" s="4">
        <v>3.6374414405870859E-4</v>
      </c>
      <c r="E853" s="4">
        <v>5.6709985728442547E-4</v>
      </c>
      <c r="F853" s="4">
        <v>-7.1748910251234754E-4</v>
      </c>
      <c r="G853" s="4">
        <v>9.1469204498184631E-4</v>
      </c>
    </row>
    <row r="854" spans="1:7" x14ac:dyDescent="0.35">
      <c r="A854" s="3">
        <v>42880</v>
      </c>
      <c r="B854" s="4">
        <v>1.0223010518596753E-2</v>
      </c>
      <c r="C854" s="4">
        <v>-9.5711553114511405E-3</v>
      </c>
      <c r="D854" s="4">
        <v>4.3159045207419311E-4</v>
      </c>
      <c r="E854" s="4">
        <v>4.5340668517379612E-4</v>
      </c>
      <c r="F854" s="4">
        <v>6.7398509396321415E-4</v>
      </c>
      <c r="G854" s="4">
        <v>-6.0765568245069179E-4</v>
      </c>
    </row>
    <row r="855" spans="1:7" x14ac:dyDescent="0.35">
      <c r="A855" s="3">
        <v>42881</v>
      </c>
      <c r="B855" s="4">
        <v>-2.7811830476929256E-3</v>
      </c>
      <c r="C855" s="4">
        <v>4.1121865632778309E-3</v>
      </c>
      <c r="D855" s="4">
        <v>3.4412136616812639E-4</v>
      </c>
      <c r="E855" s="4">
        <v>5.3620749630334252E-4</v>
      </c>
      <c r="F855" s="4">
        <v>2.3368468084241645E-3</v>
      </c>
      <c r="G855" s="4">
        <v>3.8161876546527473E-4</v>
      </c>
    </row>
    <row r="856" spans="1:7" x14ac:dyDescent="0.35">
      <c r="A856" s="3">
        <v>42884</v>
      </c>
      <c r="B856" s="4">
        <v>2.8967027881543483E-3</v>
      </c>
      <c r="C856" s="4">
        <v>-2.859389802057577E-3</v>
      </c>
      <c r="D856" s="4">
        <v>3.8424813775717048E-4</v>
      </c>
      <c r="E856" s="4">
        <v>4.1022536094437179E-4</v>
      </c>
      <c r="F856" s="4">
        <v>-3.994199950788091E-3</v>
      </c>
      <c r="G856" s="4">
        <v>-3.7221446015422988E-4</v>
      </c>
    </row>
    <row r="857" spans="1:7" x14ac:dyDescent="0.35">
      <c r="A857" s="3">
        <v>42885</v>
      </c>
      <c r="B857" s="4">
        <v>-1.5745211135385184E-2</v>
      </c>
      <c r="C857" s="4">
        <v>-6.2187416184755762E-3</v>
      </c>
      <c r="D857" s="4">
        <v>4.3433482241739263E-4</v>
      </c>
      <c r="E857" s="4">
        <v>3.4146940259027758E-4</v>
      </c>
      <c r="F857" s="4">
        <v>2.9271557091008482E-3</v>
      </c>
      <c r="G857" s="4">
        <v>7.0151529231154974E-4</v>
      </c>
    </row>
    <row r="858" spans="1:7" x14ac:dyDescent="0.35">
      <c r="A858" s="3">
        <v>42886</v>
      </c>
      <c r="B858" s="4">
        <v>-6.8782524237684939E-3</v>
      </c>
      <c r="C858" s="4">
        <v>3.766886920416157E-3</v>
      </c>
      <c r="D858" s="4">
        <v>4.1425361854008358E-4</v>
      </c>
      <c r="E858" s="4">
        <v>3.5748729853435357E-4</v>
      </c>
      <c r="F858" s="4">
        <v>-2.2433296449568818E-3</v>
      </c>
      <c r="G858" s="4">
        <v>4.7418434357959782E-4</v>
      </c>
    </row>
    <row r="859" spans="1:7" x14ac:dyDescent="0.35">
      <c r="A859" s="3">
        <v>42887</v>
      </c>
      <c r="B859" s="4">
        <v>5.0454035739244674E-3</v>
      </c>
      <c r="C859" s="4">
        <v>5.9075285016341184E-4</v>
      </c>
      <c r="D859" s="4">
        <v>4.4526466477790017E-4</v>
      </c>
      <c r="E859" s="4">
        <v>3.7329927797435936E-4</v>
      </c>
      <c r="F859" s="4">
        <v>-3.5061030213603406E-3</v>
      </c>
      <c r="G859" s="4">
        <v>1.3217286779723114E-3</v>
      </c>
    </row>
    <row r="860" spans="1:7" x14ac:dyDescent="0.35">
      <c r="A860" s="3">
        <v>42888</v>
      </c>
      <c r="B860" s="4">
        <v>-1.8190172274540339E-3</v>
      </c>
      <c r="C860" s="4">
        <v>1.2544170093207629E-2</v>
      </c>
      <c r="D860" s="4">
        <v>4.3525977311209552E-4</v>
      </c>
      <c r="E860" s="4">
        <v>4.2388524810554884E-4</v>
      </c>
      <c r="F860" s="4">
        <v>-1.8468000169733489E-3</v>
      </c>
      <c r="G860" s="4">
        <v>1.3556954414826183E-3</v>
      </c>
    </row>
    <row r="861" spans="1:7" x14ac:dyDescent="0.35">
      <c r="A861" s="3">
        <v>42891</v>
      </c>
      <c r="B861" s="4">
        <v>6.8060008246735304E-3</v>
      </c>
      <c r="C861" s="4">
        <v>-5.2401117010849596E-3</v>
      </c>
      <c r="D861" s="4">
        <v>4.225746914860995E-4</v>
      </c>
      <c r="E861" s="4">
        <v>3.7309656693018667E-4</v>
      </c>
      <c r="F861" s="4">
        <v>4.9440767487474169E-4</v>
      </c>
      <c r="G861" s="4">
        <v>3.7234044428968716E-4</v>
      </c>
    </row>
    <row r="862" spans="1:7" x14ac:dyDescent="0.35">
      <c r="A862" s="3">
        <v>42892</v>
      </c>
      <c r="B862" s="4">
        <v>1.8040599370956478E-3</v>
      </c>
      <c r="C862" s="4">
        <v>4.2485781514756127E-4</v>
      </c>
      <c r="D862" s="4">
        <v>3.6964166879704941E-4</v>
      </c>
      <c r="E862" s="4">
        <v>3.7287412161135514E-4</v>
      </c>
      <c r="F862" s="4">
        <v>2.9139091030327968E-4</v>
      </c>
      <c r="G862" s="4">
        <v>2.9576788612217797E-4</v>
      </c>
    </row>
    <row r="863" spans="1:7" x14ac:dyDescent="0.35">
      <c r="A863" s="3">
        <v>42893</v>
      </c>
      <c r="B863" s="4">
        <v>-7.203207039558901E-3</v>
      </c>
      <c r="C863" s="4">
        <v>-2.4691607515718861E-3</v>
      </c>
      <c r="D863" s="4">
        <v>3.9258080143400598E-4</v>
      </c>
      <c r="E863" s="4">
        <v>3.813128769682983E-4</v>
      </c>
      <c r="F863" s="4">
        <v>6.4731041867527317E-4</v>
      </c>
      <c r="G863" s="4">
        <v>1.1796794545504419E-4</v>
      </c>
    </row>
    <row r="864" spans="1:7" x14ac:dyDescent="0.35">
      <c r="A864" s="3">
        <v>42894</v>
      </c>
      <c r="B864" s="4">
        <v>-9.563759600581867E-3</v>
      </c>
      <c r="C864" s="4">
        <v>5.3666213663188245E-3</v>
      </c>
      <c r="D864" s="4">
        <v>4.2015545376306029E-4</v>
      </c>
      <c r="E864" s="4">
        <v>4.0237797527975516E-4</v>
      </c>
      <c r="F864" s="4">
        <v>3.3583425596761529E-3</v>
      </c>
      <c r="G864" s="4">
        <v>5.0106673146044223E-4</v>
      </c>
    </row>
    <row r="865" spans="1:7" x14ac:dyDescent="0.35">
      <c r="A865" s="3">
        <v>42895</v>
      </c>
      <c r="B865" s="4">
        <v>-3.3757749465129772E-3</v>
      </c>
      <c r="C865" s="4">
        <v>9.4815914506762855E-3</v>
      </c>
      <c r="D865" s="4">
        <v>3.6203298022186026E-4</v>
      </c>
      <c r="E865" s="4">
        <v>4.0695809244883918E-4</v>
      </c>
      <c r="F865" s="4">
        <v>-1.482569827297664E-3</v>
      </c>
      <c r="G865" s="4">
        <v>3.4709469337323995E-4</v>
      </c>
    </row>
    <row r="866" spans="1:7" x14ac:dyDescent="0.35">
      <c r="A866" s="3">
        <v>42898</v>
      </c>
      <c r="B866" s="4">
        <v>5.4690746797620982E-3</v>
      </c>
      <c r="C866" s="4">
        <v>-2.5228098405736255E-3</v>
      </c>
      <c r="D866" s="4">
        <v>3.9779201687717425E-4</v>
      </c>
      <c r="E866" s="4">
        <v>8.393898614265094E-4</v>
      </c>
      <c r="F866" s="4">
        <v>-1.3273021713520183E-3</v>
      </c>
      <c r="G866" s="4">
        <v>1.0205942007508462E-3</v>
      </c>
    </row>
    <row r="867" spans="1:7" x14ac:dyDescent="0.35">
      <c r="A867" s="3">
        <v>42899</v>
      </c>
      <c r="B867" s="4">
        <v>-2.6633857807852879E-3</v>
      </c>
      <c r="C867" s="4">
        <v>-7.8136679111929785E-3</v>
      </c>
      <c r="D867" s="4">
        <v>4.2113743755667343E-4</v>
      </c>
      <c r="E867" s="4">
        <v>5.2238646216751228E-4</v>
      </c>
      <c r="F867" s="4">
        <v>-3.7255304005647805E-3</v>
      </c>
      <c r="G867" s="4">
        <v>1.2281244566108018E-3</v>
      </c>
    </row>
    <row r="868" spans="1:7" x14ac:dyDescent="0.35">
      <c r="A868" s="3">
        <v>42900</v>
      </c>
      <c r="B868" s="4">
        <v>-3.9137836608715837E-3</v>
      </c>
      <c r="C868" s="4">
        <v>1.0227714413579836E-3</v>
      </c>
      <c r="D868" s="4">
        <v>3.9448404399311521E-4</v>
      </c>
      <c r="E868" s="4">
        <v>6.0390866103188223E-4</v>
      </c>
      <c r="F868" s="4">
        <v>3.9936732170584577E-3</v>
      </c>
      <c r="G868" s="4">
        <v>9.5901215026583664E-4</v>
      </c>
    </row>
    <row r="869" spans="1:7" x14ac:dyDescent="0.35">
      <c r="A869" s="3">
        <v>42902</v>
      </c>
      <c r="B869" s="4">
        <v>5.1570971489089956E-4</v>
      </c>
      <c r="C869" s="4">
        <v>1.0900383035474803E-3</v>
      </c>
      <c r="D869" s="4">
        <v>3.614835657157478E-4</v>
      </c>
      <c r="E869" s="4">
        <v>1.392679333451774E-4</v>
      </c>
      <c r="F869" s="4">
        <v>4.8259750713695038E-3</v>
      </c>
      <c r="G869" s="4">
        <v>-3.4243946662049218E-4</v>
      </c>
    </row>
    <row r="870" spans="1:7" x14ac:dyDescent="0.35">
      <c r="A870" s="3">
        <v>42905</v>
      </c>
      <c r="B870" s="4">
        <v>-1.8068230938496632E-2</v>
      </c>
      <c r="C870" s="4">
        <v>1.271205613863069E-2</v>
      </c>
      <c r="D870" s="4">
        <v>3.7393192507084727E-4</v>
      </c>
      <c r="E870" s="4">
        <v>4.2645577325761685E-4</v>
      </c>
      <c r="F870" s="4">
        <v>-2.1729567026584906E-3</v>
      </c>
      <c r="G870" s="4">
        <v>8.3767944473045475E-4</v>
      </c>
    </row>
    <row r="871" spans="1:7" x14ac:dyDescent="0.35">
      <c r="A871" s="3">
        <v>42906</v>
      </c>
      <c r="B871" s="4">
        <v>-3.4513128767110768E-3</v>
      </c>
      <c r="C871" s="4">
        <v>-6.3764024816026499E-4</v>
      </c>
      <c r="D871" s="4">
        <v>4.3943835537851861E-4</v>
      </c>
      <c r="E871" s="4">
        <v>4.680498771998387E-4</v>
      </c>
      <c r="F871" s="4">
        <v>1.4665045813877509E-3</v>
      </c>
      <c r="G871" s="4">
        <v>4.8916332914328287E-4</v>
      </c>
    </row>
    <row r="872" spans="1:7" x14ac:dyDescent="0.35">
      <c r="A872" s="3">
        <v>42907</v>
      </c>
      <c r="B872" s="4">
        <v>8.4690930370006079E-3</v>
      </c>
      <c r="C872" s="4">
        <v>4.5959379409588053E-4</v>
      </c>
      <c r="D872" s="4">
        <v>3.8367523866789099E-4</v>
      </c>
      <c r="E872" s="4">
        <v>4.5007833768018202E-4</v>
      </c>
      <c r="F872" s="4">
        <v>-9.9435415621140777E-4</v>
      </c>
      <c r="G872" s="4">
        <v>3.1766581628622781E-4</v>
      </c>
    </row>
    <row r="873" spans="1:7" x14ac:dyDescent="0.35">
      <c r="A873" s="3">
        <v>42908</v>
      </c>
      <c r="B873" s="4">
        <v>-7.1408540549189325E-4</v>
      </c>
      <c r="C873" s="4">
        <v>2.6909917510722359E-3</v>
      </c>
      <c r="D873" s="4">
        <v>4.3120328178436473E-4</v>
      </c>
      <c r="E873" s="4">
        <v>4.3513708273024143E-4</v>
      </c>
      <c r="F873" s="4">
        <v>6.4193174779014761E-4</v>
      </c>
      <c r="G873" s="4">
        <v>2.3437082017796484E-5</v>
      </c>
    </row>
    <row r="874" spans="1:7" x14ac:dyDescent="0.35">
      <c r="A874" s="3">
        <v>42909</v>
      </c>
      <c r="B874" s="4">
        <v>2.0434047274020539E-2</v>
      </c>
      <c r="C874" s="4">
        <v>-1.1544885398126037E-2</v>
      </c>
      <c r="D874" s="4">
        <v>4.0262141316205202E-4</v>
      </c>
      <c r="E874" s="4">
        <v>9.0621026842208074E-4</v>
      </c>
      <c r="F874" s="4">
        <v>-4.5619105136573967E-4</v>
      </c>
      <c r="G874" s="4">
        <v>7.3432027101927311E-4</v>
      </c>
    </row>
    <row r="875" spans="1:7" x14ac:dyDescent="0.35">
      <c r="A875" s="3">
        <v>42912</v>
      </c>
      <c r="B875" s="4">
        <v>-8.9231657658895847E-3</v>
      </c>
      <c r="C875" s="4">
        <v>7.7620669990823288E-3</v>
      </c>
      <c r="D875" s="4">
        <v>3.9945591357071208E-4</v>
      </c>
      <c r="E875" s="4">
        <v>4.2113367184271056E-4</v>
      </c>
      <c r="F875" s="4">
        <v>6.4926828958939975E-3</v>
      </c>
      <c r="G875" s="4">
        <v>7.5914579165137219E-4</v>
      </c>
    </row>
    <row r="876" spans="1:7" x14ac:dyDescent="0.35">
      <c r="A876" s="3">
        <v>42913</v>
      </c>
      <c r="B876" s="4">
        <v>5.8939776338420291E-3</v>
      </c>
      <c r="C876" s="4">
        <v>-1.1212304804509299E-2</v>
      </c>
      <c r="D876" s="4">
        <v>3.9534967102183849E-4</v>
      </c>
      <c r="E876" s="4">
        <v>3.6705235359768551E-4</v>
      </c>
      <c r="F876" s="4">
        <v>2.0576934494780375E-3</v>
      </c>
      <c r="G876" s="4">
        <v>-2.2841640811033237E-4</v>
      </c>
    </row>
    <row r="877" spans="1:7" x14ac:dyDescent="0.35">
      <c r="A877" s="3">
        <v>42914</v>
      </c>
      <c r="B877" s="4">
        <v>2.0495710010908219E-3</v>
      </c>
      <c r="C877" s="4">
        <v>4.5913241256712034E-3</v>
      </c>
      <c r="D877" s="4">
        <v>3.674287277815047E-4</v>
      </c>
      <c r="E877" s="4">
        <v>4.686508445161941E-5</v>
      </c>
      <c r="F877" s="4">
        <v>3.1856445389020216E-3</v>
      </c>
      <c r="G877" s="4">
        <v>4.6086866422134776E-4</v>
      </c>
    </row>
    <row r="878" spans="1:7" x14ac:dyDescent="0.35">
      <c r="A878" s="3">
        <v>42915</v>
      </c>
      <c r="B878" s="4">
        <v>1.0762575616675152E-2</v>
      </c>
      <c r="C878" s="4">
        <v>9.3001250498403465E-4</v>
      </c>
      <c r="D878" s="4">
        <v>4.1886805315050069E-4</v>
      </c>
      <c r="E878" s="4">
        <v>2.7522339816199448E-4</v>
      </c>
      <c r="F878" s="4">
        <v>3.4413913005186814E-3</v>
      </c>
      <c r="G878" s="4">
        <v>7.9382000167926847E-4</v>
      </c>
    </row>
    <row r="879" spans="1:7" x14ac:dyDescent="0.35">
      <c r="A879" s="3">
        <v>42916</v>
      </c>
      <c r="B879" s="4">
        <v>2.8618083653151327E-3</v>
      </c>
      <c r="C879" s="4">
        <v>-2.5213139238298155E-3</v>
      </c>
      <c r="D879" s="4">
        <v>4.215441046584445E-4</v>
      </c>
      <c r="E879" s="4">
        <v>3.392023285533341E-4</v>
      </c>
      <c r="F879" s="4">
        <v>5.0396759917137324E-3</v>
      </c>
      <c r="G879" s="4">
        <v>2.5463110859580418E-4</v>
      </c>
    </row>
    <row r="880" spans="1:7" x14ac:dyDescent="0.35">
      <c r="A880" s="3">
        <v>42919</v>
      </c>
      <c r="B880" s="4">
        <v>-2.8800614656609991E-4</v>
      </c>
      <c r="C880" s="4">
        <v>3.6049791889636307E-3</v>
      </c>
      <c r="D880" s="4">
        <v>3.6964178460929809E-4</v>
      </c>
      <c r="E880" s="4">
        <v>3.7352652436251077E-4</v>
      </c>
      <c r="F880" s="4">
        <v>6.401122282033711E-4</v>
      </c>
      <c r="G880" s="4">
        <v>3.6916347338533662E-4</v>
      </c>
    </row>
    <row r="881" spans="1:7" x14ac:dyDescent="0.35">
      <c r="A881" s="3">
        <v>42920</v>
      </c>
      <c r="B881" s="4">
        <v>3.7782065256455333E-3</v>
      </c>
      <c r="C881" s="4">
        <v>-3.6583843650354053E-3</v>
      </c>
      <c r="D881" s="4">
        <v>3.8991096602258857E-4</v>
      </c>
      <c r="E881" s="4">
        <v>4.1337705909261224E-4</v>
      </c>
      <c r="F881" s="4">
        <v>6.2839537252878941E-4</v>
      </c>
      <c r="G881" s="4">
        <v>5.0153667097441179E-4</v>
      </c>
    </row>
    <row r="882" spans="1:7" x14ac:dyDescent="0.35">
      <c r="A882" s="3">
        <v>42921</v>
      </c>
      <c r="B882" s="4">
        <v>-5.8442085495862273E-3</v>
      </c>
      <c r="C882" s="4">
        <v>1.3799304774386734E-3</v>
      </c>
      <c r="D882" s="4">
        <v>3.8058783539907104E-4</v>
      </c>
      <c r="E882" s="4">
        <v>4.453396626376005E-4</v>
      </c>
      <c r="F882" s="4">
        <v>5.9578302457061749E-3</v>
      </c>
      <c r="G882" s="4">
        <v>1.5258437867871066E-5</v>
      </c>
    </row>
    <row r="883" spans="1:7" x14ac:dyDescent="0.35">
      <c r="A883" s="3">
        <v>42922</v>
      </c>
      <c r="B883" s="4">
        <v>-3.5724087247382963E-3</v>
      </c>
      <c r="C883" s="4">
        <v>-6.1137902490605578E-3</v>
      </c>
      <c r="D883" s="4">
        <v>3.7831647036923322E-4</v>
      </c>
      <c r="E883" s="4">
        <v>4.3725246808445917E-4</v>
      </c>
      <c r="F883" s="4">
        <v>1.9958967432343044E-4</v>
      </c>
      <c r="G883" s="4">
        <v>4.8154098101349518E-4</v>
      </c>
    </row>
    <row r="884" spans="1:7" x14ac:dyDescent="0.35">
      <c r="A884" s="3">
        <v>42923</v>
      </c>
      <c r="B884" s="4">
        <v>1.0454770011711911E-2</v>
      </c>
      <c r="C884" s="4">
        <v>-5.2610283697747118E-3</v>
      </c>
      <c r="D884" s="4">
        <v>3.9459256655449693E-4</v>
      </c>
      <c r="E884" s="4">
        <v>3.9607184108980675E-4</v>
      </c>
      <c r="F884" s="4">
        <v>-2.4779218817320148E-3</v>
      </c>
      <c r="G884" s="4">
        <v>-8.6257087970331714E-4</v>
      </c>
    </row>
    <row r="885" spans="1:7" x14ac:dyDescent="0.35">
      <c r="A885" s="3">
        <v>42926</v>
      </c>
      <c r="B885" s="4">
        <v>1.1056718923179165E-2</v>
      </c>
      <c r="C885" s="4">
        <v>-3.2456900183315263E-3</v>
      </c>
      <c r="D885" s="4">
        <v>3.685971972955393E-4</v>
      </c>
      <c r="E885" s="4">
        <v>4.1472427039868087E-4</v>
      </c>
      <c r="F885" s="4">
        <v>1.0583067345970587E-3</v>
      </c>
      <c r="G885" s="4">
        <v>2.8066547899219252E-4</v>
      </c>
    </row>
    <row r="886" spans="1:7" x14ac:dyDescent="0.35">
      <c r="A886" s="3">
        <v>42927</v>
      </c>
      <c r="B886" s="4">
        <v>1.6729094623243013E-2</v>
      </c>
      <c r="C886" s="4">
        <v>-1.2046107048573007E-2</v>
      </c>
      <c r="D886" s="4">
        <v>3.8744463690609798E-4</v>
      </c>
      <c r="E886" s="4">
        <v>4.5138710707881557E-4</v>
      </c>
      <c r="F886" s="4">
        <v>-1.9638072245280469E-3</v>
      </c>
      <c r="G886" s="4">
        <v>1.2676795037007693E-3</v>
      </c>
    </row>
    <row r="887" spans="1:7" x14ac:dyDescent="0.35">
      <c r="A887" s="3">
        <v>42928</v>
      </c>
      <c r="B887" s="4">
        <v>2.2366952409687002E-3</v>
      </c>
      <c r="C887" s="4">
        <v>-1.0107014520125412E-3</v>
      </c>
      <c r="D887" s="4">
        <v>3.539627912554355E-4</v>
      </c>
      <c r="E887" s="4">
        <v>4.0544209959669786E-4</v>
      </c>
      <c r="F887" s="4">
        <v>3.3978320934480166E-4</v>
      </c>
      <c r="G887" s="4">
        <v>-5.6159407841660514E-4</v>
      </c>
    </row>
    <row r="888" spans="1:7" x14ac:dyDescent="0.35">
      <c r="A888" s="3">
        <v>42929</v>
      </c>
      <c r="B888" s="4">
        <v>3.0205331417341164E-3</v>
      </c>
      <c r="C888" s="4">
        <v>-8.6718303963723153E-3</v>
      </c>
      <c r="D888" s="4">
        <v>3.8942382363815753E-4</v>
      </c>
      <c r="E888" s="4">
        <v>6.913998652100517E-4</v>
      </c>
      <c r="F888" s="4">
        <v>9.7247409611589397E-4</v>
      </c>
      <c r="G888" s="4">
        <v>8.2476442486822954E-4</v>
      </c>
    </row>
    <row r="889" spans="1:7" x14ac:dyDescent="0.35">
      <c r="A889" s="3">
        <v>42930</v>
      </c>
      <c r="B889" s="4">
        <v>-1.7935516109582883E-3</v>
      </c>
      <c r="C889" s="4">
        <v>-2.3224063144322571E-4</v>
      </c>
      <c r="D889" s="4">
        <v>3.6302540530552818E-4</v>
      </c>
      <c r="E889" s="4">
        <v>3.5884695102272879E-4</v>
      </c>
      <c r="F889" s="4">
        <v>1.2079125823349912E-3</v>
      </c>
      <c r="G889" s="4">
        <v>4.5160998703264177E-4</v>
      </c>
    </row>
    <row r="890" spans="1:7" x14ac:dyDescent="0.35">
      <c r="A890" s="3">
        <v>42933</v>
      </c>
      <c r="B890" s="4">
        <v>-1.3339946757103816E-3</v>
      </c>
      <c r="C890" s="4">
        <v>-6.8472679546248694E-3</v>
      </c>
      <c r="D890" s="4">
        <v>3.60247179683304E-4</v>
      </c>
      <c r="E890" s="4">
        <v>3.8246543263653621E-4</v>
      </c>
      <c r="F890" s="4">
        <v>-1.5189438732903238E-3</v>
      </c>
      <c r="G890" s="4">
        <v>-4.2802225944960082E-4</v>
      </c>
    </row>
    <row r="891" spans="1:7" x14ac:dyDescent="0.35">
      <c r="A891" s="3">
        <v>42934</v>
      </c>
      <c r="B891" s="4">
        <v>1.3590238697547274E-3</v>
      </c>
      <c r="C891" s="4">
        <v>-3.2122612428111541E-3</v>
      </c>
      <c r="D891" s="4">
        <v>3.6876436735466811E-4</v>
      </c>
      <c r="E891" s="4">
        <v>4.1279748343714395E-4</v>
      </c>
      <c r="F891" s="4">
        <v>1.8983176730449358E-3</v>
      </c>
      <c r="G891" s="4">
        <v>-2.9560015743390622E-5</v>
      </c>
    </row>
    <row r="892" spans="1:7" x14ac:dyDescent="0.35">
      <c r="A892" s="3">
        <v>42935</v>
      </c>
      <c r="B892" s="4">
        <v>-1.0146902655716605E-3</v>
      </c>
      <c r="C892" s="4">
        <v>-5.4705264721542912E-3</v>
      </c>
      <c r="D892" s="4">
        <v>3.5650040003809558E-4</v>
      </c>
      <c r="E892" s="4">
        <v>2.9954786745722828E-4</v>
      </c>
      <c r="F892" s="4">
        <v>3.3055931814103268E-3</v>
      </c>
      <c r="G892" s="4">
        <v>1.9220980941536681E-4</v>
      </c>
    </row>
    <row r="893" spans="1:7" x14ac:dyDescent="0.35">
      <c r="A893" s="3">
        <v>42936</v>
      </c>
      <c r="B893" s="4">
        <v>-3.9108878890704579E-3</v>
      </c>
      <c r="C893" s="4">
        <v>2.5121960007550292E-3</v>
      </c>
      <c r="D893" s="4">
        <v>3.9213950646965756E-4</v>
      </c>
      <c r="E893" s="4">
        <v>3.9452485928714864E-4</v>
      </c>
      <c r="F893" s="4">
        <v>-1.3719151626496728E-3</v>
      </c>
      <c r="G893" s="4">
        <v>5.9212250533779986E-4</v>
      </c>
    </row>
    <row r="894" spans="1:7" x14ac:dyDescent="0.35">
      <c r="A894" s="3">
        <v>42937</v>
      </c>
      <c r="B894" s="4">
        <v>1.0310260809122118E-2</v>
      </c>
      <c r="C894" s="4">
        <v>2.4131312997484056E-3</v>
      </c>
      <c r="D894" s="4">
        <v>3.905135760020606E-4</v>
      </c>
      <c r="E894" s="4">
        <v>3.9453606090211757E-4</v>
      </c>
      <c r="F894" s="4">
        <v>-9.5418456906293247E-4</v>
      </c>
      <c r="G894" s="4">
        <v>4.7608975894819494E-4</v>
      </c>
    </row>
    <row r="895" spans="1:7" x14ac:dyDescent="0.35">
      <c r="A895" s="3">
        <v>42940</v>
      </c>
      <c r="B895" s="4">
        <v>5.6248386639881076E-3</v>
      </c>
      <c r="C895" s="4">
        <v>6.3804444308426245E-3</v>
      </c>
      <c r="D895" s="4">
        <v>3.7553740084717013E-4</v>
      </c>
      <c r="E895" s="4">
        <v>4.0978605449937255E-4</v>
      </c>
      <c r="F895" s="4">
        <v>4.607884175796606E-3</v>
      </c>
      <c r="G895" s="4">
        <v>1.0051897208187555E-3</v>
      </c>
    </row>
    <row r="896" spans="1:7" x14ac:dyDescent="0.35">
      <c r="A896" s="3">
        <v>42941</v>
      </c>
      <c r="B896" s="4">
        <v>-1.2792517910975576E-2</v>
      </c>
      <c r="C896" s="4">
        <v>-5.751617633234285E-3</v>
      </c>
      <c r="D896" s="4">
        <v>3.9451395779144249E-4</v>
      </c>
      <c r="E896" s="4">
        <v>4.3493873997957344E-4</v>
      </c>
      <c r="F896" s="4">
        <v>-2.3943950970281014E-3</v>
      </c>
      <c r="G896" s="4">
        <v>-1.7905157540998307E-4</v>
      </c>
    </row>
    <row r="897" spans="1:7" x14ac:dyDescent="0.35">
      <c r="A897" s="3">
        <v>42942</v>
      </c>
      <c r="B897" s="4">
        <v>3.7792045431939147E-3</v>
      </c>
      <c r="C897" s="4">
        <v>2.6515970148031087E-3</v>
      </c>
      <c r="D897" s="4">
        <v>3.7836019847992119E-4</v>
      </c>
      <c r="E897" s="4">
        <v>4.0675663721367883E-4</v>
      </c>
      <c r="F897" s="4">
        <v>5.6512487798145994E-3</v>
      </c>
      <c r="G897" s="4">
        <v>1.4741431125881999E-3</v>
      </c>
    </row>
    <row r="898" spans="1:7" x14ac:dyDescent="0.35">
      <c r="A898" s="3">
        <v>42943</v>
      </c>
      <c r="B898" s="4">
        <v>6.8500298844842433E-4</v>
      </c>
      <c r="C898" s="4">
        <v>-5.3406880380678645E-3</v>
      </c>
      <c r="D898" s="4">
        <v>3.155360672788543E-4</v>
      </c>
      <c r="E898" s="4">
        <v>2.2373770796679793E-4</v>
      </c>
      <c r="F898" s="4">
        <v>3.9197528782215496E-3</v>
      </c>
      <c r="G898" s="4">
        <v>-6.0751148304571956E-4</v>
      </c>
    </row>
    <row r="899" spans="1:7" x14ac:dyDescent="0.35">
      <c r="A899" s="3">
        <v>42944</v>
      </c>
      <c r="B899" s="4">
        <v>2.9530724199384739E-3</v>
      </c>
      <c r="C899" s="4">
        <v>-7.0103903327072281E-3</v>
      </c>
      <c r="D899" s="4">
        <v>3.3908537854654419E-4</v>
      </c>
      <c r="E899" s="4">
        <v>3.2741388734724985E-4</v>
      </c>
      <c r="F899" s="4">
        <v>3.2614289673302821E-3</v>
      </c>
      <c r="G899" s="4">
        <v>1.1256214806050213E-3</v>
      </c>
    </row>
    <row r="900" spans="1:7" x14ac:dyDescent="0.35">
      <c r="A900" s="3">
        <v>42947</v>
      </c>
      <c r="B900" s="4">
        <v>5.7232613123010534E-3</v>
      </c>
      <c r="C900" s="4">
        <v>4.3498535146491157E-4</v>
      </c>
      <c r="D900" s="4">
        <v>3.421871742932403E-4</v>
      </c>
      <c r="E900" s="4">
        <v>5.6209625670944341E-4</v>
      </c>
      <c r="F900" s="4">
        <v>-1.8220142244205206E-3</v>
      </c>
      <c r="G900" s="4">
        <v>-6.9456959496949633E-4</v>
      </c>
    </row>
    <row r="901" spans="1:7" x14ac:dyDescent="0.35">
      <c r="A901" s="3">
        <v>42948</v>
      </c>
      <c r="B901" s="4">
        <v>1.5902220513361653E-2</v>
      </c>
      <c r="C901" s="4">
        <v>-3.8986476039548634E-4</v>
      </c>
      <c r="D901" s="4">
        <v>3.4356257682754965E-4</v>
      </c>
      <c r="E901" s="4">
        <v>3.6549330631796551E-4</v>
      </c>
      <c r="F901" s="4">
        <v>2.5131193388205908E-3</v>
      </c>
      <c r="G901" s="4">
        <v>1.1730055275660511E-4</v>
      </c>
    </row>
    <row r="902" spans="1:7" x14ac:dyDescent="0.35">
      <c r="A902" s="3">
        <v>42949</v>
      </c>
      <c r="B902" s="4">
        <v>-3.2570112209820978E-3</v>
      </c>
      <c r="C902" s="4">
        <v>9.5886223561181261E-4</v>
      </c>
      <c r="D902" s="4">
        <v>3.3351401861736463E-4</v>
      </c>
      <c r="E902" s="4">
        <v>3.5671182362206899E-4</v>
      </c>
      <c r="F902" s="4">
        <v>3.2779359307499867E-4</v>
      </c>
      <c r="G902" s="4">
        <v>1.1590097990041848E-3</v>
      </c>
    </row>
    <row r="903" spans="1:7" x14ac:dyDescent="0.35">
      <c r="A903" s="3">
        <v>42950</v>
      </c>
      <c r="B903" s="4">
        <v>2.1845818630295E-3</v>
      </c>
      <c r="C903" s="4">
        <v>1.7101254760192308E-3</v>
      </c>
      <c r="D903" s="4">
        <v>3.2456396421798317E-4</v>
      </c>
      <c r="E903" s="4">
        <v>3.2566451941429264E-4</v>
      </c>
      <c r="F903" s="4">
        <v>-1.8220736396890036E-3</v>
      </c>
      <c r="G903" s="4">
        <v>4.3795494309528671E-4</v>
      </c>
    </row>
    <row r="904" spans="1:7" x14ac:dyDescent="0.35">
      <c r="A904" s="3">
        <v>42951</v>
      </c>
      <c r="B904" s="4">
        <v>1.4369657583563011E-2</v>
      </c>
      <c r="C904" s="4">
        <v>-1.0598576797805626E-3</v>
      </c>
      <c r="D904" s="4">
        <v>3.306810104626301E-4</v>
      </c>
      <c r="E904" s="4">
        <v>3.8905548694168068E-4</v>
      </c>
      <c r="F904" s="4">
        <v>-2.0166260584969509E-3</v>
      </c>
      <c r="G904" s="4">
        <v>2.2856429664908084E-4</v>
      </c>
    </row>
    <row r="905" spans="1:7" x14ac:dyDescent="0.35">
      <c r="A905" s="3">
        <v>42954</v>
      </c>
      <c r="B905" s="4">
        <v>-3.6596572952840578E-4</v>
      </c>
      <c r="C905" s="4">
        <v>1.3073188990797568E-4</v>
      </c>
      <c r="D905" s="4">
        <v>3.8558075264893965E-4</v>
      </c>
      <c r="E905" s="4">
        <v>3.7269045652355004E-4</v>
      </c>
      <c r="F905" s="4">
        <v>1.1319487175842635E-3</v>
      </c>
      <c r="G905" s="4">
        <v>9.7276601804474616E-4</v>
      </c>
    </row>
    <row r="906" spans="1:7" x14ac:dyDescent="0.35">
      <c r="A906" s="3">
        <v>42955</v>
      </c>
      <c r="B906" s="4">
        <v>-7.0071977296466414E-3</v>
      </c>
      <c r="C906" s="4">
        <v>8.8618951259880063E-3</v>
      </c>
      <c r="D906" s="4">
        <v>3.4978871822954893E-4</v>
      </c>
      <c r="E906" s="4">
        <v>3.2426222908665814E-4</v>
      </c>
      <c r="F906" s="4">
        <v>-4.665627736912592E-3</v>
      </c>
      <c r="G906" s="4">
        <v>9.1439333125786781E-4</v>
      </c>
    </row>
    <row r="907" spans="1:7" x14ac:dyDescent="0.35">
      <c r="A907" s="3">
        <v>42956</v>
      </c>
      <c r="B907" s="4">
        <v>-7.7640512828527353E-3</v>
      </c>
      <c r="C907" s="4">
        <v>4.5861167911720457E-3</v>
      </c>
      <c r="D907" s="4">
        <v>3.5945113219471025E-4</v>
      </c>
      <c r="E907" s="4">
        <v>5.0938851840132138E-4</v>
      </c>
      <c r="F907" s="4">
        <v>-5.7296125271644183E-4</v>
      </c>
      <c r="G907" s="4">
        <v>1.1280027646183299E-3</v>
      </c>
    </row>
    <row r="908" spans="1:7" x14ac:dyDescent="0.35">
      <c r="A908" s="3">
        <v>42957</v>
      </c>
      <c r="B908" s="4">
        <v>6.9874218478842565E-3</v>
      </c>
      <c r="C908" s="4">
        <v>5.2382734742240089E-4</v>
      </c>
      <c r="D908" s="4">
        <v>3.6553749988876838E-4</v>
      </c>
      <c r="E908" s="4">
        <v>3.2155653489551739E-4</v>
      </c>
      <c r="F908" s="4">
        <v>-8.4442702473896958E-4</v>
      </c>
      <c r="G908" s="4">
        <v>4.0503210097342368E-4</v>
      </c>
    </row>
    <row r="909" spans="1:7" x14ac:dyDescent="0.35">
      <c r="A909" s="3">
        <v>42958</v>
      </c>
      <c r="B909" s="4">
        <v>1.2471443154211448E-2</v>
      </c>
      <c r="C909" s="4">
        <v>6.2484172618715306E-3</v>
      </c>
      <c r="D909" s="4">
        <v>3.45081636563771E-4</v>
      </c>
      <c r="E909" s="4">
        <v>3.467141187074585E-4</v>
      </c>
      <c r="F909" s="4">
        <v>1.1141525431843657E-3</v>
      </c>
      <c r="G909" s="4">
        <v>1.4057134114286995E-5</v>
      </c>
    </row>
    <row r="910" spans="1:7" x14ac:dyDescent="0.35">
      <c r="A910" s="3">
        <v>42961</v>
      </c>
      <c r="B910" s="4">
        <v>1.9015703514901894E-4</v>
      </c>
      <c r="C910" s="4">
        <v>1.4365673593701445E-3</v>
      </c>
      <c r="D910" s="4">
        <v>3.2630791231502698E-4</v>
      </c>
      <c r="E910" s="4">
        <v>3.7053214620685893E-4</v>
      </c>
      <c r="F910" s="4">
        <v>2.600925052975267E-3</v>
      </c>
      <c r="G910" s="4">
        <v>-2.1896051387781945E-4</v>
      </c>
    </row>
    <row r="911" spans="1:7" x14ac:dyDescent="0.35">
      <c r="A911" s="3">
        <v>42962</v>
      </c>
      <c r="B911" s="4">
        <v>3.227620257818975E-3</v>
      </c>
      <c r="C911" s="4">
        <v>-1.1089632223052814E-2</v>
      </c>
      <c r="D911" s="4">
        <v>3.2760492327810198E-4</v>
      </c>
      <c r="E911" s="4">
        <v>3.5934336448528725E-4</v>
      </c>
      <c r="F911" s="4">
        <v>1.1671473740553218E-3</v>
      </c>
      <c r="G911" s="4">
        <v>-1.9889120001879146E-3</v>
      </c>
    </row>
    <row r="912" spans="1:7" x14ac:dyDescent="0.35">
      <c r="A912" s="3">
        <v>42963</v>
      </c>
      <c r="B912" s="4">
        <v>-3.5456884204765338E-3</v>
      </c>
      <c r="C912" s="4">
        <v>6.4742319497490541E-3</v>
      </c>
      <c r="D912" s="4">
        <v>3.4944035966333331E-4</v>
      </c>
      <c r="E912" s="4">
        <v>3.6088727512417762E-4</v>
      </c>
      <c r="F912" s="4">
        <v>-2.9154040760045463E-3</v>
      </c>
      <c r="G912" s="4">
        <v>1.8507524732040981E-3</v>
      </c>
    </row>
    <row r="913" spans="1:7" x14ac:dyDescent="0.35">
      <c r="A913" s="3">
        <v>42964</v>
      </c>
      <c r="B913" s="4">
        <v>1.381583608002912E-2</v>
      </c>
      <c r="C913" s="4">
        <v>-8.6905930446820046E-3</v>
      </c>
      <c r="D913" s="4">
        <v>3.8834236593032756E-4</v>
      </c>
      <c r="E913" s="4">
        <v>3.9249521776807406E-4</v>
      </c>
      <c r="F913" s="4">
        <v>1.7110233992612134E-3</v>
      </c>
      <c r="G913" s="4">
        <v>6.4835476264701875E-4</v>
      </c>
    </row>
    <row r="914" spans="1:7" x14ac:dyDescent="0.35">
      <c r="A914" s="3">
        <v>42965</v>
      </c>
      <c r="B914" s="4">
        <v>-9.2449355544121925E-4</v>
      </c>
      <c r="C914" s="4">
        <v>6.4043588170215049E-3</v>
      </c>
      <c r="D914" s="4">
        <v>3.2528898658745753E-4</v>
      </c>
      <c r="E914" s="4">
        <v>3.9254464511540021E-4</v>
      </c>
      <c r="F914" s="4">
        <v>-8.1002436133514877E-4</v>
      </c>
      <c r="G914" s="4">
        <v>-5.4912705954657248E-4</v>
      </c>
    </row>
    <row r="915" spans="1:7" x14ac:dyDescent="0.35">
      <c r="A915" s="3">
        <v>42968</v>
      </c>
      <c r="B915" s="4">
        <v>1.7430233223075131E-2</v>
      </c>
      <c r="C915" s="4">
        <v>-9.7763688618779376E-4</v>
      </c>
      <c r="D915" s="4">
        <v>3.7585398693251726E-4</v>
      </c>
      <c r="E915" s="4">
        <v>3.387768436440286E-4</v>
      </c>
      <c r="F915" s="4">
        <v>1.0104066682379287E-3</v>
      </c>
      <c r="G915" s="4">
        <v>2.3791904269598874E-4</v>
      </c>
    </row>
    <row r="916" spans="1:7" x14ac:dyDescent="0.35">
      <c r="A916" s="3">
        <v>42969</v>
      </c>
      <c r="B916" s="4">
        <v>1.2379868659619486E-2</v>
      </c>
      <c r="C916" s="4">
        <v>-7.7479025339565188E-3</v>
      </c>
      <c r="D916" s="4">
        <v>3.2178735332122343E-4</v>
      </c>
      <c r="E916" s="4">
        <v>2.6416423751873808E-4</v>
      </c>
      <c r="F916" s="4">
        <v>1.3600784148222189E-3</v>
      </c>
      <c r="G916" s="4">
        <v>5.0885655877519476E-4</v>
      </c>
    </row>
    <row r="917" spans="1:7" x14ac:dyDescent="0.35">
      <c r="A917" s="3">
        <v>42970</v>
      </c>
      <c r="B917" s="4">
        <v>6.5780571127236342E-3</v>
      </c>
      <c r="C917" s="4">
        <v>1.5123047959979541E-3</v>
      </c>
      <c r="D917" s="4">
        <v>3.0805229173491711E-4</v>
      </c>
      <c r="E917" s="4">
        <v>2.956080897968949E-4</v>
      </c>
      <c r="F917" s="4">
        <v>1.9537650196148615E-3</v>
      </c>
      <c r="G917" s="4">
        <v>6.7959039812470756E-4</v>
      </c>
    </row>
    <row r="918" spans="1:7" x14ac:dyDescent="0.35">
      <c r="A918" s="3">
        <v>42971</v>
      </c>
      <c r="B918" s="4">
        <v>-3.0096293111714356E-3</v>
      </c>
      <c r="C918" s="4">
        <v>3.4143095961665093E-3</v>
      </c>
      <c r="D918" s="4">
        <v>3.1727144945548069E-4</v>
      </c>
      <c r="E918" s="4">
        <v>3.0158817485381739E-4</v>
      </c>
      <c r="F918" s="4">
        <v>9.316318729768458E-4</v>
      </c>
      <c r="G918" s="4">
        <v>5.575211852471007E-4</v>
      </c>
    </row>
    <row r="919" spans="1:7" x14ac:dyDescent="0.35">
      <c r="A919" s="3">
        <v>42972</v>
      </c>
      <c r="B919" s="4">
        <v>1.4543636097119617E-4</v>
      </c>
      <c r="C919" s="4">
        <v>1.1531142358069957E-3</v>
      </c>
      <c r="D919" s="4">
        <v>3.5827098233576216E-4</v>
      </c>
      <c r="E919" s="4">
        <v>1.3726674427516627E-3</v>
      </c>
      <c r="F919" s="4">
        <v>1.3706309799426108E-3</v>
      </c>
      <c r="G919" s="4">
        <v>-7.5809656577607853E-5</v>
      </c>
    </row>
    <row r="920" spans="1:7" x14ac:dyDescent="0.35">
      <c r="A920" s="3">
        <v>42975</v>
      </c>
      <c r="B920" s="4">
        <v>6.0890553033052797E-3</v>
      </c>
      <c r="C920" s="4">
        <v>1.9312107654134714E-3</v>
      </c>
      <c r="D920" s="4">
        <v>3.5067429369295411E-4</v>
      </c>
      <c r="E920" s="4">
        <v>3.9713058457069295E-4</v>
      </c>
      <c r="F920" s="4">
        <v>-1.0473146207057304E-3</v>
      </c>
      <c r="G920" s="4">
        <v>1.2189423096811147E-3</v>
      </c>
    </row>
    <row r="921" spans="1:7" x14ac:dyDescent="0.35">
      <c r="A921" s="3">
        <v>42976</v>
      </c>
      <c r="B921" s="4">
        <v>-6.05305500185227E-4</v>
      </c>
      <c r="C921" s="4">
        <v>-8.1622016958071697E-4</v>
      </c>
      <c r="D921" s="4">
        <v>3.4044248532083543E-4</v>
      </c>
      <c r="E921" s="4">
        <v>3.4805577615859562E-4</v>
      </c>
      <c r="F921" s="4">
        <v>1.0188382341169699E-3</v>
      </c>
      <c r="G921" s="4">
        <v>-4.6289898751428193E-4</v>
      </c>
    </row>
    <row r="922" spans="1:7" x14ac:dyDescent="0.35">
      <c r="A922" s="3">
        <v>42977</v>
      </c>
      <c r="B922" s="4">
        <v>-2.5140396940737109E-3</v>
      </c>
      <c r="C922" s="4">
        <v>-4.1431927244907074E-3</v>
      </c>
      <c r="D922" s="4">
        <v>4.035344026100951E-4</v>
      </c>
      <c r="E922" s="4">
        <v>4.2131183593263621E-4</v>
      </c>
      <c r="F922" s="4">
        <v>2.6103169718925123E-3</v>
      </c>
      <c r="G922" s="4">
        <v>4.9049158494085532E-4</v>
      </c>
    </row>
    <row r="923" spans="1:7" x14ac:dyDescent="0.35">
      <c r="A923" s="3">
        <v>42978</v>
      </c>
      <c r="B923" s="4">
        <v>1.8752269833301138E-2</v>
      </c>
      <c r="C923" s="4">
        <v>-2.0683852303648997E-3</v>
      </c>
      <c r="D923" s="4">
        <v>3.4378535470525051E-4</v>
      </c>
      <c r="E923" s="4">
        <v>3.9137349903417551E-4</v>
      </c>
      <c r="F923" s="4">
        <v>5.8011974381844134E-4</v>
      </c>
      <c r="G923" s="4">
        <v>4.7710908440978805E-4</v>
      </c>
    </row>
    <row r="924" spans="1:7" x14ac:dyDescent="0.35">
      <c r="A924" s="3">
        <v>42979</v>
      </c>
      <c r="B924" s="4">
        <v>9.7516165651543307E-3</v>
      </c>
      <c r="C924" s="4">
        <v>-2.0715099461616759E-3</v>
      </c>
      <c r="D924" s="4">
        <v>3.5115722429646112E-4</v>
      </c>
      <c r="E924" s="4">
        <v>3.8529239384876846E-4</v>
      </c>
      <c r="F924" s="4">
        <v>1.0984961785718284E-3</v>
      </c>
      <c r="G924" s="4">
        <v>3.0997418172229452E-4</v>
      </c>
    </row>
    <row r="925" spans="1:7" x14ac:dyDescent="0.35">
      <c r="A925" s="3">
        <v>42982</v>
      </c>
      <c r="B925" s="4">
        <v>2.0967111046954479E-4</v>
      </c>
      <c r="C925" s="4">
        <v>-4.8562063775106079E-3</v>
      </c>
      <c r="D925" s="4">
        <v>3.368457425838578E-4</v>
      </c>
      <c r="E925" s="4">
        <v>3.2196331192113625E-4</v>
      </c>
      <c r="F925" s="4">
        <v>-3.321677489323771E-3</v>
      </c>
      <c r="G925" s="4">
        <v>-1.2389696527063121E-3</v>
      </c>
    </row>
    <row r="926" spans="1:7" x14ac:dyDescent="0.35">
      <c r="A926" s="3">
        <v>42983</v>
      </c>
      <c r="B926" s="4">
        <v>1.9833042046175642E-2</v>
      </c>
      <c r="C926" s="4">
        <v>-5.3532237668204585E-3</v>
      </c>
      <c r="D926" s="4">
        <v>3.1552831022119143E-4</v>
      </c>
      <c r="E926" s="4">
        <v>3.4380605504091832E-4</v>
      </c>
      <c r="F926" s="4">
        <v>3.7130385068027127E-3</v>
      </c>
      <c r="G926" s="4">
        <v>1.0590257847236106E-3</v>
      </c>
    </row>
    <row r="927" spans="1:7" x14ac:dyDescent="0.35">
      <c r="A927" s="3">
        <v>42984</v>
      </c>
      <c r="B927" s="4">
        <v>-5.3200210219590538E-3</v>
      </c>
      <c r="C927" s="4">
        <v>-4.1388864236009404E-3</v>
      </c>
      <c r="D927" s="4">
        <v>3.0634411072605339E-4</v>
      </c>
      <c r="E927" s="4">
        <v>4.0217576839141067E-4</v>
      </c>
      <c r="F927" s="4">
        <v>6.5937095909895937E-4</v>
      </c>
      <c r="G927" s="4">
        <v>-1.0576213082229557E-3</v>
      </c>
    </row>
    <row r="928" spans="1:7" x14ac:dyDescent="0.35">
      <c r="A928" s="3">
        <v>42986</v>
      </c>
      <c r="B928" s="4">
        <v>1.4356313585488056E-2</v>
      </c>
      <c r="C928" s="4">
        <v>2.8181640584981071E-3</v>
      </c>
      <c r="D928" s="4">
        <v>2.9633611653023806E-4</v>
      </c>
      <c r="E928" s="4">
        <v>3.2984549393177964E-4</v>
      </c>
      <c r="F928" s="4">
        <v>-1.0126300346811057E-3</v>
      </c>
      <c r="G928" s="4">
        <v>-4.3591541381671206E-5</v>
      </c>
    </row>
    <row r="929" spans="1:7" x14ac:dyDescent="0.35">
      <c r="A929" s="3">
        <v>42989</v>
      </c>
      <c r="B929" s="4">
        <v>-2.0244575987483637E-3</v>
      </c>
      <c r="C929" s="4">
        <v>1.1296753033974927E-2</v>
      </c>
      <c r="D929" s="4">
        <v>3.2285438613377515E-4</v>
      </c>
      <c r="E929" s="4">
        <v>3.2717627930667348E-4</v>
      </c>
      <c r="F929" s="4">
        <v>2.9351447959609089E-3</v>
      </c>
      <c r="G929" s="4">
        <v>6.7879212454480253E-4</v>
      </c>
    </row>
    <row r="930" spans="1:7" x14ac:dyDescent="0.35">
      <c r="A930" s="3">
        <v>42990</v>
      </c>
      <c r="B930" s="4">
        <v>2.300536552751975E-3</v>
      </c>
      <c r="C930" s="4">
        <v>5.0817438125605463E-4</v>
      </c>
      <c r="D930" s="4">
        <v>3.1527990107860226E-4</v>
      </c>
      <c r="E930" s="4">
        <v>2.3278028808682016E-4</v>
      </c>
      <c r="F930" s="4">
        <v>-1.0668437033645173E-3</v>
      </c>
      <c r="G930" s="4">
        <v>-5.5364041654404339E-5</v>
      </c>
    </row>
    <row r="931" spans="1:7" x14ac:dyDescent="0.35">
      <c r="A931" s="3">
        <v>42991</v>
      </c>
      <c r="B931" s="4">
        <v>1.6476291889679917E-3</v>
      </c>
      <c r="C931" s="4">
        <v>-3.8184183806525551E-3</v>
      </c>
      <c r="D931" s="4">
        <v>3.0234628147263187E-4</v>
      </c>
      <c r="E931" s="4">
        <v>2.9726232523685781E-4</v>
      </c>
      <c r="F931" s="4">
        <v>5.5112222833124669E-3</v>
      </c>
      <c r="G931" s="4">
        <v>3.4500422897254523E-4</v>
      </c>
    </row>
    <row r="932" spans="1:7" x14ac:dyDescent="0.35">
      <c r="A932" s="3">
        <v>42992</v>
      </c>
      <c r="B932" s="4">
        <v>1.2320816920279976E-2</v>
      </c>
      <c r="C932" s="4">
        <v>-1.1387777109528319E-3</v>
      </c>
      <c r="D932" s="4">
        <v>2.8282139303104081E-4</v>
      </c>
      <c r="E932" s="4">
        <v>3.9789323057237702E-4</v>
      </c>
      <c r="F932" s="4">
        <v>3.3886090449948281E-3</v>
      </c>
      <c r="G932" s="4">
        <v>-4.4149756425349018E-4</v>
      </c>
    </row>
    <row r="933" spans="1:7" x14ac:dyDescent="0.35">
      <c r="A933" s="3">
        <v>42993</v>
      </c>
      <c r="B933" s="4">
        <v>6.2869559516800511E-3</v>
      </c>
      <c r="C933" s="4">
        <v>4.933829851550886E-3</v>
      </c>
      <c r="D933" s="4">
        <v>3.1713312822345685E-4</v>
      </c>
      <c r="E933" s="4">
        <v>3.2897036688717129E-4</v>
      </c>
      <c r="F933" s="4">
        <v>2.0468166565252854E-3</v>
      </c>
      <c r="G933" s="4">
        <v>-2.3281278815168172E-4</v>
      </c>
    </row>
    <row r="934" spans="1:7" x14ac:dyDescent="0.35">
      <c r="A934" s="3">
        <v>42996</v>
      </c>
      <c r="B934" s="4">
        <v>-1.5739985024451064E-3</v>
      </c>
      <c r="C934" s="4">
        <v>5.5871286415332122E-4</v>
      </c>
      <c r="D934" s="4">
        <v>3.0276370995196977E-4</v>
      </c>
      <c r="E934" s="4">
        <v>3.2600999306531264E-4</v>
      </c>
      <c r="F934" s="4">
        <v>2.2861806410592322E-3</v>
      </c>
      <c r="G934" s="4">
        <v>7.9834411330925725E-4</v>
      </c>
    </row>
    <row r="935" spans="1:7" x14ac:dyDescent="0.35">
      <c r="A935" s="3">
        <v>42997</v>
      </c>
      <c r="B935" s="4">
        <v>2.9927497491177846E-3</v>
      </c>
      <c r="C935" s="4">
        <v>-8.0172682091717018E-4</v>
      </c>
      <c r="D935" s="4">
        <v>3.0016089059770046E-4</v>
      </c>
      <c r="E935" s="4">
        <v>4.3979919417069802E-4</v>
      </c>
      <c r="F935" s="4">
        <v>1.6704613499920473E-3</v>
      </c>
      <c r="G935" s="4">
        <v>2.2235836384407737E-3</v>
      </c>
    </row>
    <row r="936" spans="1:7" x14ac:dyDescent="0.35">
      <c r="A936" s="3">
        <v>42998</v>
      </c>
      <c r="B936" s="4">
        <v>-6.4700366274388355E-3</v>
      </c>
      <c r="C936" s="4">
        <v>3.7445880290662981E-3</v>
      </c>
      <c r="D936" s="4">
        <v>2.9535611538755724E-4</v>
      </c>
      <c r="E936" s="4">
        <v>2.5886601668645426E-4</v>
      </c>
      <c r="F936" s="4">
        <v>5.9745432439062274E-3</v>
      </c>
      <c r="G936" s="4">
        <v>7.9212183786725454E-4</v>
      </c>
    </row>
    <row r="937" spans="1:7" x14ac:dyDescent="0.35">
      <c r="A937" s="3">
        <v>42999</v>
      </c>
      <c r="B937" s="4">
        <v>-3.8671400832051006E-3</v>
      </c>
      <c r="C937" s="4">
        <v>-5.3129682147468049E-3</v>
      </c>
      <c r="D937" s="4">
        <v>2.8827488359572939E-4</v>
      </c>
      <c r="E937" s="4">
        <v>3.8706170969415865E-4</v>
      </c>
      <c r="F937" s="4">
        <v>1.2104090409899015E-3</v>
      </c>
      <c r="G937" s="4">
        <v>8.2144446499654578E-4</v>
      </c>
    </row>
    <row r="938" spans="1:7" x14ac:dyDescent="0.35">
      <c r="A938" s="3">
        <v>43000</v>
      </c>
      <c r="B938" s="4">
        <v>-1.8464573108824656E-2</v>
      </c>
      <c r="C938" s="4">
        <v>8.2627299890343231E-3</v>
      </c>
      <c r="D938" s="4">
        <v>3.0586358895812182E-4</v>
      </c>
      <c r="E938" s="4">
        <v>3.4703921537326821E-4</v>
      </c>
      <c r="F938" s="4">
        <v>-7.4230983122037797E-3</v>
      </c>
      <c r="G938" s="4">
        <v>4.0924713619339137E-4</v>
      </c>
    </row>
    <row r="939" spans="1:7" x14ac:dyDescent="0.35">
      <c r="A939" s="3">
        <v>43003</v>
      </c>
      <c r="B939" s="4">
        <v>1.3670059619490527E-3</v>
      </c>
      <c r="C939" s="4">
        <v>5.1158357294074364E-3</v>
      </c>
      <c r="D939" s="4">
        <v>3.264874166917231E-4</v>
      </c>
      <c r="E939" s="4">
        <v>3.5747649138095916E-4</v>
      </c>
      <c r="F939" s="4">
        <v>1.4335305576933521E-3</v>
      </c>
      <c r="G939" s="4">
        <v>1.6546374502650618E-3</v>
      </c>
    </row>
    <row r="940" spans="1:7" x14ac:dyDescent="0.35">
      <c r="A940" s="3">
        <v>43004</v>
      </c>
      <c r="B940" s="4">
        <v>-1.168985143969381E-2</v>
      </c>
      <c r="C940" s="4">
        <v>6.3954550187499404E-3</v>
      </c>
      <c r="D940" s="4">
        <v>2.8836903639062328E-4</v>
      </c>
      <c r="E940" s="4">
        <v>2.8230162621989408E-4</v>
      </c>
      <c r="F940" s="4">
        <v>7.6094582973640357E-4</v>
      </c>
      <c r="G940" s="4">
        <v>1.1080742621394357E-4</v>
      </c>
    </row>
    <row r="941" spans="1:7" x14ac:dyDescent="0.35">
      <c r="A941" s="3">
        <v>43005</v>
      </c>
      <c r="B941" s="4">
        <v>-8.0367706614310475E-3</v>
      </c>
      <c r="C941" s="4">
        <v>-2.1216914776150952E-3</v>
      </c>
      <c r="D941" s="4">
        <v>3.2145888387491439E-4</v>
      </c>
      <c r="E941" s="4">
        <v>3.4135784384026202E-4</v>
      </c>
      <c r="F941" s="4">
        <v>6.1884789813571039E-4</v>
      </c>
      <c r="G941" s="4">
        <v>-1.681184606608932E-4</v>
      </c>
    </row>
    <row r="942" spans="1:7" x14ac:dyDescent="0.35">
      <c r="A942" s="3">
        <v>43006</v>
      </c>
      <c r="B942" s="4">
        <v>1.0154117855389444E-2</v>
      </c>
      <c r="C942" s="4">
        <v>-5.005373250991374E-3</v>
      </c>
      <c r="D942" s="4">
        <v>3.0714646409091273E-4</v>
      </c>
      <c r="E942" s="4">
        <v>3.0880159527812978E-4</v>
      </c>
      <c r="F942" s="4">
        <v>2.255694965342947E-3</v>
      </c>
      <c r="G942" s="4">
        <v>-1.4965983720105491E-3</v>
      </c>
    </row>
    <row r="943" spans="1:7" x14ac:dyDescent="0.35">
      <c r="A943" s="3">
        <v>43007</v>
      </c>
      <c r="B943" s="4">
        <v>2.9249561727542339E-3</v>
      </c>
      <c r="C943" s="4">
        <v>3.8380849590033961E-3</v>
      </c>
      <c r="D943" s="4">
        <v>3.0021202711560946E-4</v>
      </c>
      <c r="E943" s="4">
        <v>2.9937297967919108E-4</v>
      </c>
      <c r="F943" s="4">
        <v>-8.4906761480796344E-4</v>
      </c>
      <c r="G943" s="4">
        <v>1.0634458467841945E-3</v>
      </c>
    </row>
    <row r="944" spans="1:7" x14ac:dyDescent="0.35">
      <c r="A944" s="3">
        <v>43010</v>
      </c>
      <c r="B944" s="4">
        <v>3.5617162438821293E-2</v>
      </c>
      <c r="C944" s="4">
        <v>-2.4005087352246823E-3</v>
      </c>
      <c r="D944" s="4">
        <v>3.0661110943097647E-4</v>
      </c>
      <c r="E944" s="4">
        <v>3.4751684751066492E-4</v>
      </c>
      <c r="F944" s="4">
        <v>-1.0511178520631326E-3</v>
      </c>
      <c r="G944" s="4">
        <v>-1.4603972424109823E-4</v>
      </c>
    </row>
    <row r="945" spans="1:7" x14ac:dyDescent="0.35">
      <c r="A945" s="3">
        <v>43011</v>
      </c>
      <c r="B945" s="4">
        <v>7.2384485485121886E-4</v>
      </c>
      <c r="C945" s="4">
        <v>-5.8626093002850377E-3</v>
      </c>
      <c r="D945" s="4">
        <v>3.2270068542805674E-4</v>
      </c>
      <c r="E945" s="4">
        <v>3.628028779425474E-4</v>
      </c>
      <c r="F945" s="4">
        <v>1.7914715705424911E-4</v>
      </c>
      <c r="G945" s="4">
        <v>2.9543829153588774E-4</v>
      </c>
    </row>
    <row r="946" spans="1:7" x14ac:dyDescent="0.35">
      <c r="A946" s="3">
        <v>43012</v>
      </c>
      <c r="B946" s="4">
        <v>-1.8537348428445677E-3</v>
      </c>
      <c r="C946" s="4">
        <v>7.9092585926336945E-3</v>
      </c>
      <c r="D946" s="4">
        <v>3.0034537268619488E-4</v>
      </c>
      <c r="E946" s="4">
        <v>3.3567508542042823E-4</v>
      </c>
      <c r="F946" s="4">
        <v>-2.5135308722088467E-3</v>
      </c>
      <c r="G946" s="4">
        <v>2.1640838632202009E-3</v>
      </c>
    </row>
    <row r="947" spans="1:7" x14ac:dyDescent="0.35">
      <c r="A947" s="3">
        <v>43013</v>
      </c>
      <c r="B947" s="4">
        <v>-1.8491482520230917E-3</v>
      </c>
      <c r="C947" s="4">
        <v>2.1782842999384933E-3</v>
      </c>
      <c r="D947" s="4">
        <v>3.3569681690126529E-4</v>
      </c>
      <c r="E947" s="4">
        <v>3.1345709235219843E-4</v>
      </c>
      <c r="F947" s="4">
        <v>4.1088752260320938E-3</v>
      </c>
      <c r="G947" s="4">
        <v>1.0656688655377167E-3</v>
      </c>
    </row>
    <row r="948" spans="1:7" x14ac:dyDescent="0.35">
      <c r="A948" s="3">
        <v>43014</v>
      </c>
      <c r="B948" s="4">
        <v>-6.2971896484074197E-3</v>
      </c>
      <c r="C948" s="4">
        <v>7.9164800481232867E-3</v>
      </c>
      <c r="D948" s="4">
        <v>2.9387378755041382E-4</v>
      </c>
      <c r="E948" s="4">
        <v>2.8500248538665396E-4</v>
      </c>
      <c r="F948" s="4">
        <v>-1.7470182006258383E-3</v>
      </c>
      <c r="G948" s="4">
        <v>3.9942659428882088E-4</v>
      </c>
    </row>
    <row r="949" spans="1:7" x14ac:dyDescent="0.35">
      <c r="A949" s="3">
        <v>43017</v>
      </c>
      <c r="B949" s="4">
        <v>2.0672259919996216E-2</v>
      </c>
      <c r="C949" s="4">
        <v>-1.5258302906477894E-3</v>
      </c>
      <c r="D949" s="4">
        <v>3.2816323466278163E-4</v>
      </c>
      <c r="E949" s="4">
        <v>3.2523064265355117E-4</v>
      </c>
      <c r="F949" s="4">
        <v>2.7206825044399086E-3</v>
      </c>
      <c r="G949" s="4">
        <v>-1.5457367390003807E-4</v>
      </c>
    </row>
    <row r="950" spans="1:7" x14ac:dyDescent="0.35">
      <c r="A950" s="3">
        <v>43018</v>
      </c>
      <c r="B950" s="4">
        <v>-3.4165442548313996E-3</v>
      </c>
      <c r="C950" s="4">
        <v>-3.4467125795842879E-3</v>
      </c>
      <c r="D950" s="4">
        <v>2.7876092371692529E-4</v>
      </c>
      <c r="E950" s="4">
        <v>3.105085926944362E-4</v>
      </c>
      <c r="F950" s="4">
        <v>2.0352308532958219E-3</v>
      </c>
      <c r="G950" s="4">
        <v>-1.6181829546968451E-4</v>
      </c>
    </row>
    <row r="951" spans="1:7" x14ac:dyDescent="0.35">
      <c r="A951" s="3">
        <v>43019</v>
      </c>
      <c r="B951" s="4">
        <v>-6.0722374295659742E-3</v>
      </c>
      <c r="C951" s="4">
        <v>-5.1969522314601058E-3</v>
      </c>
      <c r="D951" s="4">
        <v>3.1190546866977087E-4</v>
      </c>
      <c r="E951" s="4">
        <v>1.7985235255422172E-3</v>
      </c>
      <c r="F951" s="4">
        <v>-2.1627790095413157E-3</v>
      </c>
      <c r="G951" s="4">
        <v>6.1490835263833254E-4</v>
      </c>
    </row>
    <row r="952" spans="1:7" x14ac:dyDescent="0.35">
      <c r="A952" s="3">
        <v>43021</v>
      </c>
      <c r="B952" s="4">
        <v>-6.7096510274914367E-3</v>
      </c>
      <c r="C952" s="4">
        <v>5.0591573404228374E-3</v>
      </c>
      <c r="D952" s="4">
        <v>3.0625179796817115E-4</v>
      </c>
      <c r="E952" s="4">
        <v>3.1158729093583304E-4</v>
      </c>
      <c r="F952" s="4">
        <v>-1.9469155193345689E-3</v>
      </c>
      <c r="G952" s="4">
        <v>8.5559039922666891E-4</v>
      </c>
    </row>
    <row r="953" spans="1:7" x14ac:dyDescent="0.35">
      <c r="A953" s="3">
        <v>43024</v>
      </c>
      <c r="B953" s="4">
        <v>-1.1733805789926444E-2</v>
      </c>
      <c r="C953" s="4">
        <v>1.5588767624490352E-3</v>
      </c>
      <c r="D953" s="4">
        <v>3.0741962857483429E-4</v>
      </c>
      <c r="E953" s="4">
        <v>2.9083704804211408E-4</v>
      </c>
      <c r="F953" s="4">
        <v>-3.1186228628732326E-4</v>
      </c>
      <c r="G953" s="4">
        <v>1.4195870082533979E-4</v>
      </c>
    </row>
    <row r="954" spans="1:7" x14ac:dyDescent="0.35">
      <c r="A954" s="3">
        <v>43025</v>
      </c>
      <c r="B954" s="4">
        <v>1.2400631536054529E-2</v>
      </c>
      <c r="C954" s="4">
        <v>-7.8445810111082981E-4</v>
      </c>
      <c r="D954" s="4">
        <v>2.9654615127849837E-4</v>
      </c>
      <c r="E954" s="4">
        <v>3.4742502344209392E-4</v>
      </c>
      <c r="F954" s="4">
        <v>4.4680563753674019E-3</v>
      </c>
      <c r="G954" s="4">
        <v>4.4322697322640714E-4</v>
      </c>
    </row>
    <row r="955" spans="1:7" x14ac:dyDescent="0.35">
      <c r="A955" s="3">
        <v>43026</v>
      </c>
      <c r="B955" s="4">
        <v>-3.7106902082273407E-4</v>
      </c>
      <c r="C955" s="4">
        <v>2.1857909311402413E-3</v>
      </c>
      <c r="D955" s="4">
        <v>2.9716242894184397E-4</v>
      </c>
      <c r="E955" s="4">
        <v>3.3516196613558868E-4</v>
      </c>
      <c r="F955" s="4">
        <v>1.5813406636666638E-3</v>
      </c>
      <c r="G955" s="4">
        <v>2.702958338005601E-4</v>
      </c>
    </row>
    <row r="956" spans="1:7" x14ac:dyDescent="0.35">
      <c r="A956" s="3">
        <v>43027</v>
      </c>
      <c r="B956" s="4">
        <v>1.7019498454571291E-3</v>
      </c>
      <c r="C956" s="4">
        <v>4.0563850946542246E-3</v>
      </c>
      <c r="D956" s="4">
        <v>2.8191236552776999E-4</v>
      </c>
      <c r="E956" s="4">
        <v>4.6147269728447071E-4</v>
      </c>
      <c r="F956" s="4">
        <v>2.3028327886791544E-3</v>
      </c>
      <c r="G956" s="4">
        <v>-6.3827664612747803E-4</v>
      </c>
    </row>
    <row r="957" spans="1:7" x14ac:dyDescent="0.35">
      <c r="A957" s="3">
        <v>43028</v>
      </c>
      <c r="B957" s="4">
        <v>-1.572702220541311E-2</v>
      </c>
      <c r="C957" s="4">
        <v>8.7876123882917323E-3</v>
      </c>
      <c r="D957" s="4">
        <v>3.1697327216217985E-4</v>
      </c>
      <c r="E957" s="4">
        <v>2.1734206761458985E-4</v>
      </c>
      <c r="F957" s="4">
        <v>-2.8193154716483759E-3</v>
      </c>
      <c r="G957" s="4">
        <v>1.1115141931039574E-3</v>
      </c>
    </row>
    <row r="958" spans="1:7" x14ac:dyDescent="0.35">
      <c r="A958" s="3">
        <v>43031</v>
      </c>
      <c r="B958" s="4">
        <v>1.4049050444109534E-2</v>
      </c>
      <c r="C958" s="4">
        <v>1.2851549054476719E-2</v>
      </c>
      <c r="D958" s="4">
        <v>3.1022141858283447E-4</v>
      </c>
      <c r="E958" s="4">
        <v>2.9565884352433791E-4</v>
      </c>
      <c r="F958" s="4">
        <v>3.8638223548825845E-3</v>
      </c>
      <c r="G958" s="4">
        <v>-6.6442764565277646E-4</v>
      </c>
    </row>
    <row r="959" spans="1:7" x14ac:dyDescent="0.35">
      <c r="A959" s="3">
        <v>43032</v>
      </c>
      <c r="B959" s="4">
        <v>5.6104954184799105E-3</v>
      </c>
      <c r="C959" s="4">
        <v>-2.7092579006868789E-3</v>
      </c>
      <c r="D959" s="4">
        <v>3.0253706978866646E-4</v>
      </c>
      <c r="E959" s="4">
        <v>3.2715609075473218E-4</v>
      </c>
      <c r="F959" s="4">
        <v>4.0052797809544405E-3</v>
      </c>
      <c r="G959" s="4">
        <v>-5.9952002827168283E-4</v>
      </c>
    </row>
    <row r="960" spans="1:7" x14ac:dyDescent="0.35">
      <c r="A960" s="3">
        <v>43033</v>
      </c>
      <c r="B960" s="4">
        <v>-9.3256312893252868E-3</v>
      </c>
      <c r="C960" s="4">
        <v>1.027844992814364E-2</v>
      </c>
      <c r="D960" s="4">
        <v>2.8328297110458145E-4</v>
      </c>
      <c r="E960" s="4">
        <v>3.2348467991250018E-4</v>
      </c>
      <c r="F960" s="4">
        <v>-9.0791735788489092E-3</v>
      </c>
      <c r="G960" s="4">
        <v>7.3637502389978238E-5</v>
      </c>
    </row>
    <row r="961" spans="1:7" x14ac:dyDescent="0.35">
      <c r="A961" s="3">
        <v>43034</v>
      </c>
      <c r="B961" s="4">
        <v>-7.7029745644574543E-4</v>
      </c>
      <c r="C961" s="4">
        <v>-8.7035628658472808E-3</v>
      </c>
      <c r="D961" s="4">
        <v>3.4266176747221877E-4</v>
      </c>
      <c r="E961" s="4">
        <v>2.1040627790824828E-4</v>
      </c>
      <c r="F961" s="4">
        <v>-4.2620610861797692E-3</v>
      </c>
      <c r="G961" s="4">
        <v>1.2731201222344612E-3</v>
      </c>
    </row>
    <row r="962" spans="1:7" x14ac:dyDescent="0.35">
      <c r="A962" s="3">
        <v>43035</v>
      </c>
      <c r="B962" s="4">
        <v>-2.3770033901480581E-2</v>
      </c>
      <c r="C962" s="4">
        <v>6.1603189907166733E-3</v>
      </c>
      <c r="D962" s="4">
        <v>2.8521405437476055E-4</v>
      </c>
      <c r="E962" s="4">
        <v>2.804337290280845E-4</v>
      </c>
      <c r="F962" s="4">
        <v>-3.2058361083211473E-3</v>
      </c>
      <c r="G962" s="4">
        <v>8.9425948849108927E-4</v>
      </c>
    </row>
    <row r="963" spans="1:7" x14ac:dyDescent="0.35">
      <c r="A963" s="3">
        <v>43038</v>
      </c>
      <c r="B963" s="4">
        <v>-8.3519928611718308E-3</v>
      </c>
      <c r="C963" s="4">
        <v>2.5014774422946751E-3</v>
      </c>
      <c r="D963" s="4">
        <v>2.9036778857705059E-4</v>
      </c>
      <c r="E963" s="4">
        <v>3.0250446513990781E-4</v>
      </c>
      <c r="F963" s="4">
        <v>1.54463801745508E-3</v>
      </c>
      <c r="G963" s="4">
        <v>-2.6424940578040346E-4</v>
      </c>
    </row>
    <row r="964" spans="1:7" x14ac:dyDescent="0.35">
      <c r="A964" s="3">
        <v>43039</v>
      </c>
      <c r="B964" s="4">
        <v>-9.6205385999346138E-3</v>
      </c>
      <c r="C964" s="4">
        <v>-4.0590634466336484E-3</v>
      </c>
      <c r="D964" s="4">
        <v>2.7839536269524956E-4</v>
      </c>
      <c r="E964" s="4">
        <v>2.8759351359797236E-4</v>
      </c>
      <c r="F964" s="4">
        <v>4.0385445748181148E-4</v>
      </c>
      <c r="G964" s="4">
        <v>7.7720751088006246E-4</v>
      </c>
    </row>
    <row r="965" spans="1:7" x14ac:dyDescent="0.35">
      <c r="A965" s="3">
        <v>43040</v>
      </c>
      <c r="B965" s="4">
        <v>-2.7633693599637965E-3</v>
      </c>
      <c r="C965" s="4">
        <v>1.2071811139668043E-2</v>
      </c>
      <c r="D965" s="4">
        <v>3.1356974342200417E-4</v>
      </c>
      <c r="E965" s="4">
        <v>3.4066013217870506E-4</v>
      </c>
      <c r="F965" s="4">
        <v>-5.3605935851964714E-3</v>
      </c>
      <c r="G965" s="4">
        <v>3.2515112084574582E-5</v>
      </c>
    </row>
    <row r="966" spans="1:7" x14ac:dyDescent="0.35">
      <c r="A966" s="3">
        <v>43042</v>
      </c>
      <c r="B966" s="4">
        <v>1.9210182856137514E-3</v>
      </c>
      <c r="C966" s="4">
        <v>-1.9402277601798801E-2</v>
      </c>
      <c r="D966" s="4">
        <v>3.0588870601655493E-4</v>
      </c>
      <c r="E966" s="4">
        <v>2.490455395287583E-4</v>
      </c>
      <c r="F966" s="4">
        <v>2.0541627485859415E-4</v>
      </c>
      <c r="G966" s="4">
        <v>-6.0119599519725675E-4</v>
      </c>
    </row>
    <row r="967" spans="1:7" x14ac:dyDescent="0.35">
      <c r="A967" s="3">
        <v>43045</v>
      </c>
      <c r="B967" s="4">
        <v>-3.1866935395792328E-2</v>
      </c>
      <c r="C967" s="4">
        <v>3.9929215681908659E-3</v>
      </c>
      <c r="D967" s="4">
        <v>2.3454008463241749E-4</v>
      </c>
      <c r="E967" s="4">
        <v>3.4164461753527497E-4</v>
      </c>
      <c r="F967" s="4">
        <v>-1.9276828880498975E-3</v>
      </c>
      <c r="G967" s="4">
        <v>4.6940725853916732E-4</v>
      </c>
    </row>
    <row r="968" spans="1:7" x14ac:dyDescent="0.35">
      <c r="A968" s="3">
        <v>43046</v>
      </c>
      <c r="B968" s="4">
        <v>2.6481702050778821E-2</v>
      </c>
      <c r="C968" s="4">
        <v>-7.9390362160581818E-3</v>
      </c>
      <c r="D968" s="4">
        <v>2.9345248928280832E-4</v>
      </c>
      <c r="E968" s="4">
        <v>2.909617933599673E-4</v>
      </c>
      <c r="F968" s="4">
        <v>2.3605861091657854E-3</v>
      </c>
      <c r="G968" s="4">
        <v>1.5191173012807369E-4</v>
      </c>
    </row>
    <row r="969" spans="1:7" x14ac:dyDescent="0.35">
      <c r="A969" s="3">
        <v>43047</v>
      </c>
      <c r="B969" s="4">
        <v>-2.003314505735132E-2</v>
      </c>
      <c r="C969" s="4">
        <v>2.2744904753466688E-3</v>
      </c>
      <c r="D969" s="4">
        <v>2.6484198839904494E-4</v>
      </c>
      <c r="E969" s="4">
        <v>2.8482609747593202E-4</v>
      </c>
      <c r="F969" s="4">
        <v>1.1627029032987846E-3</v>
      </c>
      <c r="G969" s="4">
        <v>-8.5496114839511694E-4</v>
      </c>
    </row>
    <row r="970" spans="1:7" x14ac:dyDescent="0.35">
      <c r="A970" s="3">
        <v>43048</v>
      </c>
      <c r="B970" s="4">
        <v>-1.1738147805010923E-2</v>
      </c>
      <c r="C970" s="4">
        <v>5.1630802354114547E-3</v>
      </c>
      <c r="D970" s="4">
        <v>2.750519121395012E-4</v>
      </c>
      <c r="E970" s="4">
        <v>3.0724641508839134E-4</v>
      </c>
      <c r="F970" s="4">
        <v>1.1787004426331293E-3</v>
      </c>
      <c r="G970" s="4">
        <v>-1.6440732278855119E-4</v>
      </c>
    </row>
    <row r="971" spans="1:7" x14ac:dyDescent="0.35">
      <c r="A971" s="3">
        <v>43049</v>
      </c>
      <c r="B971" s="4">
        <v>5.2919345060522538E-3</v>
      </c>
      <c r="C971" s="4">
        <v>6.0364674212598501E-3</v>
      </c>
      <c r="D971" s="4">
        <v>2.9732425153961017E-4</v>
      </c>
      <c r="E971" s="4">
        <v>8.1015663090022727E-4</v>
      </c>
      <c r="F971" s="4">
        <v>7.2462904366377145E-4</v>
      </c>
      <c r="G971" s="4">
        <v>-9.6418939229736544E-5</v>
      </c>
    </row>
    <row r="972" spans="1:7" x14ac:dyDescent="0.35">
      <c r="A972" s="3">
        <v>43052</v>
      </c>
      <c r="B972" s="4">
        <v>-2.4923638653679969E-2</v>
      </c>
      <c r="C972" s="4">
        <v>2.4584215084524352E-3</v>
      </c>
      <c r="D972" s="4">
        <v>2.871892947684529E-4</v>
      </c>
      <c r="E972" s="4">
        <v>2.4754931772252853E-4</v>
      </c>
      <c r="F972" s="4">
        <v>6.6055303107193097E-4</v>
      </c>
      <c r="G972" s="4">
        <v>-1.4111224179846893E-4</v>
      </c>
    </row>
    <row r="973" spans="1:7" x14ac:dyDescent="0.35">
      <c r="A973" s="3">
        <v>43053</v>
      </c>
      <c r="B973" s="4">
        <v>2.269017823652808E-2</v>
      </c>
      <c r="C973" s="4">
        <v>-7.7475984988552016E-3</v>
      </c>
      <c r="D973" s="4">
        <v>2.9016625090938497E-4</v>
      </c>
      <c r="E973" s="4">
        <v>2.9088553597911293E-4</v>
      </c>
      <c r="F973" s="4">
        <v>1.93072239912917E-3</v>
      </c>
      <c r="G973" s="4">
        <v>1.9416248075754261E-4</v>
      </c>
    </row>
    <row r="974" spans="1:7" x14ac:dyDescent="0.35">
      <c r="A974" s="3">
        <v>43055</v>
      </c>
      <c r="B974" s="4">
        <v>1.3888498127148097E-2</v>
      </c>
      <c r="C974" s="4">
        <v>-5.9522934040120434E-3</v>
      </c>
      <c r="D974" s="4">
        <v>2.5013767811388199E-4</v>
      </c>
      <c r="E974" s="4">
        <v>3.1089872816258968E-4</v>
      </c>
      <c r="F974" s="4">
        <v>1.4695529222001902E-3</v>
      </c>
      <c r="G974" s="4">
        <v>5.0904764963277671E-4</v>
      </c>
    </row>
    <row r="975" spans="1:7" x14ac:dyDescent="0.35">
      <c r="A975" s="3">
        <v>43056</v>
      </c>
      <c r="B975" s="4">
        <v>-1.1281512507155256E-4</v>
      </c>
      <c r="C975" s="4">
        <v>2.4100251788095051E-4</v>
      </c>
      <c r="D975" s="4">
        <v>2.4252076698250136E-4</v>
      </c>
      <c r="E975" s="4">
        <v>2.4594275343603478E-4</v>
      </c>
      <c r="F975" s="4">
        <v>2.0079723856425424E-4</v>
      </c>
      <c r="G975" s="4">
        <v>7.3553442855955886E-4</v>
      </c>
    </row>
    <row r="976" spans="1:7" x14ac:dyDescent="0.35">
      <c r="A976" s="3">
        <v>43059</v>
      </c>
      <c r="B976" s="4">
        <v>9.3817509224720652E-3</v>
      </c>
      <c r="C976" s="4">
        <v>-4.2906429773871269E-3</v>
      </c>
      <c r="D976" s="4">
        <v>2.7927141076089512E-4</v>
      </c>
      <c r="E976" s="4">
        <v>2.7046410533371201E-4</v>
      </c>
      <c r="F976" s="4">
        <v>1.7527390834821688E-3</v>
      </c>
      <c r="G976" s="4">
        <v>-8.7429093141111469E-4</v>
      </c>
    </row>
    <row r="977" spans="1:7" x14ac:dyDescent="0.35">
      <c r="A977" s="3">
        <v>43060</v>
      </c>
      <c r="B977" s="4">
        <v>2.0077398882347719E-3</v>
      </c>
      <c r="C977" s="4">
        <v>-2.3435279723602598E-3</v>
      </c>
      <c r="D977" s="4">
        <v>2.605918456182188E-4</v>
      </c>
      <c r="E977" s="4">
        <v>-1.3062397675578374E-4</v>
      </c>
      <c r="F977" s="4">
        <v>-9.9695956836454158E-4</v>
      </c>
      <c r="G977" s="4">
        <v>-7.6111378094823046E-5</v>
      </c>
    </row>
    <row r="978" spans="1:7" x14ac:dyDescent="0.35">
      <c r="A978" s="3">
        <v>43061</v>
      </c>
      <c r="B978" s="4">
        <v>1.4085321715202603E-3</v>
      </c>
      <c r="C978" s="4">
        <v>-4.0453141673059134E-3</v>
      </c>
      <c r="D978" s="4">
        <v>2.9111196633624381E-4</v>
      </c>
      <c r="E978" s="4">
        <v>3.1028617568873429E-4</v>
      </c>
      <c r="F978" s="4">
        <v>1.0004156755341054E-3</v>
      </c>
      <c r="G978" s="4">
        <v>1.2809065733874192E-3</v>
      </c>
    </row>
    <row r="979" spans="1:7" x14ac:dyDescent="0.35">
      <c r="A979" s="3">
        <v>43062</v>
      </c>
      <c r="B979" s="4">
        <v>-5.1472882167772349E-3</v>
      </c>
      <c r="C979" s="4">
        <v>7.3369788183108575E-4</v>
      </c>
      <c r="D979" s="4">
        <v>7.77733122274471E-4</v>
      </c>
      <c r="E979" s="4">
        <v>3.1417421387724964E-4</v>
      </c>
      <c r="F979" s="4">
        <v>3.1718714957227334E-3</v>
      </c>
      <c r="G979" s="4">
        <v>7.0512479452489174E-4</v>
      </c>
    </row>
    <row r="980" spans="1:7" x14ac:dyDescent="0.35">
      <c r="A980" s="3">
        <v>43063</v>
      </c>
      <c r="B980" s="4">
        <v>2.3332802060582747E-3</v>
      </c>
      <c r="C980" s="4">
        <v>-6.5110073332530494E-4</v>
      </c>
      <c r="D980" s="4">
        <v>2.839401228724725E-4</v>
      </c>
      <c r="E980" s="4">
        <v>3.2839957295416333E-4</v>
      </c>
      <c r="F980" s="4">
        <v>-2.1989950640068923E-3</v>
      </c>
      <c r="G980" s="4">
        <v>-4.9618214441105035E-4</v>
      </c>
    </row>
    <row r="981" spans="1:7" x14ac:dyDescent="0.35">
      <c r="A981" s="3">
        <v>43066</v>
      </c>
      <c r="B981" s="4">
        <v>1.0544469842066473E-3</v>
      </c>
      <c r="C981" s="4">
        <v>-4.0294662901150247E-3</v>
      </c>
      <c r="D981" s="4">
        <v>2.7473961192825413E-4</v>
      </c>
      <c r="E981" s="4">
        <v>3.0517340193125797E-4</v>
      </c>
      <c r="F981" s="4">
        <v>1.5492417082350052E-3</v>
      </c>
      <c r="G981" s="4">
        <v>2.1278110193367894E-5</v>
      </c>
    </row>
    <row r="982" spans="1:7" x14ac:dyDescent="0.35">
      <c r="A982" s="3">
        <v>43067</v>
      </c>
      <c r="B982" s="4">
        <v>-1.8933448836428335E-2</v>
      </c>
      <c r="C982" s="4">
        <v>9.0316973530708555E-3</v>
      </c>
      <c r="D982" s="4">
        <v>2.642760961375501E-4</v>
      </c>
      <c r="E982" s="4">
        <v>2.631629472329422E-4</v>
      </c>
      <c r="F982" s="4">
        <v>9.6894786222856411E-4</v>
      </c>
      <c r="G982" s="4">
        <v>-5.1776848580264989E-5</v>
      </c>
    </row>
    <row r="983" spans="1:7" x14ac:dyDescent="0.35">
      <c r="A983" s="3">
        <v>43068</v>
      </c>
      <c r="B983" s="4">
        <v>-1.0889635096120176E-2</v>
      </c>
      <c r="C983" s="4">
        <v>1.2181760707724809E-2</v>
      </c>
      <c r="D983" s="4">
        <v>3.5575294626921661E-4</v>
      </c>
      <c r="E983" s="4">
        <v>2.5790837674288802E-4</v>
      </c>
      <c r="F983" s="4">
        <v>2.1492232512061449E-3</v>
      </c>
      <c r="G983" s="4">
        <v>-5.8766954346078926E-4</v>
      </c>
    </row>
    <row r="984" spans="1:7" x14ac:dyDescent="0.35">
      <c r="A984" s="3">
        <v>43069</v>
      </c>
      <c r="B984" s="4">
        <v>2.7283886188007589E-3</v>
      </c>
      <c r="C984" s="4">
        <v>-7.7146142549218144E-3</v>
      </c>
      <c r="D984" s="4">
        <v>3.0540636245812713E-4</v>
      </c>
      <c r="E984" s="4">
        <v>2.6235773346572344E-4</v>
      </c>
      <c r="F984" s="4">
        <v>-2.8288171785778582E-3</v>
      </c>
      <c r="G984" s="4">
        <v>2.590345204791511E-4</v>
      </c>
    </row>
    <row r="985" spans="1:7" x14ac:dyDescent="0.35">
      <c r="A985" s="3">
        <v>43070</v>
      </c>
      <c r="B985" s="4">
        <v>5.8395518413403291E-3</v>
      </c>
      <c r="C985" s="4">
        <v>-3.0124107797789845E-3</v>
      </c>
      <c r="D985" s="4">
        <v>2.6152698830350651E-4</v>
      </c>
      <c r="E985" s="4">
        <v>3.3617267279306695E-4</v>
      </c>
      <c r="F985" s="4">
        <v>2.6572526229642346E-3</v>
      </c>
      <c r="G985" s="4">
        <v>-1.0718330293479905E-4</v>
      </c>
    </row>
    <row r="986" spans="1:7" x14ac:dyDescent="0.35">
      <c r="A986" s="3">
        <v>43073</v>
      </c>
      <c r="B986" s="4">
        <v>-9.4904878504228352E-3</v>
      </c>
      <c r="C986" s="4">
        <v>-2.6761170689384439E-3</v>
      </c>
      <c r="D986" s="4">
        <v>2.5748987744478313E-4</v>
      </c>
      <c r="E986" s="4">
        <v>3.5965418009231698E-4</v>
      </c>
      <c r="F986" s="4">
        <v>-9.9469886451220013E-4</v>
      </c>
      <c r="G986" s="4">
        <v>-7.301334772547019E-5</v>
      </c>
    </row>
    <row r="987" spans="1:7" x14ac:dyDescent="0.35">
      <c r="A987" s="3">
        <v>43074</v>
      </c>
      <c r="B987" s="4">
        <v>1.1210203287863152E-2</v>
      </c>
      <c r="C987" s="4">
        <v>2.9366593711774858E-3</v>
      </c>
      <c r="D987" s="4">
        <v>2.6282510862740693E-4</v>
      </c>
      <c r="E987" s="4">
        <v>4.3831426118812189E-4</v>
      </c>
      <c r="F987" s="4">
        <v>-3.0147091248557967E-3</v>
      </c>
      <c r="G987" s="4">
        <v>5.9745662879406858E-4</v>
      </c>
    </row>
    <row r="988" spans="1:7" x14ac:dyDescent="0.35">
      <c r="A988" s="3">
        <v>43075</v>
      </c>
      <c r="B988" s="4">
        <v>-8.042146138382944E-3</v>
      </c>
      <c r="C988" s="4">
        <v>1.5311460891401563E-2</v>
      </c>
      <c r="D988" s="4">
        <v>2.6427777993953683E-4</v>
      </c>
      <c r="E988" s="4">
        <v>3.16019794524669E-4</v>
      </c>
      <c r="F988" s="4">
        <v>1.531327509975311E-3</v>
      </c>
      <c r="G988" s="4">
        <v>9.2390258259422708E-4</v>
      </c>
    </row>
    <row r="989" spans="1:7" x14ac:dyDescent="0.35">
      <c r="A989" s="3">
        <v>43076</v>
      </c>
      <c r="B989" s="4">
        <v>4.8670600031996969E-3</v>
      </c>
      <c r="C989" s="4">
        <v>1.8533617096296862E-3</v>
      </c>
      <c r="D989" s="4">
        <v>2.9586249199775594E-4</v>
      </c>
      <c r="E989" s="4">
        <v>2.0454449641293948E-4</v>
      </c>
      <c r="F989" s="4">
        <v>5.1955583105622871E-4</v>
      </c>
      <c r="G989" s="4">
        <v>-5.0557609750168098E-4</v>
      </c>
    </row>
    <row r="990" spans="1:7" x14ac:dyDescent="0.35">
      <c r="A990" s="3">
        <v>43077</v>
      </c>
      <c r="B990" s="4">
        <v>1.6592628432321455E-3</v>
      </c>
      <c r="C990" s="4">
        <v>3.1077638531962215E-4</v>
      </c>
      <c r="D990" s="4">
        <v>2.5282151633354566E-4</v>
      </c>
      <c r="E990" s="4">
        <v>2.6676991745744338E-4</v>
      </c>
      <c r="F990" s="4">
        <v>1.4767761987266592E-3</v>
      </c>
      <c r="G990" s="4">
        <v>3.380205069070108E-5</v>
      </c>
    </row>
    <row r="991" spans="1:7" x14ac:dyDescent="0.35">
      <c r="A991" s="3">
        <v>43080</v>
      </c>
      <c r="B991" s="4">
        <v>6.2615169939472803E-3</v>
      </c>
      <c r="C991" s="4">
        <v>9.1621390391922741E-3</v>
      </c>
      <c r="D991" s="4">
        <v>2.552558333495103E-4</v>
      </c>
      <c r="E991" s="4">
        <v>3.9324716344202315E-4</v>
      </c>
      <c r="F991" s="4">
        <v>-1.2174838448896219E-3</v>
      </c>
      <c r="G991" s="4">
        <v>-8.6026485893653248E-4</v>
      </c>
    </row>
    <row r="992" spans="1:7" x14ac:dyDescent="0.35">
      <c r="A992" s="3">
        <v>43081</v>
      </c>
      <c r="B992" s="4">
        <v>-1.0833286707692902E-2</v>
      </c>
      <c r="C992" s="4">
        <v>-4.8360533369311565E-3</v>
      </c>
      <c r="D992" s="4">
        <v>2.7384872261526638E-4</v>
      </c>
      <c r="E992" s="4">
        <v>2.6823458498670405E-4</v>
      </c>
      <c r="F992" s="4">
        <v>-8.1061027422002496E-5</v>
      </c>
      <c r="G992" s="4">
        <v>1.1249721746191543E-3</v>
      </c>
    </row>
    <row r="993" spans="1:7" x14ac:dyDescent="0.35">
      <c r="A993" s="3">
        <v>43082</v>
      </c>
      <c r="B993" s="4">
        <v>-2.3204831953483884E-3</v>
      </c>
      <c r="C993" s="4">
        <v>7.5919434248596929E-3</v>
      </c>
      <c r="D993" s="4">
        <v>2.2932920826845837E-4</v>
      </c>
      <c r="E993" s="4">
        <v>3.4470060665636737E-4</v>
      </c>
      <c r="F993" s="4">
        <v>3.7940842285943965E-4</v>
      </c>
      <c r="G993" s="4">
        <v>1.2344136888124968E-3</v>
      </c>
    </row>
    <row r="994" spans="1:7" x14ac:dyDescent="0.35">
      <c r="A994" s="3">
        <v>43083</v>
      </c>
      <c r="B994" s="4">
        <v>6.8850354789182777E-3</v>
      </c>
      <c r="C994" s="4">
        <v>-8.6287403825153763E-3</v>
      </c>
      <c r="D994" s="4">
        <v>2.8222993955884235E-4</v>
      </c>
      <c r="E994" s="4">
        <v>2.4878048573828693E-4</v>
      </c>
      <c r="F994" s="4">
        <v>6.6464535413768289E-4</v>
      </c>
      <c r="G994" s="4">
        <v>4.5379747922957847E-4</v>
      </c>
    </row>
    <row r="995" spans="1:7" x14ac:dyDescent="0.35">
      <c r="A995" s="3">
        <v>43084</v>
      </c>
      <c r="B995" s="4">
        <v>8.5207841974299647E-4</v>
      </c>
      <c r="C995" s="4">
        <v>-4.8886208743014192E-3</v>
      </c>
      <c r="D995" s="4">
        <v>2.3742174032825858E-4</v>
      </c>
      <c r="E995" s="4">
        <v>3.1191341365555125E-4</v>
      </c>
      <c r="F995" s="4">
        <v>4.9839763916592617E-4</v>
      </c>
      <c r="G995" s="4">
        <v>-6.0867014000098862E-5</v>
      </c>
    </row>
    <row r="996" spans="1:7" x14ac:dyDescent="0.35">
      <c r="A996" s="3">
        <v>43087</v>
      </c>
      <c r="B996" s="4">
        <v>-5.5630117856604322E-3</v>
      </c>
      <c r="C996" s="4">
        <v>1.4776602113963921E-3</v>
      </c>
      <c r="D996" s="4">
        <v>2.5917337451097922E-4</v>
      </c>
      <c r="E996" s="4">
        <v>3.1020192933040036E-4</v>
      </c>
      <c r="F996" s="4">
        <v>4.7485999568230852E-3</v>
      </c>
      <c r="G996" s="4">
        <v>-5.6739022996299404E-5</v>
      </c>
    </row>
    <row r="997" spans="1:7" x14ac:dyDescent="0.35">
      <c r="A997" s="3">
        <v>43088</v>
      </c>
      <c r="B997" s="4">
        <v>1.0547339613923956E-2</v>
      </c>
      <c r="C997" s="4">
        <v>-2.997864936333694E-3</v>
      </c>
      <c r="D997" s="4">
        <v>2.6931982702760315E-4</v>
      </c>
      <c r="E997" s="4">
        <v>3.8956204469364764E-4</v>
      </c>
      <c r="F997" s="4">
        <v>5.4211242839568019E-3</v>
      </c>
      <c r="G997" s="4">
        <v>7.6300748750979253E-4</v>
      </c>
    </row>
    <row r="998" spans="1:7" x14ac:dyDescent="0.35">
      <c r="A998" s="3">
        <v>43089</v>
      </c>
      <c r="B998" s="4">
        <v>2.1424923086506453E-2</v>
      </c>
      <c r="C998" s="4">
        <v>6.4026086591391085E-3</v>
      </c>
      <c r="D998" s="4">
        <v>2.1861236294662412E-4</v>
      </c>
      <c r="E998" s="4">
        <v>1.018063230030064E-3</v>
      </c>
      <c r="F998" s="4">
        <v>4.3631478541650281E-4</v>
      </c>
      <c r="G998" s="4">
        <v>-5.9041173839358141E-4</v>
      </c>
    </row>
    <row r="999" spans="1:7" x14ac:dyDescent="0.35">
      <c r="A999" s="3">
        <v>43090</v>
      </c>
      <c r="B999" s="4">
        <v>2.2133599583546992E-3</v>
      </c>
      <c r="C999" s="4">
        <v>7.3993614650667006E-3</v>
      </c>
      <c r="D999" s="4">
        <v>2.4933885746203366E-4</v>
      </c>
      <c r="E999" s="4">
        <v>3.267137899878314E-4</v>
      </c>
      <c r="F999" s="4">
        <v>2.0925635430013578E-4</v>
      </c>
      <c r="G999" s="4">
        <v>4.876465985326206E-4</v>
      </c>
    </row>
    <row r="1000" spans="1:7" x14ac:dyDescent="0.35">
      <c r="A1000" s="3">
        <v>43091</v>
      </c>
      <c r="B1000" s="4">
        <v>1.0938316227281142E-2</v>
      </c>
      <c r="C1000" s="4">
        <v>-4.2835844103104037E-3</v>
      </c>
      <c r="D1000" s="4">
        <v>2.5276947995989119E-4</v>
      </c>
      <c r="E1000" s="4">
        <v>3.0537079924020105E-4</v>
      </c>
      <c r="F1000" s="4">
        <v>1.3443583148784466E-3</v>
      </c>
      <c r="G1000" s="4">
        <v>8.7444254193158599E-7</v>
      </c>
    </row>
    <row r="1001" spans="1:7" x14ac:dyDescent="0.35">
      <c r="A1001" s="3">
        <v>43095</v>
      </c>
      <c r="B1001" s="4">
        <v>2.9624956161300453E-3</v>
      </c>
      <c r="C1001" s="4">
        <v>-2.7386733976120237E-3</v>
      </c>
      <c r="D1001" s="4">
        <v>2.5183442244003373E-4</v>
      </c>
      <c r="E1001" s="4">
        <v>3.2262887342326962E-4</v>
      </c>
      <c r="F1001" s="4">
        <v>-8.1245432175036658E-4</v>
      </c>
      <c r="G1001" s="4">
        <v>4.1582480996393834E-4</v>
      </c>
    </row>
    <row r="1002" spans="1:7" x14ac:dyDescent="0.35">
      <c r="A1002" s="3">
        <v>43096</v>
      </c>
      <c r="B1002" s="4">
        <v>9.3593564410576757E-3</v>
      </c>
      <c r="C1002" s="4">
        <v>-1.814791001071403E-3</v>
      </c>
      <c r="D1002" s="4">
        <v>2.5972707205679235E-4</v>
      </c>
      <c r="E1002" s="4">
        <v>2.8660267035096609E-4</v>
      </c>
      <c r="F1002" s="4">
        <v>2.0757610748773914E-3</v>
      </c>
      <c r="G1002" s="4">
        <v>1.2566415439663192E-3</v>
      </c>
    </row>
    <row r="1003" spans="1:7" x14ac:dyDescent="0.35">
      <c r="A1003" s="3">
        <v>43097</v>
      </c>
      <c r="B1003" s="4">
        <v>-1.2025223558709275E-4</v>
      </c>
      <c r="C1003" s="4">
        <v>2.3804231020907451E-4</v>
      </c>
      <c r="D1003" s="4">
        <v>2.4812460633416578E-4</v>
      </c>
      <c r="E1003" s="4">
        <v>3.1639759548851565E-4</v>
      </c>
      <c r="F1003" s="4">
        <v>1.420579066790939E-4</v>
      </c>
      <c r="G1003" s="4">
        <v>5.7204152491330262E-5</v>
      </c>
    </row>
    <row r="1004" spans="1:7" x14ac:dyDescent="0.35">
      <c r="A1004" s="3">
        <v>43098</v>
      </c>
      <c r="B1004" s="4">
        <v>1.6409084334365609E-2</v>
      </c>
      <c r="C1004" s="4">
        <v>-1.2788321767196575E-2</v>
      </c>
      <c r="D1004" s="4">
        <v>2.5342450896848057E-4</v>
      </c>
      <c r="E1004" s="4">
        <v>2.7309036644096452E-4</v>
      </c>
      <c r="F1004" s="4">
        <v>4.9497141518546339E-3</v>
      </c>
      <c r="G1004" s="4">
        <v>-8.0728768020665864E-4</v>
      </c>
    </row>
    <row r="1005" spans="1:7" x14ac:dyDescent="0.35">
      <c r="A1005" s="3">
        <v>43102</v>
      </c>
      <c r="B1005" s="4">
        <v>1.7438069980768578E-3</v>
      </c>
      <c r="C1005" s="4">
        <v>-4.8801419037234339E-3</v>
      </c>
      <c r="D1005" s="4">
        <v>2.1515480798028896E-4</v>
      </c>
      <c r="E1005" s="4">
        <v>3.5438768524187481E-4</v>
      </c>
      <c r="F1005" s="4">
        <v>-1.4773641196825782E-3</v>
      </c>
      <c r="G1005" s="4">
        <v>-1.2609616139025448E-4</v>
      </c>
    </row>
    <row r="1006" spans="1:7" x14ac:dyDescent="0.35">
      <c r="A1006" s="3">
        <v>43103</v>
      </c>
      <c r="B1006" s="4">
        <v>1.0985497420038515E-2</v>
      </c>
      <c r="C1006" s="4">
        <v>-4.096189022603558E-3</v>
      </c>
      <c r="D1006" s="4">
        <v>2.6196223055441337E-4</v>
      </c>
      <c r="E1006" s="4">
        <v>2.9183967778489972E-4</v>
      </c>
      <c r="F1006" s="4">
        <v>3.4675009742011209E-3</v>
      </c>
      <c r="G1006" s="4">
        <v>-1.0321397036789914E-3</v>
      </c>
    </row>
    <row r="1007" spans="1:7" x14ac:dyDescent="0.35">
      <c r="A1007" s="3">
        <v>43104</v>
      </c>
      <c r="B1007" s="4">
        <v>7.0677182622880252E-5</v>
      </c>
      <c r="C1007" s="4">
        <v>1.2113496630679066E-3</v>
      </c>
      <c r="D1007" s="4">
        <v>2.5751310113331094E-4</v>
      </c>
      <c r="E1007" s="4">
        <v>3.7061514169467458E-4</v>
      </c>
      <c r="F1007" s="4">
        <v>-5.0845082433292887E-4</v>
      </c>
      <c r="G1007" s="4">
        <v>5.789969603364753E-4</v>
      </c>
    </row>
    <row r="1008" spans="1:7" x14ac:dyDescent="0.35">
      <c r="A1008" s="3">
        <v>43105</v>
      </c>
      <c r="B1008" s="4">
        <v>8.5946838947426052E-4</v>
      </c>
      <c r="C1008" s="4">
        <v>7.2082628350211841E-4</v>
      </c>
      <c r="D1008" s="4">
        <v>2.6966054569599329E-4</v>
      </c>
      <c r="E1008" s="4">
        <v>3.0329778930848761E-4</v>
      </c>
      <c r="F1008" s="4">
        <v>-3.1705905648206079E-3</v>
      </c>
      <c r="G1008" s="4">
        <v>-2.2406763870230773E-4</v>
      </c>
    </row>
    <row r="1009" spans="1:7" x14ac:dyDescent="0.35">
      <c r="A1009" s="3">
        <v>43108</v>
      </c>
      <c r="B1009" s="4">
        <v>-6.1895634207987937E-3</v>
      </c>
      <c r="C1009" s="4">
        <v>4.9817447552904515E-3</v>
      </c>
      <c r="D1009" s="4">
        <v>2.3807733376890461E-4</v>
      </c>
      <c r="E1009" s="4">
        <v>3.2084372490381874E-4</v>
      </c>
      <c r="F1009" s="4">
        <v>5.4263234859974752E-4</v>
      </c>
      <c r="G1009" s="4">
        <v>-1.2970432070115168E-3</v>
      </c>
    </row>
    <row r="1010" spans="1:7" x14ac:dyDescent="0.35">
      <c r="A1010" s="3">
        <v>43109</v>
      </c>
      <c r="B1010" s="4">
        <v>-5.3368359156789058E-3</v>
      </c>
      <c r="C1010" s="4">
        <v>-5.1109958112484088E-3</v>
      </c>
      <c r="D1010" s="4">
        <v>2.5422108921779873E-4</v>
      </c>
      <c r="E1010" s="4">
        <v>2.7767980558657257E-4</v>
      </c>
      <c r="F1010" s="4">
        <v>3.6809383483971114E-3</v>
      </c>
      <c r="G1010" s="4">
        <v>-4.6396337252119224E-5</v>
      </c>
    </row>
    <row r="1011" spans="1:7" x14ac:dyDescent="0.35">
      <c r="A1011" s="3">
        <v>43110</v>
      </c>
      <c r="B1011" s="4">
        <v>2.0524595314287852E-2</v>
      </c>
      <c r="C1011" s="4">
        <v>-2.7470902763264693E-3</v>
      </c>
      <c r="D1011" s="4">
        <v>2.5409655489716521E-4</v>
      </c>
      <c r="E1011" s="4">
        <v>2.775401656491816E-4</v>
      </c>
      <c r="F1011" s="4">
        <v>4.0166905366283423E-3</v>
      </c>
      <c r="G1011" s="4">
        <v>1.7781010982234058E-3</v>
      </c>
    </row>
    <row r="1012" spans="1:7" x14ac:dyDescent="0.35">
      <c r="A1012" s="3">
        <v>43111</v>
      </c>
      <c r="B1012" s="4">
        <v>-6.5440100114244615E-4</v>
      </c>
      <c r="C1012" s="4">
        <v>-4.1423289243669448E-3</v>
      </c>
      <c r="D1012" s="4">
        <v>2.4041039956035348E-4</v>
      </c>
      <c r="E1012" s="4">
        <v>3.080082280875196E-4</v>
      </c>
      <c r="F1012" s="4">
        <v>4.8465120109657533E-3</v>
      </c>
      <c r="G1012" s="4">
        <v>-6.1939966134361146E-4</v>
      </c>
    </row>
    <row r="1013" spans="1:7" x14ac:dyDescent="0.35">
      <c r="A1013" s="3">
        <v>43112</v>
      </c>
      <c r="B1013" s="4">
        <v>4.9643223294544292E-3</v>
      </c>
      <c r="C1013" s="4">
        <v>-2.1262480835282371E-3</v>
      </c>
      <c r="D1013" s="4">
        <v>2.6767283577422418E-4</v>
      </c>
      <c r="E1013" s="4">
        <v>2.8521480160659252E-4</v>
      </c>
      <c r="F1013" s="4">
        <v>4.4233056702325246E-3</v>
      </c>
      <c r="G1013" s="4">
        <v>1.9868635615649666E-5</v>
      </c>
    </row>
    <row r="1014" spans="1:7" x14ac:dyDescent="0.35">
      <c r="A1014" s="3">
        <v>43115</v>
      </c>
      <c r="B1014" s="4">
        <v>-1.046967575080382E-3</v>
      </c>
      <c r="C1014" s="4">
        <v>7.0067056353670942E-3</v>
      </c>
      <c r="D1014" s="4">
        <v>2.4662291132071523E-4</v>
      </c>
      <c r="E1014" s="4">
        <v>3.0766330055342905E-4</v>
      </c>
      <c r="F1014" s="4">
        <v>-4.8879685392555494E-4</v>
      </c>
      <c r="G1014" s="4">
        <v>7.8368279300811139E-4</v>
      </c>
    </row>
    <row r="1015" spans="1:7" x14ac:dyDescent="0.35">
      <c r="A1015" s="3">
        <v>43116</v>
      </c>
      <c r="B1015" s="4">
        <v>1.6567909786287638E-2</v>
      </c>
      <c r="C1015" s="4">
        <v>-2.7472876690343151E-3</v>
      </c>
      <c r="D1015" s="4">
        <v>2.6607168687831084E-4</v>
      </c>
      <c r="E1015" s="4">
        <v>5.9147215041188694E-4</v>
      </c>
      <c r="F1015" s="4">
        <v>9.1174888541689647E-4</v>
      </c>
      <c r="G1015" s="4">
        <v>1.1883215839985084E-3</v>
      </c>
    </row>
    <row r="1016" spans="1:7" x14ac:dyDescent="0.35">
      <c r="A1016" s="3">
        <v>43117</v>
      </c>
      <c r="B1016" s="4">
        <v>-6.4351889550138264E-3</v>
      </c>
      <c r="C1016" s="4">
        <v>-1.470030635589703E-3</v>
      </c>
      <c r="D1016" s="4">
        <v>2.4962575186981972E-4</v>
      </c>
      <c r="E1016" s="4">
        <v>3.2670898649933555E-4</v>
      </c>
      <c r="F1016" s="4">
        <v>2.2483446736811796E-3</v>
      </c>
      <c r="G1016" s="4">
        <v>1.1825549714588046E-3</v>
      </c>
    </row>
    <row r="1017" spans="1:7" x14ac:dyDescent="0.35">
      <c r="A1017" s="3">
        <v>43118</v>
      </c>
      <c r="B1017" s="4">
        <v>5.4303432959623699E-4</v>
      </c>
      <c r="C1017" s="4">
        <v>-3.5338440955841044E-3</v>
      </c>
      <c r="D1017" s="4">
        <v>2.7960187434383776E-4</v>
      </c>
      <c r="E1017" s="4">
        <v>2.2306932224958054E-4</v>
      </c>
      <c r="F1017" s="4">
        <v>3.2227504720809819E-3</v>
      </c>
      <c r="G1017" s="4">
        <v>-1.8776785940366469E-4</v>
      </c>
    </row>
    <row r="1018" spans="1:7" x14ac:dyDescent="0.35">
      <c r="A1018" s="3">
        <v>43119</v>
      </c>
      <c r="B1018" s="4">
        <v>5.3974790997073363E-3</v>
      </c>
      <c r="C1018" s="4">
        <v>3.3607877547980891E-4</v>
      </c>
      <c r="D1018" s="4">
        <v>2.6807874015966071E-4</v>
      </c>
      <c r="E1018" s="4">
        <v>3.0002351740865407E-4</v>
      </c>
      <c r="F1018" s="4">
        <v>7.4938956201142659E-5</v>
      </c>
      <c r="G1018" s="4">
        <v>1.2540050037590511E-4</v>
      </c>
    </row>
    <row r="1019" spans="1:7" x14ac:dyDescent="0.35">
      <c r="A1019" s="3">
        <v>43122</v>
      </c>
      <c r="B1019" s="4">
        <v>-1.0794958587374559E-2</v>
      </c>
      <c r="C1019" s="4">
        <v>1.1776526955427746E-2</v>
      </c>
      <c r="D1019" s="4">
        <v>2.7213568689199441E-4</v>
      </c>
      <c r="E1019" s="4">
        <v>2.3855078268053553E-4</v>
      </c>
      <c r="F1019" s="4">
        <v>-1.0954437492436409E-3</v>
      </c>
      <c r="G1019" s="4">
        <v>1.5927098213988078E-3</v>
      </c>
    </row>
    <row r="1020" spans="1:7" x14ac:dyDescent="0.35">
      <c r="A1020" s="3">
        <v>43123</v>
      </c>
      <c r="B1020" s="4">
        <v>4.4137912715491723E-2</v>
      </c>
      <c r="C1020" s="4">
        <v>-1.7804289126875261E-2</v>
      </c>
      <c r="D1020" s="4">
        <v>2.5164495839202772E-4</v>
      </c>
      <c r="E1020" s="4">
        <v>3.3628083897419003E-4</v>
      </c>
      <c r="F1020" s="4">
        <v>4.2243542197204498E-3</v>
      </c>
      <c r="G1020" s="4">
        <v>4.1577537687502719E-3</v>
      </c>
    </row>
    <row r="1021" spans="1:7" x14ac:dyDescent="0.35">
      <c r="A1021" s="3">
        <v>43124</v>
      </c>
      <c r="B1021" s="4">
        <v>-1.1843567355229734E-4</v>
      </c>
      <c r="C1021" s="4">
        <v>2.26410585494774E-4</v>
      </c>
      <c r="D1021" s="4">
        <v>2.2094058295962782E-4</v>
      </c>
      <c r="E1021" s="4">
        <v>2.920182694368112E-4</v>
      </c>
      <c r="F1021" s="4">
        <v>1.7084056730154451E-4</v>
      </c>
      <c r="G1021" s="4">
        <v>3.1392473208535776E-4</v>
      </c>
    </row>
    <row r="1022" spans="1:7" x14ac:dyDescent="0.35">
      <c r="A1022" s="3">
        <v>43125</v>
      </c>
      <c r="B1022" s="4">
        <v>2.6433033542448747E-2</v>
      </c>
      <c r="C1022" s="4">
        <v>-1.0603801948103508E-2</v>
      </c>
      <c r="D1022" s="4">
        <v>2.6956829627433621E-4</v>
      </c>
      <c r="E1022" s="4">
        <v>2.7287636320871833E-4</v>
      </c>
      <c r="F1022" s="4">
        <v>6.2832721466365982E-3</v>
      </c>
      <c r="G1022" s="4">
        <v>9.7062005474723989E-4</v>
      </c>
    </row>
    <row r="1023" spans="1:7" x14ac:dyDescent="0.35">
      <c r="A1023" s="3">
        <v>43126</v>
      </c>
      <c r="B1023" s="4">
        <v>-8.5417227319978251E-3</v>
      </c>
      <c r="C1023" s="4">
        <v>6.8853397967043595E-3</v>
      </c>
      <c r="D1023" s="4">
        <v>2.3856010134903904E-4</v>
      </c>
      <c r="E1023" s="4">
        <v>3.235149092677414E-4</v>
      </c>
      <c r="F1023" s="4">
        <v>1.8629683369495442E-3</v>
      </c>
      <c r="G1023" s="4">
        <v>1.464674467428484E-3</v>
      </c>
    </row>
    <row r="1024" spans="1:7" x14ac:dyDescent="0.35">
      <c r="A1024" s="3">
        <v>43129</v>
      </c>
      <c r="B1024" s="4">
        <v>-1.7120269000655552E-3</v>
      </c>
      <c r="C1024" s="4">
        <v>3.1885441553423099E-3</v>
      </c>
      <c r="D1024" s="4">
        <v>2.7525920678428406E-4</v>
      </c>
      <c r="E1024" s="4">
        <v>1.602945902590136E-4</v>
      </c>
      <c r="F1024" s="4">
        <v>-1.0453077101788555E-3</v>
      </c>
      <c r="G1024" s="4">
        <v>-2.8760367989710822E-4</v>
      </c>
    </row>
    <row r="1025" spans="1:7" x14ac:dyDescent="0.35">
      <c r="A1025" s="3">
        <v>43130</v>
      </c>
      <c r="B1025" s="4">
        <v>7.7141148482284816E-3</v>
      </c>
      <c r="C1025" s="4">
        <v>2.3824556620777315E-3</v>
      </c>
      <c r="D1025" s="4">
        <v>2.5481376927194432E-4</v>
      </c>
      <c r="E1025" s="4">
        <v>3.0937911788475603E-4</v>
      </c>
      <c r="F1025" s="4">
        <v>3.4377420250699675E-3</v>
      </c>
      <c r="G1025" s="4">
        <v>1.9413204467988443E-4</v>
      </c>
    </row>
    <row r="1026" spans="1:7" x14ac:dyDescent="0.35">
      <c r="A1026" s="3">
        <v>43131</v>
      </c>
      <c r="B1026" s="4">
        <v>9.3934940469391215E-3</v>
      </c>
      <c r="C1026" s="4">
        <v>-4.343160980424865E-3</v>
      </c>
      <c r="D1026" s="4">
        <v>2.5085979651784385E-4</v>
      </c>
      <c r="E1026" s="4">
        <v>2.41166410807514E-4</v>
      </c>
      <c r="F1026" s="4">
        <v>3.5581258478902811E-3</v>
      </c>
      <c r="G1026" s="4">
        <v>6.5809801324268058E-4</v>
      </c>
    </row>
    <row r="1027" spans="1:7" x14ac:dyDescent="0.35">
      <c r="A1027" s="3">
        <v>43132</v>
      </c>
      <c r="B1027" s="4">
        <v>-1.1591441061184704E-2</v>
      </c>
      <c r="C1027" s="4">
        <v>1.433349098167902E-2</v>
      </c>
      <c r="D1027" s="4">
        <v>2.7089816723524507E-4</v>
      </c>
      <c r="E1027" s="4">
        <v>3.2630218689622126E-4</v>
      </c>
      <c r="F1027" s="4">
        <v>2.9371372274762386E-3</v>
      </c>
      <c r="G1027" s="4">
        <v>2.5633233440847114E-4</v>
      </c>
    </row>
    <row r="1028" spans="1:7" x14ac:dyDescent="0.35">
      <c r="A1028" s="3">
        <v>43133</v>
      </c>
      <c r="B1028" s="4">
        <v>-2.8320914489090909E-2</v>
      </c>
      <c r="C1028" s="4">
        <v>7.2260140356770197E-3</v>
      </c>
      <c r="D1028" s="4">
        <v>3.0152380127668188E-4</v>
      </c>
      <c r="E1028" s="4">
        <v>2.6904901565028005E-4</v>
      </c>
      <c r="F1028" s="4">
        <v>-5.123175288325732E-3</v>
      </c>
      <c r="G1028" s="4">
        <v>9.3445643670020395E-4</v>
      </c>
    </row>
    <row r="1029" spans="1:7" x14ac:dyDescent="0.35">
      <c r="A1029" s="3">
        <v>43136</v>
      </c>
      <c r="B1029" s="4">
        <v>2.5411440782831862E-2</v>
      </c>
      <c r="C1029" s="4">
        <v>7.4416324269122036E-4</v>
      </c>
      <c r="D1029" s="4">
        <v>2.687428024363836E-4</v>
      </c>
      <c r="E1029" s="4">
        <v>2.5832152973981337E-4</v>
      </c>
      <c r="F1029" s="4">
        <v>-3.5896119469304155E-3</v>
      </c>
      <c r="G1029" s="4">
        <v>-3.5167561231563838E-4</v>
      </c>
    </row>
    <row r="1030" spans="1:7" x14ac:dyDescent="0.35">
      <c r="A1030" s="3">
        <v>43137</v>
      </c>
      <c r="B1030" s="4">
        <v>-1.181876287083905E-2</v>
      </c>
      <c r="C1030" s="4">
        <v>9.1092891015520649E-3</v>
      </c>
      <c r="D1030" s="4">
        <v>2.3592424736129658E-4</v>
      </c>
      <c r="E1030" s="4">
        <v>3.3115382417459038E-4</v>
      </c>
      <c r="F1030" s="4">
        <v>5.7885963865134116E-5</v>
      </c>
      <c r="G1030" s="4">
        <v>1.280256794283563E-3</v>
      </c>
    </row>
    <row r="1031" spans="1:7" x14ac:dyDescent="0.35">
      <c r="A1031" s="3">
        <v>43138</v>
      </c>
      <c r="B1031" s="4">
        <v>-1.4075603344184895E-2</v>
      </c>
      <c r="C1031" s="4">
        <v>8.2431552554644849E-3</v>
      </c>
      <c r="D1031" s="4">
        <v>2.4747393149748831E-4</v>
      </c>
      <c r="E1031" s="4">
        <v>2.2930531732989756E-4</v>
      </c>
      <c r="F1031" s="4">
        <v>-1.2243601907825363E-3</v>
      </c>
      <c r="G1031" s="4">
        <v>8.4225222520073473E-4</v>
      </c>
    </row>
    <row r="1032" spans="1:7" x14ac:dyDescent="0.35">
      <c r="A1032" s="3">
        <v>43139</v>
      </c>
      <c r="B1032" s="4">
        <v>-8.3243220917291749E-3</v>
      </c>
      <c r="C1032" s="4">
        <v>4.4535285491418275E-3</v>
      </c>
      <c r="D1032" s="4">
        <v>2.395246884854263E-4</v>
      </c>
      <c r="E1032" s="4">
        <v>2.7997789480571633E-4</v>
      </c>
      <c r="F1032" s="4">
        <v>-5.2294868333068179E-3</v>
      </c>
      <c r="G1032" s="4">
        <v>8.1192297127508084E-4</v>
      </c>
    </row>
    <row r="1033" spans="1:7" x14ac:dyDescent="0.35">
      <c r="A1033" s="3">
        <v>43140</v>
      </c>
      <c r="B1033" s="4">
        <v>2.9993839759220542E-2</v>
      </c>
      <c r="C1033" s="4">
        <v>-2.0742666141302157E-2</v>
      </c>
      <c r="D1033" s="4">
        <v>2.5389171694167878E-4</v>
      </c>
      <c r="E1033" s="4">
        <v>2.2781840356844718E-4</v>
      </c>
      <c r="F1033" s="4">
        <v>1.2688534600533874E-2</v>
      </c>
      <c r="G1033" s="4">
        <v>-2.0079432379042084E-3</v>
      </c>
    </row>
    <row r="1034" spans="1:7" x14ac:dyDescent="0.35">
      <c r="A1034" s="3">
        <v>43145</v>
      </c>
      <c r="B1034" s="4">
        <v>6.4821882693324451E-3</v>
      </c>
      <c r="C1034" s="4">
        <v>-2.2046089826597282E-3</v>
      </c>
      <c r="D1034" s="4">
        <v>2.1065775794126829E-4</v>
      </c>
      <c r="E1034" s="4">
        <v>2.8539757824130874E-4</v>
      </c>
      <c r="F1034" s="4">
        <v>2.4955554964489757E-3</v>
      </c>
      <c r="G1034" s="4">
        <v>1.680757125557264E-4</v>
      </c>
    </row>
    <row r="1035" spans="1:7" x14ac:dyDescent="0.35">
      <c r="A1035" s="3">
        <v>43146</v>
      </c>
      <c r="B1035" s="4">
        <v>1.1632578740403909E-2</v>
      </c>
      <c r="C1035" s="4">
        <v>-8.4261880999640937E-3</v>
      </c>
      <c r="D1035" s="4">
        <v>2.3679546353916336E-4</v>
      </c>
      <c r="E1035" s="4">
        <v>2.487670796420538E-4</v>
      </c>
      <c r="F1035" s="4">
        <v>-1.7311163614123215E-3</v>
      </c>
      <c r="G1035" s="4">
        <v>7.2056920251895029E-4</v>
      </c>
    </row>
    <row r="1036" spans="1:7" x14ac:dyDescent="0.35">
      <c r="A1036" s="3">
        <v>43147</v>
      </c>
      <c r="B1036" s="4">
        <v>1.1617918553324058E-2</v>
      </c>
      <c r="C1036" s="4">
        <v>7.511882926148461E-3</v>
      </c>
      <c r="D1036" s="4">
        <v>2.3113805962826639E-4</v>
      </c>
      <c r="E1036" s="4">
        <v>2.7930326062475253E-4</v>
      </c>
      <c r="F1036" s="4">
        <v>7.5968363323020149E-4</v>
      </c>
      <c r="G1036" s="4">
        <v>5.0562146781141237E-4</v>
      </c>
    </row>
    <row r="1037" spans="1:7" x14ac:dyDescent="0.35">
      <c r="A1037" s="3">
        <v>43150</v>
      </c>
      <c r="B1037" s="4">
        <v>6.0915677669890478E-3</v>
      </c>
      <c r="C1037" s="4">
        <v>4.9883444989351489E-3</v>
      </c>
      <c r="D1037" s="4">
        <v>2.504055570320407E-4</v>
      </c>
      <c r="E1037" s="4">
        <v>2.798420386458389E-4</v>
      </c>
      <c r="F1037" s="4">
        <v>5.9086170535005422E-4</v>
      </c>
      <c r="G1037" s="4">
        <v>2.2899462647383295E-3</v>
      </c>
    </row>
    <row r="1038" spans="1:7" x14ac:dyDescent="0.35">
      <c r="A1038" s="3">
        <v>43151</v>
      </c>
      <c r="B1038" s="4">
        <v>4.8567245064705666E-3</v>
      </c>
      <c r="C1038" s="4">
        <v>6.9390055034657117E-4</v>
      </c>
      <c r="D1038" s="4">
        <v>2.3129619807482626E-4</v>
      </c>
      <c r="E1038" s="4">
        <v>2.6208310402320301E-4</v>
      </c>
      <c r="F1038" s="4">
        <v>5.4954827224151792E-4</v>
      </c>
      <c r="G1038" s="4">
        <v>1.0860589999639458E-3</v>
      </c>
    </row>
    <row r="1039" spans="1:7" x14ac:dyDescent="0.35">
      <c r="A1039" s="3">
        <v>43152</v>
      </c>
      <c r="B1039" s="4">
        <v>4.3262706669386919E-3</v>
      </c>
      <c r="C1039" s="4">
        <v>-1.7701895054131889E-3</v>
      </c>
      <c r="D1039" s="4">
        <v>2.4144404957016086E-4</v>
      </c>
      <c r="E1039" s="4">
        <v>2.5784130959016771E-4</v>
      </c>
      <c r="F1039" s="4">
        <v>-9.9185236051835268E-4</v>
      </c>
      <c r="G1039" s="4">
        <v>6.3277323387800344E-4</v>
      </c>
    </row>
    <row r="1040" spans="1:7" x14ac:dyDescent="0.35">
      <c r="A1040" s="3">
        <v>43153</v>
      </c>
      <c r="B1040" s="4">
        <v>1.2594418105299932E-2</v>
      </c>
      <c r="C1040" s="4">
        <v>-2.0278939361773052E-3</v>
      </c>
      <c r="D1040" s="4">
        <v>2.4818322298503226E-4</v>
      </c>
      <c r="E1040" s="4">
        <v>3.15220635010105E-4</v>
      </c>
      <c r="F1040" s="4">
        <v>-3.6758903201625781E-3</v>
      </c>
      <c r="G1040" s="4">
        <v>-3.411903507986036E-4</v>
      </c>
    </row>
    <row r="1041" spans="1:7" x14ac:dyDescent="0.35">
      <c r="A1041" s="3">
        <v>43154</v>
      </c>
      <c r="B1041" s="4">
        <v>6.5880216019793547E-3</v>
      </c>
      <c r="C1041" s="4">
        <v>-2.1161744183761932E-5</v>
      </c>
      <c r="D1041" s="4">
        <v>2.3635998197635288E-4</v>
      </c>
      <c r="E1041" s="4">
        <v>2.7268782690859084E-4</v>
      </c>
      <c r="F1041" s="4">
        <v>-2.9042792679789819E-4</v>
      </c>
      <c r="G1041" s="4">
        <v>5.2338816596164683E-4</v>
      </c>
    </row>
    <row r="1042" spans="1:7" x14ac:dyDescent="0.35">
      <c r="A1042" s="3">
        <v>43157</v>
      </c>
      <c r="B1042" s="4">
        <v>-6.3851899969893378E-3</v>
      </c>
      <c r="C1042" s="4">
        <v>1.691710762385723E-3</v>
      </c>
      <c r="D1042" s="4">
        <v>2.2823691799866985E-4</v>
      </c>
      <c r="E1042" s="4">
        <v>2.363662901156971E-4</v>
      </c>
      <c r="F1042" s="4">
        <v>2.0454030646379628E-3</v>
      </c>
      <c r="G1042" s="4">
        <v>8.5412019953823304E-5</v>
      </c>
    </row>
    <row r="1043" spans="1:7" x14ac:dyDescent="0.35">
      <c r="A1043" s="3">
        <v>43158</v>
      </c>
      <c r="B1043" s="4">
        <v>-1.5184626696277181E-2</v>
      </c>
      <c r="C1043" s="4">
        <v>-1.3134783073743828E-3</v>
      </c>
      <c r="D1043" s="4">
        <v>2.4549856139111093E-4</v>
      </c>
      <c r="E1043" s="4">
        <v>2.6037711518478446E-4</v>
      </c>
      <c r="F1043" s="4">
        <v>-1.7475079266038307E-3</v>
      </c>
      <c r="G1043" s="4">
        <v>8.6708857809436601E-4</v>
      </c>
    </row>
    <row r="1044" spans="1:7" x14ac:dyDescent="0.35">
      <c r="A1044" s="3">
        <v>43159</v>
      </c>
      <c r="B1044" s="4">
        <v>3.6726206472297296E-3</v>
      </c>
      <c r="C1044" s="4">
        <v>7.4538421888841189E-3</v>
      </c>
      <c r="D1044" s="4">
        <v>2.364230879925433E-4</v>
      </c>
      <c r="E1044" s="4">
        <v>2.4357345753966975E-4</v>
      </c>
      <c r="F1044" s="4">
        <v>-4.7385615972977968E-3</v>
      </c>
      <c r="G1044" s="4">
        <v>2.7834385898861669E-4</v>
      </c>
    </row>
    <row r="1045" spans="1:7" x14ac:dyDescent="0.35">
      <c r="A1045" s="3">
        <v>43160</v>
      </c>
      <c r="B1045" s="4">
        <v>3.4230700213786491E-3</v>
      </c>
      <c r="C1045" s="4">
        <v>-2.3873310516923096E-3</v>
      </c>
      <c r="D1045" s="4">
        <v>2.4433333428741655E-4</v>
      </c>
      <c r="E1045" s="4">
        <v>2.5285477852188265E-4</v>
      </c>
      <c r="F1045" s="4">
        <v>3.3440476762938154E-3</v>
      </c>
      <c r="G1045" s="4">
        <v>3.216827419383339E-4</v>
      </c>
    </row>
    <row r="1046" spans="1:7" x14ac:dyDescent="0.35">
      <c r="A1046" s="3">
        <v>43161</v>
      </c>
      <c r="B1046" s="4">
        <v>1.1970921807524348E-2</v>
      </c>
      <c r="C1046" s="4">
        <v>-2.6132139908954244E-3</v>
      </c>
      <c r="D1046" s="4">
        <v>2.2312007984348625E-4</v>
      </c>
      <c r="E1046" s="4">
        <v>2.4519512851228775E-4</v>
      </c>
      <c r="F1046" s="4">
        <v>1.148631571265657E-3</v>
      </c>
      <c r="G1046" s="4">
        <v>1.3909426873288666E-3</v>
      </c>
    </row>
    <row r="1047" spans="1:7" x14ac:dyDescent="0.35">
      <c r="A1047" s="3">
        <v>43164</v>
      </c>
      <c r="B1047" s="4">
        <v>-8.4784858138837738E-3</v>
      </c>
      <c r="C1047" s="4">
        <v>-1.0653843754572678E-2</v>
      </c>
      <c r="D1047" s="4">
        <v>2.2637810039172201E-4</v>
      </c>
      <c r="E1047" s="4">
        <v>3.053059631228372E-4</v>
      </c>
      <c r="F1047" s="4">
        <v>4.4821580702549824E-3</v>
      </c>
      <c r="G1047" s="4">
        <v>7.3697829058883002E-4</v>
      </c>
    </row>
    <row r="1048" spans="1:7" x14ac:dyDescent="0.35">
      <c r="A1048" s="3">
        <v>43165</v>
      </c>
      <c r="B1048" s="4">
        <v>-5.8366787544883447E-4</v>
      </c>
      <c r="C1048" s="4">
        <v>8.9258994838350425E-3</v>
      </c>
      <c r="D1048" s="4">
        <v>2.4036524573189944E-4</v>
      </c>
      <c r="E1048" s="4">
        <v>2.6005189610689428E-4</v>
      </c>
      <c r="F1048" s="4">
        <v>-1.7227697758437355E-4</v>
      </c>
      <c r="G1048" s="4">
        <v>2.761331833720515E-4</v>
      </c>
    </row>
    <row r="1049" spans="1:7" x14ac:dyDescent="0.35">
      <c r="A1049" s="3">
        <v>43166</v>
      </c>
      <c r="B1049" s="4">
        <v>-1.0612940547679584E-2</v>
      </c>
      <c r="C1049" s="4">
        <v>6.141496588890405E-3</v>
      </c>
      <c r="D1049" s="4">
        <v>2.5262011541005158E-4</v>
      </c>
      <c r="E1049" s="4">
        <v>2.4831387722890064E-4</v>
      </c>
      <c r="F1049" s="4">
        <v>-2.4276385556250002E-3</v>
      </c>
      <c r="G1049" s="4">
        <v>4.4470203969848576E-4</v>
      </c>
    </row>
    <row r="1050" spans="1:7" x14ac:dyDescent="0.35">
      <c r="A1050" s="3">
        <v>43167</v>
      </c>
      <c r="B1050" s="4">
        <v>1.6114735680648584E-2</v>
      </c>
      <c r="C1050" s="4">
        <v>-3.0489063233185565E-3</v>
      </c>
      <c r="D1050" s="4">
        <v>2.4645222785313337E-4</v>
      </c>
      <c r="E1050" s="4">
        <v>2.6062416672001376E-4</v>
      </c>
      <c r="F1050" s="4">
        <v>1.0590923210760383E-3</v>
      </c>
      <c r="G1050" s="4">
        <v>3.3504579772913878E-4</v>
      </c>
    </row>
    <row r="1051" spans="1:7" x14ac:dyDescent="0.35">
      <c r="A1051" s="3">
        <v>43168</v>
      </c>
      <c r="B1051" s="4">
        <v>6.6071185755278705E-3</v>
      </c>
      <c r="C1051" s="4">
        <v>1.9895622420795789E-3</v>
      </c>
      <c r="D1051" s="4">
        <v>2.5426467819866794E-4</v>
      </c>
      <c r="E1051" s="4">
        <v>2.2191366907575727E-4</v>
      </c>
      <c r="F1051" s="4">
        <v>-6.6760251204778243E-4</v>
      </c>
      <c r="G1051" s="4">
        <v>-1.3691699980000749E-4</v>
      </c>
    </row>
    <row r="1052" spans="1:7" x14ac:dyDescent="0.35">
      <c r="A1052" s="3">
        <v>43171</v>
      </c>
      <c r="B1052" s="4">
        <v>-6.9922888534982297E-3</v>
      </c>
      <c r="C1052" s="4">
        <v>-1.0169661773984373E-4</v>
      </c>
      <c r="D1052" s="4">
        <v>2.3960541021028625E-4</v>
      </c>
      <c r="E1052" s="4">
        <v>2.9190128238520963E-4</v>
      </c>
      <c r="F1052" s="4">
        <v>1.4690888005921554E-3</v>
      </c>
      <c r="G1052" s="4">
        <v>2.3470696904204225E-4</v>
      </c>
    </row>
    <row r="1053" spans="1:7" x14ac:dyDescent="0.35">
      <c r="A1053" s="3">
        <v>43172</v>
      </c>
      <c r="B1053" s="4">
        <v>-4.5812815309103083E-3</v>
      </c>
      <c r="C1053" s="4">
        <v>1.0491791199778167E-3</v>
      </c>
      <c r="D1053" s="4">
        <v>2.4014613467659984E-4</v>
      </c>
      <c r="E1053" s="4">
        <v>3.0486924928396775E-4</v>
      </c>
      <c r="F1053" s="4">
        <v>-3.0343603760730753E-3</v>
      </c>
      <c r="G1053" s="4">
        <v>-2.4828324123771228E-4</v>
      </c>
    </row>
    <row r="1054" spans="1:7" x14ac:dyDescent="0.35">
      <c r="A1054" s="3">
        <v>43173</v>
      </c>
      <c r="B1054" s="4">
        <v>-1.0539363205466667E-2</v>
      </c>
      <c r="C1054" s="4">
        <v>9.2637330597216128E-3</v>
      </c>
      <c r="D1054" s="4">
        <v>2.4547101105154567E-4</v>
      </c>
      <c r="E1054" s="4">
        <v>3.0761306724658155E-4</v>
      </c>
      <c r="F1054" s="4">
        <v>-1.5285201588068897E-3</v>
      </c>
      <c r="G1054" s="4">
        <v>5.6445623178880133E-4</v>
      </c>
    </row>
    <row r="1055" spans="1:7" x14ac:dyDescent="0.35">
      <c r="A1055" s="3">
        <v>43174</v>
      </c>
      <c r="B1055" s="4">
        <v>-1.2652675282165404E-4</v>
      </c>
      <c r="C1055" s="4">
        <v>-3.6474605971125174E-3</v>
      </c>
      <c r="D1055" s="4">
        <v>2.6778248330883159E-4</v>
      </c>
      <c r="E1055" s="4">
        <v>2.4072544976005972E-4</v>
      </c>
      <c r="F1055" s="4">
        <v>3.1488162737749459E-3</v>
      </c>
      <c r="G1055" s="4">
        <v>9.9322993563077944E-7</v>
      </c>
    </row>
    <row r="1056" spans="1:7" x14ac:dyDescent="0.35">
      <c r="A1056" s="3">
        <v>43175</v>
      </c>
      <c r="B1056" s="4">
        <v>-9.3262636520397013E-3</v>
      </c>
      <c r="C1056" s="4">
        <v>1.8064767644738744E-3</v>
      </c>
      <c r="D1056" s="4">
        <v>2.5284266039782288E-4</v>
      </c>
      <c r="E1056" s="4">
        <v>2.3079976200524044E-4</v>
      </c>
      <c r="F1056" s="4">
        <v>1.2874966944356192E-3</v>
      </c>
      <c r="G1056" s="4">
        <v>3.868626756950988E-4</v>
      </c>
    </row>
    <row r="1057" spans="1:7" x14ac:dyDescent="0.35">
      <c r="A1057" s="3">
        <v>43178</v>
      </c>
      <c r="B1057" s="4">
        <v>4.5639901501322022E-3</v>
      </c>
      <c r="C1057" s="4">
        <v>6.062144904303679E-3</v>
      </c>
      <c r="D1057" s="4">
        <v>2.5172242151905166E-4</v>
      </c>
      <c r="E1057" s="4">
        <v>2.9332705828455374E-4</v>
      </c>
      <c r="F1057" s="4">
        <v>-5.2530213561641226E-4</v>
      </c>
      <c r="G1057" s="4">
        <v>3.013246808514225E-5</v>
      </c>
    </row>
    <row r="1058" spans="1:7" x14ac:dyDescent="0.35">
      <c r="A1058" s="3">
        <v>43179</v>
      </c>
      <c r="B1058" s="4">
        <v>1.0361887760032884E-2</v>
      </c>
      <c r="C1058" s="4">
        <v>-8.180736910432862E-3</v>
      </c>
      <c r="D1058" s="4">
        <v>2.6899156630677545E-4</v>
      </c>
      <c r="E1058" s="4">
        <v>3.0059302443086189E-4</v>
      </c>
      <c r="F1058" s="4">
        <v>2.5408506489925653E-3</v>
      </c>
      <c r="G1058" s="4">
        <v>5.8755422570433424E-4</v>
      </c>
    </row>
    <row r="1059" spans="1:7" x14ac:dyDescent="0.35">
      <c r="A1059" s="3">
        <v>43180</v>
      </c>
      <c r="B1059" s="4">
        <v>-6.6266905413017163E-3</v>
      </c>
      <c r="C1059" s="4">
        <v>7.4590053284713242E-3</v>
      </c>
      <c r="D1059" s="4">
        <v>2.353960938277222E-4</v>
      </c>
      <c r="E1059" s="4">
        <v>3.4121289913224828E-4</v>
      </c>
      <c r="F1059" s="4">
        <v>1.5275766698552573E-4</v>
      </c>
      <c r="G1059" s="4">
        <v>8.2497558675775906E-4</v>
      </c>
    </row>
    <row r="1060" spans="1:7" x14ac:dyDescent="0.35">
      <c r="A1060" s="3">
        <v>43181</v>
      </c>
      <c r="B1060" s="4">
        <v>-4.3762876948950646E-3</v>
      </c>
      <c r="C1060" s="4">
        <v>2.5143443372197538E-3</v>
      </c>
      <c r="D1060" s="4">
        <v>2.080938153006251E-4</v>
      </c>
      <c r="E1060" s="4">
        <v>5.5885274715805622E-4</v>
      </c>
      <c r="F1060" s="4">
        <v>3.3540332711012866E-3</v>
      </c>
      <c r="G1060" s="4">
        <v>6.2310000714105307E-4</v>
      </c>
    </row>
    <row r="1061" spans="1:7" x14ac:dyDescent="0.35">
      <c r="A1061" s="3">
        <v>43182</v>
      </c>
      <c r="B1061" s="4">
        <v>7.1929861677917373E-3</v>
      </c>
      <c r="C1061" s="4">
        <v>-2.431255010819533E-3</v>
      </c>
      <c r="D1061" s="4">
        <v>2.5933000132849493E-4</v>
      </c>
      <c r="E1061" s="4">
        <v>3.1995434071241391E-4</v>
      </c>
      <c r="F1061" s="4">
        <v>2.2145455104638501E-3</v>
      </c>
      <c r="G1061" s="4">
        <v>7.1938171902607984E-4</v>
      </c>
    </row>
    <row r="1062" spans="1:7" x14ac:dyDescent="0.35">
      <c r="A1062" s="3">
        <v>43185</v>
      </c>
      <c r="B1062" s="4">
        <v>-1.3625162166699956E-2</v>
      </c>
      <c r="C1062" s="4">
        <v>8.0447150182294536E-3</v>
      </c>
      <c r="D1062" s="4">
        <v>2.1038836555686835E-4</v>
      </c>
      <c r="E1062" s="4">
        <v>1.7372973632667765E-4</v>
      </c>
      <c r="F1062" s="4">
        <v>-4.8650072486118301E-3</v>
      </c>
      <c r="G1062" s="4">
        <v>3.3205050027684813E-4</v>
      </c>
    </row>
    <row r="1063" spans="1:7" x14ac:dyDescent="0.35">
      <c r="A1063" s="3">
        <v>43186</v>
      </c>
      <c r="B1063" s="4">
        <v>-2.9812095217274237E-4</v>
      </c>
      <c r="C1063" s="4">
        <v>2.8575935762020777E-3</v>
      </c>
      <c r="D1063" s="4">
        <v>2.3687484171319717E-4</v>
      </c>
      <c r="E1063" s="4">
        <v>2.7923689546249797E-4</v>
      </c>
      <c r="F1063" s="4">
        <v>-4.082992786289541E-3</v>
      </c>
      <c r="G1063" s="4">
        <v>4.3216049516781041E-4</v>
      </c>
    </row>
    <row r="1064" spans="1:7" x14ac:dyDescent="0.35">
      <c r="A1064" s="3">
        <v>43187</v>
      </c>
      <c r="B1064" s="4">
        <v>1.747199994387727E-2</v>
      </c>
      <c r="C1064" s="4">
        <v>-1.2616941043059549E-2</v>
      </c>
      <c r="D1064" s="4">
        <v>2.4596153123379594E-4</v>
      </c>
      <c r="E1064" s="4">
        <v>2.573662994069803E-4</v>
      </c>
      <c r="F1064" s="4">
        <v>1.7131188972689948E-3</v>
      </c>
      <c r="G1064" s="4">
        <v>-4.5994465173504473E-5</v>
      </c>
    </row>
    <row r="1065" spans="1:7" x14ac:dyDescent="0.35">
      <c r="A1065" s="3">
        <v>43188</v>
      </c>
      <c r="B1065" s="4">
        <v>-8.887827086549005E-3</v>
      </c>
      <c r="C1065" s="4">
        <v>7.1030069331081691E-3</v>
      </c>
      <c r="D1065" s="4">
        <v>2.2999136479295856E-4</v>
      </c>
      <c r="E1065" s="4">
        <v>2.7217413441515959E-4</v>
      </c>
      <c r="F1065" s="4">
        <v>-9.7928666555835431E-4</v>
      </c>
      <c r="G1065" s="4">
        <v>1.0170278624133111E-4</v>
      </c>
    </row>
    <row r="1066" spans="1:7" x14ac:dyDescent="0.35">
      <c r="A1066" s="3">
        <v>43192</v>
      </c>
      <c r="B1066" s="4">
        <v>1.9535969062922653E-4</v>
      </c>
      <c r="C1066" s="4">
        <v>5.2392021947385015E-3</v>
      </c>
      <c r="D1066" s="4">
        <v>2.504256448032649E-4</v>
      </c>
      <c r="E1066" s="4">
        <v>2.6015245824795308E-4</v>
      </c>
      <c r="F1066" s="4">
        <v>2.7203564285387394E-3</v>
      </c>
      <c r="G1066" s="4">
        <v>2.1295405979726567E-5</v>
      </c>
    </row>
    <row r="1067" spans="1:7" x14ac:dyDescent="0.35">
      <c r="A1067" s="3">
        <v>43193</v>
      </c>
      <c r="B1067" s="4">
        <v>-6.2901411787313899E-3</v>
      </c>
      <c r="C1067" s="4">
        <v>1.0354047434215641E-3</v>
      </c>
      <c r="D1067" s="4">
        <v>2.4241022322546435E-4</v>
      </c>
      <c r="E1067" s="4">
        <v>2.5205666319094711E-4</v>
      </c>
      <c r="F1067" s="4">
        <v>-1.6760811838310019E-3</v>
      </c>
      <c r="G1067" s="4">
        <v>2.2835545242383404E-4</v>
      </c>
    </row>
    <row r="1068" spans="1:7" x14ac:dyDescent="0.35">
      <c r="A1068" s="3">
        <v>43194</v>
      </c>
      <c r="B1068" s="4">
        <v>1.7183201730210707E-2</v>
      </c>
      <c r="C1068" s="4">
        <v>4.0338807291173673E-4</v>
      </c>
      <c r="D1068" s="4">
        <v>2.4902941473281537E-4</v>
      </c>
      <c r="E1068" s="4">
        <v>2.7229297953956788E-5</v>
      </c>
      <c r="F1068" s="4">
        <v>5.0798585538369689E-3</v>
      </c>
      <c r="G1068" s="4">
        <v>-5.5835363839462637E-5</v>
      </c>
    </row>
    <row r="1069" spans="1:7" x14ac:dyDescent="0.35">
      <c r="A1069" s="3">
        <v>43195</v>
      </c>
      <c r="B1069" s="4">
        <v>-1.7103433262806167E-3</v>
      </c>
      <c r="C1069" s="4">
        <v>1.1277448323807171E-2</v>
      </c>
      <c r="D1069" s="4">
        <v>2.1261530897009884E-4</v>
      </c>
      <c r="E1069" s="4">
        <v>2.5446254402505808E-4</v>
      </c>
      <c r="F1069" s="4">
        <v>-2.5187514201480132E-3</v>
      </c>
      <c r="G1069" s="4">
        <v>-2.020366183541622E-5</v>
      </c>
    </row>
    <row r="1070" spans="1:7" x14ac:dyDescent="0.35">
      <c r="A1070" s="3">
        <v>43196</v>
      </c>
      <c r="B1070" s="4">
        <v>-1.4323937397760833E-2</v>
      </c>
      <c r="C1070" s="4">
        <v>5.7292110559485909E-3</v>
      </c>
      <c r="D1070" s="4">
        <v>2.4822452526285232E-4</v>
      </c>
      <c r="E1070" s="4">
        <v>1.8765502565587511E-4</v>
      </c>
      <c r="F1070" s="4">
        <v>2.50860038780365E-3</v>
      </c>
      <c r="G1070" s="4">
        <v>1.4648201766651603E-3</v>
      </c>
    </row>
    <row r="1071" spans="1:7" x14ac:dyDescent="0.35">
      <c r="A1071" s="3">
        <v>43199</v>
      </c>
      <c r="B1071" s="4">
        <v>1.663254468347164E-2</v>
      </c>
      <c r="C1071" s="4">
        <v>3.1878634958428798E-3</v>
      </c>
      <c r="D1071" s="4">
        <v>2.3825626373286113E-4</v>
      </c>
      <c r="E1071" s="4">
        <v>2.9026572384927007E-4</v>
      </c>
      <c r="F1071" s="4">
        <v>2.048467754302008E-3</v>
      </c>
      <c r="G1071" s="4">
        <v>-2.3986271035369988E-4</v>
      </c>
    </row>
    <row r="1072" spans="1:7" x14ac:dyDescent="0.35">
      <c r="A1072" s="3">
        <v>43200</v>
      </c>
      <c r="B1072" s="4">
        <v>3.6324230343911523E-3</v>
      </c>
      <c r="C1072" s="4">
        <v>-8.2831947654382621E-3</v>
      </c>
      <c r="D1072" s="4">
        <v>2.3735198690366666E-4</v>
      </c>
      <c r="E1072" s="4">
        <v>2.0753423911923363E-4</v>
      </c>
      <c r="F1072" s="4">
        <v>-5.6347573513693128E-5</v>
      </c>
      <c r="G1072" s="4">
        <v>-5.9567452679443189E-4</v>
      </c>
    </row>
    <row r="1073" spans="1:7" x14ac:dyDescent="0.35">
      <c r="A1073" s="3">
        <v>43201</v>
      </c>
      <c r="B1073" s="4">
        <v>6.7668584427436063E-3</v>
      </c>
      <c r="C1073" s="4">
        <v>6.7028683507206477E-3</v>
      </c>
      <c r="D1073" s="4">
        <v>2.216635350182905E-4</v>
      </c>
      <c r="E1073" s="4">
        <v>3.0555615289618032E-4</v>
      </c>
      <c r="F1073" s="4">
        <v>2.6355326140077295E-3</v>
      </c>
      <c r="G1073" s="4">
        <v>6.5118380355588812E-4</v>
      </c>
    </row>
    <row r="1074" spans="1:7" x14ac:dyDescent="0.35">
      <c r="A1074" s="3">
        <v>43202</v>
      </c>
      <c r="B1074" s="4">
        <v>-8.3753959037321524E-3</v>
      </c>
      <c r="C1074" s="4">
        <v>6.5690586254483208E-3</v>
      </c>
      <c r="D1074" s="4">
        <v>2.2051670433653747E-4</v>
      </c>
      <c r="E1074" s="4">
        <v>2.6542997319434214E-4</v>
      </c>
      <c r="F1074" s="4">
        <v>1.7088968018004191E-3</v>
      </c>
      <c r="G1074" s="4">
        <v>-1.2228941788805514E-4</v>
      </c>
    </row>
    <row r="1075" spans="1:7" x14ac:dyDescent="0.35">
      <c r="A1075" s="3">
        <v>43203</v>
      </c>
      <c r="B1075" s="4">
        <v>-1.6094935612199435E-2</v>
      </c>
      <c r="C1075" s="4">
        <v>-1.0291967507969346E-4</v>
      </c>
      <c r="D1075" s="4">
        <v>2.4349882766649955E-4</v>
      </c>
      <c r="E1075" s="4">
        <v>2.3133018813936701E-4</v>
      </c>
      <c r="F1075" s="4">
        <v>1.9736186859498073E-3</v>
      </c>
      <c r="G1075" s="4">
        <v>1.3929279539670603E-4</v>
      </c>
    </row>
    <row r="1076" spans="1:7" x14ac:dyDescent="0.35">
      <c r="A1076" s="3">
        <v>43206</v>
      </c>
      <c r="B1076" s="4">
        <v>1.9369318153387605E-2</v>
      </c>
      <c r="C1076" s="4">
        <v>-5.5589477032019774E-3</v>
      </c>
      <c r="D1076" s="4">
        <v>2.2361111834534597E-4</v>
      </c>
      <c r="E1076" s="4">
        <v>1.8517300256215563E-4</v>
      </c>
      <c r="F1076" s="4">
        <v>-1.9937945265765533E-3</v>
      </c>
      <c r="G1076" s="4">
        <v>-1.3443084737685407E-4</v>
      </c>
    </row>
    <row r="1077" spans="1:7" x14ac:dyDescent="0.35">
      <c r="A1077" s="3">
        <v>43207</v>
      </c>
      <c r="B1077" s="4">
        <v>1.770948991868293E-2</v>
      </c>
      <c r="C1077" s="4">
        <v>-7.4908441913891233E-3</v>
      </c>
      <c r="D1077" s="4">
        <v>2.2636865601577405E-4</v>
      </c>
      <c r="E1077" s="4">
        <v>2.818619376263598E-4</v>
      </c>
      <c r="F1077" s="4">
        <v>2.9904459230440938E-3</v>
      </c>
      <c r="G1077" s="4">
        <v>-7.4253413722447092E-4</v>
      </c>
    </row>
    <row r="1078" spans="1:7" x14ac:dyDescent="0.35">
      <c r="A1078" s="3">
        <v>43208</v>
      </c>
      <c r="B1078" s="4">
        <v>3.8973440408844873E-3</v>
      </c>
      <c r="C1078" s="4">
        <v>3.8519084777024482E-3</v>
      </c>
      <c r="D1078" s="4">
        <v>2.1905094132845804E-4</v>
      </c>
      <c r="E1078" s="4">
        <v>9.195604962908277E-5</v>
      </c>
      <c r="F1078" s="4">
        <v>2.6829924845741537E-3</v>
      </c>
      <c r="G1078" s="4">
        <v>-1.1680077523212873E-4</v>
      </c>
    </row>
    <row r="1079" spans="1:7" x14ac:dyDescent="0.35">
      <c r="A1079" s="3">
        <v>43209</v>
      </c>
      <c r="B1079" s="4">
        <v>-7.4853499141391833E-4</v>
      </c>
      <c r="C1079" s="4">
        <v>5.3370282307803052E-3</v>
      </c>
      <c r="D1079" s="4">
        <v>2.4797741013227181E-4</v>
      </c>
      <c r="E1079" s="4">
        <v>2.3380837835129675E-4</v>
      </c>
      <c r="F1079" s="4">
        <v>-5.3641020615802226E-4</v>
      </c>
      <c r="G1079" s="4">
        <v>-5.2375140438121193E-4</v>
      </c>
    </row>
    <row r="1080" spans="1:7" x14ac:dyDescent="0.35">
      <c r="A1080" s="3">
        <v>43210</v>
      </c>
      <c r="B1080" s="4">
        <v>5.623169195393185E-3</v>
      </c>
      <c r="C1080" s="4">
        <v>1.128064089728853E-2</v>
      </c>
      <c r="D1080" s="4">
        <v>2.3091295277732904E-4</v>
      </c>
      <c r="E1080" s="4">
        <v>2.4088891695472903E-4</v>
      </c>
      <c r="F1080" s="4">
        <v>8.8741895354904621E-4</v>
      </c>
      <c r="G1080" s="4">
        <v>7.9462003956543015E-4</v>
      </c>
    </row>
    <row r="1081" spans="1:7" x14ac:dyDescent="0.35">
      <c r="A1081" s="3">
        <v>43213</v>
      </c>
      <c r="B1081" s="4">
        <v>-6.9911973508296477E-3</v>
      </c>
      <c r="C1081" s="4">
        <v>6.5239878985505761E-3</v>
      </c>
      <c r="D1081" s="4">
        <v>2.5038146757028201E-4</v>
      </c>
      <c r="E1081" s="4">
        <v>2.6070769953201456E-4</v>
      </c>
      <c r="F1081" s="4">
        <v>1.0342648207717353E-4</v>
      </c>
      <c r="G1081" s="4">
        <v>4.6705143974401508E-4</v>
      </c>
    </row>
    <row r="1082" spans="1:7" x14ac:dyDescent="0.35">
      <c r="A1082" s="3">
        <v>43214</v>
      </c>
      <c r="B1082" s="4">
        <v>-4.5625232828956364E-3</v>
      </c>
      <c r="C1082" s="4">
        <v>8.4792546944474356E-3</v>
      </c>
      <c r="D1082" s="4">
        <v>2.3770834835112886E-4</v>
      </c>
      <c r="E1082" s="4">
        <v>2.7877486135730045E-4</v>
      </c>
      <c r="F1082" s="4">
        <v>7.1892954734265047E-4</v>
      </c>
      <c r="G1082" s="4">
        <v>2.773553513669702E-3</v>
      </c>
    </row>
    <row r="1083" spans="1:7" x14ac:dyDescent="0.35">
      <c r="A1083" s="3">
        <v>43215</v>
      </c>
      <c r="B1083" s="4">
        <v>1.9051003658933752E-2</v>
      </c>
      <c r="C1083" s="4">
        <v>-3.5224652943086632E-3</v>
      </c>
      <c r="D1083" s="4">
        <v>2.4246184692255923E-4</v>
      </c>
      <c r="E1083" s="4">
        <v>2.8503829388593083E-4</v>
      </c>
      <c r="F1083" s="4">
        <v>-4.755936218564738E-3</v>
      </c>
      <c r="G1083" s="4">
        <v>-1.2585306649347539E-3</v>
      </c>
    </row>
    <row r="1084" spans="1:7" x14ac:dyDescent="0.35">
      <c r="A1084" s="3">
        <v>43216</v>
      </c>
      <c r="B1084" s="4">
        <v>9.3492601811440146E-4</v>
      </c>
      <c r="C1084" s="4">
        <v>-7.7540893496487184E-3</v>
      </c>
      <c r="D1084" s="4">
        <v>2.8619481781966272E-4</v>
      </c>
      <c r="E1084" s="4">
        <v>4.9910118155582772E-4</v>
      </c>
      <c r="F1084" s="4">
        <v>-1.7757274488139352E-3</v>
      </c>
      <c r="G1084" s="4">
        <v>6.8031558565051498E-5</v>
      </c>
    </row>
    <row r="1085" spans="1:7" x14ac:dyDescent="0.35">
      <c r="A1085" s="3">
        <v>43217</v>
      </c>
      <c r="B1085" s="4">
        <v>-4.244651927985621E-3</v>
      </c>
      <c r="C1085" s="4">
        <v>1.2028395707219142E-2</v>
      </c>
      <c r="D1085" s="4">
        <v>2.1952909290812173E-4</v>
      </c>
      <c r="E1085" s="4">
        <v>3.4177160319415201E-4</v>
      </c>
      <c r="F1085" s="4">
        <v>-7.1626326115314942E-4</v>
      </c>
      <c r="G1085" s="4">
        <v>7.4017602576992303E-4</v>
      </c>
    </row>
    <row r="1086" spans="1:7" x14ac:dyDescent="0.35">
      <c r="A1086" s="3">
        <v>43220</v>
      </c>
      <c r="B1086" s="4">
        <v>-1.9346007610361204E-2</v>
      </c>
      <c r="C1086" s="4">
        <v>1.1422527030721108E-2</v>
      </c>
      <c r="D1086" s="4">
        <v>2.5160326868478577E-4</v>
      </c>
      <c r="E1086" s="4">
        <v>3.7548725600267119E-4</v>
      </c>
      <c r="F1086" s="4">
        <v>1.914863733547989E-3</v>
      </c>
      <c r="G1086" s="4">
        <v>-2.8737700387826415E-4</v>
      </c>
    </row>
    <row r="1087" spans="1:7" x14ac:dyDescent="0.35">
      <c r="A1087" s="3">
        <v>43222</v>
      </c>
      <c r="B1087" s="4">
        <v>-1.4175981938446491E-2</v>
      </c>
      <c r="C1087" s="4">
        <v>-3.1645974717260383E-3</v>
      </c>
      <c r="D1087" s="4">
        <v>2.4556496641081615E-4</v>
      </c>
      <c r="E1087" s="4">
        <v>3.1326000281217681E-4</v>
      </c>
      <c r="F1087" s="4">
        <v>-2.6351142099784175E-3</v>
      </c>
      <c r="G1087" s="4">
        <v>3.5871239349383188E-4</v>
      </c>
    </row>
    <row r="1088" spans="1:7" x14ac:dyDescent="0.35">
      <c r="A1088" s="3">
        <v>43223</v>
      </c>
      <c r="B1088" s="4">
        <v>-1.0843281874953759E-3</v>
      </c>
      <c r="C1088" s="4">
        <v>-1.6573637060440793E-3</v>
      </c>
      <c r="D1088" s="4">
        <v>2.3971964292957004E-4</v>
      </c>
      <c r="E1088" s="4">
        <v>2.6977623467328016E-4</v>
      </c>
      <c r="F1088" s="4">
        <v>8.4679911163809685E-4</v>
      </c>
      <c r="G1088" s="4">
        <v>7.009643635578211E-4</v>
      </c>
    </row>
    <row r="1089" spans="1:7" x14ac:dyDescent="0.35">
      <c r="A1089" s="3">
        <v>43224</v>
      </c>
      <c r="B1089" s="4">
        <v>-4.6478844823023557E-3</v>
      </c>
      <c r="C1089" s="4">
        <v>9.3162054532271998E-3</v>
      </c>
      <c r="D1089" s="4">
        <v>2.3366685016390498E-4</v>
      </c>
      <c r="E1089" s="4">
        <v>2.0955335362549121E-4</v>
      </c>
      <c r="F1089" s="4">
        <v>-8.7875507675871933E-4</v>
      </c>
      <c r="G1089" s="4">
        <v>8.2500314666522634E-4</v>
      </c>
    </row>
    <row r="1090" spans="1:7" x14ac:dyDescent="0.35">
      <c r="A1090" s="3">
        <v>43227</v>
      </c>
      <c r="B1090" s="4">
        <v>4.8880171316256771E-4</v>
      </c>
      <c r="C1090" s="4">
        <v>3.9976963059591419E-3</v>
      </c>
      <c r="D1090" s="4">
        <v>2.5389287789323589E-4</v>
      </c>
      <c r="E1090" s="4">
        <v>8.6277360898057154E-5</v>
      </c>
      <c r="F1090" s="4">
        <v>2.0607697790724355E-3</v>
      </c>
      <c r="G1090" s="4">
        <v>3.9758889116781049E-5</v>
      </c>
    </row>
    <row r="1091" spans="1:7" x14ac:dyDescent="0.35">
      <c r="A1091" s="3">
        <v>43228</v>
      </c>
      <c r="B1091" s="4">
        <v>1.9863568686263822E-2</v>
      </c>
      <c r="C1091" s="4">
        <v>8.8401881500645985E-3</v>
      </c>
      <c r="D1091" s="4">
        <v>2.3808264500013721E-4</v>
      </c>
      <c r="E1091" s="4">
        <v>2.749084661319845E-4</v>
      </c>
      <c r="F1091" s="4">
        <v>8.878735182382691E-4</v>
      </c>
      <c r="G1091" s="4">
        <v>1.293060623492881E-4</v>
      </c>
    </row>
    <row r="1092" spans="1:7" x14ac:dyDescent="0.35">
      <c r="A1092" s="3">
        <v>43229</v>
      </c>
      <c r="B1092" s="4">
        <v>1.8202263907908023E-2</v>
      </c>
      <c r="C1092" s="4">
        <v>-1.4678981719302819E-2</v>
      </c>
      <c r="D1092" s="4">
        <v>2.6336167786134013E-4</v>
      </c>
      <c r="E1092" s="4">
        <v>2.3704693409687394E-4</v>
      </c>
      <c r="F1092" s="4">
        <v>-1.6799952282006148E-3</v>
      </c>
      <c r="G1092" s="4">
        <v>-8.0802834500848242E-5</v>
      </c>
    </row>
    <row r="1093" spans="1:7" x14ac:dyDescent="0.35">
      <c r="A1093" s="3">
        <v>43230</v>
      </c>
      <c r="B1093" s="4">
        <v>-2.9898243055092033E-3</v>
      </c>
      <c r="C1093" s="4">
        <v>1.4949719952495721E-2</v>
      </c>
      <c r="D1093" s="4">
        <v>1.909879298762629E-4</v>
      </c>
      <c r="E1093" s="4">
        <v>2.7202387695957064E-4</v>
      </c>
      <c r="F1093" s="4">
        <v>1.6496719316394515E-3</v>
      </c>
      <c r="G1093" s="4">
        <v>1.4973540085114756E-3</v>
      </c>
    </row>
    <row r="1094" spans="1:7" x14ac:dyDescent="0.35">
      <c r="A1094" s="3">
        <v>43231</v>
      </c>
      <c r="B1094" s="4">
        <v>-7.1270206611743214E-3</v>
      </c>
      <c r="C1094" s="4">
        <v>6.4076121552427701E-3</v>
      </c>
      <c r="D1094" s="4">
        <v>2.6077556264492152E-4</v>
      </c>
      <c r="E1094" s="4">
        <v>2.5142547135792448E-4</v>
      </c>
      <c r="F1094" s="4">
        <v>1.5281458542448778E-3</v>
      </c>
      <c r="G1094" s="4">
        <v>-1.4331692306687183E-3</v>
      </c>
    </row>
    <row r="1095" spans="1:7" x14ac:dyDescent="0.35">
      <c r="A1095" s="3">
        <v>43234</v>
      </c>
      <c r="B1095" s="4">
        <v>-8.109467181753871E-3</v>
      </c>
      <c r="C1095" s="4">
        <v>8.9162371534527995E-3</v>
      </c>
      <c r="D1095" s="4">
        <v>2.5521055825938888E-4</v>
      </c>
      <c r="E1095" s="4">
        <v>2.8685464508382275E-4</v>
      </c>
      <c r="F1095" s="4">
        <v>5.3714038877312742E-3</v>
      </c>
      <c r="G1095" s="4">
        <v>5.7215636551277704E-4</v>
      </c>
    </row>
    <row r="1096" spans="1:7" x14ac:dyDescent="0.35">
      <c r="A1096" s="3">
        <v>43235</v>
      </c>
      <c r="B1096" s="4">
        <v>1.4330327346365523E-2</v>
      </c>
      <c r="C1096" s="4">
        <v>8.3972432105650086E-3</v>
      </c>
      <c r="D1096" s="4">
        <v>2.3725679556907409E-4</v>
      </c>
      <c r="E1096" s="4">
        <v>2.5625841777432434E-4</v>
      </c>
      <c r="F1096" s="4">
        <v>-2.1305642576374684E-4</v>
      </c>
      <c r="G1096" s="4">
        <v>5.0098926324126936E-4</v>
      </c>
    </row>
    <row r="1097" spans="1:7" x14ac:dyDescent="0.35">
      <c r="A1097" s="3">
        <v>43236</v>
      </c>
      <c r="B1097" s="4">
        <v>-3.0766436396139851E-2</v>
      </c>
      <c r="C1097" s="4">
        <v>4.848715369145884E-3</v>
      </c>
      <c r="D1097" s="4">
        <v>2.320920683152039E-4</v>
      </c>
      <c r="E1097" s="4">
        <v>2.707420857077647E-4</v>
      </c>
      <c r="F1097" s="4">
        <v>2.0846585588811806E-3</v>
      </c>
      <c r="G1097" s="4">
        <v>1.3723248043613356E-3</v>
      </c>
    </row>
    <row r="1098" spans="1:7" x14ac:dyDescent="0.35">
      <c r="A1098" s="3">
        <v>43237</v>
      </c>
      <c r="B1098" s="4">
        <v>-8.5272726419741707E-3</v>
      </c>
      <c r="C1098" s="4">
        <v>9.528434963771204E-3</v>
      </c>
      <c r="D1098" s="4">
        <v>2.8554813146008939E-4</v>
      </c>
      <c r="E1098" s="4">
        <v>3.018831890919671E-4</v>
      </c>
      <c r="F1098" s="4">
        <v>-1.1271733252153915E-3</v>
      </c>
      <c r="G1098" s="4">
        <v>-1.9645440269067116E-4</v>
      </c>
    </row>
    <row r="1099" spans="1:7" x14ac:dyDescent="0.35">
      <c r="A1099" s="3">
        <v>43238</v>
      </c>
      <c r="B1099" s="4">
        <v>-7.5913915539318477E-3</v>
      </c>
      <c r="C1099" s="4">
        <v>-1.3589628599829484E-2</v>
      </c>
      <c r="D1099" s="4">
        <v>2.9059366150385735E-4</v>
      </c>
      <c r="E1099" s="4">
        <v>2.5467211361740461E-4</v>
      </c>
      <c r="F1099" s="4">
        <v>-4.5964823837962854E-4</v>
      </c>
      <c r="G1099" s="4">
        <v>8.4172002903182275E-4</v>
      </c>
    </row>
    <row r="1100" spans="1:7" x14ac:dyDescent="0.35">
      <c r="A1100" s="3">
        <v>43241</v>
      </c>
      <c r="B1100" s="4">
        <v>1.3079919405470264E-2</v>
      </c>
      <c r="C1100" s="4">
        <v>-1.4939499300128389E-2</v>
      </c>
      <c r="D1100" s="4">
        <v>2.246816635536053E-4</v>
      </c>
      <c r="E1100" s="4">
        <v>1.8839078002375054E-4</v>
      </c>
      <c r="F1100" s="4">
        <v>3.9653730123512254E-4</v>
      </c>
      <c r="G1100" s="4">
        <v>2.3796529286193024E-3</v>
      </c>
    </row>
    <row r="1101" spans="1:7" x14ac:dyDescent="0.35">
      <c r="A1101" s="3">
        <v>43242</v>
      </c>
      <c r="B1101" s="4">
        <v>-2.0059946112821803E-2</v>
      </c>
      <c r="C1101" s="4">
        <v>-2.080853406968397E-3</v>
      </c>
      <c r="D1101" s="4">
        <v>1.9828214801331789E-4</v>
      </c>
      <c r="E1101" s="4">
        <v>2.1439333952333328E-4</v>
      </c>
      <c r="F1101" s="4">
        <v>-6.4564544180046868E-3</v>
      </c>
      <c r="G1101" s="4">
        <v>-1.0298991044188632E-4</v>
      </c>
    </row>
    <row r="1102" spans="1:7" x14ac:dyDescent="0.35">
      <c r="A1102" s="3">
        <v>43243</v>
      </c>
      <c r="B1102" s="4">
        <v>-1.4519502658982719E-2</v>
      </c>
      <c r="C1102" s="4">
        <v>6.9371868269998416E-3</v>
      </c>
      <c r="D1102" s="4">
        <v>2.2342519306972619E-4</v>
      </c>
      <c r="E1102" s="4">
        <v>2.9560070809053762E-4</v>
      </c>
      <c r="F1102" s="4">
        <v>-9.9721517135586968E-4</v>
      </c>
      <c r="G1102" s="4">
        <v>-1.8414762501701709E-3</v>
      </c>
    </row>
    <row r="1103" spans="1:7" x14ac:dyDescent="0.35">
      <c r="A1103" s="3">
        <v>43244</v>
      </c>
      <c r="B1103" s="4">
        <v>-1.6698445316892796E-2</v>
      </c>
      <c r="C1103" s="4">
        <v>5.7066484818433239E-3</v>
      </c>
      <c r="D1103" s="4">
        <v>2.5940531504775599E-4</v>
      </c>
      <c r="E1103" s="4">
        <v>1.6454158958234544E-4</v>
      </c>
      <c r="F1103" s="4">
        <v>-4.3771193828396893E-3</v>
      </c>
      <c r="G1103" s="4">
        <v>9.671152538293093E-5</v>
      </c>
    </row>
    <row r="1104" spans="1:7" x14ac:dyDescent="0.35">
      <c r="A1104" s="3">
        <v>43245</v>
      </c>
      <c r="B1104" s="4">
        <v>-4.8852738351492619E-2</v>
      </c>
      <c r="C1104" s="4">
        <v>1.5200381465483526E-2</v>
      </c>
      <c r="D1104" s="4">
        <v>2.5245744463608943E-4</v>
      </c>
      <c r="E1104" s="4">
        <v>6.9414559519009877E-4</v>
      </c>
      <c r="F1104" s="4">
        <v>8.2913381867788516E-4</v>
      </c>
      <c r="G1104" s="4">
        <v>3.2499029688382031E-4</v>
      </c>
    </row>
    <row r="1105" spans="1:7" x14ac:dyDescent="0.35">
      <c r="A1105" s="3">
        <v>43248</v>
      </c>
      <c r="B1105" s="4">
        <v>1.9975870170023002E-2</v>
      </c>
      <c r="C1105" s="4">
        <v>5.0813563679881213E-3</v>
      </c>
      <c r="D1105" s="4">
        <v>2.4974281994261105E-4</v>
      </c>
      <c r="E1105" s="4">
        <v>-1.6359126797893531E-4</v>
      </c>
      <c r="F1105" s="4">
        <v>-9.652610838303266E-3</v>
      </c>
      <c r="G1105" s="4">
        <v>2.6454195247249679E-4</v>
      </c>
    </row>
    <row r="1106" spans="1:7" x14ac:dyDescent="0.35">
      <c r="A1106" s="3">
        <v>43249</v>
      </c>
      <c r="B1106" s="4">
        <v>1.2786388670547266E-2</v>
      </c>
      <c r="C1106" s="4">
        <v>-2.1051255650532674E-3</v>
      </c>
      <c r="D1106" s="4">
        <v>2.6354099995407054E-4</v>
      </c>
      <c r="E1106" s="4">
        <v>1.7403039979391188E-4</v>
      </c>
      <c r="F1106" s="4">
        <v>5.304598699013674E-3</v>
      </c>
      <c r="G1106" s="4">
        <v>1.6959141931005561E-5</v>
      </c>
    </row>
    <row r="1107" spans="1:7" x14ac:dyDescent="0.35">
      <c r="A1107" s="3">
        <v>43250</v>
      </c>
      <c r="B1107" s="4">
        <v>9.7514435750403194E-3</v>
      </c>
      <c r="C1107" s="4">
        <v>8.3798587532821767E-3</v>
      </c>
      <c r="D1107" s="4">
        <v>2.1838905959903343E-4</v>
      </c>
      <c r="E1107" s="4">
        <v>2.041768488636464E-4</v>
      </c>
      <c r="F1107" s="4">
        <v>3.4676084383560291E-3</v>
      </c>
      <c r="G1107" s="4">
        <v>4.1881573374968895E-4</v>
      </c>
    </row>
    <row r="1108" spans="1:7" x14ac:dyDescent="0.35">
      <c r="A1108" s="3">
        <v>43252</v>
      </c>
      <c r="B1108" s="4">
        <v>2.1958281758333476E-2</v>
      </c>
      <c r="C1108" s="4">
        <v>-8.0567311737702596E-3</v>
      </c>
      <c r="D1108" s="4">
        <v>2.2408939460749622E-4</v>
      </c>
      <c r="E1108" s="4">
        <v>3.0926024014688025E-4</v>
      </c>
      <c r="F1108" s="4">
        <v>1.7766397750145213E-3</v>
      </c>
      <c r="G1108" s="4">
        <v>6.8954074491145434E-4</v>
      </c>
    </row>
    <row r="1109" spans="1:7" x14ac:dyDescent="0.35">
      <c r="A1109" s="3">
        <v>43255</v>
      </c>
      <c r="B1109" s="4">
        <v>-2.6393428063656854E-2</v>
      </c>
      <c r="C1109" s="4">
        <v>1.6287304760681076E-2</v>
      </c>
      <c r="D1109" s="4">
        <v>2.2095022279233767E-4</v>
      </c>
      <c r="E1109" s="4">
        <v>2.8261258575534853E-4</v>
      </c>
      <c r="F1109" s="4">
        <v>1.5998898282401086E-3</v>
      </c>
      <c r="G1109" s="4">
        <v>-7.4549756039943293E-4</v>
      </c>
    </row>
    <row r="1110" spans="1:7" x14ac:dyDescent="0.35">
      <c r="A1110" s="3">
        <v>43256</v>
      </c>
      <c r="B1110" s="4">
        <v>-1.4629343422307262E-2</v>
      </c>
      <c r="C1110" s="4">
        <v>6.5607783450050139E-3</v>
      </c>
      <c r="D1110" s="4">
        <v>3.0609690987715155E-4</v>
      </c>
      <c r="E1110" s="4">
        <v>1.939649885318584E-4</v>
      </c>
      <c r="F1110" s="4">
        <v>6.4591350867446717E-3</v>
      </c>
      <c r="G1110" s="4">
        <v>-9.6336589274725881E-4</v>
      </c>
    </row>
    <row r="1111" spans="1:7" x14ac:dyDescent="0.35">
      <c r="A1111" s="3">
        <v>43257</v>
      </c>
      <c r="B1111" s="4">
        <v>-2.9581501564248658E-2</v>
      </c>
      <c r="C1111" s="4">
        <v>2.2443105813158892E-2</v>
      </c>
      <c r="D1111" s="4">
        <v>2.6657818089814711E-4</v>
      </c>
      <c r="E1111" s="4">
        <v>3.3909677546217765E-4</v>
      </c>
      <c r="F1111" s="4">
        <v>3.8668665210581654E-3</v>
      </c>
      <c r="G1111" s="4">
        <v>-1.0760691177380544E-3</v>
      </c>
    </row>
    <row r="1112" spans="1:7" x14ac:dyDescent="0.35">
      <c r="A1112" s="3">
        <v>43258</v>
      </c>
      <c r="B1112" s="4">
        <v>-8.997087869170306E-4</v>
      </c>
      <c r="C1112" s="4">
        <v>-5.1493083087216229E-2</v>
      </c>
      <c r="D1112" s="4">
        <v>3.5371410682327742E-4</v>
      </c>
      <c r="E1112" s="4">
        <v>2.9737624155345976E-4</v>
      </c>
      <c r="F1112" s="4">
        <v>9.7201385554757103E-4</v>
      </c>
      <c r="G1112" s="4">
        <v>1.2715503846107978E-3</v>
      </c>
    </row>
    <row r="1113" spans="1:7" x14ac:dyDescent="0.35">
      <c r="A1113" s="3">
        <v>43259</v>
      </c>
      <c r="B1113" s="4">
        <v>-4.7554705556317467E-3</v>
      </c>
      <c r="C1113" s="4">
        <v>5.4734349160021623E-3</v>
      </c>
      <c r="D1113" s="4">
        <v>1.693126625386121E-4</v>
      </c>
      <c r="E1113" s="4">
        <v>4.6033863543293307E-4</v>
      </c>
      <c r="F1113" s="4">
        <v>4.3020802581947848E-3</v>
      </c>
      <c r="G1113" s="4">
        <v>-1.9346722625546153E-4</v>
      </c>
    </row>
    <row r="1114" spans="1:7" x14ac:dyDescent="0.35">
      <c r="A1114" s="3">
        <v>43262</v>
      </c>
      <c r="B1114" s="4">
        <v>5.274564967225448E-3</v>
      </c>
      <c r="C1114" s="4">
        <v>-2.1977172558150793E-3</v>
      </c>
      <c r="D1114" s="4">
        <v>2.6068153007785533E-4</v>
      </c>
      <c r="E1114" s="4">
        <v>3.1085204350778106E-4</v>
      </c>
      <c r="F1114" s="4">
        <v>2.0916045558516672E-4</v>
      </c>
      <c r="G1114" s="4">
        <v>5.5142866676205493E-4</v>
      </c>
    </row>
    <row r="1115" spans="1:7" x14ac:dyDescent="0.35">
      <c r="A1115" s="3">
        <v>43263</v>
      </c>
      <c r="B1115" s="4">
        <v>-5.5365997893986885E-3</v>
      </c>
      <c r="C1115" s="4">
        <v>5.9793042940459173E-5</v>
      </c>
      <c r="D1115" s="4">
        <v>2.5545043108210486E-4</v>
      </c>
      <c r="E1115" s="4">
        <v>2.9563973470692062E-4</v>
      </c>
      <c r="F1115" s="4">
        <v>4.5653357705690567E-3</v>
      </c>
      <c r="G1115" s="4">
        <v>6.3299992242971115E-5</v>
      </c>
    </row>
    <row r="1116" spans="1:7" x14ac:dyDescent="0.35">
      <c r="A1116" s="3">
        <v>43264</v>
      </c>
      <c r="B1116" s="4">
        <v>-8.8516942211679384E-3</v>
      </c>
      <c r="C1116" s="4">
        <v>1.9088173096651007E-2</v>
      </c>
      <c r="D1116" s="4">
        <v>2.8601740047373703E-4</v>
      </c>
      <c r="E1116" s="4">
        <v>1.9375554043832288E-4</v>
      </c>
      <c r="F1116" s="4">
        <v>-1.0208593955953749E-3</v>
      </c>
      <c r="G1116" s="4">
        <v>-2.7576044387278564E-4</v>
      </c>
    </row>
    <row r="1117" spans="1:7" x14ac:dyDescent="0.35">
      <c r="A1117" s="3">
        <v>43265</v>
      </c>
      <c r="B1117" s="4">
        <v>-1.2420219273213351E-2</v>
      </c>
      <c r="C1117" s="4">
        <v>-1.6473987786617239E-2</v>
      </c>
      <c r="D1117" s="4">
        <v>3.151113096884206E-4</v>
      </c>
      <c r="E1117" s="4">
        <v>4.331912977446617E-4</v>
      </c>
      <c r="F1117" s="4">
        <v>-4.384068020212406E-3</v>
      </c>
      <c r="G1117" s="4">
        <v>3.8490314819950022E-4</v>
      </c>
    </row>
    <row r="1118" spans="1:7" x14ac:dyDescent="0.35">
      <c r="A1118" s="3">
        <v>43266</v>
      </c>
      <c r="B1118" s="4">
        <v>-1.4163518361100302E-2</v>
      </c>
      <c r="C1118" s="4">
        <v>6.9698497613337462E-3</v>
      </c>
      <c r="D1118" s="4">
        <v>1.455788794859636E-4</v>
      </c>
      <c r="E1118" s="4">
        <v>3.0902284349410003E-4</v>
      </c>
      <c r="F1118" s="4">
        <v>-9.0539956409996236E-4</v>
      </c>
      <c r="G1118" s="4">
        <v>-2.3826211385156171E-3</v>
      </c>
    </row>
    <row r="1119" spans="1:7" x14ac:dyDescent="0.35">
      <c r="A1119" s="3">
        <v>43269</v>
      </c>
      <c r="B1119" s="4">
        <v>2.3760540334389457E-2</v>
      </c>
      <c r="C1119" s="4">
        <v>-3.1748535989005733E-3</v>
      </c>
      <c r="D1119" s="4">
        <v>2.2463327399058208E-4</v>
      </c>
      <c r="E1119" s="4">
        <v>2.8323654568906953E-4</v>
      </c>
      <c r="F1119" s="4">
        <v>-2.7076091230917587E-3</v>
      </c>
      <c r="G1119" s="4">
        <v>3.1330457818909974E-3</v>
      </c>
    </row>
    <row r="1120" spans="1:7" x14ac:dyDescent="0.35">
      <c r="A1120" s="3">
        <v>43270</v>
      </c>
      <c r="B1120" s="4">
        <v>2.1488195677559663E-2</v>
      </c>
      <c r="C1120" s="4">
        <v>7.9539040720884024E-3</v>
      </c>
      <c r="D1120" s="4">
        <v>1.7183711343737862E-4</v>
      </c>
      <c r="E1120" s="4">
        <v>2.4967435537592841E-4</v>
      </c>
      <c r="F1120" s="4">
        <v>1.7508399086645365E-3</v>
      </c>
      <c r="G1120" s="4">
        <v>1.3310157593644512E-3</v>
      </c>
    </row>
    <row r="1121" spans="1:7" x14ac:dyDescent="0.35">
      <c r="A1121" s="3">
        <v>43271</v>
      </c>
      <c r="B1121" s="4">
        <v>-3.1145290041761475E-2</v>
      </c>
      <c r="C1121" s="4">
        <v>-2.6006324753430343E-3</v>
      </c>
      <c r="D1121" s="4">
        <v>2.5328469885410598E-4</v>
      </c>
      <c r="E1121" s="4">
        <v>8.8064089188444328E-4</v>
      </c>
      <c r="F1121" s="4">
        <v>6.8820926318124975E-4</v>
      </c>
      <c r="G1121" s="4">
        <v>-3.8985070314845327E-4</v>
      </c>
    </row>
    <row r="1122" spans="1:7" x14ac:dyDescent="0.35">
      <c r="A1122" s="3">
        <v>43272</v>
      </c>
      <c r="B1122" s="4">
        <v>9.6500674510235918E-3</v>
      </c>
      <c r="C1122" s="4">
        <v>2.5220585505405513E-3</v>
      </c>
      <c r="D1122" s="4">
        <v>2.616368408701053E-4</v>
      </c>
      <c r="E1122" s="4">
        <v>2.9051988474404489E-4</v>
      </c>
      <c r="F1122" s="4">
        <v>-2.9673272740948775E-5</v>
      </c>
      <c r="G1122" s="4">
        <v>8.2114666683574811E-4</v>
      </c>
    </row>
    <row r="1123" spans="1:7" x14ac:dyDescent="0.35">
      <c r="A1123" s="3">
        <v>43273</v>
      </c>
      <c r="B1123" s="4">
        <v>2.9307367355944081E-3</v>
      </c>
      <c r="C1123" s="4">
        <v>8.9634439071129002E-4</v>
      </c>
      <c r="D1123" s="4">
        <v>2.3222733875738477E-4</v>
      </c>
      <c r="E1123" s="4">
        <v>2.8788814164326659E-4</v>
      </c>
      <c r="F1123" s="4">
        <v>-2.9746006865957186E-3</v>
      </c>
      <c r="G1123" s="4">
        <v>8.786894657744071E-4</v>
      </c>
    </row>
    <row r="1124" spans="1:7" x14ac:dyDescent="0.35">
      <c r="A1124" s="3">
        <v>43276</v>
      </c>
      <c r="B1124" s="4">
        <v>3.0052277319447818E-4</v>
      </c>
      <c r="C1124" s="4">
        <v>5.2849831137071757E-3</v>
      </c>
      <c r="D1124" s="4">
        <v>1.9462205542253308E-4</v>
      </c>
      <c r="E1124" s="4">
        <v>2.4846278173318304E-4</v>
      </c>
      <c r="F1124" s="4">
        <v>6.4708720844475209E-4</v>
      </c>
      <c r="G1124" s="4">
        <v>5.4270469892214734E-4</v>
      </c>
    </row>
    <row r="1125" spans="1:7" x14ac:dyDescent="0.35">
      <c r="A1125" s="3">
        <v>43277</v>
      </c>
      <c r="B1125" s="4">
        <v>-8.800760769124949E-3</v>
      </c>
      <c r="C1125" s="4">
        <v>2.0610452137140189E-2</v>
      </c>
      <c r="D1125" s="4">
        <v>2.008374913147204E-4</v>
      </c>
      <c r="E1125" s="4">
        <v>2.9908078851947906E-4</v>
      </c>
      <c r="F1125" s="4">
        <v>2.3062418389492301E-3</v>
      </c>
      <c r="G1125" s="4">
        <v>6.1030930936700756E-4</v>
      </c>
    </row>
    <row r="1126" spans="1:7" x14ac:dyDescent="0.35">
      <c r="A1126" s="3">
        <v>43278</v>
      </c>
      <c r="B1126" s="4">
        <v>1.8771098437243561E-2</v>
      </c>
      <c r="C1126" s="4">
        <v>-3.5749500454373973E-3</v>
      </c>
      <c r="D1126" s="4">
        <v>2.7073165485447248E-4</v>
      </c>
      <c r="E1126" s="4">
        <v>4.1390047646783223E-4</v>
      </c>
      <c r="F1126" s="4">
        <v>-7.2398020597974622E-4</v>
      </c>
      <c r="G1126" s="4">
        <v>8.2773872198127485E-4</v>
      </c>
    </row>
    <row r="1127" spans="1:7" x14ac:dyDescent="0.35">
      <c r="A1127" s="3">
        <v>43279</v>
      </c>
      <c r="B1127" s="4">
        <v>1.2592036005848461E-2</v>
      </c>
      <c r="C1127" s="4">
        <v>4.9128568546161766E-3</v>
      </c>
      <c r="D1127" s="4">
        <v>1.9555340074584038E-4</v>
      </c>
      <c r="E1127" s="4">
        <v>1.1784574660733682E-4</v>
      </c>
      <c r="F1127" s="4">
        <v>2.2842451559181853E-3</v>
      </c>
      <c r="G1127" s="4">
        <v>-7.0253777254991601E-4</v>
      </c>
    </row>
    <row r="1128" spans="1:7" x14ac:dyDescent="0.35">
      <c r="A1128" s="3">
        <v>43280</v>
      </c>
      <c r="B1128" s="4">
        <v>2.6389554405348292E-4</v>
      </c>
      <c r="C1128" s="4">
        <v>1.0223851331496281E-2</v>
      </c>
      <c r="D1128" s="4">
        <v>2.3023232530317017E-4</v>
      </c>
      <c r="E1128" s="4">
        <v>2.3765835598421603E-4</v>
      </c>
      <c r="F1128" s="4">
        <v>2.8594744330006083E-3</v>
      </c>
      <c r="G1128" s="4">
        <v>1.039386325665248E-4</v>
      </c>
    </row>
    <row r="1129" spans="1:7" x14ac:dyDescent="0.35">
      <c r="A1129" s="3">
        <v>43283</v>
      </c>
      <c r="B1129" s="4">
        <v>1.7212576014468572E-2</v>
      </c>
      <c r="C1129" s="4">
        <v>-4.5138579399455203E-3</v>
      </c>
      <c r="D1129" s="4">
        <v>2.1652472605659945E-4</v>
      </c>
      <c r="E1129" s="4">
        <v>2.7549335738474845E-4</v>
      </c>
      <c r="F1129" s="4">
        <v>-9.5893567186011719E-4</v>
      </c>
      <c r="G1129" s="4">
        <v>9.6486136613238571E-4</v>
      </c>
    </row>
    <row r="1130" spans="1:7" x14ac:dyDescent="0.35">
      <c r="A1130" s="3">
        <v>43284</v>
      </c>
      <c r="B1130" s="4">
        <v>2.0200049130447706E-2</v>
      </c>
      <c r="C1130" s="4">
        <v>3.5787282431445355E-3</v>
      </c>
      <c r="D1130" s="4">
        <v>2.5361624003972238E-4</v>
      </c>
      <c r="E1130" s="4">
        <v>2.1107089940053392E-4</v>
      </c>
      <c r="F1130" s="4">
        <v>1.5103076517686276E-4</v>
      </c>
      <c r="G1130" s="4">
        <v>1.0788505828722705E-3</v>
      </c>
    </row>
    <row r="1131" spans="1:7" x14ac:dyDescent="0.35">
      <c r="A1131" s="3">
        <v>43285</v>
      </c>
      <c r="B1131" s="4">
        <v>-9.7361589097898493E-3</v>
      </c>
      <c r="C1131" s="4">
        <v>7.4629521529274712E-3</v>
      </c>
      <c r="D1131" s="4">
        <v>2.3417988197449446E-4</v>
      </c>
      <c r="E1131" s="4">
        <v>2.489314154947575E-4</v>
      </c>
      <c r="F1131" s="4">
        <v>1.0465915142476856E-3</v>
      </c>
      <c r="G1131" s="4">
        <v>-4.8255201661184799E-6</v>
      </c>
    </row>
    <row r="1132" spans="1:7" x14ac:dyDescent="0.35">
      <c r="A1132" s="3">
        <v>43286</v>
      </c>
      <c r="B1132" s="4">
        <v>2.4532994244299555E-3</v>
      </c>
      <c r="C1132" s="4">
        <v>-1.7954747596515275E-2</v>
      </c>
      <c r="D1132" s="4">
        <v>2.4880417148986922E-4</v>
      </c>
      <c r="E1132" s="4">
        <v>3.2537653129094402E-4</v>
      </c>
      <c r="F1132" s="4">
        <v>-5.782437392058859E-3</v>
      </c>
      <c r="G1132" s="4">
        <v>1.6221911253322396E-4</v>
      </c>
    </row>
    <row r="1133" spans="1:7" x14ac:dyDescent="0.35">
      <c r="A1133" s="3">
        <v>43287</v>
      </c>
      <c r="B1133" s="4">
        <v>-1.0516733743004547E-4</v>
      </c>
      <c r="C1133" s="4">
        <v>2.0779432372508566E-4</v>
      </c>
      <c r="D1133" s="4">
        <v>2.0083559080541491E-4</v>
      </c>
      <c r="E1133" s="4">
        <v>1.7228128921531471E-4</v>
      </c>
      <c r="F1133" s="4">
        <v>3.1196294903890198E-4</v>
      </c>
      <c r="G1133" s="4">
        <v>1.2246076868205336E-4</v>
      </c>
    </row>
    <row r="1134" spans="1:7" x14ac:dyDescent="0.35">
      <c r="A1134" s="3">
        <v>43290</v>
      </c>
      <c r="B1134" s="4">
        <v>-3.7460308304861911E-3</v>
      </c>
      <c r="C1134" s="4">
        <v>-1.5187810600762797E-2</v>
      </c>
      <c r="D1134" s="4">
        <v>2.3799841702420999E-4</v>
      </c>
      <c r="E1134" s="4">
        <v>2.9209185033973739E-4</v>
      </c>
      <c r="F1134" s="4">
        <v>-2.0596963424244219E-3</v>
      </c>
      <c r="G1134" s="4">
        <v>-5.5367500297387462E-4</v>
      </c>
    </row>
    <row r="1135" spans="1:7" x14ac:dyDescent="0.35">
      <c r="A1135" s="3">
        <v>43291</v>
      </c>
      <c r="B1135" s="4">
        <v>-1.0098509201625916E-2</v>
      </c>
      <c r="C1135" s="4">
        <v>1.7600786968380744E-2</v>
      </c>
      <c r="D1135" s="4">
        <v>1.9215524110638427E-4</v>
      </c>
      <c r="E1135" s="4">
        <v>2.0835755654879939E-4</v>
      </c>
      <c r="F1135" s="4">
        <v>9.6562612145634219E-4</v>
      </c>
      <c r="G1135" s="4">
        <v>2.1875586944886116E-4</v>
      </c>
    </row>
    <row r="1136" spans="1:7" x14ac:dyDescent="0.35">
      <c r="A1136" s="3">
        <v>43292</v>
      </c>
      <c r="B1136" s="4">
        <v>2.1708177502790749E-2</v>
      </c>
      <c r="C1136" s="4">
        <v>5.8978354112253495E-3</v>
      </c>
      <c r="D1136" s="4">
        <v>1.865096782456277E-4</v>
      </c>
      <c r="E1136" s="4">
        <v>2.9049614665788148E-4</v>
      </c>
      <c r="F1136" s="4">
        <v>2.4051081082008263E-3</v>
      </c>
      <c r="G1136" s="4">
        <v>8.7706023368228081E-4</v>
      </c>
    </row>
    <row r="1137" spans="1:7" x14ac:dyDescent="0.35">
      <c r="A1137" s="3">
        <v>43293</v>
      </c>
      <c r="B1137" s="4">
        <v>7.796323400607541E-3</v>
      </c>
      <c r="C1137" s="4">
        <v>-8.4579805899887006E-3</v>
      </c>
      <c r="D1137" s="4">
        <v>2.8132909282585494E-4</v>
      </c>
      <c r="E1137" s="4">
        <v>2.9061981219391519E-4</v>
      </c>
      <c r="F1137" s="4">
        <v>-4.1672630250277898E-3</v>
      </c>
      <c r="G1137" s="4">
        <v>-9.8390855629659768E-4</v>
      </c>
    </row>
    <row r="1138" spans="1:7" x14ac:dyDescent="0.35">
      <c r="A1138" s="3">
        <v>43294</v>
      </c>
      <c r="B1138" s="4">
        <v>-2.5711245333304156E-3</v>
      </c>
      <c r="C1138" s="4">
        <v>-4.5658421779393166E-5</v>
      </c>
      <c r="D1138" s="4">
        <v>1.3253600338769544E-5</v>
      </c>
      <c r="E1138" s="4">
        <v>1.1704009641766433E-4</v>
      </c>
      <c r="F1138" s="4">
        <v>-3.0964144041312203E-4</v>
      </c>
      <c r="G1138" s="4">
        <v>-8.6340211744895257E-4</v>
      </c>
    </row>
    <row r="1139" spans="1:7" x14ac:dyDescent="0.35">
      <c r="A1139" s="3">
        <v>43297</v>
      </c>
      <c r="B1139" s="4">
        <v>1.9072613215745937E-2</v>
      </c>
      <c r="C1139" s="4">
        <v>-5.1452920609068586E-3</v>
      </c>
      <c r="D1139" s="4">
        <v>2.0858745150609259E-4</v>
      </c>
      <c r="E1139" s="4">
        <v>3.1712713419151939E-4</v>
      </c>
      <c r="F1139" s="4">
        <v>-3.4306966499356717E-3</v>
      </c>
      <c r="G1139" s="4">
        <v>6.1996924348273197E-4</v>
      </c>
    </row>
    <row r="1140" spans="1:7" x14ac:dyDescent="0.35">
      <c r="A1140" s="3">
        <v>43298</v>
      </c>
      <c r="B1140" s="4">
        <v>-7.8589542330116391E-3</v>
      </c>
      <c r="C1140" s="4">
        <v>-2.5226398317558241E-3</v>
      </c>
      <c r="D1140" s="4">
        <v>2.4194791426013218E-4</v>
      </c>
      <c r="E1140" s="4">
        <v>1.626566977899202E-4</v>
      </c>
      <c r="F1140" s="4">
        <v>-8.5775534562215761E-4</v>
      </c>
      <c r="G1140" s="4">
        <v>4.4453299427882342E-4</v>
      </c>
    </row>
    <row r="1141" spans="1:7" x14ac:dyDescent="0.35">
      <c r="A1141" s="3">
        <v>43299</v>
      </c>
      <c r="B1141" s="4">
        <v>3.0003613558471365E-3</v>
      </c>
      <c r="C1141" s="4">
        <v>6.7995745882372116E-3</v>
      </c>
      <c r="D1141" s="4">
        <v>2.4172089254648199E-4</v>
      </c>
      <c r="E1141" s="4">
        <v>3.4971735673061666E-4</v>
      </c>
      <c r="F1141" s="4">
        <v>1.4702519816893744E-3</v>
      </c>
      <c r="G1141" s="4">
        <v>7.6978614196288042E-4</v>
      </c>
    </row>
    <row r="1142" spans="1:7" x14ac:dyDescent="0.35">
      <c r="A1142" s="3">
        <v>43300</v>
      </c>
      <c r="B1142" s="4">
        <v>2.3899265244303969E-2</v>
      </c>
      <c r="C1142" s="4">
        <v>-2.2172216212357876E-2</v>
      </c>
      <c r="D1142" s="4">
        <v>2.4041685638587218E-4</v>
      </c>
      <c r="E1142" s="4">
        <v>2.2225037626188993E-4</v>
      </c>
      <c r="F1142" s="4">
        <v>-7.5799497390061088E-4</v>
      </c>
      <c r="G1142" s="4">
        <v>2.764589416377472E-3</v>
      </c>
    </row>
    <row r="1143" spans="1:7" x14ac:dyDescent="0.35">
      <c r="A1143" s="3">
        <v>43301</v>
      </c>
      <c r="B1143" s="4">
        <v>-9.4872231352042258E-3</v>
      </c>
      <c r="C1143" s="4">
        <v>3.6702360276055224E-3</v>
      </c>
      <c r="D1143" s="4">
        <v>2.3548671525475129E-4</v>
      </c>
      <c r="E1143" s="4">
        <v>1.7700617100424587E-4</v>
      </c>
      <c r="F1143" s="4">
        <v>4.8186876106053322E-3</v>
      </c>
      <c r="G1143" s="4">
        <v>-1.7664341745071699E-4</v>
      </c>
    </row>
    <row r="1144" spans="1:7" x14ac:dyDescent="0.35">
      <c r="A1144" s="3">
        <v>43304</v>
      </c>
      <c r="B1144" s="4">
        <v>8.9481116708758357E-3</v>
      </c>
      <c r="C1144" s="4">
        <v>-1.1472057919651113E-2</v>
      </c>
      <c r="D1144" s="4">
        <v>2.4585149347600144E-4</v>
      </c>
      <c r="E1144" s="4">
        <v>2.9436239227198513E-4</v>
      </c>
      <c r="F1144" s="4">
        <v>-2.6698381763093915E-3</v>
      </c>
      <c r="G1144" s="4">
        <v>1.5202345478897428E-3</v>
      </c>
    </row>
    <row r="1145" spans="1:7" x14ac:dyDescent="0.35">
      <c r="A1145" s="3">
        <v>43305</v>
      </c>
      <c r="B1145" s="4">
        <v>9.0558925274084601E-3</v>
      </c>
      <c r="C1145" s="4">
        <v>-9.2976055170652661E-3</v>
      </c>
      <c r="D1145" s="4">
        <v>2.2460618604913662E-4</v>
      </c>
      <c r="E1145" s="4">
        <v>3.0686328622819836E-4</v>
      </c>
      <c r="F1145" s="4">
        <v>-3.9222482146976656E-3</v>
      </c>
      <c r="G1145" s="4">
        <v>-1.5445266148330639E-3</v>
      </c>
    </row>
    <row r="1146" spans="1:7" x14ac:dyDescent="0.35">
      <c r="A1146" s="3">
        <v>43306</v>
      </c>
      <c r="B1146" s="4">
        <v>-1.5411655888717624E-2</v>
      </c>
      <c r="C1146" s="4">
        <v>9.3471233818549493E-3</v>
      </c>
      <c r="D1146" s="4">
        <v>2.9498030009555976E-4</v>
      </c>
      <c r="E1146" s="4">
        <v>1.4962257919637345E-4</v>
      </c>
      <c r="F1146" s="4">
        <v>3.2981028193326267E-3</v>
      </c>
      <c r="G1146" s="4">
        <v>-2.3712571647338532E-4</v>
      </c>
    </row>
    <row r="1147" spans="1:7" x14ac:dyDescent="0.35">
      <c r="A1147" s="3">
        <v>43307</v>
      </c>
      <c r="B1147" s="4">
        <v>3.5529582859650244E-3</v>
      </c>
      <c r="C1147" s="4">
        <v>-6.7193026773605391E-3</v>
      </c>
      <c r="D1147" s="4">
        <v>2.296643900614459E-4</v>
      </c>
      <c r="E1147" s="4">
        <v>5.3655324466661547E-4</v>
      </c>
      <c r="F1147" s="4">
        <v>-1.2694485651405518E-3</v>
      </c>
      <c r="G1147" s="4">
        <v>9.1266584754867708E-4</v>
      </c>
    </row>
    <row r="1148" spans="1:7" x14ac:dyDescent="0.35">
      <c r="A1148" s="3">
        <v>43308</v>
      </c>
      <c r="B1148" s="4">
        <v>1.7861561770105006E-3</v>
      </c>
      <c r="C1148" s="4">
        <v>3.1263890066368649E-3</v>
      </c>
      <c r="D1148" s="4">
        <v>2.4211302792354061E-4</v>
      </c>
      <c r="E1148" s="4">
        <v>2.2064060381898898E-4</v>
      </c>
      <c r="F1148" s="4">
        <v>3.7945674353558889E-3</v>
      </c>
      <c r="G1148" s="4">
        <v>-4.9351819282905662E-4</v>
      </c>
    </row>
    <row r="1149" spans="1:7" x14ac:dyDescent="0.35">
      <c r="A1149" s="3">
        <v>43311</v>
      </c>
      <c r="B1149" s="4">
        <v>-1.4662090549031004E-2</v>
      </c>
      <c r="C1149" s="4">
        <v>7.0462329383513822E-3</v>
      </c>
      <c r="D1149" s="4">
        <v>2.4347729213847202E-4</v>
      </c>
      <c r="E1149" s="4">
        <v>2.9366043727918623E-4</v>
      </c>
      <c r="F1149" s="4">
        <v>1.2161242044981257E-3</v>
      </c>
      <c r="G1149" s="4">
        <v>1.9465577610109364E-3</v>
      </c>
    </row>
    <row r="1150" spans="1:7" x14ac:dyDescent="0.35">
      <c r="A1150" s="3">
        <v>43312</v>
      </c>
      <c r="B1150" s="4">
        <v>7.8874511922031321E-3</v>
      </c>
      <c r="C1150" s="4">
        <v>-6.9402993158962367E-4</v>
      </c>
      <c r="D1150" s="4">
        <v>2.4551973364950186E-4</v>
      </c>
      <c r="E1150" s="4">
        <v>2.5881426310214728E-4</v>
      </c>
      <c r="F1150" s="4">
        <v>2.6218605025467578E-3</v>
      </c>
      <c r="G1150" s="4">
        <v>1.3853038563296227E-3</v>
      </c>
    </row>
    <row r="1151" spans="1:7" x14ac:dyDescent="0.35">
      <c r="A1151" s="3">
        <v>43313</v>
      </c>
      <c r="B1151" s="4">
        <v>6.343632092158602E-3</v>
      </c>
      <c r="C1151" s="4">
        <v>2.1179921487903819E-3</v>
      </c>
      <c r="D1151" s="4">
        <v>2.7111175406524524E-4</v>
      </c>
      <c r="E1151" s="4">
        <v>2.2627952675602359E-4</v>
      </c>
      <c r="F1151" s="4">
        <v>5.3011558343296628E-4</v>
      </c>
      <c r="G1151" s="4">
        <v>-2.321926415482789E-5</v>
      </c>
    </row>
    <row r="1152" spans="1:7" x14ac:dyDescent="0.35">
      <c r="A1152" s="3">
        <v>43314</v>
      </c>
      <c r="B1152" s="4">
        <v>2.0650294523337775E-2</v>
      </c>
      <c r="C1152" s="4">
        <v>-1.3878822873980123E-2</v>
      </c>
      <c r="D1152" s="4">
        <v>2.0247711633514243E-4</v>
      </c>
      <c r="E1152" s="4">
        <v>8.2134982623216501E-5</v>
      </c>
      <c r="F1152" s="4">
        <v>-5.092819971630802E-3</v>
      </c>
      <c r="G1152" s="4">
        <v>1.8650147465271161E-4</v>
      </c>
    </row>
    <row r="1153" spans="1:7" x14ac:dyDescent="0.35">
      <c r="A1153" s="3">
        <v>43315</v>
      </c>
      <c r="B1153" s="4">
        <v>-4.0335159015243427E-3</v>
      </c>
      <c r="C1153" s="4">
        <v>5.6804690540885883E-3</v>
      </c>
      <c r="D1153" s="4">
        <v>2.4700497636875873E-4</v>
      </c>
      <c r="E1153" s="4">
        <v>4.9966204179474616E-4</v>
      </c>
      <c r="F1153" s="4">
        <v>3.2492680212770075E-4</v>
      </c>
      <c r="G1153" s="4">
        <v>-9.8154353865897992E-4</v>
      </c>
    </row>
    <row r="1154" spans="1:7" x14ac:dyDescent="0.35">
      <c r="A1154" s="3">
        <v>43318</v>
      </c>
      <c r="B1154" s="4">
        <v>-1.0875954492742035E-2</v>
      </c>
      <c r="C1154" s="4">
        <v>8.587554693652244E-3</v>
      </c>
      <c r="D1154" s="4">
        <v>2.372820734029002E-4</v>
      </c>
      <c r="E1154" s="4">
        <v>2.5355359050238668E-4</v>
      </c>
      <c r="F1154" s="4">
        <v>4.9876451728179116E-3</v>
      </c>
      <c r="G1154" s="4">
        <v>-1.0682591952948517E-4</v>
      </c>
    </row>
    <row r="1155" spans="1:7" x14ac:dyDescent="0.35">
      <c r="A1155" s="3">
        <v>43319</v>
      </c>
      <c r="B1155" s="4">
        <v>-1.3760480785975915E-2</v>
      </c>
      <c r="C1155" s="4">
        <v>1.2430225915056603E-3</v>
      </c>
      <c r="D1155" s="4">
        <v>2.199752473484029E-4</v>
      </c>
      <c r="E1155" s="4">
        <v>2.3491736069281011E-4</v>
      </c>
      <c r="F1155" s="4">
        <v>-6.6584892839327559E-4</v>
      </c>
      <c r="G1155" s="4">
        <v>8.3129242157919947E-5</v>
      </c>
    </row>
    <row r="1156" spans="1:7" x14ac:dyDescent="0.35">
      <c r="A1156" s="3">
        <v>43320</v>
      </c>
      <c r="B1156" s="4">
        <v>-7.6699889690342582E-3</v>
      </c>
      <c r="C1156" s="4">
        <v>9.762131543868513E-3</v>
      </c>
      <c r="D1156" s="4">
        <v>2.3967764352494925E-4</v>
      </c>
      <c r="E1156" s="4">
        <v>2.6425648435424165E-4</v>
      </c>
      <c r="F1156" s="4">
        <v>9.5525075021374306E-4</v>
      </c>
      <c r="G1156" s="4">
        <v>-7.5211201198577271E-5</v>
      </c>
    </row>
    <row r="1157" spans="1:7" x14ac:dyDescent="0.35">
      <c r="A1157" s="3">
        <v>43321</v>
      </c>
      <c r="B1157" s="4">
        <v>-3.5182112490513617E-2</v>
      </c>
      <c r="C1157" s="4">
        <v>1.8086734532853699E-2</v>
      </c>
      <c r="D1157" s="4">
        <v>2.5601310749023831E-4</v>
      </c>
      <c r="E1157" s="4">
        <v>2.9412525318739391E-4</v>
      </c>
      <c r="F1157" s="4">
        <v>6.3373844787335543E-3</v>
      </c>
      <c r="G1157" s="4">
        <v>4.470170713246624E-4</v>
      </c>
    </row>
    <row r="1158" spans="1:7" x14ac:dyDescent="0.35">
      <c r="A1158" s="3">
        <v>43322</v>
      </c>
      <c r="B1158" s="4">
        <v>1.1000028712213838E-2</v>
      </c>
      <c r="C1158" s="4">
        <v>1.1358893584709762E-2</v>
      </c>
      <c r="D1158" s="4">
        <v>2.7781290723516427E-4</v>
      </c>
      <c r="E1158" s="4">
        <v>3.5204287981427385E-4</v>
      </c>
      <c r="F1158" s="4">
        <v>3.9732113117774137E-3</v>
      </c>
      <c r="G1158" s="4">
        <v>4.7958062094233256E-5</v>
      </c>
    </row>
    <row r="1159" spans="1:7" x14ac:dyDescent="0.35">
      <c r="A1159" s="3">
        <v>43325</v>
      </c>
      <c r="B1159" s="4">
        <v>1.6337863431446609E-2</v>
      </c>
      <c r="C1159" s="4">
        <v>-1.1073988485821418E-2</v>
      </c>
      <c r="D1159" s="4">
        <v>2.5947199461606729E-4</v>
      </c>
      <c r="E1159" s="4">
        <v>2.0787415221135142E-4</v>
      </c>
      <c r="F1159" s="4">
        <v>-6.0208365448126688E-3</v>
      </c>
      <c r="G1159" s="4">
        <v>3.8888949864990252E-4</v>
      </c>
    </row>
    <row r="1160" spans="1:7" x14ac:dyDescent="0.35">
      <c r="A1160" s="3">
        <v>43326</v>
      </c>
      <c r="B1160" s="4">
        <v>-2.0188784722347752E-2</v>
      </c>
      <c r="C1160" s="4">
        <v>7.2943111016852136E-3</v>
      </c>
      <c r="D1160" s="4">
        <v>2.1685439595753309E-4</v>
      </c>
      <c r="E1160" s="4">
        <v>3.0033649494121128E-4</v>
      </c>
      <c r="F1160" s="4">
        <v>1.5627004480693873E-3</v>
      </c>
      <c r="G1160" s="4">
        <v>1.755796487293626E-3</v>
      </c>
    </row>
    <row r="1161" spans="1:7" x14ac:dyDescent="0.35">
      <c r="A1161" s="3">
        <v>43327</v>
      </c>
      <c r="B1161" s="4">
        <v>-4.5896825604896385E-4</v>
      </c>
      <c r="C1161" s="4">
        <v>1.4615529571155861E-3</v>
      </c>
      <c r="D1161" s="4">
        <v>2.4858183118348087E-4</v>
      </c>
      <c r="E1161" s="4">
        <v>2.9433434306480599E-4</v>
      </c>
      <c r="F1161" s="4">
        <v>-3.8851335532674725E-4</v>
      </c>
      <c r="G1161" s="4">
        <v>-6.5338179066920521E-4</v>
      </c>
    </row>
    <row r="1162" spans="1:7" x14ac:dyDescent="0.35">
      <c r="A1162" s="3">
        <v>43328</v>
      </c>
      <c r="B1162" s="4">
        <v>-1.4364041100735303E-2</v>
      </c>
      <c r="C1162" s="4">
        <v>4.9522566783322119E-3</v>
      </c>
      <c r="D1162" s="4">
        <v>2.5820017954902852E-4</v>
      </c>
      <c r="E1162" s="4">
        <v>2.4670185474895412E-4</v>
      </c>
      <c r="F1162" s="4">
        <v>8.8816977556405163E-4</v>
      </c>
      <c r="G1162" s="4">
        <v>-8.4205453990604529E-4</v>
      </c>
    </row>
    <row r="1163" spans="1:7" x14ac:dyDescent="0.35">
      <c r="A1163" s="3">
        <v>43329</v>
      </c>
      <c r="B1163" s="4">
        <v>1.0379460799846862E-2</v>
      </c>
      <c r="C1163" s="4">
        <v>9.3987880354515774E-3</v>
      </c>
      <c r="D1163" s="4">
        <v>2.5360208926028527E-4</v>
      </c>
      <c r="E1163" s="4">
        <v>2.5413779917538015E-4</v>
      </c>
      <c r="F1163" s="4">
        <v>3.1985098626319264E-4</v>
      </c>
      <c r="G1163" s="4">
        <v>-1.5021662106762257E-4</v>
      </c>
    </row>
    <row r="1164" spans="1:7" x14ac:dyDescent="0.35">
      <c r="A1164" s="3">
        <v>43332</v>
      </c>
      <c r="B1164" s="4">
        <v>-2.2890999329710504E-2</v>
      </c>
      <c r="C1164" s="4">
        <v>1.5207245827144389E-2</v>
      </c>
      <c r="D1164" s="4">
        <v>2.5136842323547626E-4</v>
      </c>
      <c r="E1164" s="4">
        <v>2.9374549228644575E-4</v>
      </c>
      <c r="F1164" s="4">
        <v>4.9811770180157033E-3</v>
      </c>
      <c r="G1164" s="4">
        <v>4.3057365489751476E-4</v>
      </c>
    </row>
    <row r="1165" spans="1:7" x14ac:dyDescent="0.35">
      <c r="A1165" s="3">
        <v>43333</v>
      </c>
      <c r="B1165" s="4">
        <v>2.0530970929911518E-2</v>
      </c>
      <c r="C1165" s="4">
        <v>9.6941715807419282E-3</v>
      </c>
      <c r="D1165" s="4">
        <v>2.3825073400685071E-4</v>
      </c>
      <c r="E1165" s="4">
        <v>2.2205574436195974E-4</v>
      </c>
      <c r="F1165" s="4">
        <v>-1.9636533317154425E-3</v>
      </c>
      <c r="G1165" s="4">
        <v>4.138047733128758E-4</v>
      </c>
    </row>
    <row r="1166" spans="1:7" x14ac:dyDescent="0.35">
      <c r="A1166" s="3">
        <v>43334</v>
      </c>
      <c r="B1166" s="4">
        <v>-1.8712052151049208E-2</v>
      </c>
      <c r="C1166" s="4">
        <v>1.3330945334498079E-2</v>
      </c>
      <c r="D1166" s="4">
        <v>2.4776679142579638E-4</v>
      </c>
      <c r="E1166" s="4">
        <v>8.2853510967439981E-4</v>
      </c>
      <c r="F1166" s="4">
        <v>3.8849376652854151E-3</v>
      </c>
      <c r="G1166" s="4">
        <v>-3.7051384009201271E-4</v>
      </c>
    </row>
    <row r="1167" spans="1:7" x14ac:dyDescent="0.35">
      <c r="A1167" s="3">
        <v>43335</v>
      </c>
      <c r="B1167" s="4">
        <v>5.758335283422511E-3</v>
      </c>
      <c r="C1167" s="4">
        <v>-2.0264245883842014E-3</v>
      </c>
      <c r="D1167" s="4">
        <v>2.614705641770243E-4</v>
      </c>
      <c r="E1167" s="4">
        <v>2.7331134911245947E-4</v>
      </c>
      <c r="F1167" s="4">
        <v>-3.8897144268135175E-4</v>
      </c>
      <c r="G1167" s="4">
        <v>1.6447110100890061E-3</v>
      </c>
    </row>
    <row r="1168" spans="1:7" x14ac:dyDescent="0.35">
      <c r="A1168" s="3">
        <v>43336</v>
      </c>
      <c r="B1168" s="4">
        <v>2.0075256491094873E-2</v>
      </c>
      <c r="C1168" s="4">
        <v>-6.5358841823207614E-3</v>
      </c>
      <c r="D1168" s="4">
        <v>2.2301414025505117E-4</v>
      </c>
      <c r="E1168" s="4">
        <v>4.6366278237952585E-4</v>
      </c>
      <c r="F1168" s="4">
        <v>-9.9138287269207037E-4</v>
      </c>
      <c r="G1168" s="4">
        <v>-3.5495886847614067E-4</v>
      </c>
    </row>
    <row r="1169" spans="1:7" x14ac:dyDescent="0.35">
      <c r="A1169" s="3">
        <v>43339</v>
      </c>
      <c r="B1169" s="4">
        <v>-7.1383195831514756E-3</v>
      </c>
      <c r="C1169" s="4">
        <v>1.3223870822273165E-2</v>
      </c>
      <c r="D1169" s="4">
        <v>2.2684685087903667E-4</v>
      </c>
      <c r="E1169" s="4">
        <v>2.4226510212077557E-4</v>
      </c>
      <c r="F1169" s="4">
        <v>3.1399323269525325E-3</v>
      </c>
      <c r="G1169" s="4">
        <v>3.2750537536618829E-4</v>
      </c>
    </row>
    <row r="1170" spans="1:7" x14ac:dyDescent="0.35">
      <c r="A1170" s="3">
        <v>43340</v>
      </c>
      <c r="B1170" s="4">
        <v>1.3550549043882087E-2</v>
      </c>
      <c r="C1170" s="4">
        <v>-1.9262925353948912E-3</v>
      </c>
      <c r="D1170" s="4">
        <v>2.4071593457342111E-4</v>
      </c>
      <c r="E1170" s="4">
        <v>2.1332607742685639E-4</v>
      </c>
      <c r="F1170" s="4">
        <v>2.3323889378163987E-3</v>
      </c>
      <c r="G1170" s="4">
        <v>8.5248673212756643E-4</v>
      </c>
    </row>
    <row r="1171" spans="1:7" x14ac:dyDescent="0.35">
      <c r="A1171" s="3">
        <v>43341</v>
      </c>
      <c r="B1171" s="4">
        <v>-2.5308986537204703E-2</v>
      </c>
      <c r="C1171" s="4">
        <v>1.0741687540296363E-2</v>
      </c>
      <c r="D1171" s="4">
        <v>2.4093156482929423E-4</v>
      </c>
      <c r="E1171" s="4">
        <v>2.9575408251925062E-4</v>
      </c>
      <c r="F1171" s="4">
        <v>5.6545776086769362E-3</v>
      </c>
      <c r="G1171" s="4">
        <v>6.6277671726244769E-4</v>
      </c>
    </row>
    <row r="1172" spans="1:7" x14ac:dyDescent="0.35">
      <c r="A1172" s="3">
        <v>43342</v>
      </c>
      <c r="B1172" s="4">
        <v>9.4823203823866109E-3</v>
      </c>
      <c r="C1172" s="4">
        <v>-2.4294604311096091E-2</v>
      </c>
      <c r="D1172" s="4">
        <v>2.654406023769873E-4</v>
      </c>
      <c r="E1172" s="4">
        <v>4.7041494100197312E-4</v>
      </c>
      <c r="F1172" s="4">
        <v>-5.8517774668711553E-3</v>
      </c>
      <c r="G1172" s="4">
        <v>2.5567243681745566E-4</v>
      </c>
    </row>
    <row r="1173" spans="1:7" x14ac:dyDescent="0.35">
      <c r="A1173" s="3">
        <v>43343</v>
      </c>
      <c r="B1173" s="4">
        <v>-8.0639266467805726E-3</v>
      </c>
      <c r="C1173" s="4">
        <v>1.8599397932853368E-2</v>
      </c>
      <c r="D1173" s="4">
        <v>2.2019269009354581E-4</v>
      </c>
      <c r="E1173" s="4">
        <v>3.0069048258463127E-4</v>
      </c>
      <c r="F1173" s="4">
        <v>3.0090637108712848E-3</v>
      </c>
      <c r="G1173" s="4">
        <v>4.269063389501504E-4</v>
      </c>
    </row>
    <row r="1174" spans="1:7" x14ac:dyDescent="0.35">
      <c r="A1174" s="3">
        <v>43346</v>
      </c>
      <c r="B1174" s="4">
        <v>-1.7049115968608364E-2</v>
      </c>
      <c r="C1174" s="4">
        <v>2.9750309420832899E-3</v>
      </c>
      <c r="D1174" s="4">
        <v>2.5029415052446602E-4</v>
      </c>
      <c r="E1174" s="4">
        <v>2.6768181516745315E-4</v>
      </c>
      <c r="F1174" s="4">
        <v>6.1956803329694665E-3</v>
      </c>
      <c r="G1174" s="4">
        <v>-4.3334074735124073E-4</v>
      </c>
    </row>
    <row r="1175" spans="1:7" x14ac:dyDescent="0.35">
      <c r="A1175" s="3">
        <v>43347</v>
      </c>
      <c r="B1175" s="4">
        <v>2.9811320010326714E-3</v>
      </c>
      <c r="C1175" s="4">
        <v>-6.1220112781382729E-3</v>
      </c>
      <c r="D1175" s="4">
        <v>2.3013698734297705E-4</v>
      </c>
      <c r="E1175" s="4">
        <v>1.951927032686207E-4</v>
      </c>
      <c r="F1175" s="4">
        <v>-6.5524513448900201E-4</v>
      </c>
      <c r="G1175" s="4">
        <v>1.201786323041798E-3</v>
      </c>
    </row>
    <row r="1176" spans="1:7" x14ac:dyDescent="0.35">
      <c r="A1176" s="3">
        <v>43348</v>
      </c>
      <c r="B1176" s="4">
        <v>1.8440889952464623E-2</v>
      </c>
      <c r="C1176" s="4">
        <v>-2.8085520282076226E-3</v>
      </c>
      <c r="D1176" s="4">
        <v>2.4011773438403772E-4</v>
      </c>
      <c r="E1176" s="4">
        <v>3.1875221287180899E-4</v>
      </c>
      <c r="F1176" s="4">
        <v>-3.5935361132997112E-3</v>
      </c>
      <c r="G1176" s="4">
        <v>-7.1449050922978152E-4</v>
      </c>
    </row>
    <row r="1177" spans="1:7" x14ac:dyDescent="0.35">
      <c r="A1177" s="3">
        <v>43349</v>
      </c>
      <c r="B1177" s="4">
        <v>4.8153983470684558E-3</v>
      </c>
      <c r="C1177" s="4">
        <v>-7.8663762727469999E-3</v>
      </c>
      <c r="D1177" s="4">
        <v>2.2796762737509191E-4</v>
      </c>
      <c r="E1177" s="4">
        <v>2.0180930115176743E-4</v>
      </c>
      <c r="F1177" s="4">
        <v>2.8688252578634721E-3</v>
      </c>
      <c r="G1177" s="4">
        <v>1.093132104642347E-3</v>
      </c>
    </row>
    <row r="1178" spans="1:7" x14ac:dyDescent="0.35">
      <c r="A1178" s="3">
        <v>43353</v>
      </c>
      <c r="B1178" s="4">
        <v>-2.7110533875468801E-2</v>
      </c>
      <c r="C1178" s="4">
        <v>1.7375124079232807E-2</v>
      </c>
      <c r="D1178" s="4">
        <v>2.3803468070981992E-4</v>
      </c>
      <c r="E1178" s="4">
        <v>3.0473185367663191E-4</v>
      </c>
      <c r="F1178" s="4">
        <v>7.4460131494518134E-3</v>
      </c>
      <c r="G1178" s="4">
        <v>-7.118989899731476E-4</v>
      </c>
    </row>
    <row r="1179" spans="1:7" x14ac:dyDescent="0.35">
      <c r="A1179" s="3">
        <v>43354</v>
      </c>
      <c r="B1179" s="4">
        <v>1.9116102823055758E-3</v>
      </c>
      <c r="C1179" s="4">
        <v>-6.3604570290677342E-3</v>
      </c>
      <c r="D1179" s="4">
        <v>2.4829544806781456E-4</v>
      </c>
      <c r="E1179" s="4">
        <v>2.8571042822922443E-4</v>
      </c>
      <c r="F1179" s="4">
        <v>-6.1879547204090057E-3</v>
      </c>
      <c r="G1179" s="4">
        <v>8.7364660671851446E-4</v>
      </c>
    </row>
    <row r="1180" spans="1:7" x14ac:dyDescent="0.35">
      <c r="A1180" s="3">
        <v>43355</v>
      </c>
      <c r="B1180" s="4">
        <v>-8.2380088865171563E-3</v>
      </c>
      <c r="C1180" s="4">
        <v>1.4455375658979364E-2</v>
      </c>
      <c r="D1180" s="4">
        <v>2.5209137703985363E-4</v>
      </c>
      <c r="E1180" s="4">
        <v>3.3283999982347545E-4</v>
      </c>
      <c r="F1180" s="4">
        <v>2.5585762813589152E-3</v>
      </c>
      <c r="G1180" s="4">
        <v>4.8770683619325794E-4</v>
      </c>
    </row>
    <row r="1181" spans="1:7" x14ac:dyDescent="0.35">
      <c r="A1181" s="3">
        <v>43356</v>
      </c>
      <c r="B1181" s="4">
        <v>1.1019302227825989E-3</v>
      </c>
      <c r="C1181" s="4">
        <v>-6.0974523053308749E-3</v>
      </c>
      <c r="D1181" s="4">
        <v>2.7825475201948002E-4</v>
      </c>
      <c r="E1181" s="4">
        <v>2.9176533543240346E-4</v>
      </c>
      <c r="F1181" s="4">
        <v>2.8030044679001609E-3</v>
      </c>
      <c r="G1181" s="4">
        <v>-3.3146555071716932E-4</v>
      </c>
    </row>
    <row r="1182" spans="1:7" x14ac:dyDescent="0.35">
      <c r="A1182" s="3">
        <v>43357</v>
      </c>
      <c r="B1182" s="4">
        <v>2.162843601039266E-2</v>
      </c>
      <c r="C1182" s="4">
        <v>-6.6037229495794492E-3</v>
      </c>
      <c r="D1182" s="4">
        <v>2.3894565280624391E-4</v>
      </c>
      <c r="E1182" s="4">
        <v>2.3382547949690746E-4</v>
      </c>
      <c r="F1182" s="4">
        <v>-1.3798024596182179E-3</v>
      </c>
      <c r="G1182" s="4">
        <v>4.0366084691312309E-4</v>
      </c>
    </row>
    <row r="1183" spans="1:7" x14ac:dyDescent="0.35">
      <c r="A1183" s="3">
        <v>43360</v>
      </c>
      <c r="B1183" s="4">
        <v>2.0731566308075156E-2</v>
      </c>
      <c r="C1183" s="4">
        <v>-1.6732814412322439E-3</v>
      </c>
      <c r="D1183" s="4">
        <v>2.4593704044040265E-4</v>
      </c>
      <c r="E1183" s="4">
        <v>2.3566143070108403E-4</v>
      </c>
      <c r="F1183" s="4">
        <v>1.6652136631467584E-4</v>
      </c>
      <c r="G1183" s="4">
        <v>9.4329828212558198E-5</v>
      </c>
    </row>
    <row r="1184" spans="1:7" x14ac:dyDescent="0.35">
      <c r="A1184" s="3">
        <v>43361</v>
      </c>
      <c r="B1184" s="4">
        <v>-2.8680102555995735E-3</v>
      </c>
      <c r="C1184" s="4">
        <v>-4.4045290785754698E-4</v>
      </c>
      <c r="D1184" s="4">
        <v>2.3584463876957784E-4</v>
      </c>
      <c r="E1184" s="4">
        <v>2.8559637670344529E-4</v>
      </c>
      <c r="F1184" s="4">
        <v>7.8695436812559194E-4</v>
      </c>
      <c r="G1184" s="4">
        <v>-1.2311600200174411E-3</v>
      </c>
    </row>
    <row r="1185" spans="1:7" x14ac:dyDescent="0.35">
      <c r="A1185" s="3">
        <v>43362</v>
      </c>
      <c r="B1185" s="4">
        <v>-2.5168341197233657E-3</v>
      </c>
      <c r="C1185" s="4">
        <v>-1.1859436842979632E-2</v>
      </c>
      <c r="D1185" s="4">
        <v>2.4575333465426397E-4</v>
      </c>
      <c r="E1185" s="4">
        <v>2.390698430672078E-4</v>
      </c>
      <c r="F1185" s="4">
        <v>-2.3364348472084684E-3</v>
      </c>
      <c r="G1185" s="4">
        <v>-2.4149735983436393E-4</v>
      </c>
    </row>
    <row r="1186" spans="1:7" x14ac:dyDescent="0.35">
      <c r="A1186" s="3">
        <v>43363</v>
      </c>
      <c r="B1186" s="4">
        <v>1.3527227847009105E-2</v>
      </c>
      <c r="C1186" s="4">
        <v>-8.5105358935372299E-3</v>
      </c>
      <c r="D1186" s="4">
        <v>2.3790449906924138E-4</v>
      </c>
      <c r="E1186" s="4">
        <v>3.1820275794425257E-4</v>
      </c>
      <c r="F1186" s="4">
        <v>-2.4444718100747886E-3</v>
      </c>
      <c r="G1186" s="4">
        <v>8.9685303171549435E-5</v>
      </c>
    </row>
    <row r="1187" spans="1:7" x14ac:dyDescent="0.35">
      <c r="A1187" s="3">
        <v>43364</v>
      </c>
      <c r="B1187" s="4">
        <v>-1.9448286190166253E-2</v>
      </c>
      <c r="C1187" s="4">
        <v>1.2511958016389935E-2</v>
      </c>
      <c r="D1187" s="4">
        <v>2.1639156440045326E-4</v>
      </c>
      <c r="E1187" s="4">
        <v>2.2675689285556189E-4</v>
      </c>
      <c r="F1187" s="4">
        <v>6.0187013284440649E-3</v>
      </c>
      <c r="G1187" s="4">
        <v>7.6734283005275294E-4</v>
      </c>
    </row>
    <row r="1188" spans="1:7" x14ac:dyDescent="0.35">
      <c r="A1188" s="3">
        <v>43367</v>
      </c>
      <c r="B1188" s="4">
        <v>4.9303400616751425E-3</v>
      </c>
      <c r="C1188" s="4">
        <v>-2.5724000490715548E-3</v>
      </c>
      <c r="D1188" s="4">
        <v>2.3463825660696713E-4</v>
      </c>
      <c r="E1188" s="4">
        <v>2.530262995805721E-4</v>
      </c>
      <c r="F1188" s="4">
        <v>3.0396919420792035E-3</v>
      </c>
      <c r="G1188" s="4">
        <v>-1.4491804468403924E-3</v>
      </c>
    </row>
    <row r="1189" spans="1:7" x14ac:dyDescent="0.35">
      <c r="A1189" s="3">
        <v>43368</v>
      </c>
      <c r="B1189" s="4">
        <v>2.5539556014393394E-3</v>
      </c>
      <c r="C1189" s="4">
        <v>-1.2169911022314572E-2</v>
      </c>
      <c r="D1189" s="4">
        <v>2.4726431393129467E-4</v>
      </c>
      <c r="E1189" s="4">
        <v>2.3906037378540468E-4</v>
      </c>
      <c r="F1189" s="4">
        <v>-5.0848974659389867E-3</v>
      </c>
      <c r="G1189" s="4">
        <v>-1.3429776020277284E-3</v>
      </c>
    </row>
    <row r="1190" spans="1:7" x14ac:dyDescent="0.35">
      <c r="A1190" s="3">
        <v>43369</v>
      </c>
      <c r="B1190" s="4">
        <v>2.0651330791005229E-2</v>
      </c>
      <c r="C1190" s="4">
        <v>-9.257771011555227E-3</v>
      </c>
      <c r="D1190" s="4">
        <v>2.2853046344861738E-4</v>
      </c>
      <c r="E1190" s="4">
        <v>1.9646748594803753E-4</v>
      </c>
      <c r="F1190" s="4">
        <v>-2.8724028934542511E-3</v>
      </c>
      <c r="G1190" s="4">
        <v>1.7607604458071968E-3</v>
      </c>
    </row>
    <row r="1191" spans="1:7" x14ac:dyDescent="0.35">
      <c r="A1191" s="3">
        <v>43370</v>
      </c>
      <c r="B1191" s="4">
        <v>-7.1329278001702745E-3</v>
      </c>
      <c r="C1191" s="4">
        <v>1.1836771684286651E-2</v>
      </c>
      <c r="D1191" s="4">
        <v>2.0797680296835708E-4</v>
      </c>
      <c r="E1191" s="4">
        <v>2.3815874946442328E-4</v>
      </c>
      <c r="F1191" s="4">
        <v>-2.279368476311161E-4</v>
      </c>
      <c r="G1191" s="4">
        <v>-9.5089834324935119E-5</v>
      </c>
    </row>
    <row r="1192" spans="1:7" x14ac:dyDescent="0.35">
      <c r="A1192" s="3">
        <v>43371</v>
      </c>
      <c r="B1192" s="4">
        <v>-1.4258564806277407E-2</v>
      </c>
      <c r="C1192" s="4">
        <v>-6.1334519820177569E-3</v>
      </c>
      <c r="D1192" s="4">
        <v>2.2717862970078606E-4</v>
      </c>
      <c r="E1192" s="4">
        <v>2.4768905189032075E-4</v>
      </c>
      <c r="F1192" s="4">
        <v>2.823757797520976E-4</v>
      </c>
      <c r="G1192" s="4">
        <v>8.5243221468411789E-4</v>
      </c>
    </row>
    <row r="1193" spans="1:7" x14ac:dyDescent="0.35">
      <c r="A1193" s="3">
        <v>43374</v>
      </c>
      <c r="B1193" s="4">
        <v>4.2018656378533858E-2</v>
      </c>
      <c r="C1193" s="4">
        <v>-2.2034605963400455E-2</v>
      </c>
      <c r="D1193" s="4">
        <v>2.1097317851381803E-4</v>
      </c>
      <c r="E1193" s="4">
        <v>2.0243789047103E-4</v>
      </c>
      <c r="F1193" s="4">
        <v>-3.6200753416013587E-3</v>
      </c>
      <c r="G1193" s="4">
        <v>2.2745279050759848E-3</v>
      </c>
    </row>
    <row r="1194" spans="1:7" x14ac:dyDescent="0.35">
      <c r="A1194" s="3">
        <v>43375</v>
      </c>
      <c r="B1194" s="4">
        <v>2.6096932102128934E-2</v>
      </c>
      <c r="C1194" s="4">
        <v>-5.4660791521448093E-3</v>
      </c>
      <c r="D1194" s="4">
        <v>2.0775824128893561E-4</v>
      </c>
      <c r="E1194" s="4">
        <v>2.2682880348190437E-4</v>
      </c>
      <c r="F1194" s="4">
        <v>3.9976959689560498E-3</v>
      </c>
      <c r="G1194" s="4">
        <v>2.8218754227316012E-5</v>
      </c>
    </row>
    <row r="1195" spans="1:7" x14ac:dyDescent="0.35">
      <c r="A1195" s="3">
        <v>43376</v>
      </c>
      <c r="B1195" s="4">
        <v>3.4098873490928661E-4</v>
      </c>
      <c r="C1195" s="4">
        <v>-1.3138576595195239E-4</v>
      </c>
      <c r="D1195" s="4">
        <v>6.1247474256842516E-4</v>
      </c>
      <c r="E1195" s="4">
        <v>2.4992146156588291E-4</v>
      </c>
      <c r="F1195" s="4">
        <v>6.5935868814706033E-3</v>
      </c>
      <c r="G1195" s="4">
        <v>6.1336066245476495E-4</v>
      </c>
    </row>
    <row r="1196" spans="1:7" x14ac:dyDescent="0.35">
      <c r="A1196" s="3">
        <v>43377</v>
      </c>
      <c r="B1196" s="4">
        <v>-5.7928691151035716E-3</v>
      </c>
      <c r="C1196" s="4">
        <v>-8.2940503303163826E-3</v>
      </c>
      <c r="D1196" s="4">
        <v>2.3369030841657867E-4</v>
      </c>
      <c r="E1196" s="4">
        <v>2.4855648806032526E-4</v>
      </c>
      <c r="F1196" s="4">
        <v>1.7385329734809218E-3</v>
      </c>
      <c r="G1196" s="4">
        <v>6.6878966914862836E-4</v>
      </c>
    </row>
    <row r="1197" spans="1:7" x14ac:dyDescent="0.35">
      <c r="A1197" s="3">
        <v>43378</v>
      </c>
      <c r="B1197" s="4">
        <v>5.0353203555756565E-2</v>
      </c>
      <c r="C1197" s="4">
        <v>-2.844162232605485E-2</v>
      </c>
      <c r="D1197" s="4">
        <v>2.2921742438630766E-4</v>
      </c>
      <c r="E1197" s="4">
        <v>2.0333895915780609E-4</v>
      </c>
      <c r="F1197" s="4">
        <v>-3.1265235879909259E-3</v>
      </c>
      <c r="G1197" s="4">
        <v>2.3213492476275022E-3</v>
      </c>
    </row>
    <row r="1198" spans="1:7" x14ac:dyDescent="0.35">
      <c r="A1198" s="3">
        <v>43381</v>
      </c>
      <c r="B1198" s="4">
        <v>5.3432102362949152E-4</v>
      </c>
      <c r="C1198" s="4">
        <v>-1.3178337304284637E-2</v>
      </c>
      <c r="D1198" s="4">
        <v>2.0304444566621171E-4</v>
      </c>
      <c r="E1198" s="4">
        <v>2.4291963852185461E-4</v>
      </c>
      <c r="F1198" s="4">
        <v>-1.0421387813241978E-3</v>
      </c>
      <c r="G1198" s="4">
        <v>5.0466979470376039E-4</v>
      </c>
    </row>
    <row r="1199" spans="1:7" x14ac:dyDescent="0.35">
      <c r="A1199" s="3">
        <v>43382</v>
      </c>
      <c r="B1199" s="4">
        <v>-2.6534014536385153E-2</v>
      </c>
      <c r="C1199" s="4">
        <v>1.3609323465815892E-2</v>
      </c>
      <c r="D1199" s="4">
        <v>2.3817731822273203E-4</v>
      </c>
      <c r="E1199" s="4">
        <v>2.7094115594050727E-4</v>
      </c>
      <c r="F1199" s="4">
        <v>4.9010537440963287E-3</v>
      </c>
      <c r="G1199" s="4">
        <v>1.5327789281052162E-3</v>
      </c>
    </row>
    <row r="1200" spans="1:7" x14ac:dyDescent="0.35">
      <c r="A1200" s="3">
        <v>43383</v>
      </c>
      <c r="B1200" s="4">
        <v>-9.2973943303087392E-3</v>
      </c>
      <c r="C1200" s="4">
        <v>4.819750586279703E-3</v>
      </c>
      <c r="D1200" s="4">
        <v>4.1084874870866983E-4</v>
      </c>
      <c r="E1200" s="4">
        <v>2.2569665330762767E-4</v>
      </c>
      <c r="F1200" s="4">
        <v>-4.3277749743209082E-3</v>
      </c>
      <c r="G1200" s="4">
        <v>1.845431757085958E-4</v>
      </c>
    </row>
    <row r="1201" spans="1:7" x14ac:dyDescent="0.35">
      <c r="A1201" s="3">
        <v>43384</v>
      </c>
      <c r="B1201" s="4">
        <v>5.0253849520993654E-3</v>
      </c>
      <c r="C1201" s="4">
        <v>-1.088423891275947E-2</v>
      </c>
      <c r="D1201" s="4">
        <v>9.0188072622510163E-5</v>
      </c>
      <c r="E1201" s="4">
        <v>1.7797844978018063E-4</v>
      </c>
      <c r="F1201" s="4">
        <v>-3.5644062417966582E-3</v>
      </c>
      <c r="G1201" s="4">
        <v>3.5432892500075752E-6</v>
      </c>
    </row>
    <row r="1202" spans="1:7" x14ac:dyDescent="0.35">
      <c r="A1202" s="3">
        <v>43388</v>
      </c>
      <c r="B1202" s="4">
        <v>3.1673572150493046E-2</v>
      </c>
      <c r="C1202" s="4">
        <v>-9.9412590242509147E-4</v>
      </c>
      <c r="D1202" s="4">
        <v>2.0803766274601898E-4</v>
      </c>
      <c r="E1202" s="4">
        <v>1.9349938367407837E-4</v>
      </c>
      <c r="F1202" s="4">
        <v>-1.8035419477997472E-3</v>
      </c>
      <c r="G1202" s="4">
        <v>1.8244182947360077E-3</v>
      </c>
    </row>
    <row r="1203" spans="1:7" x14ac:dyDescent="0.35">
      <c r="A1203" s="3">
        <v>43389</v>
      </c>
      <c r="B1203" s="4">
        <v>5.6150905449636745E-4</v>
      </c>
      <c r="C1203" s="4">
        <v>-1.2720953703490911E-2</v>
      </c>
      <c r="D1203" s="4">
        <v>2.1926592282750512E-4</v>
      </c>
      <c r="E1203" s="4">
        <v>3.2740814295517673E-4</v>
      </c>
      <c r="F1203" s="4">
        <v>-1.9451241060759461E-3</v>
      </c>
      <c r="G1203" s="4">
        <v>1.4381474378255543E-3</v>
      </c>
    </row>
    <row r="1204" spans="1:7" x14ac:dyDescent="0.35">
      <c r="A1204" s="3">
        <v>43390</v>
      </c>
      <c r="B1204" s="4">
        <v>-1.5533107820602909E-2</v>
      </c>
      <c r="C1204" s="4">
        <v>8.216183856771142E-3</v>
      </c>
      <c r="D1204" s="4">
        <v>2.3458890614369565E-4</v>
      </c>
      <c r="E1204" s="4">
        <v>2.9044995959459641E-4</v>
      </c>
      <c r="F1204" s="4">
        <v>3.8045823856913685E-4</v>
      </c>
      <c r="G1204" s="4">
        <v>2.2280183171519141E-5</v>
      </c>
    </row>
    <row r="1205" spans="1:7" x14ac:dyDescent="0.35">
      <c r="A1205" s="3">
        <v>43391</v>
      </c>
      <c r="B1205" s="4">
        <v>2.6030548012045962E-3</v>
      </c>
      <c r="C1205" s="4">
        <v>-1.0144786349073343E-3</v>
      </c>
      <c r="D1205" s="4">
        <v>2.6889947014874238E-4</v>
      </c>
      <c r="E1205" s="4">
        <v>2.8473344542256918E-4</v>
      </c>
      <c r="F1205" s="4">
        <v>2.1356404567527409E-3</v>
      </c>
      <c r="G1205" s="4">
        <v>8.0148815159941655E-4</v>
      </c>
    </row>
    <row r="1206" spans="1:7" x14ac:dyDescent="0.35">
      <c r="A1206" s="3">
        <v>43392</v>
      </c>
      <c r="B1206" s="4">
        <v>1.7143812805171299E-2</v>
      </c>
      <c r="C1206" s="4">
        <v>-4.9782226447422362E-3</v>
      </c>
      <c r="D1206" s="4">
        <v>4.0880660579434291E-4</v>
      </c>
      <c r="E1206" s="4">
        <v>2.7286357086420132E-4</v>
      </c>
      <c r="F1206" s="4">
        <v>9.7425918972038339E-4</v>
      </c>
      <c r="G1206" s="4">
        <v>8.4681220735216556E-4</v>
      </c>
    </row>
    <row r="1207" spans="1:7" x14ac:dyDescent="0.35">
      <c r="A1207" s="3">
        <v>43395</v>
      </c>
      <c r="B1207" s="4">
        <v>-2.3061959075987293E-4</v>
      </c>
      <c r="C1207" s="4">
        <v>2.6195636800143696E-3</v>
      </c>
      <c r="D1207" s="4">
        <v>2.231903032563487E-4</v>
      </c>
      <c r="E1207" s="4">
        <v>2.604486330628486E-4</v>
      </c>
      <c r="F1207" s="4">
        <v>-4.7234492946067741E-3</v>
      </c>
      <c r="G1207" s="4">
        <v>7.7738351724176979E-4</v>
      </c>
    </row>
    <row r="1208" spans="1:7" x14ac:dyDescent="0.35">
      <c r="A1208" s="3">
        <v>43396</v>
      </c>
      <c r="B1208" s="4">
        <v>-2.2666069625681962E-2</v>
      </c>
      <c r="C1208" s="4">
        <v>7.8736788819091519E-3</v>
      </c>
      <c r="D1208" s="4">
        <v>2.3731121843639791E-4</v>
      </c>
      <c r="E1208" s="4">
        <v>3.7533049300741972E-4</v>
      </c>
      <c r="F1208" s="4">
        <v>-4.5961874365533228E-3</v>
      </c>
      <c r="G1208" s="4">
        <v>8.6190820154175007E-4</v>
      </c>
    </row>
    <row r="1209" spans="1:7" x14ac:dyDescent="0.35">
      <c r="A1209" s="3">
        <v>43397</v>
      </c>
      <c r="B1209" s="4">
        <v>1.3399661935165064E-2</v>
      </c>
      <c r="C1209" s="4">
        <v>-6.5801779713535735E-3</v>
      </c>
      <c r="D1209" s="4">
        <v>2.6935273542649796E-4</v>
      </c>
      <c r="E1209" s="4">
        <v>2.8620634341702811E-4</v>
      </c>
      <c r="F1209" s="4">
        <v>8.9071462151846248E-4</v>
      </c>
      <c r="G1209" s="4">
        <v>3.5664973826032842E-4</v>
      </c>
    </row>
    <row r="1210" spans="1:7" x14ac:dyDescent="0.35">
      <c r="A1210" s="3">
        <v>43398</v>
      </c>
      <c r="B1210" s="4">
        <v>2.0873341009979507E-2</v>
      </c>
      <c r="C1210" s="4">
        <v>-1.2851799211248238E-2</v>
      </c>
      <c r="D1210" s="4">
        <v>2.9733379859386844E-4</v>
      </c>
      <c r="E1210" s="4">
        <v>2.7351930880170627E-4</v>
      </c>
      <c r="F1210" s="4">
        <v>-7.3348919926700118E-3</v>
      </c>
      <c r="G1210" s="4">
        <v>1.3147498944865443E-3</v>
      </c>
    </row>
    <row r="1211" spans="1:7" x14ac:dyDescent="0.35">
      <c r="A1211" s="3">
        <v>43399</v>
      </c>
      <c r="B1211" s="4">
        <v>-1.7681791896402177E-2</v>
      </c>
      <c r="C1211" s="4">
        <v>1.3311574896534228E-2</v>
      </c>
      <c r="D1211" s="4">
        <v>2.4442873161611978E-4</v>
      </c>
      <c r="E1211" s="4">
        <v>2.8602224290263933E-4</v>
      </c>
      <c r="F1211" s="4">
        <v>-1.4139148194395323E-3</v>
      </c>
      <c r="G1211" s="4">
        <v>-3.343435422745733E-4</v>
      </c>
    </row>
    <row r="1212" spans="1:7" x14ac:dyDescent="0.35">
      <c r="A1212" s="3">
        <v>43402</v>
      </c>
      <c r="B1212" s="4">
        <v>3.9557041256015335E-2</v>
      </c>
      <c r="C1212" s="4">
        <v>3.3483892978667384E-3</v>
      </c>
      <c r="D1212" s="4">
        <v>2.2981274917466266E-4</v>
      </c>
      <c r="E1212" s="4">
        <v>2.7506431260504449E-4</v>
      </c>
      <c r="F1212" s="4">
        <v>3.7393204295066429E-3</v>
      </c>
      <c r="G1212" s="4">
        <v>7.0626585971567124E-4</v>
      </c>
    </row>
    <row r="1213" spans="1:7" x14ac:dyDescent="0.35">
      <c r="A1213" s="3">
        <v>43403</v>
      </c>
      <c r="B1213" s="4">
        <v>1.7771143300988612E-3</v>
      </c>
      <c r="C1213" s="4">
        <v>2.2702068957314303E-4</v>
      </c>
      <c r="D1213" s="4">
        <v>2.213343947394808E-4</v>
      </c>
      <c r="E1213" s="4">
        <v>2.4157526288393072E-4</v>
      </c>
      <c r="F1213" s="4">
        <v>6.2066955223594178E-3</v>
      </c>
      <c r="G1213" s="4">
        <v>1.5802711960732907E-4</v>
      </c>
    </row>
    <row r="1214" spans="1:7" x14ac:dyDescent="0.35">
      <c r="A1214" s="3">
        <v>43404</v>
      </c>
      <c r="B1214" s="4">
        <v>1.0295718436510892E-2</v>
      </c>
      <c r="C1214" s="4">
        <v>-6.284812265896611E-3</v>
      </c>
      <c r="D1214" s="4">
        <v>2.5498603757734273E-4</v>
      </c>
      <c r="E1214" s="4">
        <v>2.9578427705256871E-4</v>
      </c>
      <c r="F1214" s="4">
        <v>-3.5296876283178458E-3</v>
      </c>
      <c r="G1214" s="4">
        <v>2.1282508656086385E-3</v>
      </c>
    </row>
    <row r="1215" spans="1:7" x14ac:dyDescent="0.35">
      <c r="A1215" s="3">
        <v>43405</v>
      </c>
      <c r="B1215" s="4">
        <v>1.2021009545905459E-2</v>
      </c>
      <c r="C1215" s="4">
        <v>8.1067230348423891E-3</v>
      </c>
      <c r="D1215" s="4">
        <v>2.3524464863133865E-4</v>
      </c>
      <c r="E1215" s="4">
        <v>4.2088270336249067E-4</v>
      </c>
      <c r="F1215" s="4">
        <v>-9.0669340072524474E-4</v>
      </c>
      <c r="G1215" s="4">
        <v>1.8309074562994354E-4</v>
      </c>
    </row>
    <row r="1216" spans="1:7" x14ac:dyDescent="0.35">
      <c r="A1216" s="3">
        <v>43409</v>
      </c>
      <c r="B1216" s="4">
        <v>-9.124884150940149E-3</v>
      </c>
      <c r="C1216" s="4">
        <v>7.1059753562747741E-3</v>
      </c>
      <c r="D1216" s="4">
        <v>2.4586509306523396E-4</v>
      </c>
      <c r="E1216" s="4">
        <v>2.8160908752994374E-4</v>
      </c>
      <c r="F1216" s="4">
        <v>8.6118393355727463E-4</v>
      </c>
      <c r="G1216" s="4">
        <v>-1.3247879849564992E-4</v>
      </c>
    </row>
    <row r="1217" spans="1:7" x14ac:dyDescent="0.35">
      <c r="A1217" s="3">
        <v>43410</v>
      </c>
      <c r="B1217" s="4">
        <v>-1.2986815646718664E-2</v>
      </c>
      <c r="C1217" s="4">
        <v>3.0795452846588134E-4</v>
      </c>
      <c r="D1217" s="4">
        <v>3.0779217752763266E-4</v>
      </c>
      <c r="E1217" s="4">
        <v>2.5897913636763192E-4</v>
      </c>
      <c r="F1217" s="4">
        <v>-2.8277021822309401E-4</v>
      </c>
      <c r="G1217" s="4">
        <v>-9.0402642976550318E-5</v>
      </c>
    </row>
    <row r="1218" spans="1:7" x14ac:dyDescent="0.35">
      <c r="A1218" s="3">
        <v>43411</v>
      </c>
      <c r="B1218" s="4">
        <v>-2.003362986833046E-2</v>
      </c>
      <c r="C1218" s="4">
        <v>3.3364819484673625E-3</v>
      </c>
      <c r="D1218" s="4">
        <v>2.1695966899670793E-4</v>
      </c>
      <c r="E1218" s="4">
        <v>2.7852491233404386E-4</v>
      </c>
      <c r="F1218" s="4">
        <v>3.0559618306809089E-3</v>
      </c>
      <c r="G1218" s="4">
        <v>9.2846958457526441E-4</v>
      </c>
    </row>
    <row r="1219" spans="1:7" x14ac:dyDescent="0.35">
      <c r="A1219" s="3">
        <v>43412</v>
      </c>
      <c r="B1219" s="4">
        <v>4.4306157939073554E-3</v>
      </c>
      <c r="C1219" s="4">
        <v>-4.4123647946517908E-3</v>
      </c>
      <c r="D1219" s="4">
        <v>2.8075309901232082E-4</v>
      </c>
      <c r="E1219" s="4">
        <v>2.4751038298131967E-4</v>
      </c>
      <c r="F1219" s="4">
        <v>-3.3735200675474308E-3</v>
      </c>
      <c r="G1219" s="4">
        <v>-3.8658539076130705E-4</v>
      </c>
    </row>
    <row r="1220" spans="1:7" x14ac:dyDescent="0.35">
      <c r="A1220" s="3">
        <v>43413</v>
      </c>
      <c r="B1220" s="4">
        <v>-4.3163330012492285E-3</v>
      </c>
      <c r="C1220" s="4">
        <v>2.1514712947940939E-3</v>
      </c>
      <c r="D1220" s="4">
        <v>2.34271006329001E-4</v>
      </c>
      <c r="E1220" s="4">
        <v>2.4593128890959548E-4</v>
      </c>
      <c r="F1220" s="4">
        <v>-2.4589656399947035E-3</v>
      </c>
      <c r="G1220" s="4">
        <v>2.4073585064510183E-5</v>
      </c>
    </row>
    <row r="1221" spans="1:7" x14ac:dyDescent="0.35">
      <c r="A1221" s="3">
        <v>43416</v>
      </c>
      <c r="B1221" s="4">
        <v>-4.4066666684420275E-3</v>
      </c>
      <c r="C1221" s="4">
        <v>1.6378750337413539E-2</v>
      </c>
      <c r="D1221" s="4">
        <v>2.0977388932075236E-4</v>
      </c>
      <c r="E1221" s="4">
        <v>2.7888033168310677E-4</v>
      </c>
      <c r="F1221" s="4">
        <v>-1.0845235223204686E-3</v>
      </c>
      <c r="G1221" s="4">
        <v>-5.6018022101622655E-4</v>
      </c>
    </row>
    <row r="1222" spans="1:7" x14ac:dyDescent="0.35">
      <c r="A1222" s="3">
        <v>43417</v>
      </c>
      <c r="B1222" s="4">
        <v>1.1807843093773362E-2</v>
      </c>
      <c r="C1222" s="4">
        <v>-5.4704343926641474E-3</v>
      </c>
      <c r="D1222" s="4">
        <v>2.271458923790437E-4</v>
      </c>
      <c r="E1222" s="4">
        <v>2.8799775817867079E-4</v>
      </c>
      <c r="F1222" s="4">
        <v>-3.0658189550720749E-3</v>
      </c>
      <c r="G1222" s="4">
        <v>6.012015510505897E-4</v>
      </c>
    </row>
    <row r="1223" spans="1:7" x14ac:dyDescent="0.35">
      <c r="A1223" s="3">
        <v>43418</v>
      </c>
      <c r="B1223" s="4">
        <v>3.1314783173929772E-2</v>
      </c>
      <c r="C1223" s="4">
        <v>-1.2650240735196938E-2</v>
      </c>
      <c r="D1223" s="4">
        <v>2.4206291452033568E-4</v>
      </c>
      <c r="E1223" s="4">
        <v>2.6635420553167144E-4</v>
      </c>
      <c r="F1223" s="4">
        <v>-5.9833356158202067E-3</v>
      </c>
      <c r="G1223" s="4">
        <v>9.8782658358542719E-4</v>
      </c>
    </row>
    <row r="1224" spans="1:7" x14ac:dyDescent="0.35">
      <c r="A1224" s="3">
        <v>43420</v>
      </c>
      <c r="B1224" s="4">
        <v>-5.5631264413290582E-3</v>
      </c>
      <c r="C1224" s="4">
        <v>5.6241255249807054E-3</v>
      </c>
      <c r="D1224" s="4">
        <v>2.7658303843591803E-4</v>
      </c>
      <c r="E1224" s="4">
        <v>2.7270826895264833E-4</v>
      </c>
      <c r="F1224" s="4">
        <v>-2.5847651635646507E-3</v>
      </c>
      <c r="G1224" s="4">
        <v>1.7686258706284264E-4</v>
      </c>
    </row>
    <row r="1225" spans="1:7" x14ac:dyDescent="0.35">
      <c r="A1225" s="3">
        <v>43423</v>
      </c>
      <c r="B1225" s="4">
        <v>-1.1473009403906165E-4</v>
      </c>
      <c r="C1225" s="4">
        <v>2.0255871037000439E-4</v>
      </c>
      <c r="D1225" s="4">
        <v>1.8544748758242413E-4</v>
      </c>
      <c r="E1225" s="4">
        <v>2.441469641105698E-4</v>
      </c>
      <c r="F1225" s="4">
        <v>1.1723197035995447E-4</v>
      </c>
      <c r="G1225" s="4">
        <v>2.144865878463964E-4</v>
      </c>
    </row>
    <row r="1226" spans="1:7" x14ac:dyDescent="0.35">
      <c r="A1226" s="3">
        <v>43424</v>
      </c>
      <c r="B1226" s="4">
        <v>-7.8183726378761031E-3</v>
      </c>
      <c r="C1226" s="4">
        <v>5.7102058757025898E-3</v>
      </c>
      <c r="D1226" s="4">
        <v>2.3523815734161069E-4</v>
      </c>
      <c r="E1226" s="4">
        <v>2.8067057037239884E-4</v>
      </c>
      <c r="F1226" s="4">
        <v>-2.8947566547853354E-3</v>
      </c>
      <c r="G1226" s="4">
        <v>-5.489074056701515E-4</v>
      </c>
    </row>
    <row r="1227" spans="1:7" x14ac:dyDescent="0.35">
      <c r="A1227" s="3">
        <v>43425</v>
      </c>
      <c r="B1227" s="4">
        <v>5.1533416445497249E-3</v>
      </c>
      <c r="C1227" s="4">
        <v>6.7321089373899579E-3</v>
      </c>
      <c r="D1227" s="4">
        <v>2.2942193869268657E-4</v>
      </c>
      <c r="E1227" s="4">
        <v>2.4196612611038226E-4</v>
      </c>
      <c r="F1227" s="4">
        <v>1.2842708583100659E-3</v>
      </c>
      <c r="G1227" s="4">
        <v>1.2282663147973327E-3</v>
      </c>
    </row>
    <row r="1228" spans="1:7" x14ac:dyDescent="0.35">
      <c r="A1228" s="3">
        <v>43426</v>
      </c>
      <c r="B1228" s="4">
        <v>-9.1683663357881029E-3</v>
      </c>
      <c r="C1228" s="4">
        <v>2.1971160236811116E-3</v>
      </c>
      <c r="D1228" s="4">
        <v>2.4082179308893004E-4</v>
      </c>
      <c r="E1228" s="4">
        <v>2.4229022800725808E-4</v>
      </c>
      <c r="F1228" s="4">
        <v>-3.7600822826602265E-3</v>
      </c>
      <c r="G1228" s="4">
        <v>1.7116753622927749E-3</v>
      </c>
    </row>
    <row r="1229" spans="1:7" x14ac:dyDescent="0.35">
      <c r="A1229" s="3">
        <v>43427</v>
      </c>
      <c r="B1229" s="4">
        <v>-8.2294175037421757E-3</v>
      </c>
      <c r="C1229" s="4">
        <v>2.293170899183572E-2</v>
      </c>
      <c r="D1229" s="4">
        <v>2.15872243070514E-4</v>
      </c>
      <c r="E1229" s="4">
        <v>3.1858773798720819E-4</v>
      </c>
      <c r="F1229" s="4">
        <v>-2.6356371016722502E-4</v>
      </c>
      <c r="G1229" s="4">
        <v>-7.5070810456223658E-4</v>
      </c>
    </row>
    <row r="1230" spans="1:7" x14ac:dyDescent="0.35">
      <c r="A1230" s="3">
        <v>43430</v>
      </c>
      <c r="B1230" s="4">
        <v>2.662668515159794E-2</v>
      </c>
      <c r="C1230" s="4">
        <v>-2.9125394496987145E-3</v>
      </c>
      <c r="D1230" s="4">
        <v>2.564170049472736E-4</v>
      </c>
      <c r="E1230" s="4">
        <v>2.5271440737006934E-4</v>
      </c>
      <c r="F1230" s="4">
        <v>-1.2201906675579632E-3</v>
      </c>
      <c r="G1230" s="4">
        <v>-2.6170718753948385E-4</v>
      </c>
    </row>
    <row r="1231" spans="1:7" x14ac:dyDescent="0.35">
      <c r="A1231" s="3">
        <v>43431</v>
      </c>
      <c r="B1231" s="4">
        <v>1.3919990646657165E-2</v>
      </c>
      <c r="C1231" s="4">
        <v>-1.3614372754212845E-2</v>
      </c>
      <c r="D1231" s="4">
        <v>2.4196108256813176E-4</v>
      </c>
      <c r="E1231" s="4">
        <v>2.3872733013230452E-4</v>
      </c>
      <c r="F1231" s="4">
        <v>2.5215267394660401E-3</v>
      </c>
      <c r="G1231" s="4">
        <v>-6.6398343117857195E-4</v>
      </c>
    </row>
    <row r="1232" spans="1:7" x14ac:dyDescent="0.35">
      <c r="A1232" s="3">
        <v>43432</v>
      </c>
      <c r="B1232" s="4">
        <v>5.4716486874206716E-3</v>
      </c>
      <c r="C1232" s="4">
        <v>5.393707826905958E-3</v>
      </c>
      <c r="D1232" s="4">
        <v>1.6666907999285385E-4</v>
      </c>
      <c r="E1232" s="4">
        <v>2.8495854666132914E-4</v>
      </c>
      <c r="F1232" s="4">
        <v>-3.4466102834730394E-3</v>
      </c>
      <c r="G1232" s="4">
        <v>9.5028635966576402E-4</v>
      </c>
    </row>
    <row r="1233" spans="1:7" x14ac:dyDescent="0.35">
      <c r="A1233" s="3">
        <v>43433</v>
      </c>
      <c r="B1233" s="4">
        <v>2.8245168392839748E-3</v>
      </c>
      <c r="C1233" s="4">
        <v>1.5176523885354065E-3</v>
      </c>
      <c r="D1233" s="4">
        <v>2.591194883334591E-4</v>
      </c>
      <c r="E1233" s="4">
        <v>2.4153787543568228E-4</v>
      </c>
      <c r="F1233" s="4">
        <v>7.6668880435204478E-4</v>
      </c>
      <c r="G1233" s="4">
        <v>7.2614586107278001E-4</v>
      </c>
    </row>
    <row r="1234" spans="1:7" x14ac:dyDescent="0.35">
      <c r="A1234" s="3">
        <v>43434</v>
      </c>
      <c r="B1234" s="4">
        <v>9.0656196960265945E-3</v>
      </c>
      <c r="C1234" s="4">
        <v>-1.1336740020916891E-2</v>
      </c>
      <c r="D1234" s="4">
        <v>2.4133330697462263E-4</v>
      </c>
      <c r="E1234" s="4">
        <v>2.6096344075510203E-4</v>
      </c>
      <c r="F1234" s="4">
        <v>-1.3103947117715231E-3</v>
      </c>
      <c r="G1234" s="4">
        <v>1.6178448266734868E-4</v>
      </c>
    </row>
    <row r="1235" spans="1:7" x14ac:dyDescent="0.35">
      <c r="A1235" s="3">
        <v>43437</v>
      </c>
      <c r="B1235" s="4">
        <v>-1.284452726157026E-2</v>
      </c>
      <c r="C1235" s="4">
        <v>7.9769715253423801E-3</v>
      </c>
      <c r="D1235" s="4">
        <v>2.4482807805470408E-4</v>
      </c>
      <c r="E1235" s="4">
        <v>2.4654313429239849E-4</v>
      </c>
      <c r="F1235" s="4">
        <v>-1.0017965805885765E-2</v>
      </c>
      <c r="G1235" s="4">
        <v>-6.5357213117656077E-4</v>
      </c>
    </row>
    <row r="1236" spans="1:7" x14ac:dyDescent="0.35">
      <c r="A1236" s="3">
        <v>43438</v>
      </c>
      <c r="B1236" s="4">
        <v>7.1530214250696833E-3</v>
      </c>
      <c r="C1236" s="4">
        <v>3.206397098508118E-3</v>
      </c>
      <c r="D1236" s="4">
        <v>2.6140406177765918E-4</v>
      </c>
      <c r="E1236" s="4">
        <v>2.3895599113732402E-4</v>
      </c>
      <c r="F1236" s="4">
        <v>1.2065210343974453E-3</v>
      </c>
      <c r="G1236" s="4">
        <v>-1.3525879667131147E-4</v>
      </c>
    </row>
    <row r="1237" spans="1:7" x14ac:dyDescent="0.35">
      <c r="A1237" s="3">
        <v>43439</v>
      </c>
      <c r="B1237" s="4">
        <v>-3.415573359948576E-3</v>
      </c>
      <c r="C1237" s="4">
        <v>6.3059256736266445E-3</v>
      </c>
      <c r="D1237" s="4">
        <v>3.1522422227792113E-4</v>
      </c>
      <c r="E1237" s="4">
        <v>2.6441318454084595E-4</v>
      </c>
      <c r="F1237" s="4">
        <v>-4.6878118677604608E-3</v>
      </c>
      <c r="G1237" s="4">
        <v>-7.6242946681737145E-5</v>
      </c>
    </row>
    <row r="1238" spans="1:7" x14ac:dyDescent="0.35">
      <c r="A1238" s="3">
        <v>43440</v>
      </c>
      <c r="B1238" s="4">
        <v>-9.0742028891833693E-3</v>
      </c>
      <c r="C1238" s="4">
        <v>-2.773073418556149E-3</v>
      </c>
      <c r="D1238" s="4">
        <v>2.431060426595355E-4</v>
      </c>
      <c r="E1238" s="4">
        <v>2.2877838498325254E-4</v>
      </c>
      <c r="F1238" s="4">
        <v>-3.5674476968985402E-3</v>
      </c>
      <c r="G1238" s="4">
        <v>7.4247066766308656E-4</v>
      </c>
    </row>
    <row r="1239" spans="1:7" x14ac:dyDescent="0.35">
      <c r="A1239" s="3">
        <v>43441</v>
      </c>
      <c r="B1239" s="4">
        <v>-2.3000509754619758E-2</v>
      </c>
      <c r="C1239" s="4">
        <v>1.2626792226331229E-2</v>
      </c>
      <c r="D1239" s="4">
        <v>2.2110586378953911E-4</v>
      </c>
      <c r="E1239" s="4">
        <v>2.5107183478279005E-4</v>
      </c>
      <c r="F1239" s="4">
        <v>-3.5087801077594571E-3</v>
      </c>
      <c r="G1239" s="4">
        <v>1.5591916312627241E-3</v>
      </c>
    </row>
  </sheetData>
  <mergeCells count="8">
    <mergeCell ref="W23:Z23"/>
    <mergeCell ref="W24:Z24"/>
    <mergeCell ref="AF14:AG14"/>
    <mergeCell ref="AI14:AJ14"/>
    <mergeCell ref="W19:Z19"/>
    <mergeCell ref="W20:Z20"/>
    <mergeCell ref="W21:Z21"/>
    <mergeCell ref="W22:Z22"/>
  </mergeCells>
  <dataValidations count="1">
    <dataValidation type="list" allowBlank="1" showInputMessage="1" showErrorMessage="1" sqref="AD25" xr:uid="{00000000-0002-0000-0000-000000000000}">
      <formula1>$L$42:$L$46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AlocacaoCarteira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Piva</dc:creator>
  <cp:lastModifiedBy>Rafael Fernandes Piva</cp:lastModifiedBy>
  <dcterms:created xsi:type="dcterms:W3CDTF">2019-01-27T15:52:07Z</dcterms:created>
  <dcterms:modified xsi:type="dcterms:W3CDTF">2023-02-15T00:47:21Z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iteId">
    <vt:lpwstr>12a3af23-a769-4654-847f-958f3d479f4a</vt:lpwstr>
  </property>
  <property fmtid="{D5CDD505-2E9C-101B-9397-08002B2CF9AE}" pid="4" name="MSIP_Label_1ada0a2f-b917-4d51-b0d0-d418a10c8b23_Owner">
    <vt:lpwstr>Rafael.Piva@br.nestle.com</vt:lpwstr>
  </property>
  <property fmtid="{D5CDD505-2E9C-101B-9397-08002B2CF9AE}" pid="5" name="MSIP_Label_1ada0a2f-b917-4d51-b0d0-d418a10c8b23_SetDate">
    <vt:lpwstr>2020-04-02T17:46:06.8827903Z</vt:lpwstr>
  </property>
  <property fmtid="{D5CDD505-2E9C-101B-9397-08002B2CF9AE}" pid="6" name="MSIP_Label_1ada0a2f-b917-4d51-b0d0-d418a10c8b23_Name">
    <vt:lpwstr>General Use</vt:lpwstr>
  </property>
  <property fmtid="{D5CDD505-2E9C-101B-9397-08002B2CF9AE}" pid="7" name="MSIP_Label_1ada0a2f-b917-4d51-b0d0-d418a10c8b23_Application">
    <vt:lpwstr>Microsoft Azure Information Protection</vt:lpwstr>
  </property>
  <property fmtid="{D5CDD505-2E9C-101B-9397-08002B2CF9AE}" pid="8" name="MSIP_Label_1ada0a2f-b917-4d51-b0d0-d418a10c8b23_ActionId">
    <vt:lpwstr>364c274d-95ba-499a-b8fb-a9b121149695</vt:lpwstr>
  </property>
  <property fmtid="{D5CDD505-2E9C-101B-9397-08002B2CF9AE}" pid="9" name="MSIP_Label_1ada0a2f-b917-4d51-b0d0-d418a10c8b23_Extended_MSFT_Method">
    <vt:lpwstr>Automatic</vt:lpwstr>
  </property>
  <property fmtid="{D5CDD505-2E9C-101B-9397-08002B2CF9AE}" pid="10" name="Sensitivity">
    <vt:lpwstr>General Use</vt:lpwstr>
  </property>
</Properties>
</file>