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rafa_\Dropbox\Pessoal\Primo Rico\Carteiras\"/>
    </mc:Choice>
  </mc:AlternateContent>
  <xr:revisionPtr revIDLastSave="0" documentId="13_ncr:1_{8DC6F9DE-4A5E-4BB4-A995-BB726FEB8A2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alar Solver" sheetId="2" r:id="rId1"/>
    <sheet name="4_ativos" sheetId="4" r:id="rId2"/>
    <sheet name="Gráf1" sheetId="5" r:id="rId3"/>
  </sheets>
  <definedNames>
    <definedName name="solver_adj" localSheetId="1" hidden="1">'4_ativos'!$F$49:$H$49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1000</definedName>
    <definedName name="solver_lhs1" localSheetId="1" hidden="1">'4_ativos'!$F$61</definedName>
    <definedName name="solver_lhs2" localSheetId="1" hidden="1">'4_ativos'!$F$61</definedName>
    <definedName name="solver_lhs3" localSheetId="1" hidden="1">'4_ativos'!$F$61</definedName>
    <definedName name="solver_lhs4" localSheetId="1" hidden="1">'4_ativos'!$G$49</definedName>
    <definedName name="solver_lhs5" localSheetId="1" hidden="1">'4_ativos'!$I$49</definedName>
    <definedName name="solver_lhs6" localSheetId="1" hidden="1">'4_ativos'!$I$49</definedName>
    <definedName name="solver_lhs7" localSheetId="1" hidden="1">'4_ativos'!$I$49</definedName>
    <definedName name="solver_lhs8" localSheetId="1" hidden="1">'4_ativos'!$I$49</definedName>
    <definedName name="solver_lhs9" localSheetId="1" hidden="1">'4_ativos'!$F$61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'4_ativos'!$F$56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el3" localSheetId="1" hidden="1">2</definedName>
    <definedName name="solver_rel4" localSheetId="1" hidden="1">3</definedName>
    <definedName name="solver_rel5" localSheetId="1" hidden="1">3</definedName>
    <definedName name="solver_rel6" localSheetId="1" hidden="1">3</definedName>
    <definedName name="solver_rel7" localSheetId="1" hidden="1">1</definedName>
    <definedName name="solver_rel8" localSheetId="1" hidden="1">3</definedName>
    <definedName name="solver_rel9" localSheetId="1" hidden="1">2</definedName>
    <definedName name="solver_rhs1" localSheetId="1" hidden="1">0.057</definedName>
    <definedName name="solver_rhs2" localSheetId="1" hidden="1">0.075</definedName>
    <definedName name="solver_rhs3" localSheetId="1" hidden="1">0.06</definedName>
    <definedName name="solver_rhs4" localSheetId="1" hidden="1">0</definedName>
    <definedName name="solver_rhs5" localSheetId="1" hidden="1">0</definedName>
    <definedName name="solver_rhs6" localSheetId="1" hidden="1">0</definedName>
    <definedName name="solver_rhs7" localSheetId="1" hidden="1">1</definedName>
    <definedName name="solver_rhs8" localSheetId="1" hidden="1">0</definedName>
    <definedName name="solver_rhs9" localSheetId="1" hidden="1">0.06</definedName>
    <definedName name="solver_rlx" localSheetId="1" hidden="1">1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100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4" l="1"/>
  <c r="G40" i="4"/>
  <c r="H40" i="4"/>
  <c r="I40" i="4"/>
  <c r="F41" i="4"/>
  <c r="G41" i="4"/>
  <c r="H41" i="4"/>
  <c r="I41" i="4"/>
  <c r="I39" i="4" l="1"/>
  <c r="H39" i="4"/>
  <c r="G39" i="4"/>
  <c r="F39" i="4"/>
  <c r="I38" i="4"/>
  <c r="H38" i="4"/>
  <c r="G38" i="4"/>
  <c r="F38" i="4"/>
  <c r="I37" i="4"/>
  <c r="H37" i="4"/>
  <c r="G37" i="4"/>
  <c r="F37" i="4"/>
  <c r="I36" i="4"/>
  <c r="H36" i="4"/>
  <c r="G36" i="4"/>
  <c r="F36" i="4"/>
  <c r="I35" i="4"/>
  <c r="H35" i="4"/>
  <c r="G35" i="4"/>
  <c r="F35" i="4"/>
  <c r="I34" i="4"/>
  <c r="H34" i="4"/>
  <c r="G34" i="4"/>
  <c r="F34" i="4"/>
  <c r="I33" i="4"/>
  <c r="H33" i="4"/>
  <c r="G33" i="4"/>
  <c r="F33" i="4"/>
  <c r="I32" i="4"/>
  <c r="H32" i="4"/>
  <c r="G32" i="4"/>
  <c r="F32" i="4"/>
  <c r="I31" i="4"/>
  <c r="H31" i="4"/>
  <c r="G31" i="4"/>
  <c r="F31" i="4"/>
  <c r="I30" i="4"/>
  <c r="H30" i="4"/>
  <c r="G30" i="4"/>
  <c r="F30" i="4"/>
  <c r="I29" i="4"/>
  <c r="H29" i="4"/>
  <c r="G29" i="4"/>
  <c r="F29" i="4"/>
  <c r="I28" i="4"/>
  <c r="H28" i="4"/>
  <c r="G28" i="4"/>
  <c r="F28" i="4"/>
  <c r="I27" i="4"/>
  <c r="H27" i="4"/>
  <c r="G27" i="4"/>
  <c r="F27" i="4"/>
  <c r="I26" i="4"/>
  <c r="H26" i="4"/>
  <c r="G26" i="4"/>
  <c r="F26" i="4"/>
  <c r="I25" i="4"/>
  <c r="H25" i="4"/>
  <c r="G25" i="4"/>
  <c r="F25" i="4"/>
  <c r="I24" i="4"/>
  <c r="H24" i="4"/>
  <c r="G24" i="4"/>
  <c r="F24" i="4"/>
  <c r="I23" i="4"/>
  <c r="H23" i="4"/>
  <c r="G23" i="4"/>
  <c r="F23" i="4"/>
  <c r="I22" i="4"/>
  <c r="H22" i="4"/>
  <c r="G22" i="4"/>
  <c r="F22" i="4"/>
  <c r="I21" i="4"/>
  <c r="H21" i="4"/>
  <c r="G21" i="4"/>
  <c r="F21" i="4"/>
  <c r="I20" i="4"/>
  <c r="H20" i="4"/>
  <c r="G20" i="4"/>
  <c r="F20" i="4"/>
  <c r="I19" i="4"/>
  <c r="H19" i="4"/>
  <c r="G19" i="4"/>
  <c r="F19" i="4"/>
  <c r="I18" i="4"/>
  <c r="H18" i="4"/>
  <c r="G18" i="4"/>
  <c r="F18" i="4"/>
  <c r="I17" i="4"/>
  <c r="H17" i="4"/>
  <c r="G17" i="4"/>
  <c r="F17" i="4"/>
  <c r="I16" i="4"/>
  <c r="H16" i="4"/>
  <c r="G16" i="4"/>
  <c r="F16" i="4"/>
  <c r="I15" i="4"/>
  <c r="H15" i="4"/>
  <c r="G15" i="4"/>
  <c r="F15" i="4"/>
  <c r="I14" i="4"/>
  <c r="H14" i="4"/>
  <c r="G14" i="4"/>
  <c r="F14" i="4"/>
  <c r="I13" i="4"/>
  <c r="H13" i="4"/>
  <c r="G13" i="4"/>
  <c r="F13" i="4"/>
  <c r="I12" i="4"/>
  <c r="H12" i="4"/>
  <c r="G12" i="4"/>
  <c r="F12" i="4"/>
  <c r="I11" i="4"/>
  <c r="H11" i="4"/>
  <c r="G11" i="4"/>
  <c r="F11" i="4"/>
  <c r="I10" i="4"/>
  <c r="H10" i="4"/>
  <c r="G10" i="4"/>
  <c r="F10" i="4"/>
  <c r="I9" i="4"/>
  <c r="H9" i="4"/>
  <c r="G9" i="4"/>
  <c r="F9" i="4"/>
  <c r="I8" i="4"/>
  <c r="H8" i="4"/>
  <c r="G8" i="4"/>
  <c r="F8" i="4"/>
  <c r="I7" i="4"/>
  <c r="H7" i="4"/>
  <c r="G7" i="4"/>
  <c r="F7" i="4"/>
  <c r="H6" i="4"/>
  <c r="G6" i="4"/>
  <c r="F6" i="4"/>
  <c r="H5" i="4"/>
  <c r="G5" i="4"/>
  <c r="F5" i="4"/>
  <c r="H4" i="4"/>
  <c r="G4" i="4"/>
  <c r="F4" i="4"/>
  <c r="E5" i="4"/>
  <c r="E4" i="4" s="1"/>
  <c r="I49" i="4"/>
  <c r="I51" i="4" s="1" a="1"/>
  <c r="H66" i="4"/>
  <c r="I66" i="4"/>
  <c r="J66" i="4"/>
  <c r="G44" i="4" l="1"/>
  <c r="F45" i="4" s="1"/>
  <c r="H44" i="4"/>
  <c r="F46" i="4" s="1"/>
  <c r="F44" i="4"/>
  <c r="H46" i="4"/>
  <c r="H45" i="4"/>
  <c r="G46" i="4" s="1"/>
  <c r="G45" i="4"/>
  <c r="I51" i="4"/>
  <c r="I52" i="4"/>
  <c r="I54" i="4"/>
  <c r="K66" i="4"/>
  <c r="I5" i="4"/>
  <c r="I6" i="4"/>
  <c r="E3" i="4"/>
  <c r="I4" i="4" s="1"/>
  <c r="I46" i="4" s="1"/>
  <c r="I53" i="4"/>
  <c r="I47" i="4" l="1"/>
  <c r="I44" i="4"/>
  <c r="I45" i="4"/>
  <c r="G47" i="4" s="1"/>
  <c r="F51" i="4" a="1"/>
  <c r="H47" i="4"/>
  <c r="F47" i="4" l="1"/>
  <c r="F58" i="4" s="1" a="1"/>
  <c r="F53" i="4"/>
  <c r="F52" i="4"/>
  <c r="F54" i="4"/>
  <c r="F51" i="4"/>
  <c r="F56" i="4" s="1"/>
  <c r="G66" i="4" l="1"/>
  <c r="H58" i="4"/>
  <c r="F58" i="4"/>
  <c r="I58" i="4"/>
  <c r="G58" i="4"/>
  <c r="F60" i="4" l="1"/>
  <c r="F61" i="4" s="1"/>
  <c r="F66" i="4" s="1"/>
</calcChain>
</file>

<file path=xl/sharedStrings.xml><?xml version="1.0" encoding="utf-8"?>
<sst xmlns="http://schemas.openxmlformats.org/spreadsheetml/2006/main" count="55" uniqueCount="31">
  <si>
    <t>Data</t>
  </si>
  <si>
    <t>1 - Ir em arquivo e Opções</t>
  </si>
  <si>
    <t>2 - Clicar em Suplmentos e em seguidas em "Ir" em Gerenciar suplmentos</t>
  </si>
  <si>
    <t>3 - Selecionar o Solver e clicar ok</t>
  </si>
  <si>
    <t>(Fronteira Eficiente Alavancada)</t>
  </si>
  <si>
    <t>(Carteiras para fins ilustrativos - parte inferior da curva)</t>
  </si>
  <si>
    <t>(Carteira de mínimo risco ou mínima variância)</t>
  </si>
  <si>
    <t>(Fronteira Eficiente não Alavancada)</t>
  </si>
  <si>
    <t>W4</t>
  </si>
  <si>
    <t>W3</t>
  </si>
  <si>
    <t>W2</t>
  </si>
  <si>
    <t>W1</t>
  </si>
  <si>
    <t>Rc</t>
  </si>
  <si>
    <t>Sc</t>
  </si>
  <si>
    <t>Saída</t>
  </si>
  <si>
    <t>ALL11</t>
  </si>
  <si>
    <t>CPFE3</t>
  </si>
  <si>
    <t>VALE5</t>
  </si>
  <si>
    <t>PETR4</t>
  </si>
  <si>
    <t>W'</t>
  </si>
  <si>
    <t>R'</t>
  </si>
  <si>
    <t>W</t>
  </si>
  <si>
    <t>S</t>
  </si>
  <si>
    <t>desvio</t>
  </si>
  <si>
    <t>R</t>
  </si>
  <si>
    <t>média</t>
  </si>
  <si>
    <t>RETORNOS</t>
  </si>
  <si>
    <t>PREÇOS</t>
  </si>
  <si>
    <t>covariação.s</t>
  </si>
  <si>
    <t>W x covariação.s</t>
  </si>
  <si>
    <t>W x covariação.s x W'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</si>
</sst>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6" formatCode="_(&quot;R$ &quot;* #,##0.00_);_(&quot;R$ &quot;* \(#,##0.00\);_(&quot;R$ &quot;* &quot;-&quot;??_);_(@_)"/>
    <numFmt numFmtId="167" formatCode="0.0000%"/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u val="singleAccounting"/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166" fontId="19" fillId="0" borderId="0" applyFont="0" applyFill="0" applyBorder="0" applyAlignment="0" applyProtection="0"/>
  </cellStyleXfs>
  <cellXfs count="61">
    <xf numFmtId="0" fontId="0" fillId="0" borderId="0" xfId="0"/>
    <xf numFmtId="0" fontId="19" fillId="0" borderId="0" xfId="42"/>
    <xf numFmtId="166" fontId="19" fillId="0" borderId="0" xfId="44" applyAlignment="1">
      <alignment horizontal="center"/>
    </xf>
    <xf numFmtId="0" fontId="18" fillId="0" borderId="0" xfId="42" applyFont="1" applyAlignment="1">
      <alignment horizontal="center"/>
    </xf>
    <xf numFmtId="10" fontId="19" fillId="0" borderId="0" xfId="42" applyNumberFormat="1" applyAlignment="1">
      <alignment horizontal="center"/>
    </xf>
    <xf numFmtId="10" fontId="19" fillId="0" borderId="0" xfId="42" applyNumberFormat="1"/>
    <xf numFmtId="10" fontId="19" fillId="0" borderId="16" xfId="42" applyNumberFormat="1" applyBorder="1" applyAlignment="1">
      <alignment horizontal="center"/>
    </xf>
    <xf numFmtId="10" fontId="20" fillId="0" borderId="17" xfId="42" applyNumberFormat="1" applyFont="1" applyBorder="1" applyAlignment="1">
      <alignment horizontal="center"/>
    </xf>
    <xf numFmtId="10" fontId="19" fillId="0" borderId="17" xfId="42" applyNumberFormat="1" applyBorder="1" applyAlignment="1">
      <alignment horizontal="center"/>
    </xf>
    <xf numFmtId="10" fontId="19" fillId="0" borderId="18" xfId="42" applyNumberFormat="1" applyBorder="1" applyAlignment="1">
      <alignment horizontal="center"/>
    </xf>
    <xf numFmtId="10" fontId="19" fillId="0" borderId="19" xfId="42" applyNumberFormat="1" applyBorder="1" applyAlignment="1">
      <alignment horizontal="center"/>
    </xf>
    <xf numFmtId="10" fontId="20" fillId="0" borderId="13" xfId="42" applyNumberFormat="1" applyFont="1" applyBorder="1" applyAlignment="1">
      <alignment horizontal="center"/>
    </xf>
    <xf numFmtId="10" fontId="19" fillId="0" borderId="13" xfId="42" applyNumberFormat="1" applyBorder="1" applyAlignment="1">
      <alignment horizontal="center"/>
    </xf>
    <xf numFmtId="10" fontId="19" fillId="0" borderId="20" xfId="42" applyNumberFormat="1" applyBorder="1" applyAlignment="1">
      <alignment horizontal="center"/>
    </xf>
    <xf numFmtId="10" fontId="19" fillId="0" borderId="21" xfId="42" applyNumberFormat="1" applyBorder="1" applyAlignment="1">
      <alignment horizontal="center"/>
    </xf>
    <xf numFmtId="10" fontId="19" fillId="0" borderId="22" xfId="42" applyNumberFormat="1" applyBorder="1" applyAlignment="1">
      <alignment horizontal="center"/>
    </xf>
    <xf numFmtId="10" fontId="19" fillId="0" borderId="23" xfId="42" applyNumberFormat="1" applyBorder="1" applyAlignment="1">
      <alignment horizontal="center"/>
    </xf>
    <xf numFmtId="166" fontId="19" fillId="0" borderId="0" xfId="44" applyAlignment="1">
      <alignment horizontal="right"/>
    </xf>
    <xf numFmtId="10" fontId="19" fillId="0" borderId="24" xfId="42" applyNumberFormat="1" applyBorder="1" applyAlignment="1">
      <alignment horizontal="center"/>
    </xf>
    <xf numFmtId="0" fontId="18" fillId="0" borderId="0" xfId="42" applyFont="1"/>
    <xf numFmtId="166" fontId="18" fillId="0" borderId="0" xfId="44" applyFont="1" applyAlignment="1">
      <alignment horizontal="center"/>
    </xf>
    <xf numFmtId="10" fontId="18" fillId="0" borderId="10" xfId="42" applyNumberFormat="1" applyFont="1" applyBorder="1" applyAlignment="1">
      <alignment horizontal="center"/>
    </xf>
    <xf numFmtId="166" fontId="21" fillId="0" borderId="0" xfId="44" applyFont="1" applyAlignment="1">
      <alignment horizontal="center"/>
    </xf>
    <xf numFmtId="0" fontId="18" fillId="0" borderId="10" xfId="42" applyFont="1" applyBorder="1" applyAlignment="1">
      <alignment horizontal="center"/>
    </xf>
    <xf numFmtId="166" fontId="19" fillId="0" borderId="0" xfId="44" applyFill="1" applyAlignment="1">
      <alignment horizontal="center"/>
    </xf>
    <xf numFmtId="167" fontId="18" fillId="0" borderId="0" xfId="43" applyNumberFormat="1" applyFont="1" applyFill="1" applyAlignment="1">
      <alignment horizontal="center"/>
    </xf>
    <xf numFmtId="164" fontId="19" fillId="0" borderId="0" xfId="42" applyNumberFormat="1" applyAlignment="1">
      <alignment horizontal="center"/>
    </xf>
    <xf numFmtId="10" fontId="18" fillId="34" borderId="10" xfId="43" applyNumberFormat="1" applyFont="1" applyFill="1" applyBorder="1" applyAlignment="1">
      <alignment horizontal="center"/>
    </xf>
    <xf numFmtId="164" fontId="19" fillId="0" borderId="10" xfId="42" applyNumberFormat="1" applyBorder="1" applyAlignment="1">
      <alignment horizontal="center"/>
    </xf>
    <xf numFmtId="166" fontId="18" fillId="0" borderId="0" xfId="44" applyFont="1" applyAlignment="1">
      <alignment horizontal="right"/>
    </xf>
    <xf numFmtId="164" fontId="19" fillId="0" borderId="14" xfId="42" applyNumberFormat="1" applyBorder="1" applyAlignment="1">
      <alignment horizontal="center"/>
    </xf>
    <xf numFmtId="164" fontId="19" fillId="0" borderId="13" xfId="42" applyNumberFormat="1" applyBorder="1" applyAlignment="1">
      <alignment horizontal="center"/>
    </xf>
    <xf numFmtId="164" fontId="19" fillId="0" borderId="15" xfId="42" applyNumberFormat="1" applyBorder="1" applyAlignment="1">
      <alignment horizontal="center"/>
    </xf>
    <xf numFmtId="167" fontId="0" fillId="0" borderId="0" xfId="43" applyNumberFormat="1" applyFont="1" applyAlignment="1">
      <alignment horizontal="center"/>
    </xf>
    <xf numFmtId="168" fontId="0" fillId="0" borderId="25" xfId="43" applyNumberFormat="1" applyFont="1" applyBorder="1" applyAlignment="1">
      <alignment horizontal="center"/>
    </xf>
    <xf numFmtId="10" fontId="0" fillId="0" borderId="25" xfId="43" applyNumberFormat="1" applyFont="1" applyBorder="1" applyAlignment="1">
      <alignment horizontal="center"/>
    </xf>
    <xf numFmtId="168" fontId="0" fillId="0" borderId="26" xfId="43" applyNumberFormat="1" applyFont="1" applyBorder="1" applyAlignment="1">
      <alignment horizontal="center"/>
    </xf>
    <xf numFmtId="10" fontId="0" fillId="0" borderId="26" xfId="43" applyNumberFormat="1" applyFont="1" applyBorder="1" applyAlignment="1">
      <alignment horizontal="center"/>
    </xf>
    <xf numFmtId="168" fontId="0" fillId="0" borderId="11" xfId="43" applyNumberFormat="1" applyFont="1" applyBorder="1" applyAlignment="1">
      <alignment horizontal="center"/>
    </xf>
    <xf numFmtId="10" fontId="0" fillId="0" borderId="11" xfId="43" applyNumberFormat="1" applyFont="1" applyBorder="1" applyAlignment="1">
      <alignment horizontal="center"/>
    </xf>
    <xf numFmtId="10" fontId="18" fillId="0" borderId="14" xfId="42" applyNumberFormat="1" applyFont="1" applyBorder="1" applyAlignment="1">
      <alignment horizontal="center"/>
    </xf>
    <xf numFmtId="10" fontId="18" fillId="33" borderId="13" xfId="42" applyNumberFormat="1" applyFont="1" applyFill="1" applyBorder="1" applyAlignment="1">
      <alignment horizontal="center"/>
    </xf>
    <xf numFmtId="10" fontId="18" fillId="33" borderId="15" xfId="42" applyNumberFormat="1" applyFont="1" applyFill="1" applyBorder="1" applyAlignment="1">
      <alignment horizontal="center"/>
    </xf>
    <xf numFmtId="164" fontId="19" fillId="0" borderId="27" xfId="42" applyNumberFormat="1" applyBorder="1" applyAlignment="1">
      <alignment horizontal="center"/>
    </xf>
    <xf numFmtId="164" fontId="19" fillId="0" borderId="28" xfId="42" applyNumberFormat="1" applyBorder="1" applyAlignment="1">
      <alignment horizontal="center"/>
    </xf>
    <xf numFmtId="164" fontId="19" fillId="0" borderId="29" xfId="42" applyNumberFormat="1" applyBorder="1" applyAlignment="1">
      <alignment horizontal="center"/>
    </xf>
    <xf numFmtId="164" fontId="19" fillId="0" borderId="30" xfId="42" applyNumberFormat="1" applyBorder="1" applyAlignment="1">
      <alignment horizontal="center"/>
    </xf>
    <xf numFmtId="164" fontId="19" fillId="0" borderId="31" xfId="42" applyNumberFormat="1" applyBorder="1" applyAlignment="1">
      <alignment horizontal="center"/>
    </xf>
    <xf numFmtId="164" fontId="19" fillId="0" borderId="32" xfId="42" applyNumberFormat="1" applyBorder="1" applyAlignment="1">
      <alignment horizontal="center"/>
    </xf>
    <xf numFmtId="164" fontId="19" fillId="0" borderId="12" xfId="42" applyNumberFormat="1" applyBorder="1" applyAlignment="1">
      <alignment horizontal="center"/>
    </xf>
    <xf numFmtId="164" fontId="19" fillId="0" borderId="33" xfId="42" applyNumberFormat="1" applyBorder="1" applyAlignment="1">
      <alignment horizontal="center"/>
    </xf>
    <xf numFmtId="10" fontId="18" fillId="0" borderId="0" xfId="42" applyNumberFormat="1" applyFont="1" applyAlignment="1">
      <alignment horizontal="center"/>
    </xf>
    <xf numFmtId="10" fontId="18" fillId="0" borderId="13" xfId="42" applyNumberFormat="1" applyFont="1" applyBorder="1" applyAlignment="1">
      <alignment horizontal="center"/>
    </xf>
    <xf numFmtId="10" fontId="18" fillId="0" borderId="15" xfId="42" applyNumberFormat="1" applyFont="1" applyBorder="1" applyAlignment="1">
      <alignment horizontal="center"/>
    </xf>
    <xf numFmtId="10" fontId="0" fillId="0" borderId="0" xfId="43" applyNumberFormat="1" applyFont="1" applyFill="1" applyAlignment="1">
      <alignment horizontal="center"/>
    </xf>
    <xf numFmtId="17" fontId="18" fillId="0" borderId="0" xfId="42" applyNumberFormat="1" applyFont="1" applyAlignment="1">
      <alignment horizontal="center"/>
    </xf>
    <xf numFmtId="166" fontId="18" fillId="0" borderId="0" xfId="44" applyFont="1" applyFill="1" applyAlignment="1">
      <alignment horizontal="center"/>
    </xf>
    <xf numFmtId="166" fontId="18" fillId="0" borderId="0" xfId="44" applyFont="1" applyAlignment="1">
      <alignment horizontal="center"/>
    </xf>
    <xf numFmtId="166" fontId="18" fillId="35" borderId="0" xfId="44" applyFont="1" applyFill="1" applyAlignment="1">
      <alignment horizontal="center"/>
    </xf>
    <xf numFmtId="166" fontId="18" fillId="35" borderId="0" xfId="44" applyFont="1" applyFill="1" applyAlignment="1">
      <alignment horizontal="center"/>
    </xf>
    <xf numFmtId="166" fontId="18" fillId="35" borderId="10" xfId="44" applyFont="1" applyFill="1" applyBorder="1" applyAlignment="1">
      <alignment horizontal="center"/>
    </xf>
  </cellXfs>
  <cellStyles count="45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 2" xfId="44" xr:uid="{00000000-0005-0000-0000-00001F000000}"/>
    <cellStyle name="Neutro" xfId="8" builtinId="28" customBuiltin="1"/>
    <cellStyle name="Normal" xfId="0" builtinId="0"/>
    <cellStyle name="Normal 2" xfId="42" xr:uid="{00000000-0005-0000-0000-000022000000}"/>
    <cellStyle name="Nota" xfId="15" builtinId="10" customBuiltin="1"/>
    <cellStyle name="Porcentagem 2" xfId="43" xr:uid="{00000000-0005-0000-0000-000025000000}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402155184698657E-2"/>
          <c:y val="2.3460157813078437E-2"/>
          <c:w val="0.73595489606247388"/>
          <c:h val="0.90790621061432297"/>
        </c:manualLayout>
      </c:layout>
      <c:scatterChart>
        <c:scatterStyle val="smoothMarker"/>
        <c:varyColors val="0"/>
        <c:ser>
          <c:idx val="0"/>
          <c:order val="0"/>
          <c:tx>
            <c:v>Fronteira Eficiente não Alavancada</c:v>
          </c:tx>
          <c:xVal>
            <c:numRef>
              <c:f>'4_ativos'!$F$69:$F$74</c:f>
              <c:numCache>
                <c:formatCode>0.00%</c:formatCode>
                <c:ptCount val="6"/>
                <c:pt idx="0">
                  <c:v>8.9923539841286232E-2</c:v>
                </c:pt>
                <c:pt idx="1">
                  <c:v>8.0000059666993709E-2</c:v>
                </c:pt>
                <c:pt idx="2">
                  <c:v>7.5000898172444319E-2</c:v>
                </c:pt>
                <c:pt idx="3">
                  <c:v>7.0000997991356714E-2</c:v>
                </c:pt>
                <c:pt idx="4">
                  <c:v>6.0000994981048592E-2</c:v>
                </c:pt>
                <c:pt idx="5">
                  <c:v>5.4764347283476095E-2</c:v>
                </c:pt>
              </c:numCache>
            </c:numRef>
          </c:xVal>
          <c:yVal>
            <c:numRef>
              <c:f>'4_ativos'!$G$69:$G$74</c:f>
              <c:numCache>
                <c:formatCode>0.00%</c:formatCode>
                <c:ptCount val="6"/>
                <c:pt idx="0">
                  <c:v>3.9284100998002031E-2</c:v>
                </c:pt>
                <c:pt idx="1">
                  <c:v>3.8241900371749231E-2</c:v>
                </c:pt>
                <c:pt idx="2">
                  <c:v>3.7634703720261217E-2</c:v>
                </c:pt>
                <c:pt idx="3">
                  <c:v>3.6910209825263683E-2</c:v>
                </c:pt>
                <c:pt idx="4">
                  <c:v>3.3992529244935066E-2</c:v>
                </c:pt>
                <c:pt idx="5">
                  <c:v>2.9686184132161283E-2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80-4B04-911F-7DA4DFF98DA2}"/>
            </c:ext>
          </c:extLst>
        </c:ser>
        <c:ser>
          <c:idx val="1"/>
          <c:order val="1"/>
          <c:tx>
            <c:v>PETR4</c:v>
          </c:tx>
          <c:xVal>
            <c:numRef>
              <c:f>'4_ativos'!$F$41</c:f>
              <c:numCache>
                <c:formatCode>0.00%</c:formatCode>
                <c:ptCount val="1"/>
                <c:pt idx="0">
                  <c:v>8.9923539841286232E-2</c:v>
                </c:pt>
              </c:numCache>
            </c:numRef>
          </c:xVal>
          <c:yVal>
            <c:numRef>
              <c:f>'4_ativos'!$F$40</c:f>
              <c:numCache>
                <c:formatCode>0.00%</c:formatCode>
                <c:ptCount val="1"/>
                <c:pt idx="0">
                  <c:v>3.9284100998002031E-2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80-4B04-911F-7DA4DFF98DA2}"/>
            </c:ext>
          </c:extLst>
        </c:ser>
        <c:ser>
          <c:idx val="2"/>
          <c:order val="2"/>
          <c:tx>
            <c:v>VALE5</c:v>
          </c:tx>
          <c:xVal>
            <c:numRef>
              <c:f>'4_ativos'!$G$41</c:f>
              <c:numCache>
                <c:formatCode>0.00%</c:formatCode>
                <c:ptCount val="1"/>
                <c:pt idx="0">
                  <c:v>8.4361058397453642E-2</c:v>
                </c:pt>
              </c:numCache>
            </c:numRef>
          </c:xVal>
          <c:yVal>
            <c:numRef>
              <c:f>'4_ativos'!$G$40</c:f>
              <c:numCache>
                <c:formatCode>0.00%</c:formatCode>
                <c:ptCount val="1"/>
                <c:pt idx="0">
                  <c:v>3.4243160735227131E-2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80-4B04-911F-7DA4DFF98DA2}"/>
            </c:ext>
          </c:extLst>
        </c:ser>
        <c:ser>
          <c:idx val="3"/>
          <c:order val="3"/>
          <c:tx>
            <c:v>CPFE3</c:v>
          </c:tx>
          <c:xVal>
            <c:numRef>
              <c:f>'4_ativos'!$H$41</c:f>
              <c:numCache>
                <c:formatCode>0.00%</c:formatCode>
                <c:ptCount val="1"/>
                <c:pt idx="0">
                  <c:v>7.0980237256293169E-2</c:v>
                </c:pt>
              </c:numCache>
            </c:numRef>
          </c:xVal>
          <c:yVal>
            <c:numRef>
              <c:f>'4_ativos'!$H$40</c:f>
              <c:numCache>
                <c:formatCode>0.00%</c:formatCode>
                <c:ptCount val="1"/>
                <c:pt idx="0">
                  <c:v>2.3948963178800995E-2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80-4B04-911F-7DA4DFF98DA2}"/>
            </c:ext>
          </c:extLst>
        </c:ser>
        <c:ser>
          <c:idx val="4"/>
          <c:order val="4"/>
          <c:tx>
            <c:v>ALL11</c:v>
          </c:tx>
          <c:xVal>
            <c:numRef>
              <c:f>'4_ativos'!$I$41</c:f>
              <c:numCache>
                <c:formatCode>0.00%</c:formatCode>
                <c:ptCount val="1"/>
                <c:pt idx="0">
                  <c:v>8.2363122168420358E-2</c:v>
                </c:pt>
              </c:numCache>
            </c:numRef>
          </c:xVal>
          <c:yVal>
            <c:numRef>
              <c:f>'4_ativos'!$I$40</c:f>
              <c:numCache>
                <c:formatCode>0.00%</c:formatCode>
                <c:ptCount val="1"/>
                <c:pt idx="0">
                  <c:v>3.212130501539967E-2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80-4B04-911F-7DA4DFF98DA2}"/>
            </c:ext>
          </c:extLst>
        </c:ser>
        <c:ser>
          <c:idx val="5"/>
          <c:order val="5"/>
          <c:tx>
            <c:v>Carteiras para fins ilustrativos (parte inferior da curva)</c:v>
          </c:tx>
          <c:xVal>
            <c:numRef>
              <c:f>'4_ativos'!$F$74:$F$77</c:f>
              <c:numCache>
                <c:formatCode>0.00%</c:formatCode>
                <c:ptCount val="4"/>
                <c:pt idx="0">
                  <c:v>5.4764347283476095E-2</c:v>
                </c:pt>
                <c:pt idx="1">
                  <c:v>6.00009889400656E-2</c:v>
                </c:pt>
                <c:pt idx="2">
                  <c:v>6.9999251062233731E-2</c:v>
                </c:pt>
                <c:pt idx="3">
                  <c:v>7.0980237256293169E-2</c:v>
                </c:pt>
              </c:numCache>
            </c:numRef>
          </c:xVal>
          <c:yVal>
            <c:numRef>
              <c:f>'4_ativos'!$G$74:$G$77</c:f>
              <c:numCache>
                <c:formatCode>0.00%</c:formatCode>
                <c:ptCount val="4"/>
                <c:pt idx="0">
                  <c:v>2.9686184132161283E-2</c:v>
                </c:pt>
                <c:pt idx="1">
                  <c:v>2.6225239847202174E-2</c:v>
                </c:pt>
                <c:pt idx="2">
                  <c:v>2.4115513519724841E-2</c:v>
                </c:pt>
                <c:pt idx="3">
                  <c:v>2.3948963178800995E-2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080-4B04-911F-7DA4DFF98DA2}"/>
            </c:ext>
          </c:extLst>
        </c:ser>
        <c:ser>
          <c:idx val="6"/>
          <c:order val="6"/>
          <c:tx>
            <c:v>Fronteira Eficiente Alavancada</c:v>
          </c:tx>
          <c:spPr>
            <a:ln>
              <a:solidFill>
                <a:schemeClr val="tx1"/>
              </a:solidFill>
            </a:ln>
          </c:spPr>
          <c:xVal>
            <c:numRef>
              <c:f>'4_ativos'!$F$79:$F$84</c:f>
              <c:numCache>
                <c:formatCode>0.00%</c:formatCode>
                <c:ptCount val="6"/>
                <c:pt idx="0">
                  <c:v>5.7000999860516467E-2</c:v>
                </c:pt>
                <c:pt idx="1">
                  <c:v>6.0000999812003582E-2</c:v>
                </c:pt>
                <c:pt idx="2">
                  <c:v>7.0000869542226188E-2</c:v>
                </c:pt>
                <c:pt idx="3">
                  <c:v>8.0000994623642019E-2</c:v>
                </c:pt>
                <c:pt idx="4">
                  <c:v>9.0000983326153014E-2</c:v>
                </c:pt>
                <c:pt idx="5">
                  <c:v>0.10000098070428547</c:v>
                </c:pt>
              </c:numCache>
            </c:numRef>
          </c:xVal>
          <c:yVal>
            <c:numRef>
              <c:f>'4_ativos'!$G$79:$G$84</c:f>
              <c:numCache>
                <c:formatCode>0.00%</c:formatCode>
                <c:ptCount val="6"/>
                <c:pt idx="0">
                  <c:v>3.2463555774762461E-2</c:v>
                </c:pt>
                <c:pt idx="1">
                  <c:v>3.3992571312293988E-2</c:v>
                </c:pt>
                <c:pt idx="2">
                  <c:v>3.7345151956604018E-2</c:v>
                </c:pt>
                <c:pt idx="3">
                  <c:v>3.9930536450122761E-2</c:v>
                </c:pt>
                <c:pt idx="4">
                  <c:v>4.2232319358663346E-2</c:v>
                </c:pt>
                <c:pt idx="5">
                  <c:v>4.4384325322694221E-2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080-4B04-911F-7DA4DFF98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123808"/>
        <c:axId val="469122240"/>
      </c:scatterChart>
      <c:valAx>
        <c:axId val="46912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Risco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69122240"/>
        <c:crosses val="autoZero"/>
        <c:crossBetween val="midCat"/>
      </c:valAx>
      <c:valAx>
        <c:axId val="469122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1"/>
                </a:pPr>
                <a:r>
                  <a:rPr lang="en-US" b="1"/>
                  <a:t>Retorno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69123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504442250740372"/>
          <c:y val="0.37340421195369594"/>
          <c:w val="0.1770582428430405"/>
          <c:h val="0.49619210435462607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80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76200</xdr:rowOff>
    </xdr:from>
    <xdr:to>
      <xdr:col>2</xdr:col>
      <xdr:colOff>333181</xdr:colOff>
      <xdr:row>25</xdr:row>
      <xdr:rowOff>123272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"/>
          <a:ext cx="1552381" cy="4428572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</xdr:row>
      <xdr:rowOff>95250</xdr:rowOff>
    </xdr:from>
    <xdr:to>
      <xdr:col>17</xdr:col>
      <xdr:colOff>351322</xdr:colOff>
      <xdr:row>34</xdr:row>
      <xdr:rowOff>37346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5950" y="476250"/>
          <a:ext cx="8828572" cy="603809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95250</xdr:rowOff>
    </xdr:from>
    <xdr:to>
      <xdr:col>22</xdr:col>
      <xdr:colOff>352076</xdr:colOff>
      <xdr:row>21</xdr:row>
      <xdr:rowOff>18607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2800" y="476250"/>
          <a:ext cx="2790476" cy="3542857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31</xdr:row>
      <xdr:rowOff>152400</xdr:rowOff>
    </xdr:from>
    <xdr:to>
      <xdr:col>12</xdr:col>
      <xdr:colOff>533400</xdr:colOff>
      <xdr:row>33</xdr:row>
      <xdr:rowOff>171450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362450" y="6057900"/>
          <a:ext cx="3486150" cy="400050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22</xdr:row>
      <xdr:rowOff>9525</xdr:rowOff>
    </xdr:from>
    <xdr:to>
      <xdr:col>2</xdr:col>
      <xdr:colOff>419100</xdr:colOff>
      <xdr:row>23</xdr:row>
      <xdr:rowOff>180975</xdr:rowOff>
    </xdr:to>
    <xdr:sp macro="" textlink="">
      <xdr:nvSpPr>
        <xdr:cNvPr id="6" name="Retângulo de cantos arredondados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4200525"/>
          <a:ext cx="1638300" cy="361950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104775</xdr:colOff>
      <xdr:row>7</xdr:row>
      <xdr:rowOff>9526</xdr:rowOff>
    </xdr:from>
    <xdr:to>
      <xdr:col>20</xdr:col>
      <xdr:colOff>371475</xdr:colOff>
      <xdr:row>7</xdr:row>
      <xdr:rowOff>180976</xdr:rowOff>
    </xdr:to>
    <xdr:sp macro="" textlink="">
      <xdr:nvSpPr>
        <xdr:cNvPr id="7" name="Retângulo de cantos arredondado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1077575" y="1343026"/>
          <a:ext cx="1485900" cy="171450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44062" cy="601265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S1"/>
  <sheetViews>
    <sheetView showGridLines="0" topLeftCell="B3" workbookViewId="0">
      <selection activeCell="S23" sqref="S23"/>
    </sheetView>
  </sheetViews>
  <sheetFormatPr defaultRowHeight="15" x14ac:dyDescent="0.25"/>
  <sheetData>
    <row r="1" spans="1:19" x14ac:dyDescent="0.25">
      <c r="A1" t="s">
        <v>1</v>
      </c>
      <c r="D1" t="s">
        <v>2</v>
      </c>
      <c r="S1" t="s">
        <v>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8"/>
  <sheetViews>
    <sheetView showGridLines="0" tabSelected="1" zoomScale="110" zoomScaleNormal="110" workbookViewId="0">
      <pane xSplit="1" ySplit="2" topLeftCell="B34" activePane="bottomRight" state="frozen"/>
      <selection activeCell="H58" sqref="H58"/>
      <selection pane="topRight" activeCell="H58" sqref="H58"/>
      <selection pane="bottomLeft" activeCell="H58" sqref="H58"/>
      <selection pane="bottomRight" activeCell="H64" sqref="H64:K64"/>
    </sheetView>
  </sheetViews>
  <sheetFormatPr defaultRowHeight="12.75" outlineLevelRow="1" outlineLevelCol="1" x14ac:dyDescent="0.2"/>
  <cols>
    <col min="1" max="1" width="9.140625" style="3"/>
    <col min="2" max="3" width="10.42578125" style="2" customWidth="1"/>
    <col min="4" max="4" width="12.140625" style="2" customWidth="1"/>
    <col min="5" max="5" width="10.42578125" style="2" customWidth="1"/>
    <col min="6" max="6" width="12.85546875" style="1" customWidth="1" outlineLevel="1"/>
    <col min="7" max="9" width="10.85546875" style="1" customWidth="1" outlineLevel="1"/>
    <col min="10" max="16384" width="9.140625" style="1"/>
  </cols>
  <sheetData>
    <row r="1" spans="1:9" x14ac:dyDescent="0.2">
      <c r="B1" s="57" t="s">
        <v>27</v>
      </c>
      <c r="C1" s="57"/>
      <c r="D1" s="57"/>
      <c r="E1" s="57"/>
      <c r="F1" s="58" t="s">
        <v>26</v>
      </c>
      <c r="G1" s="58"/>
      <c r="H1" s="58"/>
      <c r="I1" s="58"/>
    </row>
    <row r="2" spans="1:9" s="19" customFormat="1" x14ac:dyDescent="0.2">
      <c r="A2" s="3" t="s">
        <v>0</v>
      </c>
      <c r="B2" s="56" t="s">
        <v>18</v>
      </c>
      <c r="C2" s="56" t="s">
        <v>17</v>
      </c>
      <c r="D2" s="20" t="s">
        <v>16</v>
      </c>
      <c r="E2" s="56" t="s">
        <v>15</v>
      </c>
      <c r="F2" s="59" t="s">
        <v>18</v>
      </c>
      <c r="G2" s="59" t="s">
        <v>17</v>
      </c>
      <c r="H2" s="59" t="s">
        <v>16</v>
      </c>
      <c r="I2" s="59" t="s">
        <v>15</v>
      </c>
    </row>
    <row r="3" spans="1:9" x14ac:dyDescent="0.2">
      <c r="A3" s="55">
        <v>38322</v>
      </c>
      <c r="B3" s="24">
        <v>21.411902784999999</v>
      </c>
      <c r="C3" s="24">
        <v>14.793055259999999</v>
      </c>
      <c r="D3" s="24">
        <v>14.217087109</v>
      </c>
      <c r="E3" s="24">
        <f>E4</f>
        <v>7.2490096190999997</v>
      </c>
    </row>
    <row r="4" spans="1:9" ht="15" x14ac:dyDescent="0.25">
      <c r="A4" s="55">
        <v>38353</v>
      </c>
      <c r="B4" s="24">
        <v>20.78376153</v>
      </c>
      <c r="C4" s="24">
        <v>15.150486837000001</v>
      </c>
      <c r="D4" s="24">
        <v>13.940028061</v>
      </c>
      <c r="E4" s="24">
        <f>E5</f>
        <v>7.2490096190999997</v>
      </c>
      <c r="F4" s="54">
        <f>LN(B4/B3)</f>
        <v>-2.9774986177103634E-2</v>
      </c>
      <c r="G4" s="54">
        <f t="shared" ref="G4:G39" si="0">LN(C4/C3)</f>
        <v>2.3874834440803488E-2</v>
      </c>
      <c r="H4" s="54">
        <f t="shared" ref="H4:H39" si="1">LN(D4/D3)</f>
        <v>-1.9680140421577959E-2</v>
      </c>
      <c r="I4" s="54">
        <f t="shared" ref="I4:I39" si="2">LN(E4/E3)</f>
        <v>0</v>
      </c>
    </row>
    <row r="5" spans="1:9" ht="15" x14ac:dyDescent="0.25">
      <c r="A5" s="55">
        <v>38384</v>
      </c>
      <c r="B5" s="24">
        <v>24.515140985999999</v>
      </c>
      <c r="C5" s="24">
        <v>17.202835892</v>
      </c>
      <c r="D5" s="24">
        <v>15.752785828</v>
      </c>
      <c r="E5" s="24">
        <f>E6</f>
        <v>7.2490096190999997</v>
      </c>
      <c r="F5" s="54">
        <f t="shared" ref="F5:F39" si="3">LN(B5/B4)</f>
        <v>0.16511893996361768</v>
      </c>
      <c r="G5" s="54">
        <f t="shared" si="0"/>
        <v>0.12704158177595296</v>
      </c>
      <c r="H5" s="54">
        <f t="shared" si="1"/>
        <v>0.12225280928426271</v>
      </c>
      <c r="I5" s="54">
        <f t="shared" si="2"/>
        <v>0</v>
      </c>
    </row>
    <row r="6" spans="1:9" ht="15" x14ac:dyDescent="0.25">
      <c r="A6" s="55">
        <v>38412</v>
      </c>
      <c r="B6" s="24">
        <v>22.734305427999999</v>
      </c>
      <c r="C6" s="24">
        <v>16.557153043</v>
      </c>
      <c r="D6" s="24">
        <v>14.319994755</v>
      </c>
      <c r="E6" s="24">
        <v>7.2490096190999997</v>
      </c>
      <c r="F6" s="54">
        <f t="shared" si="3"/>
        <v>-7.5415890066690805E-2</v>
      </c>
      <c r="G6" s="54">
        <f t="shared" si="0"/>
        <v>-3.8256031186139891E-2</v>
      </c>
      <c r="H6" s="54">
        <f t="shared" si="1"/>
        <v>-9.5360432337349851E-2</v>
      </c>
      <c r="I6" s="54">
        <f t="shared" si="2"/>
        <v>0</v>
      </c>
    </row>
    <row r="7" spans="1:9" ht="15" x14ac:dyDescent="0.25">
      <c r="A7" s="55">
        <v>38443</v>
      </c>
      <c r="B7" s="24">
        <v>21.170197473000002</v>
      </c>
      <c r="C7" s="24">
        <v>13.762176855</v>
      </c>
      <c r="D7" s="24">
        <v>16.069424738999999</v>
      </c>
      <c r="E7" s="24">
        <v>7.2006828883000003</v>
      </c>
      <c r="F7" s="54">
        <f t="shared" si="3"/>
        <v>-7.1280622962185833E-2</v>
      </c>
      <c r="G7" s="54">
        <f t="shared" si="0"/>
        <v>-0.18489419482019184</v>
      </c>
      <c r="H7" s="54">
        <f t="shared" si="1"/>
        <v>0.1152615866474523</v>
      </c>
      <c r="I7" s="54">
        <f t="shared" si="2"/>
        <v>-6.6889881516297668E-3</v>
      </c>
    </row>
    <row r="8" spans="1:9" ht="15" x14ac:dyDescent="0.25">
      <c r="A8" s="55">
        <v>38473</v>
      </c>
      <c r="B8" s="24">
        <v>22.525538158</v>
      </c>
      <c r="C8" s="24">
        <v>13.973541345999999</v>
      </c>
      <c r="D8" s="24">
        <v>15.876744523999999</v>
      </c>
      <c r="E8" s="24">
        <v>6.8939560868000003</v>
      </c>
      <c r="F8" s="54">
        <f t="shared" si="3"/>
        <v>6.2055281728758856E-2</v>
      </c>
      <c r="G8" s="54">
        <f t="shared" si="0"/>
        <v>1.5241615972402933E-2</v>
      </c>
      <c r="H8" s="54">
        <f t="shared" si="1"/>
        <v>-1.2062951892193063E-2</v>
      </c>
      <c r="I8" s="54">
        <f t="shared" si="2"/>
        <v>-4.3530768818101223E-2</v>
      </c>
    </row>
    <row r="9" spans="1:9" ht="15" x14ac:dyDescent="0.25">
      <c r="A9" s="55">
        <v>38504</v>
      </c>
      <c r="B9" s="24">
        <v>24.037695119999999</v>
      </c>
      <c r="C9" s="24">
        <v>13.935965437</v>
      </c>
      <c r="D9" s="24">
        <v>14.791498696</v>
      </c>
      <c r="E9" s="24">
        <v>6.8535194344999999</v>
      </c>
      <c r="F9" s="54">
        <f t="shared" si="3"/>
        <v>6.4973533402517908E-2</v>
      </c>
      <c r="G9" s="54">
        <f t="shared" si="0"/>
        <v>-2.6926976528972332E-3</v>
      </c>
      <c r="H9" s="54">
        <f t="shared" si="1"/>
        <v>-7.0802826717129216E-2</v>
      </c>
      <c r="I9" s="54">
        <f t="shared" si="2"/>
        <v>-5.8827919139085331E-3</v>
      </c>
    </row>
    <row r="10" spans="1:9" ht="15" x14ac:dyDescent="0.25">
      <c r="A10" s="55">
        <v>38534</v>
      </c>
      <c r="B10" s="24">
        <v>24.877758919000001</v>
      </c>
      <c r="C10" s="24">
        <v>15.723169631999999</v>
      </c>
      <c r="D10" s="24">
        <v>17.264710943000001</v>
      </c>
      <c r="E10" s="24">
        <v>8.1366434500999993</v>
      </c>
      <c r="F10" s="54">
        <f t="shared" si="3"/>
        <v>3.4350960012388548E-2</v>
      </c>
      <c r="G10" s="54">
        <f t="shared" si="0"/>
        <v>0.12066245722705728</v>
      </c>
      <c r="H10" s="54">
        <f t="shared" si="1"/>
        <v>0.15461198503323345</v>
      </c>
      <c r="I10" s="54">
        <f t="shared" si="2"/>
        <v>0.1716154360165198</v>
      </c>
    </row>
    <row r="11" spans="1:9" ht="15" x14ac:dyDescent="0.25">
      <c r="A11" s="55">
        <v>38565</v>
      </c>
      <c r="B11" s="24">
        <v>29.676166814999998</v>
      </c>
      <c r="C11" s="24">
        <v>16.627339955</v>
      </c>
      <c r="D11" s="24">
        <v>19.618393073</v>
      </c>
      <c r="E11" s="24">
        <v>7.8802158989000004</v>
      </c>
      <c r="F11" s="54">
        <f t="shared" si="3"/>
        <v>0.17637007130950411</v>
      </c>
      <c r="G11" s="54">
        <f t="shared" si="0"/>
        <v>5.5912928599907312E-2</v>
      </c>
      <c r="H11" s="54">
        <f t="shared" si="1"/>
        <v>0.12780295995272667</v>
      </c>
      <c r="I11" s="54">
        <f t="shared" si="2"/>
        <v>-3.2022440574159025E-2</v>
      </c>
    </row>
    <row r="12" spans="1:9" ht="15" x14ac:dyDescent="0.25">
      <c r="A12" s="55">
        <v>38596</v>
      </c>
      <c r="B12" s="24">
        <v>32.552472213999998</v>
      </c>
      <c r="C12" s="24">
        <v>20.401370365999998</v>
      </c>
      <c r="D12" s="24">
        <v>19.835910437999999</v>
      </c>
      <c r="E12" s="24">
        <v>8.7283993373000008</v>
      </c>
      <c r="F12" s="54">
        <f t="shared" si="3"/>
        <v>9.2509057524849336E-2</v>
      </c>
      <c r="G12" s="54">
        <f t="shared" si="0"/>
        <v>0.20455374758735134</v>
      </c>
      <c r="H12" s="54">
        <f t="shared" si="1"/>
        <v>1.1026405207104566E-2</v>
      </c>
      <c r="I12" s="54">
        <f t="shared" si="2"/>
        <v>0.10222669923824218</v>
      </c>
    </row>
    <row r="13" spans="1:9" ht="15" x14ac:dyDescent="0.25">
      <c r="A13" s="55">
        <v>38626</v>
      </c>
      <c r="B13" s="24">
        <v>29.411364096</v>
      </c>
      <c r="C13" s="24">
        <v>19.858348668000001</v>
      </c>
      <c r="D13" s="24">
        <v>19.660223336000001</v>
      </c>
      <c r="E13" s="24">
        <v>8.5794741056999992</v>
      </c>
      <c r="F13" s="54">
        <f t="shared" si="3"/>
        <v>-0.10147218350817509</v>
      </c>
      <c r="G13" s="54">
        <f t="shared" si="0"/>
        <v>-2.6977566878462752E-2</v>
      </c>
      <c r="H13" s="54">
        <f t="shared" si="1"/>
        <v>-8.8964789195635375E-3</v>
      </c>
      <c r="I13" s="54">
        <f t="shared" si="2"/>
        <v>-1.7209382490848326E-2</v>
      </c>
    </row>
    <row r="14" spans="1:9" ht="15" x14ac:dyDescent="0.25">
      <c r="A14" s="55">
        <v>38657</v>
      </c>
      <c r="B14" s="24">
        <v>31.274114259000001</v>
      </c>
      <c r="C14" s="24">
        <v>20.114693620000001</v>
      </c>
      <c r="D14" s="24">
        <v>21.082452258</v>
      </c>
      <c r="E14" s="24">
        <v>9.1426284584000008</v>
      </c>
      <c r="F14" s="54">
        <f t="shared" si="3"/>
        <v>6.140960135955769E-2</v>
      </c>
      <c r="G14" s="54">
        <f t="shared" si="0"/>
        <v>1.2826067346910094E-2</v>
      </c>
      <c r="H14" s="54">
        <f t="shared" si="1"/>
        <v>6.9843573358786881E-2</v>
      </c>
      <c r="I14" s="54">
        <f t="shared" si="2"/>
        <v>6.3575303049626719E-2</v>
      </c>
    </row>
    <row r="15" spans="1:9" ht="15" x14ac:dyDescent="0.25">
      <c r="A15" s="55">
        <v>38687</v>
      </c>
      <c r="B15" s="24">
        <v>33.976928221000001</v>
      </c>
      <c r="C15" s="24">
        <v>20.064382928000001</v>
      </c>
      <c r="D15" s="24">
        <v>23.424946952999999</v>
      </c>
      <c r="E15" s="24">
        <v>9.8379416259999992</v>
      </c>
      <c r="F15" s="54">
        <f t="shared" si="3"/>
        <v>8.2890977643302E-2</v>
      </c>
      <c r="G15" s="54">
        <f t="shared" si="0"/>
        <v>-2.5043242710721223E-3</v>
      </c>
      <c r="H15" s="54">
        <f t="shared" si="1"/>
        <v>0.10536051564359633</v>
      </c>
      <c r="I15" s="54">
        <f t="shared" si="2"/>
        <v>7.3298583203426387E-2</v>
      </c>
    </row>
    <row r="16" spans="1:9" ht="15" x14ac:dyDescent="0.25">
      <c r="A16" s="55">
        <v>38718</v>
      </c>
      <c r="B16" s="24">
        <v>43.500834279000003</v>
      </c>
      <c r="C16" s="24">
        <v>23.430407765999998</v>
      </c>
      <c r="D16" s="24">
        <v>26.354578450000002</v>
      </c>
      <c r="E16" s="24">
        <v>11.877733632</v>
      </c>
      <c r="F16" s="54">
        <f t="shared" si="3"/>
        <v>0.24709840419824103</v>
      </c>
      <c r="G16" s="54">
        <f t="shared" si="0"/>
        <v>0.15508840635806947</v>
      </c>
      <c r="H16" s="54">
        <f t="shared" si="1"/>
        <v>0.11784045153640123</v>
      </c>
      <c r="I16" s="54">
        <f t="shared" si="2"/>
        <v>0.18841901918561776</v>
      </c>
    </row>
    <row r="17" spans="1:9" ht="15" x14ac:dyDescent="0.25">
      <c r="A17" s="55">
        <v>38749</v>
      </c>
      <c r="B17" s="24">
        <v>41.418347531999999</v>
      </c>
      <c r="C17" s="24">
        <v>21.657554826999998</v>
      </c>
      <c r="D17" s="24">
        <v>26.987088332999999</v>
      </c>
      <c r="E17" s="24">
        <v>11.541879790999999</v>
      </c>
      <c r="F17" s="54">
        <f t="shared" si="3"/>
        <v>-4.9056156979562435E-2</v>
      </c>
      <c r="G17" s="54">
        <f t="shared" si="0"/>
        <v>-7.868030962649436E-2</v>
      </c>
      <c r="H17" s="54">
        <f t="shared" si="1"/>
        <v>2.3716526624726803E-2</v>
      </c>
      <c r="I17" s="54">
        <f t="shared" si="2"/>
        <v>-2.8683382702974165E-2</v>
      </c>
    </row>
    <row r="18" spans="1:9" ht="15" x14ac:dyDescent="0.25">
      <c r="A18" s="55">
        <v>38777</v>
      </c>
      <c r="B18" s="24">
        <v>39.928212569999999</v>
      </c>
      <c r="C18" s="24">
        <v>22.402632211</v>
      </c>
      <c r="D18" s="24">
        <v>25.637733915999998</v>
      </c>
      <c r="E18" s="24">
        <v>13.3193109</v>
      </c>
      <c r="F18" s="54">
        <f t="shared" si="3"/>
        <v>-3.6640803772715065E-2</v>
      </c>
      <c r="G18" s="54">
        <f t="shared" si="0"/>
        <v>3.3824115050029621E-2</v>
      </c>
      <c r="H18" s="54">
        <f t="shared" si="1"/>
        <v>-5.1293294401202352E-2</v>
      </c>
      <c r="I18" s="54">
        <f t="shared" si="2"/>
        <v>0.14323278822463287</v>
      </c>
    </row>
    <row r="19" spans="1:9" ht="15" x14ac:dyDescent="0.25">
      <c r="A19" s="55">
        <v>38808</v>
      </c>
      <c r="B19" s="24">
        <v>43.400873480999998</v>
      </c>
      <c r="C19" s="24">
        <v>22.441559651999999</v>
      </c>
      <c r="D19" s="24">
        <v>25.638103217000001</v>
      </c>
      <c r="E19" s="24">
        <v>13.121509193</v>
      </c>
      <c r="F19" s="54">
        <f t="shared" si="3"/>
        <v>8.3396411208114862E-2</v>
      </c>
      <c r="G19" s="54">
        <f t="shared" si="0"/>
        <v>1.7361200708694501E-3</v>
      </c>
      <c r="H19" s="54">
        <f t="shared" si="1"/>
        <v>1.4404484476909877E-5</v>
      </c>
      <c r="I19" s="54">
        <f t="shared" si="2"/>
        <v>-1.4962122684973805E-2</v>
      </c>
    </row>
    <row r="20" spans="1:9" ht="15" x14ac:dyDescent="0.25">
      <c r="A20" s="55">
        <v>38838</v>
      </c>
      <c r="B20" s="24">
        <v>41.307342271000003</v>
      </c>
      <c r="C20" s="24">
        <v>21.369217018000001</v>
      </c>
      <c r="D20" s="24">
        <v>24.798502942999999</v>
      </c>
      <c r="E20" s="24">
        <v>14.661181773999999</v>
      </c>
      <c r="F20" s="54">
        <f t="shared" si="3"/>
        <v>-4.9439304069132099E-2</v>
      </c>
      <c r="G20" s="54">
        <f t="shared" si="0"/>
        <v>-4.8963152095435496E-2</v>
      </c>
      <c r="H20" s="54">
        <f t="shared" si="1"/>
        <v>-3.3296365672628163E-2</v>
      </c>
      <c r="I20" s="54">
        <f t="shared" si="2"/>
        <v>0.11095049849663055</v>
      </c>
    </row>
    <row r="21" spans="1:9" ht="15" x14ac:dyDescent="0.25">
      <c r="A21" s="55">
        <v>38869</v>
      </c>
      <c r="B21" s="24">
        <v>40.537523618999998</v>
      </c>
      <c r="C21" s="24">
        <v>21.388625934</v>
      </c>
      <c r="D21" s="24">
        <v>22.902910571</v>
      </c>
      <c r="E21" s="24">
        <v>14.601543068</v>
      </c>
      <c r="F21" s="54">
        <f t="shared" si="3"/>
        <v>-1.8812208846053478E-2</v>
      </c>
      <c r="G21" s="54">
        <f t="shared" si="0"/>
        <v>9.0785296886238768E-4</v>
      </c>
      <c r="H21" s="54">
        <f t="shared" si="1"/>
        <v>-7.9519284493187029E-2</v>
      </c>
      <c r="I21" s="54">
        <f t="shared" si="2"/>
        <v>-4.0760926328232824E-3</v>
      </c>
    </row>
    <row r="22" spans="1:9" ht="15" x14ac:dyDescent="0.25">
      <c r="A22" s="55">
        <v>38899</v>
      </c>
      <c r="B22" s="24">
        <v>42.152265180999997</v>
      </c>
      <c r="C22" s="24">
        <v>21.010152064</v>
      </c>
      <c r="D22" s="24">
        <v>23.413595273999999</v>
      </c>
      <c r="E22" s="24">
        <v>14.691001127</v>
      </c>
      <c r="F22" s="54">
        <f t="shared" si="3"/>
        <v>3.9060369673898095E-2</v>
      </c>
      <c r="G22" s="54">
        <f t="shared" si="0"/>
        <v>-1.7853529794190512E-2</v>
      </c>
      <c r="H22" s="54">
        <f t="shared" si="1"/>
        <v>2.2052846612928445E-2</v>
      </c>
      <c r="I22" s="54">
        <f t="shared" si="2"/>
        <v>6.1079253833405973E-3</v>
      </c>
    </row>
    <row r="23" spans="1:9" ht="15" x14ac:dyDescent="0.25">
      <c r="A23" s="55">
        <v>38930</v>
      </c>
      <c r="B23" s="24">
        <v>40.368539036999998</v>
      </c>
      <c r="C23" s="24">
        <v>19.321576331999999</v>
      </c>
      <c r="D23" s="24">
        <v>25.367307693000001</v>
      </c>
      <c r="E23" s="24">
        <v>17.890617678000002</v>
      </c>
      <c r="F23" s="54">
        <f t="shared" si="3"/>
        <v>-4.3237679066618323E-2</v>
      </c>
      <c r="G23" s="54">
        <f t="shared" si="0"/>
        <v>-8.3783336387789106E-2</v>
      </c>
      <c r="H23" s="54">
        <f t="shared" si="1"/>
        <v>8.0144398033725417E-2</v>
      </c>
      <c r="I23" s="54">
        <f t="shared" si="2"/>
        <v>0.19704128526203435</v>
      </c>
    </row>
    <row r="24" spans="1:9" ht="15" x14ac:dyDescent="0.25">
      <c r="A24" s="55">
        <v>38961</v>
      </c>
      <c r="B24" s="24">
        <v>38.106023245000003</v>
      </c>
      <c r="C24" s="24">
        <v>19.564187788000002</v>
      </c>
      <c r="D24" s="24">
        <v>25.186112638000001</v>
      </c>
      <c r="E24" s="24">
        <v>16.798235388999998</v>
      </c>
      <c r="F24" s="54">
        <f t="shared" si="3"/>
        <v>-5.7678384828615419E-2</v>
      </c>
      <c r="G24" s="54">
        <f t="shared" si="0"/>
        <v>1.2478325142363817E-2</v>
      </c>
      <c r="H24" s="54">
        <f t="shared" si="1"/>
        <v>-7.1684894805977865E-3</v>
      </c>
      <c r="I24" s="54">
        <f t="shared" si="2"/>
        <v>-6.3002578840495871E-2</v>
      </c>
    </row>
    <row r="25" spans="1:9" ht="15" x14ac:dyDescent="0.25">
      <c r="A25" s="55">
        <v>38991</v>
      </c>
      <c r="B25" s="24">
        <v>40.368539036999998</v>
      </c>
      <c r="C25" s="24">
        <v>22.680771109999998</v>
      </c>
      <c r="D25" s="24">
        <v>24.642527473000001</v>
      </c>
      <c r="E25" s="24">
        <v>18.587396555000002</v>
      </c>
      <c r="F25" s="54">
        <f t="shared" si="3"/>
        <v>5.7678384828615439E-2</v>
      </c>
      <c r="G25" s="54">
        <f t="shared" si="0"/>
        <v>0.14781673655903538</v>
      </c>
      <c r="H25" s="54">
        <f t="shared" si="1"/>
        <v>-2.1819047400770581E-2</v>
      </c>
      <c r="I25" s="54">
        <f t="shared" si="2"/>
        <v>0.10120990194806723</v>
      </c>
    </row>
    <row r="26" spans="1:9" ht="15" x14ac:dyDescent="0.25">
      <c r="A26" s="55">
        <v>39022</v>
      </c>
      <c r="B26" s="24">
        <v>44.049765334999996</v>
      </c>
      <c r="C26" s="24">
        <v>24.863316054999999</v>
      </c>
      <c r="D26" s="24">
        <v>25.729697803000001</v>
      </c>
      <c r="E26" s="24">
        <v>19.034686846</v>
      </c>
      <c r="F26" s="54">
        <f t="shared" si="3"/>
        <v>8.7269280239983205E-2</v>
      </c>
      <c r="G26" s="54">
        <f t="shared" si="0"/>
        <v>9.1875988525761884E-2</v>
      </c>
      <c r="H26" s="54">
        <f t="shared" si="1"/>
        <v>4.3172171877211243E-2</v>
      </c>
      <c r="I26" s="54">
        <f t="shared" si="2"/>
        <v>2.3779191743498244E-2</v>
      </c>
    </row>
    <row r="27" spans="1:9" ht="15" x14ac:dyDescent="0.25">
      <c r="A27" s="55">
        <v>39052</v>
      </c>
      <c r="B27" s="24">
        <v>47.865553429999999</v>
      </c>
      <c r="C27" s="24">
        <v>26.593621956</v>
      </c>
      <c r="D27" s="24">
        <v>27.179258243</v>
      </c>
      <c r="E27" s="24">
        <v>22.036501691000002</v>
      </c>
      <c r="F27" s="54">
        <f t="shared" si="3"/>
        <v>8.3076085515911002E-2</v>
      </c>
      <c r="G27" s="54">
        <f t="shared" si="0"/>
        <v>6.7277944580120971E-2</v>
      </c>
      <c r="H27" s="54">
        <f t="shared" si="1"/>
        <v>5.4808236509504789E-2</v>
      </c>
      <c r="I27" s="54">
        <f t="shared" si="2"/>
        <v>0.1464373080177501</v>
      </c>
    </row>
    <row r="28" spans="1:9" ht="15" x14ac:dyDescent="0.25">
      <c r="A28" s="55">
        <v>39083</v>
      </c>
      <c r="B28" s="24">
        <v>45.460151758000002</v>
      </c>
      <c r="C28" s="24">
        <v>29.493850599000002</v>
      </c>
      <c r="D28" s="24">
        <v>25.367307693000001</v>
      </c>
      <c r="E28" s="24">
        <v>22.995612269999999</v>
      </c>
      <c r="F28" s="54">
        <f t="shared" si="3"/>
        <v>-5.1559953947906828E-2</v>
      </c>
      <c r="G28" s="54">
        <f t="shared" si="0"/>
        <v>0.10351037639843129</v>
      </c>
      <c r="H28" s="54">
        <f t="shared" si="1"/>
        <v>-6.8992871505347789E-2</v>
      </c>
      <c r="I28" s="54">
        <f t="shared" si="2"/>
        <v>4.2603180627732107E-2</v>
      </c>
    </row>
    <row r="29" spans="1:9" ht="15" x14ac:dyDescent="0.25">
      <c r="A29" s="55">
        <v>39114</v>
      </c>
      <c r="B29" s="24">
        <v>41.590170841999999</v>
      </c>
      <c r="C29" s="24">
        <v>30.703098473000001</v>
      </c>
      <c r="D29" s="24">
        <v>25.593801511999999</v>
      </c>
      <c r="E29" s="24">
        <v>24.345354729</v>
      </c>
      <c r="F29" s="54">
        <f t="shared" si="3"/>
        <v>-8.8972295181558664E-2</v>
      </c>
      <c r="G29" s="54">
        <f t="shared" si="0"/>
        <v>4.0181789614625166E-2</v>
      </c>
      <c r="H29" s="54">
        <f t="shared" si="1"/>
        <v>8.8889474294560119E-3</v>
      </c>
      <c r="I29" s="54">
        <f t="shared" si="2"/>
        <v>5.7037633586055063E-2</v>
      </c>
    </row>
    <row r="30" spans="1:9" ht="15" x14ac:dyDescent="0.25">
      <c r="A30" s="55">
        <v>39142</v>
      </c>
      <c r="B30" s="24">
        <v>44.752110137000003</v>
      </c>
      <c r="C30" s="24">
        <v>31.656732976000001</v>
      </c>
      <c r="D30" s="24">
        <v>27.643296164999999</v>
      </c>
      <c r="E30" s="24">
        <v>24.975234542999999</v>
      </c>
      <c r="F30" s="54">
        <f t="shared" si="3"/>
        <v>7.3274735995922116E-2</v>
      </c>
      <c r="G30" s="54">
        <f t="shared" si="0"/>
        <v>3.0587281265368926E-2</v>
      </c>
      <c r="H30" s="54">
        <f t="shared" si="1"/>
        <v>7.703305149619695E-2</v>
      </c>
      <c r="I30" s="54">
        <f t="shared" si="2"/>
        <v>2.5543655155069709E-2</v>
      </c>
    </row>
    <row r="31" spans="1:9" ht="15" x14ac:dyDescent="0.25">
      <c r="A31" s="55">
        <v>39173</v>
      </c>
      <c r="B31" s="24">
        <v>44.186619446000002</v>
      </c>
      <c r="C31" s="24">
        <v>34.889850885999998</v>
      </c>
      <c r="D31" s="24">
        <v>29.974658492</v>
      </c>
      <c r="E31" s="24">
        <v>23.72</v>
      </c>
      <c r="F31" s="54">
        <f t="shared" si="3"/>
        <v>-1.2716581722215648E-2</v>
      </c>
      <c r="G31" s="54">
        <f t="shared" si="0"/>
        <v>9.7245123132535888E-2</v>
      </c>
      <c r="H31" s="54">
        <f t="shared" si="1"/>
        <v>8.0969062528039884E-2</v>
      </c>
      <c r="I31" s="54">
        <f t="shared" si="2"/>
        <v>-5.1566141472107412E-2</v>
      </c>
    </row>
    <row r="32" spans="1:9" ht="15" x14ac:dyDescent="0.25">
      <c r="A32" s="55">
        <v>39203</v>
      </c>
      <c r="B32" s="24">
        <v>44.910028703000002</v>
      </c>
      <c r="C32" s="24">
        <v>36.443268144000001</v>
      </c>
      <c r="D32" s="24">
        <v>34.256752562000003</v>
      </c>
      <c r="E32" s="24">
        <v>24.78</v>
      </c>
      <c r="F32" s="54">
        <f t="shared" si="3"/>
        <v>1.6239110435752369E-2</v>
      </c>
      <c r="G32" s="54">
        <f t="shared" si="0"/>
        <v>4.3560772632934057E-2</v>
      </c>
      <c r="H32" s="54">
        <f t="shared" si="1"/>
        <v>0.13353139261618233</v>
      </c>
      <c r="I32" s="54">
        <f t="shared" si="2"/>
        <v>4.3718302071471676E-2</v>
      </c>
    </row>
    <row r="33" spans="1:9" ht="15" x14ac:dyDescent="0.25">
      <c r="A33" s="55">
        <v>39234</v>
      </c>
      <c r="B33" s="24">
        <v>50.482235137000004</v>
      </c>
      <c r="C33" s="24">
        <v>35.976746667</v>
      </c>
      <c r="D33" s="24">
        <v>36.883103591999998</v>
      </c>
      <c r="E33" s="24">
        <v>26.4</v>
      </c>
      <c r="F33" s="54">
        <f t="shared" si="3"/>
        <v>0.11696036870492467</v>
      </c>
      <c r="G33" s="54">
        <f t="shared" si="0"/>
        <v>-1.288395015101665E-2</v>
      </c>
      <c r="H33" s="54">
        <f t="shared" si="1"/>
        <v>7.3869848573143215E-2</v>
      </c>
      <c r="I33" s="54">
        <f t="shared" si="2"/>
        <v>6.3327133951273901E-2</v>
      </c>
    </row>
    <row r="34" spans="1:9" ht="15" x14ac:dyDescent="0.25">
      <c r="A34" s="55">
        <v>39264</v>
      </c>
      <c r="B34" s="24">
        <v>51.528245818999999</v>
      </c>
      <c r="C34" s="24">
        <v>39.306915934000003</v>
      </c>
      <c r="D34" s="24">
        <v>34.009342683</v>
      </c>
      <c r="E34" s="24">
        <v>25.6</v>
      </c>
      <c r="F34" s="54">
        <f t="shared" si="3"/>
        <v>2.0508624896900241E-2</v>
      </c>
      <c r="G34" s="54">
        <f t="shared" si="0"/>
        <v>8.8527677517862821E-2</v>
      </c>
      <c r="H34" s="54">
        <f t="shared" si="1"/>
        <v>-8.1118277279904255E-2</v>
      </c>
      <c r="I34" s="54">
        <f t="shared" si="2"/>
        <v>-3.0771658666753545E-2</v>
      </c>
    </row>
    <row r="35" spans="1:9" ht="15" x14ac:dyDescent="0.25">
      <c r="A35" s="55">
        <v>39295</v>
      </c>
      <c r="B35" s="24">
        <v>51.585558847000001</v>
      </c>
      <c r="C35" s="24">
        <v>40.299514821000002</v>
      </c>
      <c r="D35" s="24">
        <v>35.119999999999997</v>
      </c>
      <c r="E35" s="24">
        <v>22.7</v>
      </c>
      <c r="F35" s="54">
        <f t="shared" si="3"/>
        <v>1.1116461871954837E-3</v>
      </c>
      <c r="G35" s="54">
        <f t="shared" si="0"/>
        <v>2.4938948341737918E-2</v>
      </c>
      <c r="H35" s="54">
        <f t="shared" si="1"/>
        <v>3.2135497103063709E-2</v>
      </c>
      <c r="I35" s="54">
        <f t="shared" si="2"/>
        <v>-0.12022742699815993</v>
      </c>
    </row>
    <row r="36" spans="1:9" ht="15" x14ac:dyDescent="0.25">
      <c r="A36" s="55">
        <v>39326</v>
      </c>
      <c r="B36" s="24">
        <v>58.503162523999997</v>
      </c>
      <c r="C36" s="24">
        <v>51.813661912000001</v>
      </c>
      <c r="D36" s="24">
        <v>35.549999999999997</v>
      </c>
      <c r="E36" s="24">
        <v>26.1</v>
      </c>
      <c r="F36" s="54">
        <f t="shared" si="3"/>
        <v>0.12583904700477236</v>
      </c>
      <c r="G36" s="54">
        <f t="shared" si="0"/>
        <v>0.25131442826712042</v>
      </c>
      <c r="H36" s="54">
        <f t="shared" si="1"/>
        <v>1.2169387482334031E-2</v>
      </c>
      <c r="I36" s="54">
        <f t="shared" si="2"/>
        <v>0.13957038984129078</v>
      </c>
    </row>
    <row r="37" spans="1:9" ht="15" x14ac:dyDescent="0.25">
      <c r="A37" s="55">
        <v>39356</v>
      </c>
      <c r="B37" s="24">
        <v>71.754207699999995</v>
      </c>
      <c r="C37" s="24">
        <v>54.65</v>
      </c>
      <c r="D37" s="24">
        <v>38.03</v>
      </c>
      <c r="E37" s="24">
        <v>27.5</v>
      </c>
      <c r="F37" s="54">
        <f t="shared" si="3"/>
        <v>0.2041656838067582</v>
      </c>
      <c r="G37" s="54">
        <f t="shared" si="0"/>
        <v>5.3295356656402802E-2</v>
      </c>
      <c r="H37" s="54">
        <f t="shared" si="1"/>
        <v>6.7435165690918591E-2</v>
      </c>
      <c r="I37" s="54">
        <f t="shared" si="2"/>
        <v>5.2250690343877894E-2</v>
      </c>
    </row>
    <row r="38" spans="1:9" ht="15" x14ac:dyDescent="0.25">
      <c r="A38" s="55">
        <v>39387</v>
      </c>
      <c r="B38" s="24">
        <v>71.634650563999998</v>
      </c>
      <c r="C38" s="24">
        <v>52.15</v>
      </c>
      <c r="D38" s="24">
        <v>35.200000000000003</v>
      </c>
      <c r="E38" s="24">
        <v>23.46</v>
      </c>
      <c r="F38" s="54">
        <f t="shared" si="3"/>
        <v>-1.6675934958060592E-3</v>
      </c>
      <c r="G38" s="54">
        <f t="shared" si="0"/>
        <v>-4.6825033175766057E-2</v>
      </c>
      <c r="H38" s="54">
        <f t="shared" si="1"/>
        <v>-7.7329239336116781E-2</v>
      </c>
      <c r="I38" s="54">
        <f t="shared" si="2"/>
        <v>-0.15888916144719617</v>
      </c>
    </row>
    <row r="39" spans="1:9" ht="15" x14ac:dyDescent="0.25">
      <c r="A39" s="55">
        <v>39417</v>
      </c>
      <c r="B39" s="24">
        <v>88.073756743000004</v>
      </c>
      <c r="C39" s="24">
        <v>50.75</v>
      </c>
      <c r="D39" s="24">
        <v>33.67</v>
      </c>
      <c r="E39" s="24">
        <v>23.04</v>
      </c>
      <c r="F39" s="54">
        <f t="shared" si="3"/>
        <v>0.2065957049109276</v>
      </c>
      <c r="G39" s="54">
        <f t="shared" si="0"/>
        <v>-2.72125635248847E-2</v>
      </c>
      <c r="H39" s="54">
        <f t="shared" si="1"/>
        <v>-4.4438849431068281E-2</v>
      </c>
      <c r="I39" s="54">
        <f t="shared" si="2"/>
        <v>-1.8065007397639003E-2</v>
      </c>
    </row>
    <row r="40" spans="1:9" outlineLevel="1" x14ac:dyDescent="0.2">
      <c r="D40" s="20" t="s">
        <v>25</v>
      </c>
      <c r="E40" s="20" t="s">
        <v>24</v>
      </c>
      <c r="F40" s="53">
        <f>AVERAGE(F4:F39)</f>
        <v>3.9284100998002031E-2</v>
      </c>
      <c r="G40" s="52">
        <f>AVERAGE(G4:G39)</f>
        <v>3.4243160735227131E-2</v>
      </c>
      <c r="H40" s="52">
        <f>AVERAGE(H4:H39)</f>
        <v>2.3948963178800995E-2</v>
      </c>
      <c r="I40" s="40">
        <f>AVERAGE(I4:I39)</f>
        <v>3.212130501539967E-2</v>
      </c>
    </row>
    <row r="41" spans="1:9" outlineLevel="1" x14ac:dyDescent="0.2">
      <c r="D41" s="20" t="s">
        <v>23</v>
      </c>
      <c r="E41" s="20" t="s">
        <v>22</v>
      </c>
      <c r="F41" s="53">
        <f>_xlfn.STDEV.S(F4:F39)</f>
        <v>8.9923539841286232E-2</v>
      </c>
      <c r="G41" s="52">
        <f t="shared" ref="G41:I41" si="4">_xlfn.STDEV.S(G4:G39)</f>
        <v>8.4361058397453642E-2</v>
      </c>
      <c r="H41" s="52">
        <f t="shared" si="4"/>
        <v>7.0980237256293169E-2</v>
      </c>
      <c r="I41" s="40">
        <f t="shared" si="4"/>
        <v>8.2363122168420358E-2</v>
      </c>
    </row>
    <row r="42" spans="1:9" x14ac:dyDescent="0.2">
      <c r="F42" s="51"/>
      <c r="G42" s="51"/>
      <c r="H42" s="51"/>
      <c r="I42" s="51"/>
    </row>
    <row r="43" spans="1:9" outlineLevel="1" x14ac:dyDescent="0.2">
      <c r="F43" s="59" t="s">
        <v>18</v>
      </c>
      <c r="G43" s="59" t="s">
        <v>17</v>
      </c>
      <c r="H43" s="59" t="s">
        <v>16</v>
      </c>
      <c r="I43" s="59" t="s">
        <v>15</v>
      </c>
    </row>
    <row r="44" spans="1:9" outlineLevel="1" x14ac:dyDescent="0.2">
      <c r="D44" s="20" t="s">
        <v>28</v>
      </c>
      <c r="E44" s="59" t="s">
        <v>18</v>
      </c>
      <c r="F44" s="50">
        <f>_xlfn.COVARIANCE.S($F$4:$F$39,F4:F39)</f>
        <v>8.0862430175873915E-3</v>
      </c>
      <c r="G44" s="49">
        <f>_xlfn.COVARIANCE.S($F$4:$F$39,G4:G39)</f>
        <v>3.5099650286972072E-3</v>
      </c>
      <c r="H44" s="49">
        <f>_xlfn.COVARIANCE.S($F$4:$F$39,H4:H39)</f>
        <v>2.399581580497941E-3</v>
      </c>
      <c r="I44" s="48">
        <f>_xlfn.COVARIANCE.S($F$4:$F$39,I4:I39)</f>
        <v>1.4931594040830944E-3</v>
      </c>
    </row>
    <row r="45" spans="1:9" outlineLevel="1" x14ac:dyDescent="0.2">
      <c r="E45" s="59" t="s">
        <v>17</v>
      </c>
      <c r="F45" s="47">
        <f>G44</f>
        <v>3.5099650286972072E-3</v>
      </c>
      <c r="G45" s="26">
        <f>_xlfn.COVARIANCE.S($G$4:$G$39,G4:G39)</f>
        <v>7.116788173938582E-3</v>
      </c>
      <c r="H45" s="26">
        <f>_xlfn.COVARIANCE.S($G$4:$G$39,H4:H39)</f>
        <v>6.768034427760539E-4</v>
      </c>
      <c r="I45" s="46">
        <f>_xlfn.COVARIANCE.S($G$4:$G$39,I4:I39)</f>
        <v>2.4570463493019364E-3</v>
      </c>
    </row>
    <row r="46" spans="1:9" outlineLevel="1" x14ac:dyDescent="0.2">
      <c r="E46" s="59" t="s">
        <v>16</v>
      </c>
      <c r="F46" s="47">
        <f>H44</f>
        <v>2.399581580497941E-3</v>
      </c>
      <c r="G46" s="26">
        <f>H45</f>
        <v>6.768034427760539E-4</v>
      </c>
      <c r="H46" s="26">
        <f>_xlfn.COVARIANCE.S($H$4:$H$39,H4:H39)</f>
        <v>5.0381940809596688E-3</v>
      </c>
      <c r="I46" s="46">
        <f>_xlfn.COVARIANCE.S($H$4:$H$39,I4:I39)</f>
        <v>1.8631361734946085E-3</v>
      </c>
    </row>
    <row r="47" spans="1:9" outlineLevel="1" x14ac:dyDescent="0.2">
      <c r="E47" s="59" t="s">
        <v>15</v>
      </c>
      <c r="F47" s="45">
        <f>I44</f>
        <v>1.4931594040830944E-3</v>
      </c>
      <c r="G47" s="44">
        <f>I45</f>
        <v>2.4570463493019364E-3</v>
      </c>
      <c r="H47" s="44">
        <f>I46</f>
        <v>1.8631361734946085E-3</v>
      </c>
      <c r="I47" s="43">
        <f>_xlfn.COVARIANCE.S($I$4:$I$39,I4:I39)</f>
        <v>6.7836838933301386E-3</v>
      </c>
    </row>
    <row r="49" spans="2:11" outlineLevel="1" x14ac:dyDescent="0.2">
      <c r="E49" s="20" t="s">
        <v>21</v>
      </c>
      <c r="F49" s="42">
        <v>0.25291162400425815</v>
      </c>
      <c r="G49" s="41">
        <v>0.23964221410478823</v>
      </c>
      <c r="H49" s="41">
        <v>0.24201016639581349</v>
      </c>
      <c r="I49" s="40">
        <f>1-SUM(F49:H49)</f>
        <v>0.26543599549514008</v>
      </c>
    </row>
    <row r="51" spans="2:11" ht="15" outlineLevel="1" x14ac:dyDescent="0.25">
      <c r="E51" s="20" t="s">
        <v>20</v>
      </c>
      <c r="F51" s="39">
        <f t="array" ref="F51:F54">TRANSPOSE(F40:I40)</f>
        <v>3.9284100998002031E-2</v>
      </c>
      <c r="H51" s="3" t="s">
        <v>19</v>
      </c>
      <c r="I51" s="38">
        <f t="array" ref="I51:I54">TRANSPOSE(F49:I49)</f>
        <v>0.25291162400425815</v>
      </c>
    </row>
    <row r="52" spans="2:11" ht="15" outlineLevel="1" x14ac:dyDescent="0.25">
      <c r="F52" s="37">
        <v>3.4243160735227131E-2</v>
      </c>
      <c r="I52" s="36">
        <v>0.23964221410478823</v>
      </c>
    </row>
    <row r="53" spans="2:11" ht="15" outlineLevel="1" x14ac:dyDescent="0.25">
      <c r="F53" s="37">
        <v>2.3948963178800995E-2</v>
      </c>
      <c r="I53" s="36">
        <v>0.24201016639581349</v>
      </c>
    </row>
    <row r="54" spans="2:11" ht="15" outlineLevel="1" x14ac:dyDescent="0.25">
      <c r="F54" s="35">
        <v>3.212130501539967E-2</v>
      </c>
      <c r="I54" s="34">
        <v>0.26543599549514008</v>
      </c>
    </row>
    <row r="56" spans="2:11" outlineLevel="1" x14ac:dyDescent="0.2">
      <c r="E56" s="20" t="s">
        <v>12</v>
      </c>
      <c r="F56" s="27">
        <f>MMULT(F49:I49,F51:F54)</f>
        <v>3.2463555774762461E-2</v>
      </c>
    </row>
    <row r="57" spans="2:11" ht="15" x14ac:dyDescent="0.25">
      <c r="F57" s="33"/>
    </row>
    <row r="58" spans="2:11" outlineLevel="1" x14ac:dyDescent="0.2">
      <c r="E58" s="29" t="s">
        <v>29</v>
      </c>
      <c r="F58" s="32">
        <f t="array" ref="F58:I58">MMULT(F49:I49,F44:I47)</f>
        <v>3.8633020350108578E-3</v>
      </c>
      <c r="G58" s="31">
        <v>3.4091756884315292E-3</v>
      </c>
      <c r="H58" s="31">
        <v>2.4829103428170352E-3</v>
      </c>
      <c r="I58" s="30">
        <v>3.2179811798046113E-3</v>
      </c>
    </row>
    <row r="59" spans="2:11" x14ac:dyDescent="0.2">
      <c r="E59" s="17"/>
      <c r="F59" s="26"/>
      <c r="G59" s="26"/>
      <c r="H59" s="26"/>
      <c r="I59" s="26"/>
    </row>
    <row r="60" spans="2:11" outlineLevel="1" x14ac:dyDescent="0.2">
      <c r="E60" s="29" t="s">
        <v>30</v>
      </c>
      <c r="F60" s="28">
        <f>MMULT(F58:I58,I51:I54)</f>
        <v>3.2491139850985983E-3</v>
      </c>
      <c r="G60" s="26"/>
      <c r="H60" s="26"/>
      <c r="I60" s="26"/>
    </row>
    <row r="61" spans="2:11" outlineLevel="1" x14ac:dyDescent="0.2">
      <c r="E61" s="20" t="s">
        <v>13</v>
      </c>
      <c r="F61" s="27">
        <f>SQRT(F60)</f>
        <v>5.7000999860516467E-2</v>
      </c>
      <c r="G61" s="26"/>
      <c r="H61" s="26"/>
      <c r="I61" s="26"/>
    </row>
    <row r="63" spans="2:11" x14ac:dyDescent="0.2">
      <c r="B63" s="24"/>
      <c r="C63" s="24"/>
      <c r="D63" s="24"/>
      <c r="E63" s="24"/>
      <c r="F63" s="25"/>
    </row>
    <row r="64" spans="2:11" outlineLevel="1" x14ac:dyDescent="0.2">
      <c r="B64" s="24"/>
      <c r="C64" s="24"/>
      <c r="D64" s="24"/>
      <c r="E64" s="24"/>
      <c r="F64" s="25"/>
      <c r="H64" s="60" t="s">
        <v>18</v>
      </c>
      <c r="I64" s="60" t="s">
        <v>17</v>
      </c>
      <c r="J64" s="60" t="s">
        <v>16</v>
      </c>
      <c r="K64" s="60" t="s">
        <v>15</v>
      </c>
    </row>
    <row r="65" spans="1:12" outlineLevel="1" x14ac:dyDescent="0.2">
      <c r="B65" s="24"/>
      <c r="C65" s="24"/>
      <c r="D65" s="24"/>
      <c r="E65" s="24"/>
      <c r="F65" s="23" t="s">
        <v>13</v>
      </c>
      <c r="G65" s="23" t="s">
        <v>12</v>
      </c>
      <c r="H65" s="23" t="s">
        <v>11</v>
      </c>
      <c r="I65" s="23" t="s">
        <v>10</v>
      </c>
      <c r="J65" s="23" t="s">
        <v>9</v>
      </c>
      <c r="K65" s="23" t="s">
        <v>8</v>
      </c>
    </row>
    <row r="66" spans="1:12" ht="15" outlineLevel="1" x14ac:dyDescent="0.35">
      <c r="E66" s="22" t="s">
        <v>14</v>
      </c>
      <c r="F66" s="21">
        <f>F61</f>
        <v>5.7000999860516467E-2</v>
      </c>
      <c r="G66" s="21">
        <f>F56</f>
        <v>3.2463555774762461E-2</v>
      </c>
      <c r="H66" s="21">
        <f>F49</f>
        <v>0.25291162400425815</v>
      </c>
      <c r="I66" s="21">
        <f>G49</f>
        <v>0.23964221410478823</v>
      </c>
      <c r="J66" s="21">
        <f>H49</f>
        <v>0.24201016639581349</v>
      </c>
      <c r="K66" s="21">
        <f>I49</f>
        <v>0.26543599549514008</v>
      </c>
    </row>
    <row r="68" spans="1:12" s="19" customFormat="1" ht="13.5" outlineLevel="1" thickBot="1" x14ac:dyDescent="0.25">
      <c r="A68" s="3"/>
      <c r="B68" s="20"/>
      <c r="C68" s="20"/>
      <c r="D68" s="20"/>
      <c r="E68" s="20"/>
      <c r="F68" s="3" t="s">
        <v>13</v>
      </c>
      <c r="G68" s="3" t="s">
        <v>12</v>
      </c>
      <c r="H68" s="3" t="s">
        <v>11</v>
      </c>
      <c r="I68" s="3" t="s">
        <v>10</v>
      </c>
      <c r="J68" s="3" t="s">
        <v>9</v>
      </c>
      <c r="K68" s="3" t="s">
        <v>8</v>
      </c>
    </row>
    <row r="69" spans="1:12" outlineLevel="1" x14ac:dyDescent="0.2">
      <c r="E69" s="17" t="s">
        <v>7</v>
      </c>
      <c r="F69" s="16">
        <v>8.9923539841286232E-2</v>
      </c>
      <c r="G69" s="15">
        <v>3.9284100998002031E-2</v>
      </c>
      <c r="H69" s="15">
        <v>1</v>
      </c>
      <c r="I69" s="15">
        <v>0</v>
      </c>
      <c r="J69" s="15">
        <v>0</v>
      </c>
      <c r="K69" s="14">
        <v>0</v>
      </c>
    </row>
    <row r="70" spans="1:12" outlineLevel="1" x14ac:dyDescent="0.2">
      <c r="F70" s="13">
        <v>8.0000059666993709E-2</v>
      </c>
      <c r="G70" s="12">
        <v>3.8241900371749231E-2</v>
      </c>
      <c r="H70" s="12">
        <v>0.83819877188220826</v>
      </c>
      <c r="I70" s="12">
        <v>5.5021912846620863E-2</v>
      </c>
      <c r="J70" s="12">
        <v>0</v>
      </c>
      <c r="K70" s="10">
        <v>0.1067793152711709</v>
      </c>
    </row>
    <row r="71" spans="1:12" outlineLevel="1" x14ac:dyDescent="0.2">
      <c r="F71" s="13">
        <v>7.5000898172444319E-2</v>
      </c>
      <c r="G71" s="12">
        <v>3.7634703720261217E-2</v>
      </c>
      <c r="H71" s="12">
        <v>0.74185905135634111</v>
      </c>
      <c r="I71" s="12">
        <v>9.4075044916522729E-2</v>
      </c>
      <c r="J71" s="12">
        <v>0</v>
      </c>
      <c r="K71" s="10">
        <v>0.16406590372713614</v>
      </c>
    </row>
    <row r="72" spans="1:12" outlineLevel="1" x14ac:dyDescent="0.2">
      <c r="F72" s="13">
        <v>7.0000997991356714E-2</v>
      </c>
      <c r="G72" s="12">
        <v>3.6910209825263683E-2</v>
      </c>
      <c r="H72" s="12">
        <v>0.62723762300771058</v>
      </c>
      <c r="I72" s="12">
        <v>0.13956164921119688</v>
      </c>
      <c r="J72" s="12">
        <v>0</v>
      </c>
      <c r="K72" s="10">
        <v>0.23320072778109258</v>
      </c>
    </row>
    <row r="73" spans="1:12" outlineLevel="1" x14ac:dyDescent="0.2">
      <c r="F73" s="13">
        <v>6.0000994981048592E-2</v>
      </c>
      <c r="G73" s="12">
        <v>3.3992529244935066E-2</v>
      </c>
      <c r="H73" s="12">
        <v>0.34462122334491985</v>
      </c>
      <c r="I73" s="12">
        <v>0.22417378214098754</v>
      </c>
      <c r="J73" s="12">
        <v>0.13128326346133995</v>
      </c>
      <c r="K73" s="10">
        <v>0.29992173105275266</v>
      </c>
    </row>
    <row r="74" spans="1:12" ht="13.5" outlineLevel="1" thickBot="1" x14ac:dyDescent="0.25">
      <c r="E74" s="17" t="s">
        <v>6</v>
      </c>
      <c r="F74" s="9">
        <v>5.4764347283476095E-2</v>
      </c>
      <c r="G74" s="8">
        <v>2.9686184132161283E-2</v>
      </c>
      <c r="H74" s="8">
        <v>8.6219113082730101E-2</v>
      </c>
      <c r="I74" s="8">
        <v>0.2659405884359114</v>
      </c>
      <c r="J74" s="8">
        <v>0.44258774670435314</v>
      </c>
      <c r="K74" s="6">
        <v>0.20525255177700541</v>
      </c>
    </row>
    <row r="75" spans="1:12" outlineLevel="1" x14ac:dyDescent="0.2">
      <c r="E75" s="17" t="s">
        <v>5</v>
      </c>
      <c r="F75" s="16">
        <v>6.00009889400656E-2</v>
      </c>
      <c r="G75" s="15">
        <v>2.6225239847202174E-2</v>
      </c>
      <c r="H75" s="15">
        <v>0</v>
      </c>
      <c r="I75" s="15">
        <v>0.1626148244781766</v>
      </c>
      <c r="J75" s="15">
        <v>0.76368689519267563</v>
      </c>
      <c r="K75" s="14">
        <v>7.3698280329147714E-2</v>
      </c>
    </row>
    <row r="76" spans="1:12" outlineLevel="1" x14ac:dyDescent="0.2">
      <c r="F76" s="13">
        <v>6.9999251062233731E-2</v>
      </c>
      <c r="G76" s="12">
        <v>2.4115513519724841E-2</v>
      </c>
      <c r="H76" s="12">
        <v>0</v>
      </c>
      <c r="I76" s="12">
        <v>1.6179050383570429E-2</v>
      </c>
      <c r="J76" s="12">
        <v>0.98382094961642963</v>
      </c>
      <c r="K76" s="10">
        <v>0</v>
      </c>
    </row>
    <row r="77" spans="1:12" ht="13.5" outlineLevel="1" thickBot="1" x14ac:dyDescent="0.25">
      <c r="F77" s="9">
        <v>7.0980237256293169E-2</v>
      </c>
      <c r="G77" s="8">
        <v>2.3948963178800995E-2</v>
      </c>
      <c r="H77" s="8">
        <v>0</v>
      </c>
      <c r="I77" s="8">
        <v>0</v>
      </c>
      <c r="J77" s="8">
        <v>1</v>
      </c>
      <c r="K77" s="6">
        <v>0</v>
      </c>
    </row>
    <row r="78" spans="1:12" ht="13.5" outlineLevel="1" thickBot="1" x14ac:dyDescent="0.25">
      <c r="F78" s="18"/>
      <c r="G78" s="18"/>
      <c r="H78" s="18"/>
      <c r="I78" s="18"/>
      <c r="J78" s="18"/>
      <c r="K78" s="18"/>
    </row>
    <row r="79" spans="1:12" x14ac:dyDescent="0.2">
      <c r="E79" s="17" t="s">
        <v>4</v>
      </c>
      <c r="F79" s="16">
        <v>5.7000999860516467E-2</v>
      </c>
      <c r="G79" s="15">
        <v>3.2463555774762461E-2</v>
      </c>
      <c r="H79" s="15">
        <v>0.25291162400425815</v>
      </c>
      <c r="I79" s="15">
        <v>0.23964221410478823</v>
      </c>
      <c r="J79" s="15">
        <v>0.24201016639581349</v>
      </c>
      <c r="K79" s="14">
        <v>0.26543599549514008</v>
      </c>
      <c r="L79" s="5"/>
    </row>
    <row r="80" spans="1:12" x14ac:dyDescent="0.2">
      <c r="F80" s="13">
        <v>6.0000999812003582E-2</v>
      </c>
      <c r="G80" s="12">
        <v>3.3992571312293988E-2</v>
      </c>
      <c r="H80" s="12">
        <v>0.3445517922459943</v>
      </c>
      <c r="I80" s="12">
        <v>0.2253509280665052</v>
      </c>
      <c r="J80" s="12">
        <v>0.13152289436505307</v>
      </c>
      <c r="K80" s="10">
        <v>0.2985743853224474</v>
      </c>
      <c r="L80" s="5"/>
    </row>
    <row r="81" spans="6:12" x14ac:dyDescent="0.2">
      <c r="F81" s="13">
        <v>7.0000869542226188E-2</v>
      </c>
      <c r="G81" s="12">
        <v>3.7345151956604018E-2</v>
      </c>
      <c r="H81" s="12">
        <v>0.54574401989628551</v>
      </c>
      <c r="I81" s="12">
        <v>0.19368323389598643</v>
      </c>
      <c r="J81" s="11">
        <v>-0.11059571520092688</v>
      </c>
      <c r="K81" s="10">
        <v>0.371168461408655</v>
      </c>
      <c r="L81" s="5"/>
    </row>
    <row r="82" spans="6:12" x14ac:dyDescent="0.2">
      <c r="F82" s="13">
        <v>8.0000994623642019E-2</v>
      </c>
      <c r="G82" s="12">
        <v>3.9930536450122761E-2</v>
      </c>
      <c r="H82" s="12">
        <v>0.70013250860468823</v>
      </c>
      <c r="I82" s="12">
        <v>0.16910248535853192</v>
      </c>
      <c r="J82" s="11">
        <v>-0.29801910978539459</v>
      </c>
      <c r="K82" s="10">
        <v>0.42878411582217446</v>
      </c>
      <c r="L82" s="5"/>
    </row>
    <row r="83" spans="6:12" x14ac:dyDescent="0.2">
      <c r="F83" s="13">
        <v>9.0000983326153014E-2</v>
      </c>
      <c r="G83" s="12">
        <v>4.2232319358663346E-2</v>
      </c>
      <c r="H83" s="12">
        <v>0.83889765881357103</v>
      </c>
      <c r="I83" s="12">
        <v>0.14728242648829798</v>
      </c>
      <c r="J83" s="11">
        <v>-0.4637164694767944</v>
      </c>
      <c r="K83" s="10">
        <v>0.47753638417492539</v>
      </c>
      <c r="L83" s="5"/>
    </row>
    <row r="84" spans="6:12" ht="13.5" thickBot="1" x14ac:dyDescent="0.25">
      <c r="F84" s="9">
        <v>0.10000098070428547</v>
      </c>
      <c r="G84" s="8">
        <v>4.4384325322694221E-2</v>
      </c>
      <c r="H84" s="8">
        <v>0.96811968307331775</v>
      </c>
      <c r="I84" s="8">
        <v>0.12688628889003398</v>
      </c>
      <c r="J84" s="7">
        <v>-0.61908107051912342</v>
      </c>
      <c r="K84" s="6">
        <v>0.52407509855577161</v>
      </c>
      <c r="L84" s="5"/>
    </row>
    <row r="85" spans="6:12" x14ac:dyDescent="0.2">
      <c r="F85" s="4"/>
      <c r="G85" s="4"/>
      <c r="H85" s="4"/>
      <c r="I85" s="4"/>
      <c r="J85" s="4"/>
      <c r="K85" s="4"/>
      <c r="L85" s="5"/>
    </row>
    <row r="86" spans="6:12" x14ac:dyDescent="0.2">
      <c r="F86" s="4"/>
      <c r="G86" s="4"/>
      <c r="H86" s="4"/>
      <c r="I86" s="4"/>
      <c r="J86" s="4"/>
      <c r="K86" s="4"/>
      <c r="L86" s="5"/>
    </row>
    <row r="109" spans="6:11" x14ac:dyDescent="0.2">
      <c r="F109" s="4"/>
      <c r="G109" s="4"/>
      <c r="H109" s="4"/>
      <c r="I109" s="4"/>
      <c r="J109" s="4"/>
      <c r="K109" s="4"/>
    </row>
    <row r="110" spans="6:11" x14ac:dyDescent="0.2">
      <c r="F110" s="4"/>
      <c r="G110" s="4"/>
      <c r="H110" s="4"/>
      <c r="I110" s="4"/>
      <c r="J110" s="4"/>
      <c r="K110" s="4"/>
    </row>
    <row r="111" spans="6:11" x14ac:dyDescent="0.2">
      <c r="F111" s="4"/>
      <c r="G111" s="4"/>
      <c r="H111" s="4"/>
      <c r="I111" s="4"/>
      <c r="J111" s="4"/>
      <c r="K111" s="4"/>
    </row>
    <row r="112" spans="6:11" x14ac:dyDescent="0.2">
      <c r="F112" s="4"/>
      <c r="G112" s="4"/>
      <c r="H112" s="4"/>
      <c r="I112" s="4"/>
      <c r="J112" s="4"/>
      <c r="K112" s="4"/>
    </row>
    <row r="113" spans="6:11" x14ac:dyDescent="0.2">
      <c r="F113" s="4"/>
      <c r="G113" s="4"/>
      <c r="H113" s="4"/>
      <c r="I113" s="4"/>
      <c r="J113" s="4"/>
      <c r="K113" s="4"/>
    </row>
    <row r="114" spans="6:11" x14ac:dyDescent="0.2">
      <c r="F114" s="4"/>
      <c r="G114" s="4"/>
      <c r="H114" s="4"/>
      <c r="I114" s="4"/>
      <c r="J114" s="4"/>
      <c r="K114" s="4"/>
    </row>
    <row r="123" spans="6:11" x14ac:dyDescent="0.2">
      <c r="F123" s="4"/>
      <c r="G123" s="4"/>
      <c r="H123" s="4"/>
      <c r="I123" s="4"/>
      <c r="J123" s="4"/>
      <c r="K123" s="4"/>
    </row>
    <row r="124" spans="6:11" x14ac:dyDescent="0.2">
      <c r="F124" s="4"/>
      <c r="G124" s="4"/>
      <c r="H124" s="4"/>
      <c r="I124" s="4"/>
      <c r="J124" s="4"/>
      <c r="K124" s="4"/>
    </row>
    <row r="125" spans="6:11" x14ac:dyDescent="0.2">
      <c r="F125" s="4"/>
      <c r="G125" s="4"/>
      <c r="H125" s="4"/>
      <c r="I125" s="4"/>
      <c r="J125" s="4"/>
      <c r="K125" s="4"/>
    </row>
    <row r="126" spans="6:11" x14ac:dyDescent="0.2">
      <c r="F126" s="4"/>
      <c r="G126" s="4"/>
      <c r="H126" s="4"/>
      <c r="I126" s="4"/>
      <c r="J126" s="4"/>
      <c r="K126" s="4"/>
    </row>
    <row r="127" spans="6:11" x14ac:dyDescent="0.2">
      <c r="F127" s="4"/>
      <c r="G127" s="4"/>
      <c r="H127" s="4"/>
      <c r="I127" s="4"/>
      <c r="J127" s="4"/>
      <c r="K127" s="4"/>
    </row>
    <row r="128" spans="6:11" x14ac:dyDescent="0.2">
      <c r="F128" s="4"/>
      <c r="G128" s="4"/>
      <c r="H128" s="4"/>
      <c r="I128" s="4"/>
      <c r="J128" s="4"/>
      <c r="K128" s="4"/>
    </row>
    <row r="129" spans="6:11" x14ac:dyDescent="0.2">
      <c r="F129" s="4"/>
      <c r="G129" s="4"/>
      <c r="H129" s="4"/>
      <c r="I129" s="4"/>
      <c r="J129" s="4"/>
      <c r="K129" s="4"/>
    </row>
    <row r="130" spans="6:11" x14ac:dyDescent="0.2">
      <c r="F130" s="4"/>
      <c r="G130" s="4"/>
      <c r="H130" s="4"/>
      <c r="I130" s="4"/>
      <c r="J130" s="4"/>
      <c r="K130" s="4"/>
    </row>
    <row r="131" spans="6:11" x14ac:dyDescent="0.2">
      <c r="F131" s="4"/>
      <c r="G131" s="4"/>
      <c r="H131" s="4"/>
      <c r="I131" s="4"/>
      <c r="J131" s="4"/>
      <c r="K131" s="4"/>
    </row>
    <row r="132" spans="6:11" x14ac:dyDescent="0.2">
      <c r="F132" s="4"/>
      <c r="G132" s="4"/>
      <c r="H132" s="4"/>
      <c r="I132" s="4"/>
      <c r="J132" s="4"/>
      <c r="K132" s="4"/>
    </row>
    <row r="133" spans="6:11" x14ac:dyDescent="0.2">
      <c r="F133" s="4"/>
      <c r="G133" s="4"/>
      <c r="H133" s="4"/>
      <c r="I133" s="4"/>
      <c r="J133" s="4"/>
      <c r="K133" s="4"/>
    </row>
    <row r="134" spans="6:11" x14ac:dyDescent="0.2">
      <c r="F134" s="4"/>
      <c r="G134" s="4"/>
      <c r="H134" s="4"/>
      <c r="I134" s="4"/>
      <c r="J134" s="4"/>
      <c r="K134" s="4"/>
    </row>
    <row r="135" spans="6:11" x14ac:dyDescent="0.2">
      <c r="F135" s="4"/>
      <c r="G135" s="4"/>
      <c r="H135" s="4"/>
      <c r="I135" s="4"/>
      <c r="J135" s="4"/>
      <c r="K135" s="4"/>
    </row>
    <row r="136" spans="6:11" x14ac:dyDescent="0.2">
      <c r="F136" s="4"/>
      <c r="G136" s="4"/>
      <c r="H136" s="4"/>
      <c r="I136" s="4"/>
      <c r="J136" s="4"/>
      <c r="K136" s="4"/>
    </row>
    <row r="137" spans="6:11" x14ac:dyDescent="0.2">
      <c r="F137" s="4"/>
      <c r="G137" s="4"/>
      <c r="H137" s="4"/>
      <c r="I137" s="4"/>
      <c r="J137" s="4"/>
      <c r="K137" s="4"/>
    </row>
    <row r="138" spans="6:11" x14ac:dyDescent="0.2">
      <c r="F138" s="4"/>
      <c r="G138" s="4"/>
      <c r="H138" s="4"/>
      <c r="I138" s="4"/>
      <c r="J138" s="4"/>
      <c r="K138" s="4"/>
    </row>
  </sheetData>
  <mergeCells count="2">
    <mergeCell ref="B1:E1"/>
    <mergeCell ref="F1:I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Instalar Solver</vt:lpstr>
      <vt:lpstr>4_ativos</vt:lpstr>
      <vt:lpstr>Gráf1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Piva</dc:creator>
  <cp:lastModifiedBy>Rafael Fernandes Piva</cp:lastModifiedBy>
  <dcterms:created xsi:type="dcterms:W3CDTF">2016-09-07T19:32:14Z</dcterms:created>
  <dcterms:modified xsi:type="dcterms:W3CDTF">2022-11-17T23:54:02Z</dcterms:modified>
</cp:coreProperties>
</file>