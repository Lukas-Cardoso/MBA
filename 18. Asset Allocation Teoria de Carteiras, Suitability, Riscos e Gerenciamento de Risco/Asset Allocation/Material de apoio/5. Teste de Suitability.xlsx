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pivara\Downloads\"/>
    </mc:Choice>
  </mc:AlternateContent>
  <bookViews>
    <workbookView xWindow="0" yWindow="0" windowWidth="19200" windowHeight="6470"/>
  </bookViews>
  <sheets>
    <sheet name="Base e Cálculos" sheetId="1" r:id="rId1"/>
    <sheet name="Solver mín risco" sheetId="3" r:id="rId2"/>
    <sheet name="Solver - 0,20% risco" sheetId="2" r:id="rId3"/>
  </sheets>
  <definedNames>
    <definedName name="solver_adj" localSheetId="0" hidden="1">'Base e Cálculos'!$H$38:$K$38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'Base e Cálculos'!$G$38:$K$38</definedName>
    <definedName name="solver_lhs2" localSheetId="0" hidden="1">'Base e Cálculos'!$H$38</definedName>
    <definedName name="solver_lhs3" localSheetId="0" hidden="1">'Base e Cálculos'!$H$38</definedName>
    <definedName name="solver_lhs4" localSheetId="0" hidden="1">'Base e Cálculos'!$H$55</definedName>
    <definedName name="solver_lhs5" localSheetId="0" hidden="1">'Base e Cálculos'!$J$38</definedName>
    <definedName name="solver_lhs6" localSheetId="0" hidden="1">'Base e Cálculos'!$K$38</definedName>
    <definedName name="solver_lhs7" localSheetId="0" hidden="1">'Base e Cálculos'!$K$38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'Base e Cálculos'!$G$46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el3" localSheetId="0" hidden="1">2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hs1" localSheetId="0" hidden="1">0</definedName>
    <definedName name="solver_rhs2" localSheetId="0" hidden="1">0.5</definedName>
    <definedName name="solver_rhs3" localSheetId="0" hidden="1">0.128</definedName>
    <definedName name="solver_rhs4" localSheetId="0" hidden="1">0</definedName>
    <definedName name="solver_rhs5" localSheetId="0" hidden="1">0.1</definedName>
    <definedName name="solver_rhs6" localSheetId="0" hidden="1">0.1</definedName>
    <definedName name="solver_rhs7" localSheetId="0" hidden="1">0.1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" l="1"/>
  <c r="G26" i="1"/>
  <c r="G40" i="1" a="1"/>
  <c r="G40" i="1" s="1"/>
  <c r="G42" i="1"/>
  <c r="G43" i="1"/>
  <c r="G44" i="1"/>
  <c r="G29" i="1"/>
  <c r="K28" i="1"/>
  <c r="G41" i="1" l="1"/>
  <c r="G38" i="1"/>
  <c r="K40" i="1" s="1" a="1"/>
  <c r="K40" i="1" l="1"/>
  <c r="K42" i="1"/>
  <c r="K43" i="1"/>
  <c r="K44" i="1"/>
  <c r="K41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5" i="1"/>
  <c r="I5" i="1"/>
  <c r="J5" i="1"/>
  <c r="K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5" i="1"/>
  <c r="G28" i="1" l="1"/>
  <c r="I28" i="1"/>
  <c r="H35" i="1"/>
  <c r="H36" i="1"/>
  <c r="H34" i="1"/>
  <c r="H33" i="1"/>
  <c r="H29" i="1"/>
  <c r="H32" i="1"/>
  <c r="K36" i="1"/>
  <c r="K32" i="1"/>
  <c r="K35" i="1"/>
  <c r="K29" i="1"/>
  <c r="K34" i="1"/>
  <c r="K33" i="1"/>
  <c r="H28" i="1"/>
  <c r="J33" i="1"/>
  <c r="J29" i="1"/>
  <c r="J34" i="1"/>
  <c r="J36" i="1"/>
  <c r="J32" i="1"/>
  <c r="J35" i="1"/>
  <c r="G36" i="1"/>
  <c r="G32" i="1"/>
  <c r="G34" i="1"/>
  <c r="G33" i="1"/>
  <c r="G35" i="1"/>
  <c r="I34" i="1"/>
  <c r="I36" i="1"/>
  <c r="I32" i="1"/>
  <c r="I29" i="1"/>
  <c r="I33" i="1"/>
  <c r="I35" i="1"/>
  <c r="J28" i="1"/>
  <c r="G48" i="1" l="1" a="1"/>
  <c r="G48" i="1" l="1"/>
  <c r="K48" i="1"/>
  <c r="H48" i="1"/>
  <c r="J48" i="1"/>
  <c r="I48" i="1"/>
  <c r="G46" i="1"/>
  <c r="H46" i="1" s="1"/>
  <c r="G50" i="1" l="1"/>
  <c r="G51" i="1" s="1"/>
  <c r="H51" i="1" l="1"/>
  <c r="H55" i="1" s="1"/>
  <c r="G53" i="1"/>
</calcChain>
</file>

<file path=xl/sharedStrings.xml><?xml version="1.0" encoding="utf-8"?>
<sst xmlns="http://schemas.openxmlformats.org/spreadsheetml/2006/main" count="61" uniqueCount="43">
  <si>
    <t>Dia</t>
  </si>
  <si>
    <t>Quota</t>
  </si>
  <si>
    <t>(R$)</t>
  </si>
  <si>
    <t>SANTANDER FIC FI MASTER RENDA FIXA (1)</t>
  </si>
  <si>
    <t>SANTANDER FIC FI DIVERSIFICAÇÃO GLOBAL VAN GOGH MULTIMERCADO (2)</t>
  </si>
  <si>
    <t>SANTANDER FIC FI MULTISTRATEGY MULTIMERCADO (3)</t>
  </si>
  <si>
    <t>SANTANDER FI VIP CAMBIAL (4)</t>
  </si>
  <si>
    <t>SANTANDER FIC FI IBOVESPA ATIVO AÇÕES (5)</t>
  </si>
  <si>
    <t>(1)</t>
  </si>
  <si>
    <t>(2)</t>
  </si>
  <si>
    <t>(3)</t>
  </si>
  <si>
    <t>(4)</t>
  </si>
  <si>
    <t>(5)</t>
  </si>
  <si>
    <t>COVAR</t>
  </si>
  <si>
    <t>W</t>
  </si>
  <si>
    <t>R'</t>
  </si>
  <si>
    <t>W'</t>
  </si>
  <si>
    <t>Rc</t>
  </si>
  <si>
    <t>W x COVAR</t>
  </si>
  <si>
    <t>W x COVAR x W'</t>
  </si>
  <si>
    <t>Sc</t>
  </si>
  <si>
    <t>Restrição 1</t>
  </si>
  <si>
    <t>Restrição 3</t>
  </si>
  <si>
    <t>Calcular o retorno médio</t>
  </si>
  <si>
    <t>Calcular o risco de cada fundo</t>
  </si>
  <si>
    <t>Restrição 2</t>
  </si>
  <si>
    <t>Peso &lt;= 10% de Ações</t>
  </si>
  <si>
    <t>Peso &lt;= 10% de Cambial</t>
  </si>
  <si>
    <t>Peso &lt;= 50% de Multimercado Global</t>
  </si>
  <si>
    <t>RETORNOS</t>
  </si>
  <si>
    <t>Média</t>
  </si>
  <si>
    <t>Desvio</t>
  </si>
  <si>
    <t>Calcular o retorno das quotas =LN</t>
  </si>
  <si>
    <t>1-Encontrar a carteira com melhor retorno (maximizar), dado um risco de 0,20%</t>
  </si>
  <si>
    <t>2-Encontrar a carteira com o menor risco (mínimizar risco) para qualquer retorno</t>
  </si>
  <si>
    <t>Ele tem renda bruta de 12k/mês. Está em dezembro e quer usufruir do benefício do PGBL. Suponha que o fundo Global seja um fundo de previdência.</t>
  </si>
  <si>
    <t>Alvo</t>
  </si>
  <si>
    <t>3- Como montar uma carteira que com 99%, não tem retorno inferior a 1,5% em um mês?</t>
  </si>
  <si>
    <t>Erro</t>
  </si>
  <si>
    <t>Min 99%</t>
  </si>
  <si>
    <t>4-</t>
  </si>
  <si>
    <t>5-</t>
  </si>
  <si>
    <t>Investidor tem 100 mil reais de patrimônio. Sua despesa mensal é de 8k e ele deseja ter 7 meses de despesas em reserva de liquidez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</si>
</sst>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0.0000000000"/>
    <numFmt numFmtId="165" formatCode="_(&quot;R$ &quot;* #,##0.00_);_(&quot;R$ &quot;* \(#,##0.00\);_(&quot;R$ &quot;* &quot;-&quot;??_);_(@_)"/>
    <numFmt numFmtId="166" formatCode="0.0000%"/>
    <numFmt numFmtId="167" formatCode="_-* #,##0.0000000000_-;\-* #,##0.0000000000_-;_-* &quot;-&quot;??_-;_-@_-"/>
    <numFmt numFmtId="168" formatCode="0.00000000"/>
    <numFmt numFmtId="169" formatCode="0.0%"/>
    <numFmt numFmtId="170" formatCode="0.000%"/>
    <numFmt numFmtId="171" formatCode="0.0"/>
  </numFmts>
  <fonts count="10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8DC"/>
        <bgColor indexed="64"/>
      </patternFill>
    </fill>
    <fill>
      <patternFill patternType="solid">
        <fgColor rgb="FFFAEFC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66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0" fontId="0" fillId="0" borderId="0" xfId="2" applyNumberFormat="1" applyFont="1"/>
    <xf numFmtId="0" fontId="4" fillId="4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3" xfId="0" applyBorder="1"/>
    <xf numFmtId="10" fontId="0" fillId="0" borderId="3" xfId="2" applyNumberFormat="1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Border="1"/>
    <xf numFmtId="10" fontId="0" fillId="0" borderId="11" xfId="2" applyNumberFormat="1" applyFont="1" applyBorder="1"/>
    <xf numFmtId="10" fontId="0" fillId="0" borderId="12" xfId="2" applyNumberFormat="1" applyFont="1" applyBorder="1"/>
    <xf numFmtId="10" fontId="0" fillId="0" borderId="10" xfId="2" applyNumberFormat="1" applyFont="1" applyBorder="1"/>
    <xf numFmtId="165" fontId="7" fillId="0" borderId="0" xfId="3" applyAlignment="1">
      <alignment horizontal="center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center"/>
    </xf>
    <xf numFmtId="10" fontId="8" fillId="6" borderId="3" xfId="5" applyNumberFormat="1" applyFont="1" applyFill="1" applyBorder="1" applyAlignment="1">
      <alignment horizontal="center"/>
    </xf>
    <xf numFmtId="166" fontId="6" fillId="0" borderId="3" xfId="2" applyNumberFormat="1" applyFont="1" applyBorder="1"/>
    <xf numFmtId="9" fontId="0" fillId="0" borderId="11" xfId="0" applyNumberFormat="1" applyBorder="1"/>
    <xf numFmtId="9" fontId="0" fillId="0" borderId="12" xfId="0" applyNumberFormat="1" applyBorder="1"/>
    <xf numFmtId="9" fontId="0" fillId="0" borderId="10" xfId="0" applyNumberFormat="1" applyBorder="1"/>
    <xf numFmtId="10" fontId="0" fillId="0" borderId="15" xfId="0" applyNumberFormat="1" applyBorder="1"/>
    <xf numFmtId="10" fontId="0" fillId="0" borderId="16" xfId="0" applyNumberFormat="1" applyBorder="1"/>
    <xf numFmtId="10" fontId="0" fillId="0" borderId="18" xfId="2" applyNumberFormat="1" applyFont="1" applyBorder="1"/>
    <xf numFmtId="0" fontId="6" fillId="0" borderId="1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164" fontId="0" fillId="0" borderId="3" xfId="1" applyNumberFormat="1" applyFont="1" applyBorder="1"/>
    <xf numFmtId="49" fontId="6" fillId="4" borderId="3" xfId="0" applyNumberFormat="1" applyFont="1" applyFill="1" applyBorder="1" applyAlignment="1">
      <alignment horizontal="center"/>
    </xf>
    <xf numFmtId="0" fontId="6" fillId="7" borderId="0" xfId="0" applyFont="1" applyFill="1"/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167" fontId="0" fillId="0" borderId="5" xfId="1" applyNumberFormat="1" applyFont="1" applyBorder="1"/>
    <xf numFmtId="167" fontId="0" fillId="0" borderId="3" xfId="1" applyNumberFormat="1" applyFont="1" applyBorder="1"/>
    <xf numFmtId="168" fontId="7" fillId="0" borderId="3" xfId="4" applyNumberFormat="1" applyBorder="1" applyAlignment="1">
      <alignment horizontal="center"/>
    </xf>
    <xf numFmtId="9" fontId="0" fillId="7" borderId="13" xfId="0" applyNumberFormat="1" applyFill="1" applyBorder="1"/>
    <xf numFmtId="9" fontId="0" fillId="7" borderId="9" xfId="0" applyNumberFormat="1" applyFill="1" applyBorder="1"/>
    <xf numFmtId="0" fontId="6" fillId="7" borderId="0" xfId="0" applyFont="1" applyFill="1" applyAlignment="1">
      <alignment horizontal="left"/>
    </xf>
    <xf numFmtId="0" fontId="0" fillId="0" borderId="0" xfId="0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center" wrapText="1"/>
    </xf>
    <xf numFmtId="0" fontId="6" fillId="7" borderId="0" xfId="0" applyFont="1" applyFill="1" applyAlignment="1">
      <alignment horizontal="left" vertical="center"/>
    </xf>
    <xf numFmtId="170" fontId="0" fillId="0" borderId="0" xfId="2" applyNumberFormat="1" applyFont="1"/>
    <xf numFmtId="0" fontId="0" fillId="8" borderId="19" xfId="0" applyFill="1" applyBorder="1"/>
    <xf numFmtId="166" fontId="0" fillId="8" borderId="20" xfId="0" applyNumberFormat="1" applyFill="1" applyBorder="1"/>
    <xf numFmtId="0" fontId="0" fillId="8" borderId="21" xfId="0" applyFill="1" applyBorder="1"/>
    <xf numFmtId="170" fontId="0" fillId="8" borderId="22" xfId="2" applyNumberFormat="1" applyFont="1" applyFill="1" applyBorder="1"/>
    <xf numFmtId="0" fontId="0" fillId="8" borderId="23" xfId="0" applyFill="1" applyBorder="1"/>
    <xf numFmtId="166" fontId="0" fillId="8" borderId="24" xfId="0" applyNumberFormat="1" applyFill="1" applyBorder="1"/>
    <xf numFmtId="169" fontId="0" fillId="5" borderId="5" xfId="0" applyNumberFormat="1" applyFill="1" applyBorder="1"/>
    <xf numFmtId="171" fontId="0" fillId="0" borderId="0" xfId="0" applyNumberFormat="1"/>
    <xf numFmtId="169" fontId="0" fillId="7" borderId="13" xfId="0" applyNumberFormat="1" applyFill="1" applyBorder="1"/>
    <xf numFmtId="10" fontId="0" fillId="0" borderId="0" xfId="0" applyNumberFormat="1"/>
  </cellXfs>
  <cellStyles count="6">
    <cellStyle name="Moeda 2" xfId="3"/>
    <cellStyle name="Normal" xfId="0" builtinId="0"/>
    <cellStyle name="Normal 2" xfId="4"/>
    <cellStyle name="Porcentagem" xfId="2" builtinId="5"/>
    <cellStyle name="Porcentagem 2" xf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599390</xdr:colOff>
      <xdr:row>28</xdr:row>
      <xdr:rowOff>189809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6190" cy="5523809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2</xdr:row>
      <xdr:rowOff>57150</xdr:rowOff>
    </xdr:from>
    <xdr:to>
      <xdr:col>23</xdr:col>
      <xdr:colOff>75134</xdr:colOff>
      <xdr:row>15</xdr:row>
      <xdr:rowOff>9221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72125" y="438150"/>
          <a:ext cx="8523809" cy="24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580343</xdr:colOff>
      <xdr:row>28</xdr:row>
      <xdr:rowOff>189809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57143" cy="5523809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3</xdr:row>
      <xdr:rowOff>180975</xdr:rowOff>
    </xdr:from>
    <xdr:to>
      <xdr:col>23</xdr:col>
      <xdr:colOff>113231</xdr:colOff>
      <xdr:row>16</xdr:row>
      <xdr:rowOff>142570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650" y="752475"/>
          <a:ext cx="8552381" cy="2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javascript:__doPostBack('ddlFundos$_ctl127$Linkbutton4','')" TargetMode="External"/><Relationship Id="rId1" Type="http://schemas.openxmlformats.org/officeDocument/2006/relationships/hyperlink" Target="javascript:__doPostBack('ddlFundos$_ctl157$Linkbutton4','')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showGridLines="0" tabSelected="1" topLeftCell="A37" zoomScaleNormal="100" workbookViewId="0">
      <selection activeCell="E46" sqref="E46"/>
    </sheetView>
  </sheetViews>
  <sheetFormatPr defaultRowHeight="14.5" x14ac:dyDescent="0.35"/>
  <cols>
    <col min="2" max="4" width="26.1796875" customWidth="1"/>
    <col min="5" max="5" width="12.7265625" customWidth="1"/>
    <col min="6" max="6" width="21.453125" customWidth="1"/>
    <col min="7" max="11" width="24.1796875" customWidth="1"/>
  </cols>
  <sheetData>
    <row r="1" spans="1:11" ht="45" customHeight="1" x14ac:dyDescent="0.35">
      <c r="A1" s="5"/>
      <c r="B1" s="6" t="s">
        <v>3</v>
      </c>
      <c r="C1" s="6" t="s">
        <v>4</v>
      </c>
      <c r="D1" s="6" t="s">
        <v>5</v>
      </c>
      <c r="E1" s="6" t="s">
        <v>6</v>
      </c>
      <c r="F1" s="8" t="s">
        <v>7</v>
      </c>
      <c r="G1" s="49" t="s">
        <v>29</v>
      </c>
      <c r="H1" s="49"/>
      <c r="I1" s="49"/>
      <c r="J1" s="49"/>
      <c r="K1" s="49"/>
    </row>
    <row r="2" spans="1:11" ht="34" customHeight="1" x14ac:dyDescent="0.35">
      <c r="A2" s="47" t="s">
        <v>0</v>
      </c>
      <c r="B2" s="4" t="s">
        <v>1</v>
      </c>
      <c r="C2" s="4" t="s">
        <v>1</v>
      </c>
      <c r="D2" s="4" t="s">
        <v>1</v>
      </c>
      <c r="E2" s="4" t="s">
        <v>1</v>
      </c>
      <c r="F2" s="9" t="s">
        <v>1</v>
      </c>
      <c r="G2" s="50" t="s">
        <v>3</v>
      </c>
      <c r="H2" s="50" t="s">
        <v>4</v>
      </c>
      <c r="I2" s="50" t="s">
        <v>5</v>
      </c>
      <c r="J2" s="50" t="s">
        <v>6</v>
      </c>
      <c r="K2" s="50" t="s">
        <v>7</v>
      </c>
    </row>
    <row r="3" spans="1:11" ht="34" customHeight="1" x14ac:dyDescent="0.35">
      <c r="A3" s="48"/>
      <c r="B3" s="1" t="s">
        <v>2</v>
      </c>
      <c r="C3" s="1" t="s">
        <v>2</v>
      </c>
      <c r="D3" s="1" t="s">
        <v>2</v>
      </c>
      <c r="E3" s="1" t="s">
        <v>2</v>
      </c>
      <c r="F3" s="10" t="s">
        <v>2</v>
      </c>
      <c r="G3" s="51"/>
      <c r="H3" s="51"/>
      <c r="I3" s="51"/>
      <c r="J3" s="51"/>
      <c r="K3" s="51"/>
    </row>
    <row r="4" spans="1:11" x14ac:dyDescent="0.35">
      <c r="A4" s="2">
        <v>1</v>
      </c>
      <c r="B4" s="2">
        <v>211.08392760000001</v>
      </c>
      <c r="C4" s="2">
        <v>14.1806204</v>
      </c>
      <c r="D4" s="2">
        <v>11.2826156</v>
      </c>
      <c r="E4" s="2">
        <v>17.879615999999999</v>
      </c>
      <c r="F4" s="11">
        <v>7.4533880000000003</v>
      </c>
      <c r="G4" s="13"/>
      <c r="H4" s="13"/>
      <c r="I4" s="13"/>
      <c r="J4" s="13"/>
      <c r="K4" s="13"/>
    </row>
    <row r="5" spans="1:11" x14ac:dyDescent="0.35">
      <c r="A5" s="3">
        <v>2</v>
      </c>
      <c r="B5" s="3">
        <v>211.160077</v>
      </c>
      <c r="C5" s="3">
        <v>14.204073599999999</v>
      </c>
      <c r="D5" s="3">
        <v>11.310571599999999</v>
      </c>
      <c r="E5" s="3">
        <v>17.873165199999999</v>
      </c>
      <c r="F5" s="12">
        <v>7.5019206000000001</v>
      </c>
      <c r="G5" s="14">
        <f>LN(B5/B4)</f>
        <v>3.6068908022842604E-4</v>
      </c>
      <c r="H5" s="14">
        <f t="shared" ref="H5:K20" si="0">LN(C5/C4)</f>
        <v>1.6525247964440572E-3</v>
      </c>
      <c r="I5" s="14">
        <f t="shared" si="0"/>
        <v>2.4747295740147049E-3</v>
      </c>
      <c r="J5" s="14">
        <f t="shared" si="0"/>
        <v>-3.6085584692916638E-4</v>
      </c>
      <c r="K5" s="14">
        <f t="shared" si="0"/>
        <v>6.4903736415476577E-3</v>
      </c>
    </row>
    <row r="6" spans="1:11" x14ac:dyDescent="0.35">
      <c r="A6" s="2">
        <v>3</v>
      </c>
      <c r="B6" s="2">
        <v>211.23791080000001</v>
      </c>
      <c r="C6" s="2">
        <v>14.1935612</v>
      </c>
      <c r="D6" s="2">
        <v>11.279922900000001</v>
      </c>
      <c r="E6" s="2">
        <v>17.890573499999999</v>
      </c>
      <c r="F6" s="11">
        <v>7.4718444999999996</v>
      </c>
      <c r="G6" s="14">
        <f t="shared" ref="G6:K26" si="1">LN(B6/B5)</f>
        <v>3.6853300976334111E-4</v>
      </c>
      <c r="H6" s="14">
        <f t="shared" si="0"/>
        <v>-7.403715523659057E-4</v>
      </c>
      <c r="I6" s="14">
        <f t="shared" si="0"/>
        <v>-2.7134172565006303E-3</v>
      </c>
      <c r="J6" s="14">
        <f t="shared" si="0"/>
        <v>9.7351686415657833E-4</v>
      </c>
      <c r="K6" s="14">
        <f t="shared" si="0"/>
        <v>-4.0171780772263717E-3</v>
      </c>
    </row>
    <row r="7" spans="1:11" x14ac:dyDescent="0.35">
      <c r="A7" s="3">
        <v>4</v>
      </c>
      <c r="B7" s="3">
        <v>211.30250749999999</v>
      </c>
      <c r="C7" s="3">
        <v>14.1982809</v>
      </c>
      <c r="D7" s="3">
        <v>11.296889500000001</v>
      </c>
      <c r="E7" s="3">
        <v>17.921296399999999</v>
      </c>
      <c r="F7" s="12">
        <v>7.4742989</v>
      </c>
      <c r="G7" s="14">
        <f t="shared" si="1"/>
        <v>3.0575394781456807E-4</v>
      </c>
      <c r="H7" s="14">
        <f t="shared" si="0"/>
        <v>3.3246874414507573E-4</v>
      </c>
      <c r="I7" s="14">
        <f t="shared" si="0"/>
        <v>1.5030113989008545E-3</v>
      </c>
      <c r="J7" s="14">
        <f t="shared" si="0"/>
        <v>1.7157946581965841E-3</v>
      </c>
      <c r="K7" s="14">
        <f t="shared" si="0"/>
        <v>3.2843255365293153E-4</v>
      </c>
    </row>
    <row r="8" spans="1:11" x14ac:dyDescent="0.35">
      <c r="A8" s="2">
        <v>7</v>
      </c>
      <c r="B8" s="2">
        <v>211.35881449999999</v>
      </c>
      <c r="C8" s="2">
        <v>14.225200299999999</v>
      </c>
      <c r="D8" s="2">
        <v>11.3476249</v>
      </c>
      <c r="E8" s="2">
        <v>17.902995600000001</v>
      </c>
      <c r="F8" s="11">
        <v>7.5866964000000001</v>
      </c>
      <c r="G8" s="14">
        <f t="shared" si="1"/>
        <v>2.6644027926041905E-4</v>
      </c>
      <c r="H8" s="14">
        <f t="shared" si="0"/>
        <v>1.8941668586748234E-3</v>
      </c>
      <c r="I8" s="14">
        <f t="shared" si="0"/>
        <v>4.481039778535657E-3</v>
      </c>
      <c r="J8" s="14">
        <f t="shared" si="0"/>
        <v>-1.021697879861188E-3</v>
      </c>
      <c r="K8" s="14">
        <f t="shared" si="0"/>
        <v>1.4925917502950555E-2</v>
      </c>
    </row>
    <row r="9" spans="1:11" x14ac:dyDescent="0.35">
      <c r="A9" s="3">
        <v>8</v>
      </c>
      <c r="B9" s="3">
        <v>211.42245070000001</v>
      </c>
      <c r="C9" s="3">
        <v>14.2392293</v>
      </c>
      <c r="D9" s="3">
        <v>11.3837163</v>
      </c>
      <c r="E9" s="3">
        <v>17.905800899999999</v>
      </c>
      <c r="F9" s="12">
        <v>7.5817772999999997</v>
      </c>
      <c r="G9" s="14">
        <f t="shared" si="1"/>
        <v>3.0103604733046195E-4</v>
      </c>
      <c r="H9" s="14">
        <f t="shared" si="0"/>
        <v>9.8572157131408865E-4</v>
      </c>
      <c r="I9" s="14">
        <f t="shared" si="0"/>
        <v>3.1754774177398387E-3</v>
      </c>
      <c r="J9" s="14">
        <f t="shared" si="0"/>
        <v>1.5668217197624011E-4</v>
      </c>
      <c r="K9" s="14">
        <f t="shared" si="0"/>
        <v>-6.4859527329321116E-4</v>
      </c>
    </row>
    <row r="10" spans="1:11" x14ac:dyDescent="0.35">
      <c r="A10" s="2">
        <v>9</v>
      </c>
      <c r="B10" s="2">
        <v>211.4775827</v>
      </c>
      <c r="C10" s="2">
        <v>14.238149999999999</v>
      </c>
      <c r="D10" s="2">
        <v>11.3846963</v>
      </c>
      <c r="E10" s="2">
        <v>18.063689799999999</v>
      </c>
      <c r="F10" s="11">
        <v>7.5676554999999999</v>
      </c>
      <c r="G10" s="14">
        <f t="shared" si="1"/>
        <v>2.6073301469889805E-4</v>
      </c>
      <c r="H10" s="14">
        <f t="shared" si="0"/>
        <v>-7.5800514446733056E-5</v>
      </c>
      <c r="I10" s="14">
        <f t="shared" si="0"/>
        <v>8.6084174406194251E-5</v>
      </c>
      <c r="J10" s="14">
        <f t="shared" si="0"/>
        <v>8.7791020112936817E-3</v>
      </c>
      <c r="K10" s="14">
        <f t="shared" si="0"/>
        <v>-1.8643343650874345E-3</v>
      </c>
    </row>
    <row r="11" spans="1:11" x14ac:dyDescent="0.35">
      <c r="A11" s="3">
        <v>10</v>
      </c>
      <c r="B11" s="3">
        <v>211.52779330000001</v>
      </c>
      <c r="C11" s="3">
        <v>14.220434900000001</v>
      </c>
      <c r="D11" s="3">
        <v>11.359870799999999</v>
      </c>
      <c r="E11" s="3">
        <v>18.1459774</v>
      </c>
      <c r="F11" s="12">
        <v>7.4920964000000003</v>
      </c>
      <c r="G11" s="14">
        <f t="shared" si="1"/>
        <v>2.3739934802082376E-4</v>
      </c>
      <c r="H11" s="14">
        <f t="shared" si="0"/>
        <v>-1.2449742213388021E-3</v>
      </c>
      <c r="I11" s="14">
        <f t="shared" si="0"/>
        <v>-2.1829837208602364E-3</v>
      </c>
      <c r="J11" s="14">
        <f t="shared" si="0"/>
        <v>4.5450703096079842E-3</v>
      </c>
      <c r="K11" s="14">
        <f t="shared" si="0"/>
        <v>-1.0034658543117102E-2</v>
      </c>
    </row>
    <row r="12" spans="1:11" x14ac:dyDescent="0.35">
      <c r="A12" s="2">
        <v>11</v>
      </c>
      <c r="B12" s="2">
        <v>211.5956324</v>
      </c>
      <c r="C12" s="2">
        <v>14.2249777</v>
      </c>
      <c r="D12" s="2">
        <v>11.354042700000001</v>
      </c>
      <c r="E12" s="2">
        <v>18.155852299999999</v>
      </c>
      <c r="F12" s="11">
        <v>7.5383785000000003</v>
      </c>
      <c r="G12" s="14">
        <f t="shared" si="1"/>
        <v>3.2065868472786537E-4</v>
      </c>
      <c r="H12" s="14">
        <f t="shared" si="0"/>
        <v>3.1940475622567265E-4</v>
      </c>
      <c r="I12" s="14">
        <f t="shared" si="0"/>
        <v>-5.1317445828083519E-4</v>
      </c>
      <c r="J12" s="14">
        <f t="shared" si="0"/>
        <v>5.4404421623779789E-4</v>
      </c>
      <c r="K12" s="14">
        <f t="shared" si="0"/>
        <v>6.1584542849860884E-3</v>
      </c>
    </row>
    <row r="13" spans="1:11" x14ac:dyDescent="0.35">
      <c r="A13" s="3">
        <v>14</v>
      </c>
      <c r="B13" s="3">
        <v>211.67016839999999</v>
      </c>
      <c r="C13" s="3">
        <v>14.268290800000001</v>
      </c>
      <c r="D13" s="3">
        <v>11.4534383</v>
      </c>
      <c r="E13" s="3">
        <v>18.268084500000001</v>
      </c>
      <c r="F13" s="12">
        <v>7.6324522000000004</v>
      </c>
      <c r="G13" s="14">
        <f t="shared" si="1"/>
        <v>3.5219477042352886E-4</v>
      </c>
      <c r="H13" s="14">
        <f t="shared" si="0"/>
        <v>3.0402362131281904E-3</v>
      </c>
      <c r="I13" s="14">
        <f t="shared" si="0"/>
        <v>8.7161076017632615E-3</v>
      </c>
      <c r="J13" s="14">
        <f t="shared" si="0"/>
        <v>6.1625713774742154E-3</v>
      </c>
      <c r="K13" s="14">
        <f t="shared" si="0"/>
        <v>1.240207707260761E-2</v>
      </c>
    </row>
    <row r="14" spans="1:11" x14ac:dyDescent="0.35">
      <c r="A14" s="2">
        <v>15</v>
      </c>
      <c r="B14" s="2">
        <v>211.78371949999999</v>
      </c>
      <c r="C14" s="2">
        <v>14.2795737</v>
      </c>
      <c r="D14" s="2">
        <v>11.4610463</v>
      </c>
      <c r="E14" s="2">
        <v>18.294431299999999</v>
      </c>
      <c r="F14" s="11">
        <v>7.6384100000000004</v>
      </c>
      <c r="G14" s="14">
        <f t="shared" si="1"/>
        <v>5.3630917540910771E-4</v>
      </c>
      <c r="H14" s="14">
        <f t="shared" si="0"/>
        <v>7.9045496292587543E-4</v>
      </c>
      <c r="I14" s="14">
        <f t="shared" si="0"/>
        <v>6.6403416113111245E-4</v>
      </c>
      <c r="J14" s="14">
        <f t="shared" si="0"/>
        <v>1.4411921052909533E-3</v>
      </c>
      <c r="K14" s="14">
        <f t="shared" si="0"/>
        <v>7.8028342136172231E-4</v>
      </c>
    </row>
    <row r="15" spans="1:11" x14ac:dyDescent="0.35">
      <c r="A15" s="3">
        <v>16</v>
      </c>
      <c r="B15" s="3">
        <v>211.85357830000001</v>
      </c>
      <c r="C15" s="3">
        <v>14.2770244</v>
      </c>
      <c r="D15" s="3">
        <v>11.459513400000001</v>
      </c>
      <c r="E15" s="3">
        <v>18.095556699999999</v>
      </c>
      <c r="F15" s="12">
        <v>7.6508998000000004</v>
      </c>
      <c r="G15" s="14">
        <f t="shared" si="1"/>
        <v>3.2980476929684482E-4</v>
      </c>
      <c r="H15" s="14">
        <f t="shared" si="0"/>
        <v>-1.7854367651531239E-4</v>
      </c>
      <c r="I15" s="14">
        <f t="shared" si="0"/>
        <v>-1.3375764137943733E-4</v>
      </c>
      <c r="J15" s="14">
        <f t="shared" si="0"/>
        <v>-1.093029104485272E-2</v>
      </c>
      <c r="K15" s="14">
        <f t="shared" si="0"/>
        <v>1.6337955004665664E-3</v>
      </c>
    </row>
    <row r="16" spans="1:11" x14ac:dyDescent="0.35">
      <c r="A16" s="2">
        <v>17</v>
      </c>
      <c r="B16" s="2">
        <v>211.89763060000001</v>
      </c>
      <c r="C16" s="2">
        <v>14.2651167</v>
      </c>
      <c r="D16" s="2">
        <v>11.4346768</v>
      </c>
      <c r="E16" s="2">
        <v>18.210505000000001</v>
      </c>
      <c r="F16" s="11">
        <v>7.5797638999999997</v>
      </c>
      <c r="G16" s="14">
        <f t="shared" si="1"/>
        <v>2.0791586777078923E-4</v>
      </c>
      <c r="H16" s="14">
        <f t="shared" si="0"/>
        <v>-8.3439435388812759E-4</v>
      </c>
      <c r="I16" s="14">
        <f t="shared" si="0"/>
        <v>-2.1696866782625526E-3</v>
      </c>
      <c r="J16" s="14">
        <f t="shared" si="0"/>
        <v>6.3322034230991579E-3</v>
      </c>
      <c r="K16" s="14">
        <f t="shared" si="0"/>
        <v>-9.3412104247569318E-3</v>
      </c>
    </row>
    <row r="17" spans="1:11" x14ac:dyDescent="0.35">
      <c r="A17" s="3">
        <v>18</v>
      </c>
      <c r="B17" s="3">
        <v>211.97935889999999</v>
      </c>
      <c r="C17" s="3">
        <v>14.2712614</v>
      </c>
      <c r="D17" s="3">
        <v>11.4873615</v>
      </c>
      <c r="E17" s="3">
        <v>18.0536615</v>
      </c>
      <c r="F17" s="12">
        <v>7.6410216999999996</v>
      </c>
      <c r="G17" s="14">
        <f t="shared" si="1"/>
        <v>3.8562273035480378E-4</v>
      </c>
      <c r="H17" s="14">
        <f t="shared" si="0"/>
        <v>4.3065732262432708E-4</v>
      </c>
      <c r="I17" s="14">
        <f t="shared" si="0"/>
        <v>4.5968680520172998E-3</v>
      </c>
      <c r="J17" s="14">
        <f t="shared" si="0"/>
        <v>-8.6501079778075526E-3</v>
      </c>
      <c r="K17" s="14">
        <f t="shared" si="0"/>
        <v>8.0492731918900291E-3</v>
      </c>
    </row>
    <row r="18" spans="1:11" x14ac:dyDescent="0.35">
      <c r="A18" s="2">
        <v>21</v>
      </c>
      <c r="B18" s="2">
        <v>212.0343488</v>
      </c>
      <c r="C18" s="2">
        <v>14.2563996</v>
      </c>
      <c r="D18" s="2">
        <v>11.4557538</v>
      </c>
      <c r="E18" s="2">
        <v>18.166643799999999</v>
      </c>
      <c r="F18" s="11">
        <v>7.6368900000000002</v>
      </c>
      <c r="G18" s="14">
        <f t="shared" si="1"/>
        <v>2.593779366547829E-4</v>
      </c>
      <c r="H18" s="14">
        <f t="shared" si="0"/>
        <v>-1.0419221782326073E-3</v>
      </c>
      <c r="I18" s="14">
        <f t="shared" si="0"/>
        <v>-2.7553119603127129E-3</v>
      </c>
      <c r="J18" s="14">
        <f t="shared" si="0"/>
        <v>6.2386368921400976E-3</v>
      </c>
      <c r="K18" s="14">
        <f t="shared" si="0"/>
        <v>-5.4087236290606107E-4</v>
      </c>
    </row>
    <row r="19" spans="1:11" x14ac:dyDescent="0.35">
      <c r="A19" s="3">
        <v>22</v>
      </c>
      <c r="B19" s="3">
        <v>212.10582539999999</v>
      </c>
      <c r="C19" s="3">
        <v>14.296901699999999</v>
      </c>
      <c r="D19" s="3">
        <v>11.5576791</v>
      </c>
      <c r="E19" s="3">
        <v>18.149445400000001</v>
      </c>
      <c r="F19" s="12">
        <v>7.7749211000000003</v>
      </c>
      <c r="G19" s="14">
        <f t="shared" si="1"/>
        <v>3.3704235073425752E-4</v>
      </c>
      <c r="H19" s="14">
        <f t="shared" si="0"/>
        <v>2.8369488164470664E-3</v>
      </c>
      <c r="I19" s="14">
        <f t="shared" si="0"/>
        <v>8.857954125495112E-3</v>
      </c>
      <c r="J19" s="14">
        <f t="shared" si="0"/>
        <v>-9.4715051452803813E-4</v>
      </c>
      <c r="K19" s="14">
        <f t="shared" si="0"/>
        <v>1.7912857862932809E-2</v>
      </c>
    </row>
    <row r="20" spans="1:11" x14ac:dyDescent="0.35">
      <c r="A20" s="2">
        <v>23</v>
      </c>
      <c r="B20" s="2">
        <v>212.1851748</v>
      </c>
      <c r="C20" s="2">
        <v>14.315431500000001</v>
      </c>
      <c r="D20" s="2">
        <v>11.584467800000001</v>
      </c>
      <c r="E20" s="2">
        <v>18.0100677</v>
      </c>
      <c r="F20" s="11">
        <v>7.8271645000000003</v>
      </c>
      <c r="G20" s="14">
        <f t="shared" si="1"/>
        <v>3.7403292027261262E-4</v>
      </c>
      <c r="H20" s="14">
        <f t="shared" si="0"/>
        <v>1.2952318471186994E-3</v>
      </c>
      <c r="I20" s="14">
        <f t="shared" si="0"/>
        <v>2.3151449242063867E-3</v>
      </c>
      <c r="J20" s="14">
        <f t="shared" si="0"/>
        <v>-7.7090855666073566E-3</v>
      </c>
      <c r="K20" s="14">
        <f t="shared" si="0"/>
        <v>6.6970014904696026E-3</v>
      </c>
    </row>
    <row r="21" spans="1:11" x14ac:dyDescent="0.35">
      <c r="A21" s="3">
        <v>24</v>
      </c>
      <c r="B21" s="3">
        <v>212.26128199999999</v>
      </c>
      <c r="C21" s="3">
        <v>14.3182542</v>
      </c>
      <c r="D21" s="3">
        <v>11.588188300000001</v>
      </c>
      <c r="E21" s="3">
        <v>18.037452800000001</v>
      </c>
      <c r="F21" s="12">
        <v>7.9053893000000004</v>
      </c>
      <c r="G21" s="14">
        <f t="shared" si="1"/>
        <v>3.5861861771426949E-4</v>
      </c>
      <c r="H21" s="14">
        <f t="shared" si="1"/>
        <v>1.9715939042693555E-4</v>
      </c>
      <c r="I21" s="14">
        <f t="shared" si="1"/>
        <v>3.2111122832987737E-4</v>
      </c>
      <c r="J21" s="14">
        <f t="shared" si="1"/>
        <v>1.5193891223839288E-3</v>
      </c>
      <c r="K21" s="14">
        <f t="shared" si="1"/>
        <v>9.9444051663450817E-3</v>
      </c>
    </row>
    <row r="22" spans="1:11" x14ac:dyDescent="0.35">
      <c r="A22" s="2">
        <v>25</v>
      </c>
      <c r="B22" s="2">
        <v>212.32796540000001</v>
      </c>
      <c r="C22" s="2">
        <v>14.3266556</v>
      </c>
      <c r="D22" s="2">
        <v>11.5891701</v>
      </c>
      <c r="E22" s="2">
        <v>18.0988553</v>
      </c>
      <c r="F22" s="11">
        <v>7.9001514000000004</v>
      </c>
      <c r="G22" s="14">
        <f t="shared" si="1"/>
        <v>3.1410781576139029E-4</v>
      </c>
      <c r="H22" s="14">
        <f t="shared" si="1"/>
        <v>5.8658940101829072E-4</v>
      </c>
      <c r="I22" s="14">
        <f t="shared" si="1"/>
        <v>8.472061256011071E-5</v>
      </c>
      <c r="J22" s="14">
        <f t="shared" si="1"/>
        <v>3.3983858519798281E-3</v>
      </c>
      <c r="K22" s="14">
        <f t="shared" si="1"/>
        <v>-6.6279291435416394E-4</v>
      </c>
    </row>
    <row r="23" spans="1:11" x14ac:dyDescent="0.35">
      <c r="A23" s="3">
        <v>28</v>
      </c>
      <c r="B23" s="3">
        <v>212.39538039999999</v>
      </c>
      <c r="C23" s="3">
        <v>14.330480400000001</v>
      </c>
      <c r="D23" s="3">
        <v>11.5576363</v>
      </c>
      <c r="E23" s="3">
        <v>18.120036800000001</v>
      </c>
      <c r="F23" s="12">
        <v>7.9010905999999999</v>
      </c>
      <c r="G23" s="14">
        <f t="shared" si="1"/>
        <v>3.1745370831532223E-4</v>
      </c>
      <c r="H23" s="14">
        <f t="shared" si="1"/>
        <v>2.6693525987465049E-4</v>
      </c>
      <c r="I23" s="14">
        <f t="shared" si="1"/>
        <v>-2.7246799375826762E-3</v>
      </c>
      <c r="J23" s="14">
        <f t="shared" si="1"/>
        <v>1.1696383399196898E-3</v>
      </c>
      <c r="K23" s="14">
        <f t="shared" si="1"/>
        <v>1.1887673147542102E-4</v>
      </c>
    </row>
    <row r="24" spans="1:11" x14ac:dyDescent="0.35">
      <c r="A24" s="2">
        <v>29</v>
      </c>
      <c r="B24" s="2">
        <v>212.47554199999999</v>
      </c>
      <c r="C24" s="2">
        <v>14.340684100000001</v>
      </c>
      <c r="D24" s="2">
        <v>11.509477800000001</v>
      </c>
      <c r="E24" s="2">
        <v>18.155224100000002</v>
      </c>
      <c r="F24" s="11">
        <v>7.9328697000000004</v>
      </c>
      <c r="G24" s="14">
        <f t="shared" si="1"/>
        <v>3.7734566770702044E-4</v>
      </c>
      <c r="H24" s="14">
        <f t="shared" si="1"/>
        <v>7.1177439833563366E-4</v>
      </c>
      <c r="I24" s="14">
        <f t="shared" si="1"/>
        <v>-4.1755175581372535E-3</v>
      </c>
      <c r="J24" s="14">
        <f t="shared" si="1"/>
        <v>1.9400169792358176E-3</v>
      </c>
      <c r="K24" s="14">
        <f t="shared" si="1"/>
        <v>4.0140485473212596E-3</v>
      </c>
    </row>
    <row r="25" spans="1:11" x14ac:dyDescent="0.35">
      <c r="A25" s="3">
        <v>30</v>
      </c>
      <c r="B25" s="3">
        <v>212.55077489999999</v>
      </c>
      <c r="C25" s="3">
        <v>14.334314900000001</v>
      </c>
      <c r="D25" s="3">
        <v>11.527424999999999</v>
      </c>
      <c r="E25" s="3">
        <v>18.142572999999999</v>
      </c>
      <c r="F25" s="12">
        <v>7.8888911999999998</v>
      </c>
      <c r="G25" s="14">
        <f t="shared" si="1"/>
        <v>3.5401525879353993E-4</v>
      </c>
      <c r="H25" s="14">
        <f t="shared" si="1"/>
        <v>-4.4423367580536744E-4</v>
      </c>
      <c r="I25" s="14">
        <f t="shared" si="1"/>
        <v>1.5581264362459215E-3</v>
      </c>
      <c r="J25" s="14">
        <f t="shared" si="1"/>
        <v>-6.9707263377031387E-4</v>
      </c>
      <c r="K25" s="14">
        <f t="shared" si="1"/>
        <v>-5.5592564622970915E-3</v>
      </c>
    </row>
    <row r="26" spans="1:11" x14ac:dyDescent="0.35">
      <c r="A26" s="2">
        <v>31</v>
      </c>
      <c r="B26" s="2">
        <v>212.6325593</v>
      </c>
      <c r="C26" s="2">
        <v>14.333233</v>
      </c>
      <c r="D26" s="2">
        <v>11.525973199999999</v>
      </c>
      <c r="E26" s="2">
        <v>18.068180099999999</v>
      </c>
      <c r="F26" s="11">
        <v>7.8896820999999999</v>
      </c>
      <c r="G26" s="14">
        <f>LN(B26/B25)</f>
        <v>3.8470181886376221E-4</v>
      </c>
      <c r="H26" s="14">
        <f t="shared" si="1"/>
        <v>-7.5479075105343331E-5</v>
      </c>
      <c r="I26" s="14">
        <f t="shared" si="1"/>
        <v>-1.2595106277378716E-4</v>
      </c>
      <c r="J26" s="14">
        <f t="shared" si="1"/>
        <v>-4.1088902215872759E-3</v>
      </c>
      <c r="K26" s="14">
        <f t="shared" si="1"/>
        <v>1.0024987502028668E-4</v>
      </c>
    </row>
    <row r="27" spans="1:11" ht="15" thickBot="1" x14ac:dyDescent="0.4"/>
    <row r="28" spans="1:11" x14ac:dyDescent="0.35">
      <c r="F28" s="32" t="s">
        <v>30</v>
      </c>
      <c r="G28" s="29">
        <f>AVERAGE(G5:G26)</f>
        <v>3.32263037268947E-4</v>
      </c>
      <c r="H28" s="29">
        <f t="shared" ref="H28:K28" si="2">AVERAGE(H5:H26)</f>
        <v>4.8657068595478123E-4</v>
      </c>
      <c r="I28" s="29">
        <f t="shared" si="2"/>
        <v>9.6999678232982775E-4</v>
      </c>
      <c r="J28" s="29">
        <f t="shared" si="2"/>
        <v>4.7686784713858824E-4</v>
      </c>
      <c r="K28" s="30">
        <f>AVERAGE(K5:K26)</f>
        <v>2.5857794736358752E-3</v>
      </c>
    </row>
    <row r="29" spans="1:11" ht="15" thickBot="1" x14ac:dyDescent="0.4">
      <c r="B29" s="37"/>
      <c r="C29" s="37"/>
      <c r="D29" s="37"/>
      <c r="F29" s="33" t="s">
        <v>31</v>
      </c>
      <c r="G29" s="31">
        <f>_xlfn.STDEV.S(G5:G26)</f>
        <v>6.7721686384240173E-5</v>
      </c>
      <c r="H29" s="31">
        <f t="shared" ref="H29:K29" si="3">_xlfn.STDEV.S(H5:H26)</f>
        <v>1.1371442424930888E-3</v>
      </c>
      <c r="I29" s="31">
        <f t="shared" si="3"/>
        <v>3.4595738934725842E-3</v>
      </c>
      <c r="J29" s="31">
        <f t="shared" si="3"/>
        <v>4.9191866787280285E-3</v>
      </c>
      <c r="K29" s="31">
        <f t="shared" si="3"/>
        <v>7.2312067552484597E-3</v>
      </c>
    </row>
    <row r="30" spans="1:11" x14ac:dyDescent="0.35">
      <c r="B30" s="37" t="s">
        <v>32</v>
      </c>
      <c r="C30" s="37"/>
      <c r="D30" s="37"/>
      <c r="E30" s="15"/>
      <c r="F30" s="16"/>
      <c r="G30" s="7"/>
      <c r="H30" s="7"/>
      <c r="I30" s="7"/>
      <c r="J30" s="7"/>
      <c r="K30" s="7"/>
    </row>
    <row r="31" spans="1:11" x14ac:dyDescent="0.35">
      <c r="B31" s="52" t="s">
        <v>23</v>
      </c>
      <c r="C31" s="52"/>
      <c r="D31" s="37"/>
      <c r="E31" s="46"/>
      <c r="F31" s="46"/>
      <c r="G31" s="36" t="s">
        <v>8</v>
      </c>
      <c r="H31" s="36" t="s">
        <v>9</v>
      </c>
      <c r="I31" s="36" t="s">
        <v>10</v>
      </c>
      <c r="J31" s="36" t="s">
        <v>11</v>
      </c>
      <c r="K31" s="36" t="s">
        <v>12</v>
      </c>
    </row>
    <row r="32" spans="1:11" x14ac:dyDescent="0.35">
      <c r="B32" s="38" t="s">
        <v>24</v>
      </c>
      <c r="C32" s="38"/>
      <c r="D32" s="39"/>
      <c r="E32" s="17" t="s">
        <v>13</v>
      </c>
      <c r="F32" s="36" t="s">
        <v>8</v>
      </c>
      <c r="G32" s="35">
        <f>_xlfn.COVARIANCE.S($G$5:$G$26,G$5:G$26)</f>
        <v>4.5862268067253812E-9</v>
      </c>
      <c r="H32" s="35">
        <f>_xlfn.COVARIANCE.S($H$5:$H$26,G$5:G$26)</f>
        <v>2.2732746239328012E-8</v>
      </c>
      <c r="I32" s="41">
        <f>_xlfn.COVARIANCE.S($I$5:$I$26,G$5:G$26)</f>
        <v>3.7888917470170651E-8</v>
      </c>
      <c r="J32" s="35">
        <f>_xlfn.COVARIANCE.S($J$5:$J$26,G$5:G$26)</f>
        <v>-1.3295658453080722E-7</v>
      </c>
      <c r="K32" s="35">
        <f>_xlfn.COVARIANCE.S($K$5:$K$26,G$5:G$26)</f>
        <v>1.3416982914922865E-7</v>
      </c>
    </row>
    <row r="33" spans="2:11" x14ac:dyDescent="0.35">
      <c r="B33" s="39"/>
      <c r="C33" s="39"/>
      <c r="D33" s="38"/>
      <c r="E33" s="17"/>
      <c r="F33" s="36" t="s">
        <v>9</v>
      </c>
      <c r="G33" s="35">
        <f>_xlfn.COVARIANCE.S($G$5:$G$26,H$5:H$26)</f>
        <v>2.2732746239328012E-8</v>
      </c>
      <c r="H33" s="35">
        <f>_xlfn.COVARIANCE.S($H$5:$H$26,H$5:H$26)</f>
        <v>1.2930970282351806E-6</v>
      </c>
      <c r="I33" s="35">
        <f>_xlfn.COVARIANCE.S($I$5:$I$26,H$5:H$26)</f>
        <v>3.2356183450957773E-6</v>
      </c>
      <c r="J33" s="35">
        <f>_xlfn.COVARIANCE.S($J$5:$J$26,H$5:H$26)</f>
        <v>-7.3957344072963607E-7</v>
      </c>
      <c r="K33" s="35">
        <f>_xlfn.COVARIANCE.S($K$5:$K$26,H$5:H$26)</f>
        <v>6.8872723714458755E-6</v>
      </c>
    </row>
    <row r="34" spans="2:11" x14ac:dyDescent="0.35">
      <c r="B34" s="38" t="s">
        <v>33</v>
      </c>
      <c r="C34" s="38"/>
      <c r="D34" s="39"/>
      <c r="E34" s="17"/>
      <c r="F34" s="36" t="s">
        <v>10</v>
      </c>
      <c r="G34" s="35">
        <f>_xlfn.COVARIANCE.S($G$5:$G$26,I$5:I$26)</f>
        <v>3.7888917470170651E-8</v>
      </c>
      <c r="H34" s="35">
        <f>_xlfn.COVARIANCE.S($H$5:$H$26,I$5:I$26)</f>
        <v>3.2356183450957773E-6</v>
      </c>
      <c r="I34" s="35">
        <f>_xlfn.COVARIANCE.S($I$5:$I$26,I$5:I$26)</f>
        <v>1.1968651524397055E-5</v>
      </c>
      <c r="J34" s="35">
        <f>_xlfn.COVARIANCE.S($J$5:$J$26,I$5:I$26)</f>
        <v>-3.6445150583066299E-6</v>
      </c>
      <c r="K34" s="35">
        <f>_xlfn.COVARIANCE.S($K$5:$K$26,I$5:I$26)</f>
        <v>1.7828307115630696E-5</v>
      </c>
    </row>
    <row r="35" spans="2:11" x14ac:dyDescent="0.35">
      <c r="B35" s="38" t="s">
        <v>34</v>
      </c>
      <c r="C35" s="39"/>
      <c r="D35" s="38"/>
      <c r="E35" s="17"/>
      <c r="F35" s="36" t="s">
        <v>11</v>
      </c>
      <c r="G35" s="35">
        <f>_xlfn.COVARIANCE.S($G$5:$G$26,J$5:J$26)</f>
        <v>-1.3295658453080722E-7</v>
      </c>
      <c r="H35" s="35">
        <f>_xlfn.COVARIANCE.S($H$5:$H$26,J$5:J$26)</f>
        <v>-7.3957344072963607E-7</v>
      </c>
      <c r="I35" s="35">
        <f>_xlfn.COVARIANCE.S($I$5:$I$26,J$5:J$26)</f>
        <v>-3.6445150583066299E-6</v>
      </c>
      <c r="J35" s="35">
        <f>_xlfn.COVARIANCE.S($J$5:$J$26,J$5:J$26)</f>
        <v>2.4198397580175279E-5</v>
      </c>
      <c r="K35" s="35">
        <f>_xlfn.COVARIANCE.S($K$5:$K$26,J$5:J$26)</f>
        <v>-1.0647480930714254E-5</v>
      </c>
    </row>
    <row r="36" spans="2:11" x14ac:dyDescent="0.35">
      <c r="B36" s="37"/>
      <c r="C36" s="38"/>
      <c r="D36" s="38"/>
      <c r="E36" s="17"/>
      <c r="F36" s="36" t="s">
        <v>12</v>
      </c>
      <c r="G36" s="35">
        <f>_xlfn.COVARIANCE.S($G$5:$G$26,K$5:K$26)</f>
        <v>1.3416982914922865E-7</v>
      </c>
      <c r="H36" s="35">
        <f>_xlfn.COVARIANCE.S($H$5:$H$26,K$5:K$26)</f>
        <v>6.8872723714458755E-6</v>
      </c>
      <c r="I36" s="35">
        <f>_xlfn.COVARIANCE.S($I$5:$I$26,K$5:K$26)</f>
        <v>1.7828307115630696E-5</v>
      </c>
      <c r="J36" s="35">
        <f>_xlfn.COVARIANCE.S($J$5:$J$26,K$5:K$26)</f>
        <v>-1.0647480930714254E-5</v>
      </c>
      <c r="K36" s="35">
        <f>_xlfn.COVARIANCE.S($K$5:$K$26,K$5:K$26)</f>
        <v>5.2290351137150954E-5</v>
      </c>
    </row>
    <row r="37" spans="2:11" x14ac:dyDescent="0.35">
      <c r="B37" s="37"/>
      <c r="C37" s="38"/>
      <c r="D37" s="38"/>
    </row>
    <row r="38" spans="2:11" x14ac:dyDescent="0.35">
      <c r="B38" s="37" t="s">
        <v>21</v>
      </c>
      <c r="C38" s="38" t="s">
        <v>26</v>
      </c>
      <c r="D38" s="38"/>
      <c r="F38" s="34" t="s">
        <v>14</v>
      </c>
      <c r="G38" s="62">
        <f>1-SUM(H38:K38)</f>
        <v>0.6</v>
      </c>
      <c r="H38" s="64">
        <v>0.1</v>
      </c>
      <c r="I38" s="43">
        <v>0.1</v>
      </c>
      <c r="J38" s="43">
        <v>0.1</v>
      </c>
      <c r="K38" s="44">
        <v>0.1</v>
      </c>
    </row>
    <row r="39" spans="2:11" x14ac:dyDescent="0.35">
      <c r="B39" s="37" t="s">
        <v>25</v>
      </c>
      <c r="C39" s="38" t="s">
        <v>27</v>
      </c>
      <c r="D39" s="38"/>
    </row>
    <row r="40" spans="2:11" x14ac:dyDescent="0.35">
      <c r="B40" s="37" t="s">
        <v>22</v>
      </c>
      <c r="C40" s="38" t="s">
        <v>28</v>
      </c>
      <c r="D40" s="37"/>
      <c r="F40" s="16" t="s">
        <v>15</v>
      </c>
      <c r="G40" s="18">
        <f t="array" ref="G40:G44">TRANSPOSE(G28:K28)</f>
        <v>3.32263037268947E-4</v>
      </c>
      <c r="J40" s="16" t="s">
        <v>16</v>
      </c>
      <c r="K40" s="26">
        <f t="array" ref="K40:K44">TRANSPOSE(G38:K38)</f>
        <v>0.6</v>
      </c>
    </row>
    <row r="41" spans="2:11" x14ac:dyDescent="0.35">
      <c r="B41" s="37"/>
      <c r="C41" s="37"/>
      <c r="D41" s="37"/>
      <c r="G41" s="19">
        <v>4.8657068595478123E-4</v>
      </c>
      <c r="K41" s="27">
        <v>0.1</v>
      </c>
    </row>
    <row r="42" spans="2:11" x14ac:dyDescent="0.35">
      <c r="G42" s="19">
        <v>9.6999678232982775E-4</v>
      </c>
      <c r="K42" s="27">
        <v>0.1</v>
      </c>
    </row>
    <row r="43" spans="2:11" x14ac:dyDescent="0.35">
      <c r="B43" s="45" t="s">
        <v>37</v>
      </c>
      <c r="C43" s="39"/>
      <c r="D43" s="45"/>
      <c r="G43" s="19">
        <v>4.7686784713858824E-4</v>
      </c>
      <c r="K43" s="27">
        <v>0.1</v>
      </c>
    </row>
    <row r="44" spans="2:11" x14ac:dyDescent="0.35">
      <c r="G44" s="20">
        <v>2.5857794736358752E-3</v>
      </c>
      <c r="K44" s="28">
        <v>0.1</v>
      </c>
    </row>
    <row r="45" spans="2:11" x14ac:dyDescent="0.35">
      <c r="B45" s="54" t="s">
        <v>40</v>
      </c>
      <c r="C45" s="53" t="s">
        <v>42</v>
      </c>
      <c r="D45" s="53"/>
    </row>
    <row r="46" spans="2:11" ht="26" customHeight="1" x14ac:dyDescent="0.35">
      <c r="B46" s="54"/>
      <c r="C46" s="53"/>
      <c r="D46" s="53"/>
      <c r="F46" s="16" t="s">
        <v>17</v>
      </c>
      <c r="G46" s="25">
        <f>MMULT(G38:K38,G40:G44)</f>
        <v>6.512793012672755E-4</v>
      </c>
      <c r="H46" s="25">
        <f>(1+G46)^21-1</f>
        <v>1.3766308410840367E-2</v>
      </c>
    </row>
    <row r="48" spans="2:11" x14ac:dyDescent="0.35">
      <c r="B48" s="54" t="s">
        <v>41</v>
      </c>
      <c r="C48" s="53" t="s">
        <v>35</v>
      </c>
      <c r="D48" s="53"/>
      <c r="F48" s="16" t="s">
        <v>18</v>
      </c>
      <c r="G48" s="40">
        <f t="array" ref="G48:K48">MMULT(G38:K38,G32:K36)</f>
        <v>8.9352269168272391E-9</v>
      </c>
      <c r="H48" s="40">
        <v>1.0812810781483166E-6</v>
      </c>
      <c r="I48" s="40">
        <v>2.9615395431637924E-6</v>
      </c>
      <c r="J48" s="40">
        <v>8.3690886432399196E-7</v>
      </c>
      <c r="K48" s="41">
        <v>6.7163468668408648E-6</v>
      </c>
    </row>
    <row r="49" spans="2:8" ht="14.5" customHeight="1" x14ac:dyDescent="0.35">
      <c r="B49" s="54"/>
      <c r="C49" s="53"/>
      <c r="D49" s="53"/>
    </row>
    <row r="50" spans="2:8" x14ac:dyDescent="0.35">
      <c r="B50" s="54"/>
      <c r="C50" s="53"/>
      <c r="D50" s="53"/>
      <c r="E50" s="21"/>
      <c r="F50" s="22" t="s">
        <v>19</v>
      </c>
      <c r="G50" s="42">
        <f>MMULT(G48:K48,K40:K44)</f>
        <v>1.1649687713977931E-6</v>
      </c>
    </row>
    <row r="51" spans="2:8" x14ac:dyDescent="0.35">
      <c r="E51" s="21"/>
      <c r="F51" s="23" t="s">
        <v>20</v>
      </c>
      <c r="G51" s="24">
        <f>SQRT(G50)</f>
        <v>1.0793371907785784E-3</v>
      </c>
      <c r="H51" s="24">
        <f>G51*SQRT(21)</f>
        <v>4.9461443771238274E-3</v>
      </c>
    </row>
    <row r="52" spans="2:8" x14ac:dyDescent="0.35">
      <c r="C52" s="63"/>
    </row>
    <row r="53" spans="2:8" x14ac:dyDescent="0.35">
      <c r="F53" s="56" t="s">
        <v>39</v>
      </c>
      <c r="G53" s="57">
        <f>G46-2.58*G51</f>
        <v>-2.1334106509414566E-3</v>
      </c>
      <c r="H53" s="57">
        <f>H46-2.58*H51</f>
        <v>1.0052559178608915E-3</v>
      </c>
    </row>
    <row r="54" spans="2:8" x14ac:dyDescent="0.35">
      <c r="C54" s="63"/>
      <c r="D54" s="65"/>
      <c r="F54" s="58" t="s">
        <v>36</v>
      </c>
      <c r="G54" s="59"/>
      <c r="H54" s="59">
        <v>-1.4999999999999999E-2</v>
      </c>
    </row>
    <row r="55" spans="2:8" x14ac:dyDescent="0.35">
      <c r="F55" s="60" t="s">
        <v>38</v>
      </c>
      <c r="G55" s="61"/>
      <c r="H55" s="61">
        <f>H53-H54</f>
        <v>1.6005255917860891E-2</v>
      </c>
    </row>
    <row r="57" spans="2:8" x14ac:dyDescent="0.35">
      <c r="F57" s="65"/>
      <c r="G57" s="55"/>
    </row>
  </sheetData>
  <mergeCells count="13">
    <mergeCell ref="C45:D46"/>
    <mergeCell ref="B45:B46"/>
    <mergeCell ref="C48:D50"/>
    <mergeCell ref="B48:B50"/>
    <mergeCell ref="E31:F31"/>
    <mergeCell ref="A2:A3"/>
    <mergeCell ref="G1:K1"/>
    <mergeCell ref="G2:G3"/>
    <mergeCell ref="H2:H3"/>
    <mergeCell ref="I2:I3"/>
    <mergeCell ref="J2:J3"/>
    <mergeCell ref="K2:K3"/>
    <mergeCell ref="B31:C31"/>
  </mergeCells>
  <hyperlinks>
    <hyperlink ref="B1" r:id="rId1" display="javascript:__doPostBack('ddlFundos$_ctl157$Linkbutton4','')"/>
    <hyperlink ref="C1" r:id="rId2" display="javascript:__doPostBack('ddlFundos$_ctl127$Linkbutton4','')"/>
  </hyperlinks>
  <pageMargins left="0.511811024" right="0.511811024" top="0.78740157499999996" bottom="0.78740157499999996" header="0.31496062000000002" footer="0.31496062000000002"/>
  <pageSetup orientation="portrait" horizontalDpi="300" verticalDpi="0" r:id="rId3"/>
  <ignoredErrors>
    <ignoredError sqref="F32:F36 G31:K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O19" sqref="O19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F1" workbookViewId="0">
      <selection activeCell="L2" sqref="L2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e Cálculos</vt:lpstr>
      <vt:lpstr>Solver mín risco</vt:lpstr>
      <vt:lpstr>Solver - 0,20% risco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Piva,Rafael,SAO PAULO,Treasury Services</cp:lastModifiedBy>
  <dcterms:created xsi:type="dcterms:W3CDTF">2017-09-13T21:53:38Z</dcterms:created>
  <dcterms:modified xsi:type="dcterms:W3CDTF">2020-04-10T15:34:14Z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Owner">
    <vt:lpwstr>Rafael.Piva@br.nestle.com</vt:lpwstr>
  </property>
  <property fmtid="{D5CDD505-2E9C-101B-9397-08002B2CF9AE}" pid="5" name="MSIP_Label_1ada0a2f-b917-4d51-b0d0-d418a10c8b23_SetDate">
    <vt:lpwstr>2020-04-10T15:34:06.0645574Z</vt:lpwstr>
  </property>
  <property fmtid="{D5CDD505-2E9C-101B-9397-08002B2CF9AE}" pid="6" name="MSIP_Label_1ada0a2f-b917-4d51-b0d0-d418a10c8b23_Name">
    <vt:lpwstr>General Use</vt:lpwstr>
  </property>
  <property fmtid="{D5CDD505-2E9C-101B-9397-08002B2CF9AE}" pid="7" name="MSIP_Label_1ada0a2f-b917-4d51-b0d0-d418a10c8b23_Application">
    <vt:lpwstr>Microsoft Azure Information Protection</vt:lpwstr>
  </property>
  <property fmtid="{D5CDD505-2E9C-101B-9397-08002B2CF9AE}" pid="8" name="MSIP_Label_1ada0a2f-b917-4d51-b0d0-d418a10c8b23_ActionId">
    <vt:lpwstr>2da09860-e774-43af-9c79-14d8f35dc7d8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</Properties>
</file>