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rafa_\Dropbox\Pessoal\Primo Rico\Carteiras\Gravação Dia 1\"/>
    </mc:Choice>
  </mc:AlternateContent>
  <xr:revisionPtr revIDLastSave="0" documentId="13_ncr:1_{3BBEFEB0-F121-4CC9-9011-38A789A21F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aR historico 1 ativo" sheetId="2" r:id="rId1"/>
    <sheet name="Parametrico 1 ativo" sheetId="3" r:id="rId2"/>
    <sheet name="Base de Açõ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5" i="1" l="1"/>
  <c r="K125" i="1"/>
  <c r="R124" i="1"/>
  <c r="R123" i="1" s="1"/>
  <c r="K124" i="1"/>
  <c r="K123" i="1" s="1"/>
  <c r="K3" i="1"/>
  <c r="R119" i="1"/>
  <c r="Q119" i="1"/>
  <c r="P119" i="1"/>
  <c r="O119" i="1"/>
  <c r="N119" i="1"/>
  <c r="M119" i="1"/>
  <c r="L119" i="1"/>
  <c r="K119" i="1"/>
  <c r="R118" i="1"/>
  <c r="Q118" i="1"/>
  <c r="P118" i="1"/>
  <c r="O118" i="1"/>
  <c r="N118" i="1"/>
  <c r="M118" i="1"/>
  <c r="L118" i="1"/>
  <c r="K118" i="1"/>
  <c r="R117" i="1"/>
  <c r="Q117" i="1"/>
  <c r="P117" i="1"/>
  <c r="O117" i="1"/>
  <c r="N117" i="1"/>
  <c r="M117" i="1"/>
  <c r="L117" i="1"/>
  <c r="K117" i="1"/>
  <c r="R116" i="1"/>
  <c r="Q116" i="1"/>
  <c r="P116" i="1"/>
  <c r="O116" i="1"/>
  <c r="N116" i="1"/>
  <c r="M116" i="1"/>
  <c r="L116" i="1"/>
  <c r="K116" i="1"/>
  <c r="R115" i="1"/>
  <c r="Q115" i="1"/>
  <c r="P115" i="1"/>
  <c r="O115" i="1"/>
  <c r="N115" i="1"/>
  <c r="M115" i="1"/>
  <c r="L115" i="1"/>
  <c r="K115" i="1"/>
  <c r="R114" i="1"/>
  <c r="Q114" i="1"/>
  <c r="P114" i="1"/>
  <c r="O114" i="1"/>
  <c r="N114" i="1"/>
  <c r="M114" i="1"/>
  <c r="L114" i="1"/>
  <c r="K114" i="1"/>
  <c r="R113" i="1"/>
  <c r="Q113" i="1"/>
  <c r="P113" i="1"/>
  <c r="O113" i="1"/>
  <c r="N113" i="1"/>
  <c r="M113" i="1"/>
  <c r="L113" i="1"/>
  <c r="K113" i="1"/>
  <c r="R112" i="1"/>
  <c r="Q112" i="1"/>
  <c r="P112" i="1"/>
  <c r="O112" i="1"/>
  <c r="N112" i="1"/>
  <c r="M112" i="1"/>
  <c r="L112" i="1"/>
  <c r="K112" i="1"/>
  <c r="R111" i="1"/>
  <c r="Q111" i="1"/>
  <c r="P111" i="1"/>
  <c r="O111" i="1"/>
  <c r="N111" i="1"/>
  <c r="M111" i="1"/>
  <c r="L111" i="1"/>
  <c r="K111" i="1"/>
  <c r="R110" i="1"/>
  <c r="Q110" i="1"/>
  <c r="P110" i="1"/>
  <c r="O110" i="1"/>
  <c r="N110" i="1"/>
  <c r="M110" i="1"/>
  <c r="L110" i="1"/>
  <c r="K110" i="1"/>
  <c r="R109" i="1"/>
  <c r="Q109" i="1"/>
  <c r="P109" i="1"/>
  <c r="O109" i="1"/>
  <c r="N109" i="1"/>
  <c r="M109" i="1"/>
  <c r="L109" i="1"/>
  <c r="K109" i="1"/>
  <c r="R108" i="1"/>
  <c r="Q108" i="1"/>
  <c r="P108" i="1"/>
  <c r="O108" i="1"/>
  <c r="N108" i="1"/>
  <c r="M108" i="1"/>
  <c r="L108" i="1"/>
  <c r="K108" i="1"/>
  <c r="R107" i="1"/>
  <c r="Q107" i="1"/>
  <c r="P107" i="1"/>
  <c r="O107" i="1"/>
  <c r="N107" i="1"/>
  <c r="M107" i="1"/>
  <c r="L107" i="1"/>
  <c r="K107" i="1"/>
  <c r="R106" i="1"/>
  <c r="Q106" i="1"/>
  <c r="P106" i="1"/>
  <c r="O106" i="1"/>
  <c r="N106" i="1"/>
  <c r="M106" i="1"/>
  <c r="L106" i="1"/>
  <c r="K106" i="1"/>
  <c r="R105" i="1"/>
  <c r="Q105" i="1"/>
  <c r="P105" i="1"/>
  <c r="O105" i="1"/>
  <c r="N105" i="1"/>
  <c r="M105" i="1"/>
  <c r="L105" i="1"/>
  <c r="K105" i="1"/>
  <c r="R104" i="1"/>
  <c r="Q104" i="1"/>
  <c r="P104" i="1"/>
  <c r="O104" i="1"/>
  <c r="N104" i="1"/>
  <c r="M104" i="1"/>
  <c r="L104" i="1"/>
  <c r="K104" i="1"/>
  <c r="R103" i="1"/>
  <c r="Q103" i="1"/>
  <c r="P103" i="1"/>
  <c r="O103" i="1"/>
  <c r="N103" i="1"/>
  <c r="M103" i="1"/>
  <c r="L103" i="1"/>
  <c r="K103" i="1"/>
  <c r="R102" i="1"/>
  <c r="Q102" i="1"/>
  <c r="P102" i="1"/>
  <c r="O102" i="1"/>
  <c r="N102" i="1"/>
  <c r="M102" i="1"/>
  <c r="L102" i="1"/>
  <c r="K102" i="1"/>
  <c r="R101" i="1"/>
  <c r="Q101" i="1"/>
  <c r="P101" i="1"/>
  <c r="O101" i="1"/>
  <c r="N101" i="1"/>
  <c r="M101" i="1"/>
  <c r="L101" i="1"/>
  <c r="K101" i="1"/>
  <c r="R100" i="1"/>
  <c r="Q100" i="1"/>
  <c r="P100" i="1"/>
  <c r="O100" i="1"/>
  <c r="N100" i="1"/>
  <c r="M100" i="1"/>
  <c r="L100" i="1"/>
  <c r="K100" i="1"/>
  <c r="R99" i="1"/>
  <c r="Q99" i="1"/>
  <c r="P99" i="1"/>
  <c r="O99" i="1"/>
  <c r="N99" i="1"/>
  <c r="M99" i="1"/>
  <c r="L99" i="1"/>
  <c r="K99" i="1"/>
  <c r="R98" i="1"/>
  <c r="Q98" i="1"/>
  <c r="P98" i="1"/>
  <c r="O98" i="1"/>
  <c r="N98" i="1"/>
  <c r="M98" i="1"/>
  <c r="L98" i="1"/>
  <c r="K98" i="1"/>
  <c r="R97" i="1"/>
  <c r="Q97" i="1"/>
  <c r="P97" i="1"/>
  <c r="O97" i="1"/>
  <c r="N97" i="1"/>
  <c r="M97" i="1"/>
  <c r="L97" i="1"/>
  <c r="K97" i="1"/>
  <c r="R96" i="1"/>
  <c r="Q96" i="1"/>
  <c r="P96" i="1"/>
  <c r="O96" i="1"/>
  <c r="N96" i="1"/>
  <c r="M96" i="1"/>
  <c r="L96" i="1"/>
  <c r="K96" i="1"/>
  <c r="R95" i="1"/>
  <c r="Q95" i="1"/>
  <c r="P95" i="1"/>
  <c r="O95" i="1"/>
  <c r="N95" i="1"/>
  <c r="M95" i="1"/>
  <c r="L95" i="1"/>
  <c r="K95" i="1"/>
  <c r="R94" i="1"/>
  <c r="Q94" i="1"/>
  <c r="P94" i="1"/>
  <c r="O94" i="1"/>
  <c r="N94" i="1"/>
  <c r="M94" i="1"/>
  <c r="L94" i="1"/>
  <c r="K94" i="1"/>
  <c r="R93" i="1"/>
  <c r="Q93" i="1"/>
  <c r="P93" i="1"/>
  <c r="O93" i="1"/>
  <c r="N93" i="1"/>
  <c r="M93" i="1"/>
  <c r="L93" i="1"/>
  <c r="K93" i="1"/>
  <c r="R92" i="1"/>
  <c r="Q92" i="1"/>
  <c r="P92" i="1"/>
  <c r="O92" i="1"/>
  <c r="N92" i="1"/>
  <c r="M92" i="1"/>
  <c r="L92" i="1"/>
  <c r="K92" i="1"/>
  <c r="R91" i="1"/>
  <c r="Q91" i="1"/>
  <c r="P91" i="1"/>
  <c r="O91" i="1"/>
  <c r="N91" i="1"/>
  <c r="M91" i="1"/>
  <c r="L91" i="1"/>
  <c r="K91" i="1"/>
  <c r="R90" i="1"/>
  <c r="Q90" i="1"/>
  <c r="P90" i="1"/>
  <c r="O90" i="1"/>
  <c r="N90" i="1"/>
  <c r="M90" i="1"/>
  <c r="L90" i="1"/>
  <c r="K90" i="1"/>
  <c r="R89" i="1"/>
  <c r="Q89" i="1"/>
  <c r="P89" i="1"/>
  <c r="O89" i="1"/>
  <c r="N89" i="1"/>
  <c r="M89" i="1"/>
  <c r="L89" i="1"/>
  <c r="K89" i="1"/>
  <c r="R88" i="1"/>
  <c r="Q88" i="1"/>
  <c r="P88" i="1"/>
  <c r="O88" i="1"/>
  <c r="N88" i="1"/>
  <c r="M88" i="1"/>
  <c r="L88" i="1"/>
  <c r="K88" i="1"/>
  <c r="R87" i="1"/>
  <c r="Q87" i="1"/>
  <c r="P87" i="1"/>
  <c r="O87" i="1"/>
  <c r="N87" i="1"/>
  <c r="M87" i="1"/>
  <c r="L87" i="1"/>
  <c r="K87" i="1"/>
  <c r="R86" i="1"/>
  <c r="Q86" i="1"/>
  <c r="P86" i="1"/>
  <c r="O86" i="1"/>
  <c r="N86" i="1"/>
  <c r="M86" i="1"/>
  <c r="L86" i="1"/>
  <c r="K86" i="1"/>
  <c r="R85" i="1"/>
  <c r="Q85" i="1"/>
  <c r="P85" i="1"/>
  <c r="O85" i="1"/>
  <c r="N85" i="1"/>
  <c r="M85" i="1"/>
  <c r="L85" i="1"/>
  <c r="K85" i="1"/>
  <c r="R84" i="1"/>
  <c r="Q84" i="1"/>
  <c r="P84" i="1"/>
  <c r="O84" i="1"/>
  <c r="N84" i="1"/>
  <c r="M84" i="1"/>
  <c r="L84" i="1"/>
  <c r="K84" i="1"/>
  <c r="R83" i="1"/>
  <c r="Q83" i="1"/>
  <c r="P83" i="1"/>
  <c r="O83" i="1"/>
  <c r="N83" i="1"/>
  <c r="M83" i="1"/>
  <c r="L83" i="1"/>
  <c r="K83" i="1"/>
  <c r="R82" i="1"/>
  <c r="Q82" i="1"/>
  <c r="P82" i="1"/>
  <c r="O82" i="1"/>
  <c r="N82" i="1"/>
  <c r="M82" i="1"/>
  <c r="L82" i="1"/>
  <c r="K82" i="1"/>
  <c r="R81" i="1"/>
  <c r="Q81" i="1"/>
  <c r="P81" i="1"/>
  <c r="O81" i="1"/>
  <c r="N81" i="1"/>
  <c r="M81" i="1"/>
  <c r="L81" i="1"/>
  <c r="K81" i="1"/>
  <c r="R80" i="1"/>
  <c r="Q80" i="1"/>
  <c r="P80" i="1"/>
  <c r="O80" i="1"/>
  <c r="N80" i="1"/>
  <c r="M80" i="1"/>
  <c r="L80" i="1"/>
  <c r="K80" i="1"/>
  <c r="R79" i="1"/>
  <c r="Q79" i="1"/>
  <c r="P79" i="1"/>
  <c r="O79" i="1"/>
  <c r="N79" i="1"/>
  <c r="M79" i="1"/>
  <c r="L79" i="1"/>
  <c r="K79" i="1"/>
  <c r="R78" i="1"/>
  <c r="Q78" i="1"/>
  <c r="P78" i="1"/>
  <c r="O78" i="1"/>
  <c r="N78" i="1"/>
  <c r="M78" i="1"/>
  <c r="L78" i="1"/>
  <c r="K78" i="1"/>
  <c r="R77" i="1"/>
  <c r="Q77" i="1"/>
  <c r="P77" i="1"/>
  <c r="O77" i="1"/>
  <c r="N77" i="1"/>
  <c r="M77" i="1"/>
  <c r="L77" i="1"/>
  <c r="K77" i="1"/>
  <c r="R76" i="1"/>
  <c r="Q76" i="1"/>
  <c r="P76" i="1"/>
  <c r="O76" i="1"/>
  <c r="N76" i="1"/>
  <c r="M76" i="1"/>
  <c r="L76" i="1"/>
  <c r="K76" i="1"/>
  <c r="R75" i="1"/>
  <c r="Q75" i="1"/>
  <c r="P75" i="1"/>
  <c r="O75" i="1"/>
  <c r="N75" i="1"/>
  <c r="M75" i="1"/>
  <c r="L75" i="1"/>
  <c r="K75" i="1"/>
  <c r="R74" i="1"/>
  <c r="Q74" i="1"/>
  <c r="P74" i="1"/>
  <c r="O74" i="1"/>
  <c r="N74" i="1"/>
  <c r="M74" i="1"/>
  <c r="L74" i="1"/>
  <c r="K74" i="1"/>
  <c r="R73" i="1"/>
  <c r="Q73" i="1"/>
  <c r="P73" i="1"/>
  <c r="O73" i="1"/>
  <c r="N73" i="1"/>
  <c r="M73" i="1"/>
  <c r="L73" i="1"/>
  <c r="K73" i="1"/>
  <c r="R72" i="1"/>
  <c r="Q72" i="1"/>
  <c r="P72" i="1"/>
  <c r="O72" i="1"/>
  <c r="N72" i="1"/>
  <c r="M72" i="1"/>
  <c r="L72" i="1"/>
  <c r="K72" i="1"/>
  <c r="R71" i="1"/>
  <c r="Q71" i="1"/>
  <c r="P71" i="1"/>
  <c r="O71" i="1"/>
  <c r="N71" i="1"/>
  <c r="M71" i="1"/>
  <c r="L71" i="1"/>
  <c r="K71" i="1"/>
  <c r="R70" i="1"/>
  <c r="Q70" i="1"/>
  <c r="P70" i="1"/>
  <c r="O70" i="1"/>
  <c r="N70" i="1"/>
  <c r="M70" i="1"/>
  <c r="L70" i="1"/>
  <c r="K70" i="1"/>
  <c r="R69" i="1"/>
  <c r="Q69" i="1"/>
  <c r="P69" i="1"/>
  <c r="O69" i="1"/>
  <c r="N69" i="1"/>
  <c r="M69" i="1"/>
  <c r="L69" i="1"/>
  <c r="K69" i="1"/>
  <c r="R68" i="1"/>
  <c r="Q68" i="1"/>
  <c r="P68" i="1"/>
  <c r="O68" i="1"/>
  <c r="N68" i="1"/>
  <c r="M68" i="1"/>
  <c r="L68" i="1"/>
  <c r="K68" i="1"/>
  <c r="R67" i="1"/>
  <c r="Q67" i="1"/>
  <c r="P67" i="1"/>
  <c r="O67" i="1"/>
  <c r="N67" i="1"/>
  <c r="M67" i="1"/>
  <c r="L67" i="1"/>
  <c r="K67" i="1"/>
  <c r="R66" i="1"/>
  <c r="Q66" i="1"/>
  <c r="P66" i="1"/>
  <c r="O66" i="1"/>
  <c r="N66" i="1"/>
  <c r="M66" i="1"/>
  <c r="L66" i="1"/>
  <c r="K66" i="1"/>
  <c r="R65" i="1"/>
  <c r="Q65" i="1"/>
  <c r="P65" i="1"/>
  <c r="O65" i="1"/>
  <c r="N65" i="1"/>
  <c r="M65" i="1"/>
  <c r="L65" i="1"/>
  <c r="K65" i="1"/>
  <c r="R64" i="1"/>
  <c r="Q64" i="1"/>
  <c r="P64" i="1"/>
  <c r="O64" i="1"/>
  <c r="N64" i="1"/>
  <c r="M64" i="1"/>
  <c r="L64" i="1"/>
  <c r="K64" i="1"/>
  <c r="R63" i="1"/>
  <c r="Q63" i="1"/>
  <c r="P63" i="1"/>
  <c r="O63" i="1"/>
  <c r="N63" i="1"/>
  <c r="M63" i="1"/>
  <c r="L63" i="1"/>
  <c r="K63" i="1"/>
  <c r="R62" i="1"/>
  <c r="Q62" i="1"/>
  <c r="P62" i="1"/>
  <c r="O62" i="1"/>
  <c r="N62" i="1"/>
  <c r="M62" i="1"/>
  <c r="L62" i="1"/>
  <c r="K62" i="1"/>
  <c r="R61" i="1"/>
  <c r="Q61" i="1"/>
  <c r="P61" i="1"/>
  <c r="O61" i="1"/>
  <c r="N61" i="1"/>
  <c r="M61" i="1"/>
  <c r="L61" i="1"/>
  <c r="K61" i="1"/>
  <c r="R60" i="1"/>
  <c r="Q60" i="1"/>
  <c r="P60" i="1"/>
  <c r="O60" i="1"/>
  <c r="N60" i="1"/>
  <c r="M60" i="1"/>
  <c r="L60" i="1"/>
  <c r="K60" i="1"/>
  <c r="R59" i="1"/>
  <c r="Q59" i="1"/>
  <c r="P59" i="1"/>
  <c r="O59" i="1"/>
  <c r="N59" i="1"/>
  <c r="M59" i="1"/>
  <c r="L59" i="1"/>
  <c r="K59" i="1"/>
  <c r="R58" i="1"/>
  <c r="Q58" i="1"/>
  <c r="P58" i="1"/>
  <c r="O58" i="1"/>
  <c r="N58" i="1"/>
  <c r="M58" i="1"/>
  <c r="L58" i="1"/>
  <c r="K58" i="1"/>
  <c r="R57" i="1"/>
  <c r="Q57" i="1"/>
  <c r="P57" i="1"/>
  <c r="O57" i="1"/>
  <c r="N57" i="1"/>
  <c r="M57" i="1"/>
  <c r="L57" i="1"/>
  <c r="K57" i="1"/>
  <c r="R56" i="1"/>
  <c r="Q56" i="1"/>
  <c r="P56" i="1"/>
  <c r="O56" i="1"/>
  <c r="N56" i="1"/>
  <c r="M56" i="1"/>
  <c r="L56" i="1"/>
  <c r="K56" i="1"/>
  <c r="R55" i="1"/>
  <c r="Q55" i="1"/>
  <c r="P55" i="1"/>
  <c r="O55" i="1"/>
  <c r="N55" i="1"/>
  <c r="M55" i="1"/>
  <c r="L55" i="1"/>
  <c r="K55" i="1"/>
  <c r="R54" i="1"/>
  <c r="Q54" i="1"/>
  <c r="P54" i="1"/>
  <c r="O54" i="1"/>
  <c r="N54" i="1"/>
  <c r="M54" i="1"/>
  <c r="L54" i="1"/>
  <c r="K54" i="1"/>
  <c r="R53" i="1"/>
  <c r="Q53" i="1"/>
  <c r="P53" i="1"/>
  <c r="O53" i="1"/>
  <c r="N53" i="1"/>
  <c r="M53" i="1"/>
  <c r="L53" i="1"/>
  <c r="K53" i="1"/>
  <c r="R52" i="1"/>
  <c r="Q52" i="1"/>
  <c r="P52" i="1"/>
  <c r="O52" i="1"/>
  <c r="N52" i="1"/>
  <c r="M52" i="1"/>
  <c r="L52" i="1"/>
  <c r="K52" i="1"/>
  <c r="R51" i="1"/>
  <c r="Q51" i="1"/>
  <c r="P51" i="1"/>
  <c r="O51" i="1"/>
  <c r="N51" i="1"/>
  <c r="M51" i="1"/>
  <c r="L51" i="1"/>
  <c r="K51" i="1"/>
  <c r="R50" i="1"/>
  <c r="Q50" i="1"/>
  <c r="P50" i="1"/>
  <c r="O50" i="1"/>
  <c r="N50" i="1"/>
  <c r="M50" i="1"/>
  <c r="L50" i="1"/>
  <c r="K50" i="1"/>
  <c r="R49" i="1"/>
  <c r="Q49" i="1"/>
  <c r="P49" i="1"/>
  <c r="O49" i="1"/>
  <c r="N49" i="1"/>
  <c r="M49" i="1"/>
  <c r="L49" i="1"/>
  <c r="K49" i="1"/>
  <c r="R48" i="1"/>
  <c r="Q48" i="1"/>
  <c r="P48" i="1"/>
  <c r="O48" i="1"/>
  <c r="N48" i="1"/>
  <c r="M48" i="1"/>
  <c r="L48" i="1"/>
  <c r="K48" i="1"/>
  <c r="R47" i="1"/>
  <c r="Q47" i="1"/>
  <c r="P47" i="1"/>
  <c r="O47" i="1"/>
  <c r="N47" i="1"/>
  <c r="M47" i="1"/>
  <c r="L47" i="1"/>
  <c r="K47" i="1"/>
  <c r="R46" i="1"/>
  <c r="Q46" i="1"/>
  <c r="P46" i="1"/>
  <c r="O46" i="1"/>
  <c r="N46" i="1"/>
  <c r="M46" i="1"/>
  <c r="L46" i="1"/>
  <c r="K46" i="1"/>
  <c r="R45" i="1"/>
  <c r="Q45" i="1"/>
  <c r="P45" i="1"/>
  <c r="O45" i="1"/>
  <c r="N45" i="1"/>
  <c r="M45" i="1"/>
  <c r="L45" i="1"/>
  <c r="K45" i="1"/>
  <c r="R44" i="1"/>
  <c r="Q44" i="1"/>
  <c r="P44" i="1"/>
  <c r="O44" i="1"/>
  <c r="N44" i="1"/>
  <c r="M44" i="1"/>
  <c r="L44" i="1"/>
  <c r="K44" i="1"/>
  <c r="R43" i="1"/>
  <c r="Q43" i="1"/>
  <c r="P43" i="1"/>
  <c r="O43" i="1"/>
  <c r="N43" i="1"/>
  <c r="M43" i="1"/>
  <c r="L43" i="1"/>
  <c r="K43" i="1"/>
  <c r="R42" i="1"/>
  <c r="Q42" i="1"/>
  <c r="P42" i="1"/>
  <c r="O42" i="1"/>
  <c r="N42" i="1"/>
  <c r="M42" i="1"/>
  <c r="L42" i="1"/>
  <c r="K42" i="1"/>
  <c r="R41" i="1"/>
  <c r="Q41" i="1"/>
  <c r="P41" i="1"/>
  <c r="O41" i="1"/>
  <c r="N41" i="1"/>
  <c r="M41" i="1"/>
  <c r="L41" i="1"/>
  <c r="K41" i="1"/>
  <c r="R40" i="1"/>
  <c r="Q40" i="1"/>
  <c r="P40" i="1"/>
  <c r="O40" i="1"/>
  <c r="N40" i="1"/>
  <c r="M40" i="1"/>
  <c r="L40" i="1"/>
  <c r="K40" i="1"/>
  <c r="R39" i="1"/>
  <c r="Q39" i="1"/>
  <c r="P39" i="1"/>
  <c r="O39" i="1"/>
  <c r="N39" i="1"/>
  <c r="M39" i="1"/>
  <c r="L39" i="1"/>
  <c r="K39" i="1"/>
  <c r="R38" i="1"/>
  <c r="Q38" i="1"/>
  <c r="P38" i="1"/>
  <c r="O38" i="1"/>
  <c r="N38" i="1"/>
  <c r="M38" i="1"/>
  <c r="L38" i="1"/>
  <c r="K38" i="1"/>
  <c r="R37" i="1"/>
  <c r="Q37" i="1"/>
  <c r="P37" i="1"/>
  <c r="O37" i="1"/>
  <c r="N37" i="1"/>
  <c r="M37" i="1"/>
  <c r="L37" i="1"/>
  <c r="K37" i="1"/>
  <c r="R36" i="1"/>
  <c r="Q36" i="1"/>
  <c r="P36" i="1"/>
  <c r="O36" i="1"/>
  <c r="N36" i="1"/>
  <c r="M36" i="1"/>
  <c r="L36" i="1"/>
  <c r="K36" i="1"/>
  <c r="R35" i="1"/>
  <c r="Q35" i="1"/>
  <c r="P35" i="1"/>
  <c r="O35" i="1"/>
  <c r="N35" i="1"/>
  <c r="M35" i="1"/>
  <c r="L35" i="1"/>
  <c r="K35" i="1"/>
  <c r="R34" i="1"/>
  <c r="Q34" i="1"/>
  <c r="P34" i="1"/>
  <c r="O34" i="1"/>
  <c r="N34" i="1"/>
  <c r="M34" i="1"/>
  <c r="L34" i="1"/>
  <c r="K34" i="1"/>
  <c r="R33" i="1"/>
  <c r="Q33" i="1"/>
  <c r="P33" i="1"/>
  <c r="O33" i="1"/>
  <c r="N33" i="1"/>
  <c r="M33" i="1"/>
  <c r="L33" i="1"/>
  <c r="K33" i="1"/>
  <c r="R32" i="1"/>
  <c r="Q32" i="1"/>
  <c r="P32" i="1"/>
  <c r="O32" i="1"/>
  <c r="N32" i="1"/>
  <c r="M32" i="1"/>
  <c r="L32" i="1"/>
  <c r="K32" i="1"/>
  <c r="R31" i="1"/>
  <c r="Q31" i="1"/>
  <c r="P31" i="1"/>
  <c r="O31" i="1"/>
  <c r="N31" i="1"/>
  <c r="M31" i="1"/>
  <c r="L31" i="1"/>
  <c r="K31" i="1"/>
  <c r="R30" i="1"/>
  <c r="Q30" i="1"/>
  <c r="P30" i="1"/>
  <c r="O30" i="1"/>
  <c r="N30" i="1"/>
  <c r="M30" i="1"/>
  <c r="L30" i="1"/>
  <c r="K30" i="1"/>
  <c r="R29" i="1"/>
  <c r="Q29" i="1"/>
  <c r="P29" i="1"/>
  <c r="O29" i="1"/>
  <c r="N29" i="1"/>
  <c r="M29" i="1"/>
  <c r="L29" i="1"/>
  <c r="K29" i="1"/>
  <c r="R28" i="1"/>
  <c r="Q28" i="1"/>
  <c r="P28" i="1"/>
  <c r="O28" i="1"/>
  <c r="N28" i="1"/>
  <c r="M28" i="1"/>
  <c r="L28" i="1"/>
  <c r="K28" i="1"/>
  <c r="R27" i="1"/>
  <c r="Q27" i="1"/>
  <c r="P27" i="1"/>
  <c r="O27" i="1"/>
  <c r="N27" i="1"/>
  <c r="M27" i="1"/>
  <c r="L27" i="1"/>
  <c r="K27" i="1"/>
  <c r="R26" i="1"/>
  <c r="Q26" i="1"/>
  <c r="P26" i="1"/>
  <c r="O26" i="1"/>
  <c r="N26" i="1"/>
  <c r="M26" i="1"/>
  <c r="L26" i="1"/>
  <c r="K26" i="1"/>
  <c r="R25" i="1"/>
  <c r="Q25" i="1"/>
  <c r="P25" i="1"/>
  <c r="O25" i="1"/>
  <c r="N25" i="1"/>
  <c r="M25" i="1"/>
  <c r="L25" i="1"/>
  <c r="K25" i="1"/>
  <c r="R24" i="1"/>
  <c r="Q24" i="1"/>
  <c r="P24" i="1"/>
  <c r="O24" i="1"/>
  <c r="N24" i="1"/>
  <c r="M24" i="1"/>
  <c r="L24" i="1"/>
  <c r="K24" i="1"/>
  <c r="R23" i="1"/>
  <c r="Q23" i="1"/>
  <c r="P23" i="1"/>
  <c r="O23" i="1"/>
  <c r="N23" i="1"/>
  <c r="M23" i="1"/>
  <c r="L23" i="1"/>
  <c r="K23" i="1"/>
  <c r="R22" i="1"/>
  <c r="Q22" i="1"/>
  <c r="P22" i="1"/>
  <c r="O22" i="1"/>
  <c r="N22" i="1"/>
  <c r="M22" i="1"/>
  <c r="L22" i="1"/>
  <c r="K22" i="1"/>
  <c r="R21" i="1"/>
  <c r="Q21" i="1"/>
  <c r="P21" i="1"/>
  <c r="O21" i="1"/>
  <c r="N21" i="1"/>
  <c r="M21" i="1"/>
  <c r="L21" i="1"/>
  <c r="K21" i="1"/>
  <c r="R20" i="1"/>
  <c r="Q20" i="1"/>
  <c r="P20" i="1"/>
  <c r="O20" i="1"/>
  <c r="N20" i="1"/>
  <c r="M20" i="1"/>
  <c r="L20" i="1"/>
  <c r="K20" i="1"/>
  <c r="R19" i="1"/>
  <c r="Q19" i="1"/>
  <c r="P19" i="1"/>
  <c r="O19" i="1"/>
  <c r="N19" i="1"/>
  <c r="M19" i="1"/>
  <c r="L19" i="1"/>
  <c r="K19" i="1"/>
  <c r="R18" i="1"/>
  <c r="Q18" i="1"/>
  <c r="P18" i="1"/>
  <c r="O18" i="1"/>
  <c r="N18" i="1"/>
  <c r="M18" i="1"/>
  <c r="L18" i="1"/>
  <c r="K18" i="1"/>
  <c r="R17" i="1"/>
  <c r="Q17" i="1"/>
  <c r="P17" i="1"/>
  <c r="O17" i="1"/>
  <c r="N17" i="1"/>
  <c r="M17" i="1"/>
  <c r="L17" i="1"/>
  <c r="K17" i="1"/>
  <c r="R16" i="1"/>
  <c r="Q16" i="1"/>
  <c r="P16" i="1"/>
  <c r="O16" i="1"/>
  <c r="N16" i="1"/>
  <c r="M16" i="1"/>
  <c r="L16" i="1"/>
  <c r="K16" i="1"/>
  <c r="R15" i="1"/>
  <c r="Q15" i="1"/>
  <c r="P15" i="1"/>
  <c r="O15" i="1"/>
  <c r="N15" i="1"/>
  <c r="M15" i="1"/>
  <c r="L15" i="1"/>
  <c r="K15" i="1"/>
  <c r="R14" i="1"/>
  <c r="Q14" i="1"/>
  <c r="P14" i="1"/>
  <c r="O14" i="1"/>
  <c r="N14" i="1"/>
  <c r="M14" i="1"/>
  <c r="L14" i="1"/>
  <c r="K14" i="1"/>
  <c r="R13" i="1"/>
  <c r="Q13" i="1"/>
  <c r="P13" i="1"/>
  <c r="O13" i="1"/>
  <c r="N13" i="1"/>
  <c r="M13" i="1"/>
  <c r="L13" i="1"/>
  <c r="K13" i="1"/>
  <c r="R12" i="1"/>
  <c r="Q12" i="1"/>
  <c r="P12" i="1"/>
  <c r="O12" i="1"/>
  <c r="N12" i="1"/>
  <c r="M12" i="1"/>
  <c r="L12" i="1"/>
  <c r="K12" i="1"/>
  <c r="R11" i="1"/>
  <c r="Q11" i="1"/>
  <c r="P11" i="1"/>
  <c r="O11" i="1"/>
  <c r="N11" i="1"/>
  <c r="M11" i="1"/>
  <c r="L11" i="1"/>
  <c r="K11" i="1"/>
  <c r="R10" i="1"/>
  <c r="Q10" i="1"/>
  <c r="P10" i="1"/>
  <c r="O10" i="1"/>
  <c r="N10" i="1"/>
  <c r="M10" i="1"/>
  <c r="L10" i="1"/>
  <c r="K10" i="1"/>
  <c r="R9" i="1"/>
  <c r="Q9" i="1"/>
  <c r="P9" i="1"/>
  <c r="O9" i="1"/>
  <c r="N9" i="1"/>
  <c r="M9" i="1"/>
  <c r="L9" i="1"/>
  <c r="K9" i="1"/>
  <c r="R8" i="1"/>
  <c r="Q8" i="1"/>
  <c r="P8" i="1"/>
  <c r="O8" i="1"/>
  <c r="N8" i="1"/>
  <c r="M8" i="1"/>
  <c r="L8" i="1"/>
  <c r="K8" i="1"/>
  <c r="R7" i="1"/>
  <c r="Q7" i="1"/>
  <c r="P7" i="1"/>
  <c r="O7" i="1"/>
  <c r="N7" i="1"/>
  <c r="M7" i="1"/>
  <c r="L7" i="1"/>
  <c r="K7" i="1"/>
  <c r="R6" i="1"/>
  <c r="Q6" i="1"/>
  <c r="P6" i="1"/>
  <c r="O6" i="1"/>
  <c r="N6" i="1"/>
  <c r="M6" i="1"/>
  <c r="L6" i="1"/>
  <c r="K6" i="1"/>
  <c r="R5" i="1"/>
  <c r="Q5" i="1"/>
  <c r="P5" i="1"/>
  <c r="O5" i="1"/>
  <c r="N5" i="1"/>
  <c r="M5" i="1"/>
  <c r="L5" i="1"/>
  <c r="K5" i="1"/>
  <c r="R4" i="1"/>
  <c r="Q4" i="1"/>
  <c r="P4" i="1"/>
  <c r="O4" i="1"/>
  <c r="N4" i="1"/>
  <c r="M4" i="1"/>
  <c r="L4" i="1"/>
  <c r="K4" i="1"/>
  <c r="R3" i="1"/>
  <c r="Q3" i="1"/>
  <c r="P3" i="1"/>
  <c r="P122" i="1" s="1"/>
  <c r="O3" i="1"/>
  <c r="N3" i="1"/>
  <c r="M3" i="1"/>
  <c r="L3" i="1"/>
  <c r="L2" i="1"/>
  <c r="L122" i="1" s="1"/>
  <c r="M2" i="1"/>
  <c r="M122" i="1" s="1"/>
  <c r="N2" i="1"/>
  <c r="N122" i="1" s="1"/>
  <c r="O2" i="1"/>
  <c r="O125" i="1" s="1"/>
  <c r="P2" i="1"/>
  <c r="P125" i="1" s="1"/>
  <c r="Q2" i="1"/>
  <c r="Q125" i="1" s="1"/>
  <c r="R2" i="1"/>
  <c r="R122" i="1" s="1"/>
  <c r="K2" i="1"/>
  <c r="K122" i="1" s="1"/>
  <c r="O122" i="1" l="1"/>
  <c r="Q122" i="1"/>
  <c r="L124" i="1"/>
  <c r="L125" i="1"/>
  <c r="M124" i="1"/>
  <c r="M125" i="1"/>
  <c r="N124" i="1"/>
  <c r="N125" i="1"/>
  <c r="O124" i="1"/>
  <c r="O123" i="1" s="1"/>
  <c r="P124" i="1"/>
  <c r="P123" i="1" s="1"/>
  <c r="Q124" i="1"/>
  <c r="Q123" i="1" s="1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B3" i="3" l="1"/>
  <c r="B2" i="3"/>
  <c r="B6" i="3" s="1"/>
  <c r="B8" i="2"/>
  <c r="B13" i="2" s="1"/>
  <c r="B18" i="2" s="1"/>
  <c r="M123" i="1"/>
  <c r="L123" i="1"/>
  <c r="N123" i="1"/>
  <c r="C6" i="3" l="1"/>
  <c r="B7" i="3"/>
  <c r="D6" i="3"/>
</calcChain>
</file>

<file path=xl/sharedStrings.xml><?xml version="1.0" encoding="utf-8"?>
<sst xmlns="http://schemas.openxmlformats.org/spreadsheetml/2006/main" count="334" uniqueCount="324">
  <si>
    <t>Data</t>
  </si>
  <si>
    <t>Ibovespa</t>
  </si>
  <si>
    <t>ABCB4</t>
  </si>
  <si>
    <t>ALPA4</t>
  </si>
  <si>
    <t>ABEV3</t>
  </si>
  <si>
    <t>AZUL4</t>
  </si>
  <si>
    <t>HGTX3</t>
  </si>
  <si>
    <t>CMIG3</t>
  </si>
  <si>
    <t>CGAS5</t>
  </si>
  <si>
    <t>Qual é O VaR histórico para 1 dia do papel abaixo com probabilidade de 95% e posição de 10.000.000?</t>
  </si>
  <si>
    <t>VaR=percentil desejado x posição</t>
  </si>
  <si>
    <t xml:space="preserve">O percentil a ser utilizado vai ser  1- probabilidade de confiança desejada. Como queremos 95% de cprobabilidade, então o percentil será de  (1-0,95)=5%. </t>
  </si>
  <si>
    <t>O percentil de 5% vai representar o risco de perda máxima para 95% de confiança</t>
  </si>
  <si>
    <t>calculo do penteil rcentil de 5% sobre os retornos da Vale5</t>
  </si>
  <si>
    <t>probabilidade de perda=(1-p)=(1-0,95)=5%</t>
  </si>
  <si>
    <t>posição</t>
  </si>
  <si>
    <t>VaR (para 1dia)</t>
  </si>
  <si>
    <t>VaR para N dias=Var para um dia x (numero de dia)^(1/2)</t>
  </si>
  <si>
    <t>Exemplo:  VaR para 4 dias</t>
  </si>
  <si>
    <t>VALE5</t>
  </si>
  <si>
    <t>Fechamento Ajust.</t>
  </si>
  <si>
    <t>variação</t>
  </si>
  <si>
    <t>03/01/2011</t>
  </si>
  <si>
    <t>04/01/2011</t>
  </si>
  <si>
    <t>05/01/2011</t>
  </si>
  <si>
    <t>06/01/2011</t>
  </si>
  <si>
    <t>07/01/2011</t>
  </si>
  <si>
    <t>10/01/2011</t>
  </si>
  <si>
    <t>11/01/2011</t>
  </si>
  <si>
    <t>12/01/2011</t>
  </si>
  <si>
    <t>13/01/2011</t>
  </si>
  <si>
    <t>14/01/2011</t>
  </si>
  <si>
    <t>17/01/2011</t>
  </si>
  <si>
    <t>18/01/2011</t>
  </si>
  <si>
    <t>19/01/2011</t>
  </si>
  <si>
    <t>20/01/2011</t>
  </si>
  <si>
    <t>21/01/2011</t>
  </si>
  <si>
    <t>24/01/2011</t>
  </si>
  <si>
    <t>26/01/2011</t>
  </si>
  <si>
    <t>27/01/2011</t>
  </si>
  <si>
    <t>28/01/2011</t>
  </si>
  <si>
    <t>31/01/2011</t>
  </si>
  <si>
    <t>01/02/2011</t>
  </si>
  <si>
    <t>02/02/2011</t>
  </si>
  <si>
    <t>03/02/2011</t>
  </si>
  <si>
    <t>04/02/2011</t>
  </si>
  <si>
    <t>07/02/2011</t>
  </si>
  <si>
    <t>08/02/2011</t>
  </si>
  <si>
    <t>09/02/2011</t>
  </si>
  <si>
    <t>10/02/2011</t>
  </si>
  <si>
    <t>11/02/2011</t>
  </si>
  <si>
    <t>14/02/2011</t>
  </si>
  <si>
    <t>15/02/2011</t>
  </si>
  <si>
    <t>16/02/2011</t>
  </si>
  <si>
    <t>17/02/2011</t>
  </si>
  <si>
    <t>18/02/2011</t>
  </si>
  <si>
    <t>21/02/2011</t>
  </si>
  <si>
    <t>22/02/2011</t>
  </si>
  <si>
    <t>23/02/2011</t>
  </si>
  <si>
    <t>24/02/2011</t>
  </si>
  <si>
    <t>25/02/2011</t>
  </si>
  <si>
    <t>28/02/2011</t>
  </si>
  <si>
    <t>01/03/2011</t>
  </si>
  <si>
    <t>02/03/2011</t>
  </si>
  <si>
    <t>03/03/2011</t>
  </si>
  <si>
    <t>04/03/2011</t>
  </si>
  <si>
    <t>09/03/2011</t>
  </si>
  <si>
    <t>10/03/2011</t>
  </si>
  <si>
    <t>11/03/2011</t>
  </si>
  <si>
    <t>14/03/2011</t>
  </si>
  <si>
    <t>15/03/2011</t>
  </si>
  <si>
    <t>16/03/2011</t>
  </si>
  <si>
    <t>17/03/2011</t>
  </si>
  <si>
    <t>18/03/2011</t>
  </si>
  <si>
    <t>21/03/2011</t>
  </si>
  <si>
    <t>22/03/2011</t>
  </si>
  <si>
    <t>23/03/2011</t>
  </si>
  <si>
    <t>24/03/2011</t>
  </si>
  <si>
    <t>25/03/2011</t>
  </si>
  <si>
    <t>28/03/2011</t>
  </si>
  <si>
    <t>29/03/2011</t>
  </si>
  <si>
    <t>30/03/2011</t>
  </si>
  <si>
    <t>31/03/2011</t>
  </si>
  <si>
    <t>01/04/2011</t>
  </si>
  <si>
    <t>04/04/2011</t>
  </si>
  <si>
    <t>05/04/2011</t>
  </si>
  <si>
    <t>06/04/2011</t>
  </si>
  <si>
    <t>07/04/2011</t>
  </si>
  <si>
    <t>08/04/2011</t>
  </si>
  <si>
    <t>11/04/2011</t>
  </si>
  <si>
    <t>12/04/2011</t>
  </si>
  <si>
    <t>13/04/2011</t>
  </si>
  <si>
    <t>14/04/2011</t>
  </si>
  <si>
    <t>15/04/2011</t>
  </si>
  <si>
    <t>18/04/2011</t>
  </si>
  <si>
    <t>19/04/2011</t>
  </si>
  <si>
    <t>20/04/2011</t>
  </si>
  <si>
    <t>25/04/2011</t>
  </si>
  <si>
    <t>26/04/2011</t>
  </si>
  <si>
    <t>27/04/2011</t>
  </si>
  <si>
    <t>28/04/2011</t>
  </si>
  <si>
    <t>29/04/2011</t>
  </si>
  <si>
    <t>02/05/2011</t>
  </si>
  <si>
    <t>03/05/2011</t>
  </si>
  <si>
    <t>04/05/2011</t>
  </si>
  <si>
    <t>05/05/2011</t>
  </si>
  <si>
    <t>06/05/2011</t>
  </si>
  <si>
    <t>09/05/2011</t>
  </si>
  <si>
    <t>10/05/2011</t>
  </si>
  <si>
    <t>11/05/2011</t>
  </si>
  <si>
    <t>12/05/2011</t>
  </si>
  <si>
    <t>13/05/2011</t>
  </si>
  <si>
    <t>16/05/2011</t>
  </si>
  <si>
    <t>17/05/2011</t>
  </si>
  <si>
    <t>18/05/2011</t>
  </si>
  <si>
    <t>19/05/2011</t>
  </si>
  <si>
    <t>20/05/2011</t>
  </si>
  <si>
    <t>23/05/2011</t>
  </si>
  <si>
    <t>24/05/2011</t>
  </si>
  <si>
    <t>25/05/2011</t>
  </si>
  <si>
    <t>26/05/2011</t>
  </si>
  <si>
    <t>27/05/2011</t>
  </si>
  <si>
    <t>30/05/2011</t>
  </si>
  <si>
    <t>31/05/2011</t>
  </si>
  <si>
    <t>01/06/2011</t>
  </si>
  <si>
    <t>02/06/2011</t>
  </si>
  <si>
    <t>03/06/2011</t>
  </si>
  <si>
    <t>06/06/2011</t>
  </si>
  <si>
    <t>07/06/2011</t>
  </si>
  <si>
    <t>08/06/2011</t>
  </si>
  <si>
    <t>09/06/2011</t>
  </si>
  <si>
    <t>10/06/2011</t>
  </si>
  <si>
    <t>13/06/2011</t>
  </si>
  <si>
    <t>14/06/2011</t>
  </si>
  <si>
    <t>15/06/2011</t>
  </si>
  <si>
    <t>16/06/2011</t>
  </si>
  <si>
    <t>17/06/2011</t>
  </si>
  <si>
    <t>20/06/2011</t>
  </si>
  <si>
    <t>21/06/2011</t>
  </si>
  <si>
    <t>22/06/2011</t>
  </si>
  <si>
    <t>24/06/2011</t>
  </si>
  <si>
    <t>27/06/2011</t>
  </si>
  <si>
    <t>28/06/2011</t>
  </si>
  <si>
    <t>29/06/2011</t>
  </si>
  <si>
    <t>30/06/2011</t>
  </si>
  <si>
    <t>01/07/2011</t>
  </si>
  <si>
    <t>04/07/2011</t>
  </si>
  <si>
    <t>05/07/2011</t>
  </si>
  <si>
    <t>06/07/2011</t>
  </si>
  <si>
    <t>07/07/2011</t>
  </si>
  <si>
    <t>08/07/2011</t>
  </si>
  <si>
    <t>11/07/2011</t>
  </si>
  <si>
    <t>12/07/2011</t>
  </si>
  <si>
    <t>13/07/2011</t>
  </si>
  <si>
    <t>14/07/2011</t>
  </si>
  <si>
    <t>15/07/2011</t>
  </si>
  <si>
    <t>18/07/2011</t>
  </si>
  <si>
    <t>19/07/2011</t>
  </si>
  <si>
    <t>20/07/2011</t>
  </si>
  <si>
    <t>21/07/2011</t>
  </si>
  <si>
    <t>22/07/2011</t>
  </si>
  <si>
    <t>25/07/2011</t>
  </si>
  <si>
    <t>26/07/2011</t>
  </si>
  <si>
    <t>27/07/2011</t>
  </si>
  <si>
    <t>28/07/2011</t>
  </si>
  <si>
    <t>29/07/2011</t>
  </si>
  <si>
    <t>01/08/2011</t>
  </si>
  <si>
    <t>02/08/2011</t>
  </si>
  <si>
    <t>03/08/2011</t>
  </si>
  <si>
    <t>04/08/2011</t>
  </si>
  <si>
    <t>05/08/2011</t>
  </si>
  <si>
    <t>08/08/2011</t>
  </si>
  <si>
    <t>09/08/2011</t>
  </si>
  <si>
    <t>10/08/2011</t>
  </si>
  <si>
    <t>11/08/2011</t>
  </si>
  <si>
    <t>12/08/2011</t>
  </si>
  <si>
    <t>15/08/2011</t>
  </si>
  <si>
    <t>16/08/2011</t>
  </si>
  <si>
    <t>17/08/2011</t>
  </si>
  <si>
    <t>18/08/2011</t>
  </si>
  <si>
    <t>19/08/2011</t>
  </si>
  <si>
    <t>22/08/2011</t>
  </si>
  <si>
    <t>23/08/2011</t>
  </si>
  <si>
    <t>24/08/2011</t>
  </si>
  <si>
    <t>25/08/2011</t>
  </si>
  <si>
    <t>26/08/2011</t>
  </si>
  <si>
    <t>29/08/2011</t>
  </si>
  <si>
    <t>30/08/2011</t>
  </si>
  <si>
    <t>31/08/2011</t>
  </si>
  <si>
    <t>01/09/2011</t>
  </si>
  <si>
    <t>02/09/2011</t>
  </si>
  <si>
    <t>05/09/2011</t>
  </si>
  <si>
    <t>06/09/2011</t>
  </si>
  <si>
    <t>08/09/2011</t>
  </si>
  <si>
    <t>09/09/2011</t>
  </si>
  <si>
    <t>12/09/2011</t>
  </si>
  <si>
    <t>13/09/2011</t>
  </si>
  <si>
    <t>14/09/2011</t>
  </si>
  <si>
    <t>15/09/2011</t>
  </si>
  <si>
    <t>16/09/2011</t>
  </si>
  <si>
    <t>19/09/2011</t>
  </si>
  <si>
    <t>20/09/2011</t>
  </si>
  <si>
    <t>21/09/2011</t>
  </si>
  <si>
    <t>22/09/2011</t>
  </si>
  <si>
    <t>23/09/2011</t>
  </si>
  <si>
    <t>26/09/2011</t>
  </si>
  <si>
    <t>27/09/2011</t>
  </si>
  <si>
    <t>28/09/2011</t>
  </si>
  <si>
    <t>29/09/2011</t>
  </si>
  <si>
    <t>30/09/2011</t>
  </si>
  <si>
    <t>03/10/2011</t>
  </si>
  <si>
    <t>04/10/2011</t>
  </si>
  <si>
    <t>05/10/2011</t>
  </si>
  <si>
    <t>06/10/2011</t>
  </si>
  <si>
    <t>07/10/2011</t>
  </si>
  <si>
    <t>10/10/2011</t>
  </si>
  <si>
    <t>11/10/2011</t>
  </si>
  <si>
    <t>13/10/2011</t>
  </si>
  <si>
    <t>14/10/2011</t>
  </si>
  <si>
    <t>17/10/2011</t>
  </si>
  <si>
    <t>18/10/2011</t>
  </si>
  <si>
    <t>19/10/2011</t>
  </si>
  <si>
    <t>20/10/2011</t>
  </si>
  <si>
    <t>21/10/2011</t>
  </si>
  <si>
    <t>24/10/2011</t>
  </si>
  <si>
    <t>25/10/2011</t>
  </si>
  <si>
    <t>26/10/2011</t>
  </si>
  <si>
    <t>27/10/2011</t>
  </si>
  <si>
    <t>28/10/2011</t>
  </si>
  <si>
    <t>31/10/2011</t>
  </si>
  <si>
    <t>01/11/2011</t>
  </si>
  <si>
    <t>03/11/2011</t>
  </si>
  <si>
    <t>04/11/2011</t>
  </si>
  <si>
    <t>07/11/2011</t>
  </si>
  <si>
    <t>08/11/2011</t>
  </si>
  <si>
    <t>09/11/2011</t>
  </si>
  <si>
    <t>10/11/2011</t>
  </si>
  <si>
    <t>11/11/2011</t>
  </si>
  <si>
    <t>14/11/2011</t>
  </si>
  <si>
    <t>16/11/2011</t>
  </si>
  <si>
    <t>17/11/2011</t>
  </si>
  <si>
    <t>18/11/2011</t>
  </si>
  <si>
    <t>21/11/2011</t>
  </si>
  <si>
    <t>22/11/2011</t>
  </si>
  <si>
    <t>23/11/2011</t>
  </si>
  <si>
    <t>24/11/2011</t>
  </si>
  <si>
    <t>25/11/2011</t>
  </si>
  <si>
    <t>28/11/2011</t>
  </si>
  <si>
    <t>29/11/2011</t>
  </si>
  <si>
    <t>30/11/2011</t>
  </si>
  <si>
    <t>01/12/2011</t>
  </si>
  <si>
    <t>02/12/2011</t>
  </si>
  <si>
    <t>05/12/2011</t>
  </si>
  <si>
    <t>06/12/2011</t>
  </si>
  <si>
    <t>07/12/2011</t>
  </si>
  <si>
    <t>08/12/2011</t>
  </si>
  <si>
    <t>09/12/2011</t>
  </si>
  <si>
    <t>12/12/2011</t>
  </si>
  <si>
    <t>13/12/2011</t>
  </si>
  <si>
    <t>14/12/2011</t>
  </si>
  <si>
    <t>15/12/2011</t>
  </si>
  <si>
    <t>16/12/2011</t>
  </si>
  <si>
    <t>19/12/2011</t>
  </si>
  <si>
    <t>20/12/2011</t>
  </si>
  <si>
    <t>21/12/2011</t>
  </si>
  <si>
    <t>22/12/2011</t>
  </si>
  <si>
    <t>23/12/2011</t>
  </si>
  <si>
    <t>26/12/2011</t>
  </si>
  <si>
    <t>27/12/2011</t>
  </si>
  <si>
    <t>28/12/2011</t>
  </si>
  <si>
    <t>29/12/2011</t>
  </si>
  <si>
    <t>02/01/2012</t>
  </si>
  <si>
    <t>03/01/2012</t>
  </si>
  <si>
    <t>04/01/2012</t>
  </si>
  <si>
    <t>05/01/2012</t>
  </si>
  <si>
    <t>06/01/2012</t>
  </si>
  <si>
    <t>09/01/2012</t>
  </si>
  <si>
    <t>10/01/2012</t>
  </si>
  <si>
    <t>11/01/2012</t>
  </si>
  <si>
    <t>12/01/2012</t>
  </si>
  <si>
    <t>13/01/2012</t>
  </si>
  <si>
    <t>16/01/2012</t>
  </si>
  <si>
    <t>17/01/2012</t>
  </si>
  <si>
    <t>18/01/2012</t>
  </si>
  <si>
    <t>19/01/2012</t>
  </si>
  <si>
    <t>20/01/2012</t>
  </si>
  <si>
    <t>23/01/2012</t>
  </si>
  <si>
    <t>24/01/2012</t>
  </si>
  <si>
    <t>26/01/2012</t>
  </si>
  <si>
    <t>27/01/2012</t>
  </si>
  <si>
    <t>30/01/2012</t>
  </si>
  <si>
    <t>31/01/2012</t>
  </si>
  <si>
    <t>01/02/2012</t>
  </si>
  <si>
    <t>02/02/2012</t>
  </si>
  <si>
    <t>03/02/2012</t>
  </si>
  <si>
    <t>06/02/2012</t>
  </si>
  <si>
    <t>07/02/2012</t>
  </si>
  <si>
    <t>08/02/2012</t>
  </si>
  <si>
    <t>09/02/2012</t>
  </si>
  <si>
    <t>10/02/2012</t>
  </si>
  <si>
    <t>13/02/2012</t>
  </si>
  <si>
    <t>14/02/2012</t>
  </si>
  <si>
    <t>15/02/2012</t>
  </si>
  <si>
    <t>16/02/2012</t>
  </si>
  <si>
    <t>17/02/2012</t>
  </si>
  <si>
    <t>22/02/2012</t>
  </si>
  <si>
    <t>23/02/2012</t>
  </si>
  <si>
    <t>24/02/2012</t>
  </si>
  <si>
    <t>27/02/2012</t>
  </si>
  <si>
    <t>28/02/2012</t>
  </si>
  <si>
    <t>29/02/2012</t>
  </si>
  <si>
    <t>01/03/2012</t>
  </si>
  <si>
    <t>02/03/2012</t>
  </si>
  <si>
    <t>05/03/2012</t>
  </si>
  <si>
    <t>Qual é O VaR paramétrico para 1 dia do papel abaixo com probabilidade de 95% e posição de 10.000.000?</t>
  </si>
  <si>
    <t>volatilidade</t>
  </si>
  <si>
    <t>esta z(95%)</t>
  </si>
  <si>
    <t>Posição</t>
  </si>
  <si>
    <t>O VaR é de_______, ou seja, existe 95% de probabilidade da carteira não perder mais que ______ em 1 dia. Ou, de outra forma, existe 5% de probabildiade da carteira perder mais que ______ em 1dia</t>
  </si>
  <si>
    <t>O VaR é de ______, ou seja, existe 95% de probabilidade da carteira não perder mais que _______ em 1 dia. Ou, de outra forma, existe 5% de probabildiade da carteira perder mais que ______ em 1dia</t>
  </si>
  <si>
    <t>Média</t>
  </si>
  <si>
    <t>Var 95% Paramétrico</t>
  </si>
  <si>
    <t>Var histórico</t>
  </si>
  <si>
    <t>Desvio padrão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</si>
</sst>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%"/>
  </numFmts>
  <fonts count="5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FDCD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4D3CE"/>
      </bottom>
      <diagonal/>
    </border>
    <border>
      <left/>
      <right/>
      <top/>
      <bottom style="medium">
        <color rgb="FF8C8B86"/>
      </bottom>
      <diagonal/>
    </border>
  </borders>
  <cellStyleXfs count="5">
    <xf numFmtId="0" fontId="0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5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4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1"/>
    <xf numFmtId="0" fontId="3" fillId="0" borderId="0" xfId="1" applyFont="1"/>
    <xf numFmtId="43" fontId="0" fillId="0" borderId="0" xfId="3" applyFont="1"/>
    <xf numFmtId="43" fontId="2" fillId="3" borderId="0" xfId="1" applyNumberFormat="1" applyFill="1"/>
    <xf numFmtId="43" fontId="2" fillId="0" borderId="0" xfId="1" applyNumberFormat="1"/>
    <xf numFmtId="43" fontId="0" fillId="3" borderId="0" xfId="3" applyFont="1" applyFill="1"/>
    <xf numFmtId="3" fontId="2" fillId="0" borderId="0" xfId="1" applyNumberFormat="1"/>
    <xf numFmtId="10" fontId="0" fillId="3" borderId="0" xfId="2" applyNumberFormat="1" applyFont="1" applyFill="1"/>
    <xf numFmtId="0" fontId="2" fillId="3" borderId="0" xfId="1" applyFill="1"/>
    <xf numFmtId="10" fontId="2" fillId="0" borderId="0" xfId="4" applyNumberFormat="1" applyFont="1"/>
    <xf numFmtId="10" fontId="0" fillId="0" borderId="0" xfId="4" applyNumberFormat="1" applyFont="1"/>
    <xf numFmtId="164" fontId="0" fillId="0" borderId="0" xfId="4" applyNumberFormat="1" applyFont="1"/>
    <xf numFmtId="10" fontId="2" fillId="0" borderId="0" xfId="1" applyNumberFormat="1"/>
    <xf numFmtId="164" fontId="0" fillId="3" borderId="0" xfId="4" applyNumberFormat="1" applyFont="1" applyFill="1"/>
    <xf numFmtId="10" fontId="0" fillId="0" borderId="0" xfId="0" applyNumberFormat="1"/>
  </cellXfs>
  <cellStyles count="5">
    <cellStyle name="Normal" xfId="0" builtinId="0"/>
    <cellStyle name="Normal 2" xfId="1" xr:uid="{00000000-0005-0000-0000-000001000000}"/>
    <cellStyle name="Porcentagem" xfId="4" builtinId="5"/>
    <cellStyle name="Porcentagem 2" xfId="2" xr:uid="{00000000-0005-0000-0000-000003000000}"/>
    <cellStyle name="Vírgula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3"/>
  <sheetViews>
    <sheetView showGridLines="0" tabSelected="1" topLeftCell="A10" workbookViewId="0">
      <selection activeCell="B8" sqref="B8"/>
    </sheetView>
  </sheetViews>
  <sheetFormatPr defaultColWidth="9.140625" defaultRowHeight="15" x14ac:dyDescent="0.25"/>
  <cols>
    <col min="1" max="1" width="52.42578125" style="10" customWidth="1"/>
    <col min="2" max="2" width="17.85546875" style="10" bestFit="1" customWidth="1"/>
    <col min="3" max="7" width="9.140625" style="10"/>
    <col min="8" max="8" width="15.28515625" style="10" bestFit="1" customWidth="1"/>
    <col min="9" max="16384" width="9.140625" style="10"/>
  </cols>
  <sheetData>
    <row r="1" spans="1:2" x14ac:dyDescent="0.25">
      <c r="A1" s="10" t="s">
        <v>9</v>
      </c>
    </row>
    <row r="3" spans="1:2" x14ac:dyDescent="0.25">
      <c r="A3" s="11" t="s">
        <v>10</v>
      </c>
    </row>
    <row r="4" spans="1:2" x14ac:dyDescent="0.25">
      <c r="A4" s="11"/>
    </row>
    <row r="5" spans="1:2" x14ac:dyDescent="0.25">
      <c r="A5" s="10" t="s">
        <v>11</v>
      </c>
    </row>
    <row r="6" spans="1:2" x14ac:dyDescent="0.25">
      <c r="A6" s="10" t="s">
        <v>12</v>
      </c>
    </row>
    <row r="8" spans="1:2" x14ac:dyDescent="0.25">
      <c r="A8" s="10" t="s">
        <v>13</v>
      </c>
      <c r="B8" s="17">
        <f>PERCENTILE(C23:C313,5%)</f>
        <v>-2.5597673675654256E-2</v>
      </c>
    </row>
    <row r="10" spans="1:2" x14ac:dyDescent="0.25">
      <c r="A10" s="10" t="s">
        <v>14</v>
      </c>
    </row>
    <row r="12" spans="1:2" x14ac:dyDescent="0.25">
      <c r="A12" s="10" t="s">
        <v>15</v>
      </c>
      <c r="B12" s="12">
        <v>10000000</v>
      </c>
    </row>
    <row r="13" spans="1:2" x14ac:dyDescent="0.25">
      <c r="A13" s="10" t="s">
        <v>16</v>
      </c>
      <c r="B13" s="13">
        <f>B12*B8</f>
        <v>-255976.73675654255</v>
      </c>
    </row>
    <row r="14" spans="1:2" x14ac:dyDescent="0.25">
      <c r="B14" s="14"/>
    </row>
    <row r="15" spans="1:2" x14ac:dyDescent="0.25">
      <c r="A15" s="11" t="s">
        <v>318</v>
      </c>
    </row>
    <row r="16" spans="1:2" x14ac:dyDescent="0.25">
      <c r="A16" s="11"/>
    </row>
    <row r="17" spans="1:3" x14ac:dyDescent="0.25">
      <c r="A17" s="11" t="s">
        <v>17</v>
      </c>
    </row>
    <row r="18" spans="1:3" x14ac:dyDescent="0.25">
      <c r="A18" s="11" t="s">
        <v>18</v>
      </c>
      <c r="B18" s="15">
        <f>B13*SQRT(4)</f>
        <v>-511953.4735130851</v>
      </c>
    </row>
    <row r="19" spans="1:3" x14ac:dyDescent="0.25">
      <c r="A19" s="11"/>
    </row>
    <row r="20" spans="1:3" x14ac:dyDescent="0.25">
      <c r="B20" s="10" t="s">
        <v>19</v>
      </c>
    </row>
    <row r="21" spans="1:3" x14ac:dyDescent="0.25">
      <c r="A21" s="10" t="s">
        <v>0</v>
      </c>
      <c r="B21" s="10" t="s">
        <v>20</v>
      </c>
      <c r="C21" s="10" t="s">
        <v>21</v>
      </c>
    </row>
    <row r="22" spans="1:3" x14ac:dyDescent="0.25">
      <c r="A22" s="10" t="s">
        <v>22</v>
      </c>
      <c r="B22" s="10">
        <v>46.613158541848001</v>
      </c>
    </row>
    <row r="23" spans="1:3" x14ac:dyDescent="0.25">
      <c r="A23" s="10" t="s">
        <v>23</v>
      </c>
      <c r="B23" s="10">
        <v>47.481900775192997</v>
      </c>
      <c r="C23" s="19">
        <f t="shared" ref="C23:C86" si="0">LN(B23/B22)</f>
        <v>1.8465728701336791E-2</v>
      </c>
    </row>
    <row r="24" spans="1:3" x14ac:dyDescent="0.25">
      <c r="A24" s="10" t="s">
        <v>24</v>
      </c>
      <c r="B24" s="10">
        <v>48.163816721796998</v>
      </c>
      <c r="C24" s="19">
        <f t="shared" si="0"/>
        <v>1.4259446612171576E-2</v>
      </c>
    </row>
    <row r="25" spans="1:3" x14ac:dyDescent="0.25">
      <c r="A25" s="10" t="s">
        <v>25</v>
      </c>
      <c r="B25" s="10">
        <v>47.939625177708002</v>
      </c>
      <c r="C25" s="19">
        <f t="shared" si="0"/>
        <v>-4.665638323549927E-3</v>
      </c>
    </row>
    <row r="26" spans="1:3" x14ac:dyDescent="0.25">
      <c r="A26" s="10" t="s">
        <v>26</v>
      </c>
      <c r="B26" s="10">
        <v>47.547289975551998</v>
      </c>
      <c r="C26" s="19">
        <f t="shared" si="0"/>
        <v>-8.2176161909621875E-3</v>
      </c>
    </row>
    <row r="27" spans="1:3" x14ac:dyDescent="0.25">
      <c r="A27" s="10" t="s">
        <v>27</v>
      </c>
      <c r="B27" s="10">
        <v>47.687409690608</v>
      </c>
      <c r="C27" s="19">
        <f t="shared" si="0"/>
        <v>2.9426210542048844E-3</v>
      </c>
    </row>
    <row r="28" spans="1:3" x14ac:dyDescent="0.25">
      <c r="A28" s="10" t="s">
        <v>28</v>
      </c>
      <c r="B28" s="10">
        <v>48.070403578426998</v>
      </c>
      <c r="C28" s="19">
        <f t="shared" si="0"/>
        <v>7.9992622429278203E-3</v>
      </c>
    </row>
    <row r="29" spans="1:3" x14ac:dyDescent="0.25">
      <c r="A29" s="10" t="s">
        <v>29</v>
      </c>
      <c r="B29" s="10">
        <v>48.967169754783001</v>
      </c>
      <c r="C29" s="19">
        <f t="shared" si="0"/>
        <v>1.8483391041658102E-2</v>
      </c>
    </row>
    <row r="30" spans="1:3" x14ac:dyDescent="0.25">
      <c r="A30" s="10" t="s">
        <v>30</v>
      </c>
      <c r="B30" s="10">
        <v>48.808367411052998</v>
      </c>
      <c r="C30" s="19">
        <f t="shared" si="0"/>
        <v>-3.2483070503452295E-3</v>
      </c>
    </row>
    <row r="31" spans="1:3" x14ac:dyDescent="0.25">
      <c r="A31" s="10" t="s">
        <v>31</v>
      </c>
      <c r="B31" s="10">
        <v>49.088606841164001</v>
      </c>
      <c r="C31" s="19">
        <f t="shared" si="0"/>
        <v>5.7252064780334627E-3</v>
      </c>
    </row>
    <row r="32" spans="1:3" x14ac:dyDescent="0.25">
      <c r="A32" s="10" t="s">
        <v>32</v>
      </c>
      <c r="B32" s="10">
        <v>49.68076094197</v>
      </c>
      <c r="C32" s="19">
        <f t="shared" si="0"/>
        <v>1.1990786395045902E-2</v>
      </c>
    </row>
    <row r="33" spans="1:3" x14ac:dyDescent="0.25">
      <c r="A33" s="10" t="s">
        <v>33</v>
      </c>
      <c r="B33" s="10">
        <v>50.197681458771001</v>
      </c>
      <c r="C33" s="19">
        <f t="shared" si="0"/>
        <v>1.0351085175542426E-2</v>
      </c>
    </row>
    <row r="34" spans="1:3" x14ac:dyDescent="0.25">
      <c r="A34" s="10" t="s">
        <v>34</v>
      </c>
      <c r="B34" s="10">
        <v>49.511586954654</v>
      </c>
      <c r="C34" s="19">
        <f t="shared" si="0"/>
        <v>-1.3762117476593403E-2</v>
      </c>
    </row>
    <row r="35" spans="1:3" x14ac:dyDescent="0.25">
      <c r="A35" s="10" t="s">
        <v>35</v>
      </c>
      <c r="B35" s="10">
        <v>48.985267883002003</v>
      </c>
      <c r="C35" s="19">
        <f t="shared" si="0"/>
        <v>-1.0687124618444068E-2</v>
      </c>
    </row>
    <row r="36" spans="1:3" x14ac:dyDescent="0.25">
      <c r="A36" s="10" t="s">
        <v>36</v>
      </c>
      <c r="B36" s="10">
        <v>49.351811522188001</v>
      </c>
      <c r="C36" s="19">
        <f t="shared" si="0"/>
        <v>7.4548753931249047E-3</v>
      </c>
    </row>
    <row r="37" spans="1:3" x14ac:dyDescent="0.25">
      <c r="A37" s="10" t="s">
        <v>37</v>
      </c>
      <c r="B37" s="10">
        <v>49.567978283758997</v>
      </c>
      <c r="C37" s="19">
        <f t="shared" si="0"/>
        <v>4.3705532753687557E-3</v>
      </c>
    </row>
    <row r="38" spans="1:3" x14ac:dyDescent="0.25">
      <c r="A38" s="10" t="s">
        <v>38</v>
      </c>
      <c r="B38" s="10">
        <v>49.304818747934</v>
      </c>
      <c r="C38" s="19">
        <f t="shared" si="0"/>
        <v>-5.3232064863967506E-3</v>
      </c>
    </row>
    <row r="39" spans="1:3" x14ac:dyDescent="0.25">
      <c r="A39" s="10" t="s">
        <v>39</v>
      </c>
      <c r="B39" s="10">
        <v>48.966470773300003</v>
      </c>
      <c r="C39" s="19">
        <f t="shared" si="0"/>
        <v>-6.886025679423171E-3</v>
      </c>
    </row>
    <row r="40" spans="1:3" x14ac:dyDescent="0.25">
      <c r="A40" s="10" t="s">
        <v>40</v>
      </c>
      <c r="B40" s="10">
        <v>47.979622513953998</v>
      </c>
      <c r="C40" s="19">
        <f t="shared" si="0"/>
        <v>-2.0359404148631379E-2</v>
      </c>
    </row>
    <row r="41" spans="1:3" x14ac:dyDescent="0.25">
      <c r="A41" s="10" t="s">
        <v>41</v>
      </c>
      <c r="B41" s="10">
        <v>47.923231184847999</v>
      </c>
      <c r="C41" s="19">
        <f t="shared" si="0"/>
        <v>-1.1760095436199878E-3</v>
      </c>
    </row>
    <row r="42" spans="1:3" x14ac:dyDescent="0.25">
      <c r="A42" s="10" t="s">
        <v>42</v>
      </c>
      <c r="B42" s="10">
        <v>48.750304011729</v>
      </c>
      <c r="C42" s="19">
        <f t="shared" si="0"/>
        <v>1.7111053296242792E-2</v>
      </c>
    </row>
    <row r="43" spans="1:3" x14ac:dyDescent="0.25">
      <c r="A43" s="10" t="s">
        <v>43</v>
      </c>
      <c r="B43" s="10">
        <v>48.073608062463002</v>
      </c>
      <c r="C43" s="19">
        <f t="shared" si="0"/>
        <v>-1.3978095965666312E-2</v>
      </c>
    </row>
    <row r="44" spans="1:3" x14ac:dyDescent="0.25">
      <c r="A44" s="10" t="s">
        <v>44</v>
      </c>
      <c r="B44" s="10">
        <v>48.120600836717003</v>
      </c>
      <c r="C44" s="19">
        <f t="shared" si="0"/>
        <v>9.7703964781396769E-4</v>
      </c>
    </row>
    <row r="45" spans="1:3" x14ac:dyDescent="0.25">
      <c r="A45" s="10" t="s">
        <v>45</v>
      </c>
      <c r="B45" s="10">
        <v>47.359317893792998</v>
      </c>
      <c r="C45" s="19">
        <f t="shared" si="0"/>
        <v>-1.5946789352942338E-2</v>
      </c>
    </row>
    <row r="46" spans="1:3" x14ac:dyDescent="0.25">
      <c r="A46" s="10" t="s">
        <v>46</v>
      </c>
      <c r="B46" s="10">
        <v>47.293528009836002</v>
      </c>
      <c r="C46" s="19">
        <f t="shared" si="0"/>
        <v>-1.390130300333182E-3</v>
      </c>
    </row>
    <row r="47" spans="1:3" x14ac:dyDescent="0.25">
      <c r="A47" s="10" t="s">
        <v>47</v>
      </c>
      <c r="B47" s="10">
        <v>46.908187260948999</v>
      </c>
      <c r="C47" s="19">
        <f t="shared" si="0"/>
        <v>-8.1812289106507879E-3</v>
      </c>
    </row>
    <row r="48" spans="1:3" x14ac:dyDescent="0.25">
      <c r="A48" s="10" t="s">
        <v>48</v>
      </c>
      <c r="B48" s="10">
        <v>45.761563569136001</v>
      </c>
      <c r="C48" s="19">
        <f t="shared" si="0"/>
        <v>-2.4747713286921009E-2</v>
      </c>
    </row>
    <row r="49" spans="1:3" x14ac:dyDescent="0.25">
      <c r="A49" s="10" t="s">
        <v>49</v>
      </c>
      <c r="B49" s="10">
        <v>45.968331775856001</v>
      </c>
      <c r="C49" s="19">
        <f t="shared" si="0"/>
        <v>4.5082043566504956E-3</v>
      </c>
    </row>
    <row r="50" spans="1:3" x14ac:dyDescent="0.25">
      <c r="A50" s="10" t="s">
        <v>50</v>
      </c>
      <c r="B50" s="10">
        <v>46.682621944525998</v>
      </c>
      <c r="C50" s="19">
        <f t="shared" si="0"/>
        <v>1.5419254567992809E-2</v>
      </c>
    </row>
    <row r="51" spans="1:3" x14ac:dyDescent="0.25">
      <c r="A51" s="10" t="s">
        <v>51</v>
      </c>
      <c r="B51" s="10">
        <v>47.547288990810998</v>
      </c>
      <c r="C51" s="19">
        <f t="shared" si="0"/>
        <v>1.8352799184590721E-2</v>
      </c>
    </row>
    <row r="52" spans="1:3" x14ac:dyDescent="0.25">
      <c r="A52" s="10" t="s">
        <v>52</v>
      </c>
      <c r="B52" s="10">
        <v>47.124354022520002</v>
      </c>
      <c r="C52" s="19">
        <f t="shared" si="0"/>
        <v>-8.9348355736875509E-3</v>
      </c>
    </row>
    <row r="53" spans="1:3" x14ac:dyDescent="0.25">
      <c r="A53" s="10" t="s">
        <v>53</v>
      </c>
      <c r="B53" s="10">
        <v>47.425107777748998</v>
      </c>
      <c r="C53" s="19">
        <f t="shared" si="0"/>
        <v>6.3618504827539944E-3</v>
      </c>
    </row>
    <row r="54" spans="1:3" x14ac:dyDescent="0.25">
      <c r="A54" s="10" t="s">
        <v>54</v>
      </c>
      <c r="B54" s="10">
        <v>47.566086100512997</v>
      </c>
      <c r="C54" s="19">
        <f t="shared" si="0"/>
        <v>2.9682420130788018E-3</v>
      </c>
    </row>
    <row r="55" spans="1:3" x14ac:dyDescent="0.25">
      <c r="A55" s="10" t="s">
        <v>55</v>
      </c>
      <c r="B55" s="10">
        <v>47.218339571028999</v>
      </c>
      <c r="C55" s="19">
        <f t="shared" si="0"/>
        <v>-7.33766306604146E-3</v>
      </c>
    </row>
    <row r="56" spans="1:3" x14ac:dyDescent="0.25">
      <c r="A56" s="10" t="s">
        <v>56</v>
      </c>
      <c r="B56" s="10">
        <v>46.240889866533003</v>
      </c>
      <c r="C56" s="19">
        <f t="shared" si="0"/>
        <v>-2.0917898661684486E-2</v>
      </c>
    </row>
    <row r="57" spans="1:3" x14ac:dyDescent="0.25">
      <c r="A57" s="10" t="s">
        <v>57</v>
      </c>
      <c r="B57" s="10">
        <v>45.395019929950003</v>
      </c>
      <c r="C57" s="19">
        <f t="shared" si="0"/>
        <v>-1.8462062839737139E-2</v>
      </c>
    </row>
    <row r="58" spans="1:3" x14ac:dyDescent="0.25">
      <c r="A58" s="10" t="s">
        <v>58</v>
      </c>
      <c r="B58" s="10">
        <v>46.287882640787998</v>
      </c>
      <c r="C58" s="19">
        <f t="shared" si="0"/>
        <v>1.9477806959580957E-2</v>
      </c>
    </row>
    <row r="59" spans="1:3" x14ac:dyDescent="0.25">
      <c r="A59" s="10" t="s">
        <v>59</v>
      </c>
      <c r="B59" s="10">
        <v>46.287882640787998</v>
      </c>
      <c r="C59" s="19">
        <f t="shared" si="0"/>
        <v>0</v>
      </c>
    </row>
    <row r="60" spans="1:3" x14ac:dyDescent="0.25">
      <c r="A60" s="10" t="s">
        <v>60</v>
      </c>
      <c r="B60" s="10">
        <v>46.297281195639002</v>
      </c>
      <c r="C60" s="19">
        <f t="shared" si="0"/>
        <v>2.0302507429584518E-4</v>
      </c>
    </row>
    <row r="61" spans="1:3" x14ac:dyDescent="0.25">
      <c r="A61" s="10" t="s">
        <v>61</v>
      </c>
      <c r="B61" s="10">
        <v>46.616832060569998</v>
      </c>
      <c r="C61" s="19">
        <f t="shared" si="0"/>
        <v>6.8784410384826918E-3</v>
      </c>
    </row>
    <row r="62" spans="1:3" x14ac:dyDescent="0.25">
      <c r="A62" s="10" t="s">
        <v>62</v>
      </c>
      <c r="B62" s="10">
        <v>45.911940446750997</v>
      </c>
      <c r="C62" s="19">
        <f t="shared" si="0"/>
        <v>-1.5236455242087813E-2</v>
      </c>
    </row>
    <row r="63" spans="1:3" x14ac:dyDescent="0.25">
      <c r="A63" s="10" t="s">
        <v>63</v>
      </c>
      <c r="B63" s="10">
        <v>46.485252292657002</v>
      </c>
      <c r="C63" s="19">
        <f t="shared" si="0"/>
        <v>1.2409883604474026E-2</v>
      </c>
    </row>
    <row r="64" spans="1:3" x14ac:dyDescent="0.25">
      <c r="A64" s="10" t="s">
        <v>64</v>
      </c>
      <c r="B64" s="10">
        <v>46.616832060569998</v>
      </c>
      <c r="C64" s="19">
        <f t="shared" si="0"/>
        <v>2.8265716376138336E-3</v>
      </c>
    </row>
    <row r="65" spans="1:3" x14ac:dyDescent="0.25">
      <c r="A65" s="10" t="s">
        <v>65</v>
      </c>
      <c r="B65" s="10">
        <v>46.099911543768997</v>
      </c>
      <c r="C65" s="19">
        <f t="shared" si="0"/>
        <v>-1.11506477195168E-2</v>
      </c>
    </row>
    <row r="66" spans="1:3" x14ac:dyDescent="0.25">
      <c r="A66" s="10" t="s">
        <v>66</v>
      </c>
      <c r="B66" s="10">
        <v>44.765316754937999</v>
      </c>
      <c r="C66" s="19">
        <f t="shared" si="0"/>
        <v>-2.9377371198606891E-2</v>
      </c>
    </row>
    <row r="67" spans="1:3" x14ac:dyDescent="0.25">
      <c r="A67" s="10" t="s">
        <v>67</v>
      </c>
      <c r="B67" s="10">
        <v>43.289743643344003</v>
      </c>
      <c r="C67" s="19">
        <f t="shared" si="0"/>
        <v>-3.3517920420214981E-2</v>
      </c>
    </row>
    <row r="68" spans="1:3" x14ac:dyDescent="0.25">
      <c r="A68" s="10" t="s">
        <v>68</v>
      </c>
      <c r="B68" s="10">
        <v>43.928845373206002</v>
      </c>
      <c r="C68" s="19">
        <f t="shared" si="0"/>
        <v>1.4655434718157905E-2</v>
      </c>
    </row>
    <row r="69" spans="1:3" x14ac:dyDescent="0.25">
      <c r="A69" s="10" t="s">
        <v>69</v>
      </c>
      <c r="B69" s="10">
        <v>43.834859824696998</v>
      </c>
      <c r="C69" s="19">
        <f t="shared" si="0"/>
        <v>-2.1417870684701914E-3</v>
      </c>
    </row>
    <row r="70" spans="1:3" x14ac:dyDescent="0.25">
      <c r="A70" s="10" t="s">
        <v>70</v>
      </c>
      <c r="B70" s="10">
        <v>43.101772546325002</v>
      </c>
      <c r="C70" s="19">
        <f t="shared" si="0"/>
        <v>-1.6865264612481647E-2</v>
      </c>
    </row>
    <row r="71" spans="1:3" x14ac:dyDescent="0.25">
      <c r="A71" s="10" t="s">
        <v>71</v>
      </c>
      <c r="B71" s="10">
        <v>42.011540183618997</v>
      </c>
      <c r="C71" s="19">
        <f t="shared" si="0"/>
        <v>-2.5619775810214646E-2</v>
      </c>
    </row>
    <row r="72" spans="1:3" x14ac:dyDescent="0.25">
      <c r="A72" s="10" t="s">
        <v>72</v>
      </c>
      <c r="B72" s="10">
        <v>43.158163875431001</v>
      </c>
      <c r="C72" s="19">
        <f t="shared" si="0"/>
        <v>2.6927250391778203E-2</v>
      </c>
    </row>
    <row r="73" spans="1:3" x14ac:dyDescent="0.25">
      <c r="A73" s="10" t="s">
        <v>73</v>
      </c>
      <c r="B73" s="10">
        <v>44.013432366864997</v>
      </c>
      <c r="C73" s="19">
        <f t="shared" si="0"/>
        <v>1.9623271184142855E-2</v>
      </c>
    </row>
    <row r="74" spans="1:3" x14ac:dyDescent="0.25">
      <c r="A74" s="10" t="s">
        <v>74</v>
      </c>
      <c r="B74" s="10">
        <v>44.060425141118998</v>
      </c>
      <c r="C74" s="19">
        <f t="shared" si="0"/>
        <v>1.0671220732930923E-3</v>
      </c>
    </row>
    <row r="75" spans="1:3" x14ac:dyDescent="0.25">
      <c r="A75" s="10" t="s">
        <v>75</v>
      </c>
      <c r="B75" s="10">
        <v>43.872454044100998</v>
      </c>
      <c r="C75" s="19">
        <f t="shared" si="0"/>
        <v>-4.2753378503922485E-3</v>
      </c>
    </row>
    <row r="76" spans="1:3" x14ac:dyDescent="0.25">
      <c r="A76" s="10" t="s">
        <v>76</v>
      </c>
      <c r="B76" s="10">
        <v>44.520954328815002</v>
      </c>
      <c r="C76" s="19">
        <f t="shared" si="0"/>
        <v>1.4673309517314869E-2</v>
      </c>
    </row>
    <row r="77" spans="1:3" x14ac:dyDescent="0.25">
      <c r="A77" s="10" t="s">
        <v>77</v>
      </c>
      <c r="B77" s="10">
        <v>44.079222250820997</v>
      </c>
      <c r="C77" s="19">
        <f t="shared" si="0"/>
        <v>-9.9714414834425127E-3</v>
      </c>
    </row>
    <row r="78" spans="1:3" x14ac:dyDescent="0.25">
      <c r="A78" s="10" t="s">
        <v>78</v>
      </c>
      <c r="B78" s="10">
        <v>44.060425141118998</v>
      </c>
      <c r="C78" s="19">
        <f t="shared" si="0"/>
        <v>-4.2653018348004794E-4</v>
      </c>
    </row>
    <row r="79" spans="1:3" x14ac:dyDescent="0.25">
      <c r="A79" s="10" t="s">
        <v>79</v>
      </c>
      <c r="B79" s="10">
        <v>43.675084392232002</v>
      </c>
      <c r="C79" s="19">
        <f t="shared" si="0"/>
        <v>-8.7842021718524468E-3</v>
      </c>
    </row>
    <row r="80" spans="1:3" x14ac:dyDescent="0.25">
      <c r="A80" s="10" t="s">
        <v>80</v>
      </c>
      <c r="B80" s="10">
        <v>44.483360109411002</v>
      </c>
      <c r="C80" s="19">
        <f t="shared" si="0"/>
        <v>1.833740082126414E-2</v>
      </c>
    </row>
    <row r="81" spans="1:3" x14ac:dyDescent="0.25">
      <c r="A81" s="10" t="s">
        <v>81</v>
      </c>
      <c r="B81" s="10">
        <v>44.238997683287003</v>
      </c>
      <c r="C81" s="19">
        <f t="shared" si="0"/>
        <v>-5.508488505106642E-3</v>
      </c>
    </row>
    <row r="82" spans="1:3" x14ac:dyDescent="0.25">
      <c r="A82" s="10" t="s">
        <v>82</v>
      </c>
      <c r="B82" s="10">
        <v>44.539751438515999</v>
      </c>
      <c r="C82" s="19">
        <f t="shared" si="0"/>
        <v>6.7753805664350015E-3</v>
      </c>
    </row>
    <row r="83" spans="1:3" x14ac:dyDescent="0.25">
      <c r="A83" s="10" t="s">
        <v>83</v>
      </c>
      <c r="B83" s="10">
        <v>44.295389012392</v>
      </c>
      <c r="C83" s="19">
        <f t="shared" si="0"/>
        <v>-5.5014950438584415E-3</v>
      </c>
    </row>
    <row r="84" spans="1:3" x14ac:dyDescent="0.25">
      <c r="A84" s="10" t="s">
        <v>84</v>
      </c>
      <c r="B84" s="10">
        <v>45.338628600844999</v>
      </c>
      <c r="C84" s="19">
        <f t="shared" si="0"/>
        <v>2.3278811483306839E-2</v>
      </c>
    </row>
    <row r="85" spans="1:3" x14ac:dyDescent="0.25">
      <c r="A85" s="10" t="s">
        <v>85</v>
      </c>
      <c r="B85" s="10">
        <v>45.395019929950003</v>
      </c>
      <c r="C85" s="19">
        <f t="shared" si="0"/>
        <v>1.2430082395854906E-3</v>
      </c>
    </row>
    <row r="86" spans="1:3" x14ac:dyDescent="0.25">
      <c r="A86" s="10" t="s">
        <v>86</v>
      </c>
      <c r="B86" s="10">
        <v>44.981483516510004</v>
      </c>
      <c r="C86" s="19">
        <f t="shared" si="0"/>
        <v>-9.1514781782877086E-3</v>
      </c>
    </row>
    <row r="87" spans="1:3" x14ac:dyDescent="0.25">
      <c r="A87" s="10" t="s">
        <v>87</v>
      </c>
      <c r="B87" s="10">
        <v>44.567947103069002</v>
      </c>
      <c r="C87" s="19">
        <f t="shared" ref="C87:C150" si="1">LN(B87/B86)</f>
        <v>-9.2360018429781289E-3</v>
      </c>
    </row>
    <row r="88" spans="1:3" x14ac:dyDescent="0.25">
      <c r="A88" s="10" t="s">
        <v>88</v>
      </c>
      <c r="B88" s="10">
        <v>44.577345657919999</v>
      </c>
      <c r="C88" s="19">
        <f t="shared" si="1"/>
        <v>2.1085925223261778E-4</v>
      </c>
    </row>
    <row r="89" spans="1:3" x14ac:dyDescent="0.25">
      <c r="A89" s="10" t="s">
        <v>89</v>
      </c>
      <c r="B89" s="10">
        <v>44.483360109411002</v>
      </c>
      <c r="C89" s="19">
        <f t="shared" si="1"/>
        <v>-2.1105959713288358E-3</v>
      </c>
    </row>
    <row r="90" spans="1:3" x14ac:dyDescent="0.25">
      <c r="A90" s="10" t="s">
        <v>90</v>
      </c>
      <c r="B90" s="10">
        <v>43.637490172828002</v>
      </c>
      <c r="C90" s="19">
        <f t="shared" si="1"/>
        <v>-1.9198541886327941E-2</v>
      </c>
    </row>
    <row r="91" spans="1:3" x14ac:dyDescent="0.25">
      <c r="A91" s="10" t="s">
        <v>91</v>
      </c>
      <c r="B91" s="10">
        <v>43.158163875431001</v>
      </c>
      <c r="C91" s="19">
        <f t="shared" si="1"/>
        <v>-1.1045050020519608E-2</v>
      </c>
    </row>
    <row r="92" spans="1:3" x14ac:dyDescent="0.25">
      <c r="A92" s="10" t="s">
        <v>92</v>
      </c>
      <c r="B92" s="10">
        <v>43.632729582248999</v>
      </c>
      <c r="C92" s="19">
        <f t="shared" si="1"/>
        <v>1.0935950018317596E-2</v>
      </c>
    </row>
    <row r="93" spans="1:3" x14ac:dyDescent="0.25">
      <c r="A93" s="10" t="s">
        <v>93</v>
      </c>
      <c r="B93" s="10">
        <v>43.480334106737999</v>
      </c>
      <c r="C93" s="19">
        <f t="shared" si="1"/>
        <v>-3.4988008576728323E-3</v>
      </c>
    </row>
    <row r="94" spans="1:3" x14ac:dyDescent="0.25">
      <c r="A94" s="10" t="s">
        <v>94</v>
      </c>
      <c r="B94" s="10">
        <v>43.051721831862999</v>
      </c>
      <c r="C94" s="19">
        <f t="shared" si="1"/>
        <v>-9.9065202027978846E-3</v>
      </c>
    </row>
    <row r="95" spans="1:3" x14ac:dyDescent="0.25">
      <c r="A95" s="10" t="s">
        <v>95</v>
      </c>
      <c r="B95" s="10">
        <v>43.556531844493001</v>
      </c>
      <c r="C95" s="19">
        <f t="shared" si="1"/>
        <v>1.1657450831772611E-2</v>
      </c>
    </row>
    <row r="96" spans="1:3" x14ac:dyDescent="0.25">
      <c r="A96" s="10" t="s">
        <v>96</v>
      </c>
      <c r="B96" s="10">
        <v>44.289935070390001</v>
      </c>
      <c r="C96" s="19">
        <f t="shared" si="1"/>
        <v>1.6697774923351751E-2</v>
      </c>
    </row>
    <row r="97" spans="1:3" x14ac:dyDescent="0.25">
      <c r="A97" s="10" t="s">
        <v>97</v>
      </c>
      <c r="B97" s="10">
        <v>44.537577718096003</v>
      </c>
      <c r="C97" s="19">
        <f t="shared" si="1"/>
        <v>5.5758240105703051E-3</v>
      </c>
    </row>
    <row r="98" spans="1:3" x14ac:dyDescent="0.25">
      <c r="A98" s="10" t="s">
        <v>98</v>
      </c>
      <c r="B98" s="10">
        <v>44.566151869754002</v>
      </c>
      <c r="C98" s="19">
        <f t="shared" si="1"/>
        <v>6.4136827425005324E-4</v>
      </c>
    </row>
    <row r="99" spans="1:3" x14ac:dyDescent="0.25">
      <c r="A99" s="10" t="s">
        <v>99</v>
      </c>
      <c r="B99" s="10">
        <v>44.070866574343</v>
      </c>
      <c r="C99" s="19">
        <f t="shared" si="1"/>
        <v>-1.1175701959220958E-2</v>
      </c>
    </row>
    <row r="100" spans="1:3" x14ac:dyDescent="0.25">
      <c r="A100" s="10" t="s">
        <v>100</v>
      </c>
      <c r="B100" s="10">
        <v>43.861322795515001</v>
      </c>
      <c r="C100" s="19">
        <f t="shared" si="1"/>
        <v>-4.7660402176002582E-3</v>
      </c>
    </row>
    <row r="101" spans="1:3" x14ac:dyDescent="0.25">
      <c r="A101" s="10" t="s">
        <v>101</v>
      </c>
      <c r="B101" s="10">
        <v>43.880372229953998</v>
      </c>
      <c r="C101" s="19">
        <f t="shared" si="1"/>
        <v>4.3421624651260191E-4</v>
      </c>
    </row>
    <row r="102" spans="1:3" x14ac:dyDescent="0.25">
      <c r="A102" s="10" t="s">
        <v>102</v>
      </c>
      <c r="B102" s="10">
        <v>43.108870135179998</v>
      </c>
      <c r="C102" s="19">
        <f t="shared" si="1"/>
        <v>-1.7738338742421981E-2</v>
      </c>
    </row>
    <row r="103" spans="1:3" x14ac:dyDescent="0.25">
      <c r="A103" s="10" t="s">
        <v>103</v>
      </c>
      <c r="B103" s="10">
        <v>42.470714081476999</v>
      </c>
      <c r="C103" s="19">
        <f t="shared" si="1"/>
        <v>-1.4914021566020143E-2</v>
      </c>
    </row>
    <row r="104" spans="1:3" x14ac:dyDescent="0.25">
      <c r="A104" s="10" t="s">
        <v>104</v>
      </c>
      <c r="B104" s="10">
        <v>41.775409724458001</v>
      </c>
      <c r="C104" s="19">
        <f t="shared" si="1"/>
        <v>-1.6506875649642563E-2</v>
      </c>
    </row>
    <row r="105" spans="1:3" x14ac:dyDescent="0.25">
      <c r="A105" s="10" t="s">
        <v>105</v>
      </c>
      <c r="B105" s="10">
        <v>42.356417474844001</v>
      </c>
      <c r="C105" s="19">
        <f t="shared" si="1"/>
        <v>1.3812061532868727E-2</v>
      </c>
    </row>
    <row r="106" spans="1:3" x14ac:dyDescent="0.25">
      <c r="A106" s="10" t="s">
        <v>106</v>
      </c>
      <c r="B106" s="10">
        <v>42.242120868211003</v>
      </c>
      <c r="C106" s="19">
        <f t="shared" si="1"/>
        <v>-2.7020957670102173E-3</v>
      </c>
    </row>
    <row r="107" spans="1:3" x14ac:dyDescent="0.25">
      <c r="A107" s="10" t="s">
        <v>107</v>
      </c>
      <c r="B107" s="10">
        <v>42.337368040405003</v>
      </c>
      <c r="C107" s="19">
        <f t="shared" si="1"/>
        <v>2.2522532043159696E-3</v>
      </c>
    </row>
    <row r="108" spans="1:3" x14ac:dyDescent="0.25">
      <c r="A108" s="10" t="s">
        <v>108</v>
      </c>
      <c r="B108" s="10">
        <v>42.394516343722003</v>
      </c>
      <c r="C108" s="19">
        <f t="shared" si="1"/>
        <v>1.3489210678580216E-3</v>
      </c>
    </row>
    <row r="109" spans="1:3" x14ac:dyDescent="0.25">
      <c r="A109" s="10" t="s">
        <v>109</v>
      </c>
      <c r="B109" s="10">
        <v>41.118204236316998</v>
      </c>
      <c r="C109" s="19">
        <f t="shared" si="1"/>
        <v>-3.0568073460381831E-2</v>
      </c>
    </row>
    <row r="110" spans="1:3" x14ac:dyDescent="0.25">
      <c r="A110" s="10" t="s">
        <v>110</v>
      </c>
      <c r="B110" s="10">
        <v>41.003907629684001</v>
      </c>
      <c r="C110" s="19">
        <f t="shared" si="1"/>
        <v>-2.7835786936398015E-3</v>
      </c>
    </row>
    <row r="111" spans="1:3" x14ac:dyDescent="0.25">
      <c r="A111" s="10" t="s">
        <v>111</v>
      </c>
      <c r="B111" s="10">
        <v>40.260979686568</v>
      </c>
      <c r="C111" s="19">
        <f t="shared" si="1"/>
        <v>-1.8284616295035711E-2</v>
      </c>
    </row>
    <row r="112" spans="1:3" x14ac:dyDescent="0.25">
      <c r="A112" s="10" t="s">
        <v>112</v>
      </c>
      <c r="B112" s="10">
        <v>40.146683079934</v>
      </c>
      <c r="C112" s="19">
        <f t="shared" si="1"/>
        <v>-2.8429301308523511E-3</v>
      </c>
    </row>
    <row r="113" spans="1:3" x14ac:dyDescent="0.25">
      <c r="A113" s="10" t="s">
        <v>113</v>
      </c>
      <c r="B113" s="10">
        <v>40.622918940905997</v>
      </c>
      <c r="C113" s="19">
        <f t="shared" si="1"/>
        <v>1.179258948982516E-2</v>
      </c>
    </row>
    <row r="114" spans="1:3" x14ac:dyDescent="0.25">
      <c r="A114" s="10" t="s">
        <v>114</v>
      </c>
      <c r="B114" s="10">
        <v>40.775314416416997</v>
      </c>
      <c r="C114" s="19">
        <f t="shared" si="1"/>
        <v>3.7444462191660805E-3</v>
      </c>
    </row>
    <row r="115" spans="1:3" x14ac:dyDescent="0.25">
      <c r="A115" s="10" t="s">
        <v>115</v>
      </c>
      <c r="B115" s="10">
        <v>41.394421035680999</v>
      </c>
      <c r="C115" s="19">
        <f t="shared" si="1"/>
        <v>1.5069254671440538E-2</v>
      </c>
    </row>
    <row r="116" spans="1:3" x14ac:dyDescent="0.25">
      <c r="A116" s="10" t="s">
        <v>116</v>
      </c>
      <c r="B116" s="10">
        <v>41.670637835045</v>
      </c>
      <c r="C116" s="19">
        <f t="shared" si="1"/>
        <v>6.6506379753464582E-3</v>
      </c>
    </row>
    <row r="117" spans="1:3" x14ac:dyDescent="0.25">
      <c r="A117" s="10" t="s">
        <v>117</v>
      </c>
      <c r="B117" s="10">
        <v>41.623014248947001</v>
      </c>
      <c r="C117" s="19">
        <f t="shared" si="1"/>
        <v>-1.1435107020982779E-3</v>
      </c>
    </row>
    <row r="118" spans="1:3" x14ac:dyDescent="0.25">
      <c r="A118" s="10" t="s">
        <v>118</v>
      </c>
      <c r="B118" s="10">
        <v>42.032577089382997</v>
      </c>
      <c r="C118" s="19">
        <f t="shared" si="1"/>
        <v>9.7917211799144546E-3</v>
      </c>
    </row>
    <row r="119" spans="1:3" x14ac:dyDescent="0.25">
      <c r="A119" s="10" t="s">
        <v>119</v>
      </c>
      <c r="B119" s="10">
        <v>41.956379351628001</v>
      </c>
      <c r="C119" s="19">
        <f t="shared" si="1"/>
        <v>-1.8144708992550436E-3</v>
      </c>
    </row>
    <row r="120" spans="1:3" x14ac:dyDescent="0.25">
      <c r="A120" s="10" t="s">
        <v>120</v>
      </c>
      <c r="B120" s="10">
        <v>42.651683708646999</v>
      </c>
      <c r="C120" s="19">
        <f t="shared" si="1"/>
        <v>1.6436258788419429E-2</v>
      </c>
    </row>
    <row r="121" spans="1:3" x14ac:dyDescent="0.25">
      <c r="A121" s="10" t="s">
        <v>121</v>
      </c>
      <c r="B121" s="10">
        <v>42.813603901377</v>
      </c>
      <c r="C121" s="19">
        <f t="shared" si="1"/>
        <v>3.7891497470097938E-3</v>
      </c>
    </row>
    <row r="122" spans="1:3" x14ac:dyDescent="0.25">
      <c r="A122" s="10" t="s">
        <v>122</v>
      </c>
      <c r="B122" s="10">
        <v>42.661208425866</v>
      </c>
      <c r="C122" s="19">
        <f t="shared" si="1"/>
        <v>-3.5658606984201036E-3</v>
      </c>
    </row>
    <row r="123" spans="1:3" x14ac:dyDescent="0.25">
      <c r="A123" s="10" t="s">
        <v>123</v>
      </c>
      <c r="B123" s="10">
        <v>42.708832011962997</v>
      </c>
      <c r="C123" s="19">
        <f t="shared" si="1"/>
        <v>1.1156979847457827E-3</v>
      </c>
    </row>
    <row r="124" spans="1:3" x14ac:dyDescent="0.25">
      <c r="A124" s="10" t="s">
        <v>124</v>
      </c>
      <c r="B124" s="10">
        <v>42.365942192063997</v>
      </c>
      <c r="C124" s="19">
        <f t="shared" si="1"/>
        <v>-8.0609482616135486E-3</v>
      </c>
    </row>
    <row r="125" spans="1:3" x14ac:dyDescent="0.25">
      <c r="A125" s="10" t="s">
        <v>125</v>
      </c>
      <c r="B125" s="10">
        <v>42.585010688110998</v>
      </c>
      <c r="C125" s="19">
        <f t="shared" si="1"/>
        <v>5.1575403035601687E-3</v>
      </c>
    </row>
    <row r="126" spans="1:3" x14ac:dyDescent="0.25">
      <c r="A126" s="10" t="s">
        <v>126</v>
      </c>
      <c r="B126" s="10">
        <v>42.375466909282999</v>
      </c>
      <c r="C126" s="19">
        <f t="shared" si="1"/>
        <v>-4.9327454279470447E-3</v>
      </c>
    </row>
    <row r="127" spans="1:3" x14ac:dyDescent="0.25">
      <c r="A127" s="10" t="s">
        <v>127</v>
      </c>
      <c r="B127" s="10">
        <v>41.984953503286</v>
      </c>
      <c r="C127" s="19">
        <f t="shared" si="1"/>
        <v>-9.2582799732916273E-3</v>
      </c>
    </row>
    <row r="128" spans="1:3" x14ac:dyDescent="0.25">
      <c r="A128" s="10" t="s">
        <v>128</v>
      </c>
      <c r="B128" s="10">
        <v>41.994478220505002</v>
      </c>
      <c r="C128" s="19">
        <f t="shared" si="1"/>
        <v>2.2683452517687682E-4</v>
      </c>
    </row>
    <row r="129" spans="1:3" x14ac:dyDescent="0.25">
      <c r="A129" s="10" t="s">
        <v>129</v>
      </c>
      <c r="B129" s="10">
        <v>41.984953503286</v>
      </c>
      <c r="C129" s="19">
        <f t="shared" si="1"/>
        <v>-2.2683452517677062E-4</v>
      </c>
    </row>
    <row r="130" spans="1:3" x14ac:dyDescent="0.25">
      <c r="A130" s="10" t="s">
        <v>130</v>
      </c>
      <c r="B130" s="10">
        <v>42.346892757625</v>
      </c>
      <c r="C130" s="19">
        <f t="shared" si="1"/>
        <v>8.5837436913991406E-3</v>
      </c>
    </row>
    <row r="131" spans="1:3" x14ac:dyDescent="0.25">
      <c r="A131" s="10" t="s">
        <v>131</v>
      </c>
      <c r="B131" s="10">
        <v>41.965904068847003</v>
      </c>
      <c r="C131" s="19">
        <f t="shared" si="1"/>
        <v>-9.0375671618640723E-3</v>
      </c>
    </row>
    <row r="132" spans="1:3" x14ac:dyDescent="0.25">
      <c r="A132" s="10" t="s">
        <v>132</v>
      </c>
      <c r="B132" s="10">
        <v>41.337272732363999</v>
      </c>
      <c r="C132" s="19">
        <f t="shared" si="1"/>
        <v>-1.5092900267839011E-2</v>
      </c>
    </row>
    <row r="133" spans="1:3" x14ac:dyDescent="0.25">
      <c r="A133" s="10" t="s">
        <v>133</v>
      </c>
      <c r="B133" s="10">
        <v>41.442044621778003</v>
      </c>
      <c r="C133" s="19">
        <f t="shared" si="1"/>
        <v>2.5313556262338776E-3</v>
      </c>
    </row>
    <row r="134" spans="1:3" x14ac:dyDescent="0.25">
      <c r="A134" s="10" t="s">
        <v>134</v>
      </c>
      <c r="B134" s="10">
        <v>41.213451408510998</v>
      </c>
      <c r="C134" s="19">
        <f t="shared" si="1"/>
        <v>-5.5312424958068145E-3</v>
      </c>
    </row>
    <row r="135" spans="1:3" x14ac:dyDescent="0.25">
      <c r="A135" s="10" t="s">
        <v>135</v>
      </c>
      <c r="B135" s="10">
        <v>40.746740264758998</v>
      </c>
      <c r="C135" s="19">
        <f t="shared" si="1"/>
        <v>-1.138885058252175E-2</v>
      </c>
    </row>
    <row r="136" spans="1:3" x14ac:dyDescent="0.25">
      <c r="A136" s="10" t="s">
        <v>136</v>
      </c>
      <c r="B136" s="10">
        <v>40.680067244222997</v>
      </c>
      <c r="C136" s="19">
        <f t="shared" si="1"/>
        <v>-1.6376188008826941E-3</v>
      </c>
    </row>
    <row r="137" spans="1:3" x14ac:dyDescent="0.25">
      <c r="A137" s="10" t="s">
        <v>137</v>
      </c>
      <c r="B137" s="10">
        <v>41.242025560169999</v>
      </c>
      <c r="C137" s="19">
        <f t="shared" si="1"/>
        <v>1.3719550155071883E-2</v>
      </c>
    </row>
    <row r="138" spans="1:3" x14ac:dyDescent="0.25">
      <c r="A138" s="10" t="s">
        <v>138</v>
      </c>
      <c r="B138" s="10">
        <v>41.575390662849998</v>
      </c>
      <c r="C138" s="19">
        <f t="shared" si="1"/>
        <v>8.0506472771583997E-3</v>
      </c>
    </row>
    <row r="139" spans="1:3" x14ac:dyDescent="0.25">
      <c r="A139" s="10" t="s">
        <v>139</v>
      </c>
      <c r="B139" s="10">
        <v>41.765885007239</v>
      </c>
      <c r="C139" s="19">
        <f t="shared" si="1"/>
        <v>4.5714365325863447E-3</v>
      </c>
    </row>
    <row r="140" spans="1:3" x14ac:dyDescent="0.25">
      <c r="A140" s="10" t="s">
        <v>140</v>
      </c>
      <c r="B140" s="10">
        <v>42.004002937724998</v>
      </c>
      <c r="C140" s="19">
        <f t="shared" si="1"/>
        <v>5.6850636346089216E-3</v>
      </c>
    </row>
    <row r="141" spans="1:3" x14ac:dyDescent="0.25">
      <c r="A141" s="10" t="s">
        <v>141</v>
      </c>
      <c r="B141" s="10">
        <v>41.946854634407998</v>
      </c>
      <c r="C141" s="19">
        <f t="shared" si="1"/>
        <v>-1.3614705983298571E-3</v>
      </c>
    </row>
    <row r="142" spans="1:3" x14ac:dyDescent="0.25">
      <c r="A142" s="10" t="s">
        <v>142</v>
      </c>
      <c r="B142" s="10">
        <v>42.384991626502</v>
      </c>
      <c r="C142" s="19">
        <f t="shared" si="1"/>
        <v>1.0390877317711128E-2</v>
      </c>
    </row>
    <row r="143" spans="1:3" x14ac:dyDescent="0.25">
      <c r="A143" s="10" t="s">
        <v>143</v>
      </c>
      <c r="B143" s="10">
        <v>42.299269171527001</v>
      </c>
      <c r="C143" s="19">
        <f t="shared" si="1"/>
        <v>-2.0245198681847799E-3</v>
      </c>
    </row>
    <row r="144" spans="1:3" x14ac:dyDescent="0.25">
      <c r="A144" s="10" t="s">
        <v>144</v>
      </c>
      <c r="B144" s="10">
        <v>42.518337667574997</v>
      </c>
      <c r="C144" s="19">
        <f t="shared" si="1"/>
        <v>5.1656487690660089E-3</v>
      </c>
    </row>
    <row r="145" spans="1:3" x14ac:dyDescent="0.25">
      <c r="A145" s="10" t="s">
        <v>145</v>
      </c>
      <c r="B145" s="10">
        <v>44.413756394243002</v>
      </c>
      <c r="C145" s="19">
        <f t="shared" si="1"/>
        <v>4.3613792747166709E-2</v>
      </c>
    </row>
    <row r="146" spans="1:3" x14ac:dyDescent="0.25">
      <c r="A146" s="10" t="s">
        <v>146</v>
      </c>
      <c r="B146" s="10">
        <v>44.813794517459002</v>
      </c>
      <c r="C146" s="19">
        <f t="shared" si="1"/>
        <v>8.9667552111495213E-3</v>
      </c>
    </row>
    <row r="147" spans="1:3" x14ac:dyDescent="0.25">
      <c r="A147" s="10" t="s">
        <v>147</v>
      </c>
      <c r="B147" s="10">
        <v>44.12801487766</v>
      </c>
      <c r="C147" s="19">
        <f t="shared" si="1"/>
        <v>-1.5421166602818464E-2</v>
      </c>
    </row>
    <row r="148" spans="1:3" x14ac:dyDescent="0.25">
      <c r="A148" s="10" t="s">
        <v>148</v>
      </c>
      <c r="B148" s="10">
        <v>44.108965443221003</v>
      </c>
      <c r="C148" s="19">
        <f t="shared" si="1"/>
        <v>-4.3177893589916926E-4</v>
      </c>
    </row>
    <row r="149" spans="1:3" x14ac:dyDescent="0.25">
      <c r="A149" s="10" t="s">
        <v>149</v>
      </c>
      <c r="B149" s="10">
        <v>44.299459787609997</v>
      </c>
      <c r="C149" s="19">
        <f t="shared" si="1"/>
        <v>4.3094227433498906E-3</v>
      </c>
    </row>
    <row r="150" spans="1:3" x14ac:dyDescent="0.25">
      <c r="A150" s="10" t="s">
        <v>150</v>
      </c>
      <c r="B150" s="10">
        <v>43.908946381612999</v>
      </c>
      <c r="C150" s="19">
        <f t="shared" si="1"/>
        <v>-8.8543932334029865E-3</v>
      </c>
    </row>
    <row r="151" spans="1:3" x14ac:dyDescent="0.25">
      <c r="A151" s="10" t="s">
        <v>151</v>
      </c>
      <c r="B151" s="10">
        <v>43.442235237859997</v>
      </c>
      <c r="C151" s="19">
        <f t="shared" ref="C151:C214" si="2">LN(B151/B150)</f>
        <v>-1.0685959279005272E-2</v>
      </c>
    </row>
    <row r="152" spans="1:3" x14ac:dyDescent="0.25">
      <c r="A152" s="10" t="s">
        <v>152</v>
      </c>
      <c r="B152" s="10">
        <v>43.547007127274</v>
      </c>
      <c r="C152" s="19">
        <f t="shared" si="2"/>
        <v>2.4088482030050055E-3</v>
      </c>
    </row>
    <row r="153" spans="1:3" x14ac:dyDescent="0.25">
      <c r="A153" s="10" t="s">
        <v>153</v>
      </c>
      <c r="B153" s="10">
        <v>44.175638463756997</v>
      </c>
      <c r="C153" s="19">
        <f t="shared" si="2"/>
        <v>1.4332492900776612E-2</v>
      </c>
    </row>
    <row r="154" spans="1:3" x14ac:dyDescent="0.25">
      <c r="A154" s="10" t="s">
        <v>154</v>
      </c>
      <c r="B154" s="10">
        <v>43.623204865029003</v>
      </c>
      <c r="C154" s="19">
        <f t="shared" si="2"/>
        <v>-1.2584240707258781E-2</v>
      </c>
    </row>
    <row r="155" spans="1:3" x14ac:dyDescent="0.25">
      <c r="A155" s="10" t="s">
        <v>155</v>
      </c>
      <c r="B155" s="10">
        <v>43.699402602785</v>
      </c>
      <c r="C155" s="19">
        <f t="shared" si="2"/>
        <v>1.7452011410418872E-3</v>
      </c>
    </row>
    <row r="156" spans="1:3" x14ac:dyDescent="0.25">
      <c r="A156" s="10" t="s">
        <v>156</v>
      </c>
      <c r="B156" s="10">
        <v>43.861322795515001</v>
      </c>
      <c r="C156" s="19">
        <f t="shared" si="2"/>
        <v>3.6984704401355215E-3</v>
      </c>
    </row>
    <row r="157" spans="1:3" x14ac:dyDescent="0.25">
      <c r="A157" s="10" t="s">
        <v>157</v>
      </c>
      <c r="B157" s="10">
        <v>43.956569967710003</v>
      </c>
      <c r="C157" s="19">
        <f t="shared" si="2"/>
        <v>2.1691982475592719E-3</v>
      </c>
    </row>
    <row r="158" spans="1:3" x14ac:dyDescent="0.25">
      <c r="A158" s="10" t="s">
        <v>158</v>
      </c>
      <c r="B158" s="10">
        <v>43.727976754442999</v>
      </c>
      <c r="C158" s="19">
        <f t="shared" si="2"/>
        <v>-5.2140026877412768E-3</v>
      </c>
    </row>
    <row r="159" spans="1:3" x14ac:dyDescent="0.25">
      <c r="A159" s="10" t="s">
        <v>159</v>
      </c>
      <c r="B159" s="10">
        <v>43.823223926638001</v>
      </c>
      <c r="C159" s="19">
        <f t="shared" si="2"/>
        <v>2.1758059062605248E-3</v>
      </c>
    </row>
    <row r="160" spans="1:3" x14ac:dyDescent="0.25">
      <c r="A160" s="10" t="s">
        <v>160</v>
      </c>
      <c r="B160" s="10">
        <v>43.966094684928997</v>
      </c>
      <c r="C160" s="19">
        <f t="shared" si="2"/>
        <v>3.2548580324536732E-3</v>
      </c>
    </row>
    <row r="161" spans="1:3" x14ac:dyDescent="0.25">
      <c r="A161" s="10" t="s">
        <v>161</v>
      </c>
      <c r="B161" s="10">
        <v>44.051817139904003</v>
      </c>
      <c r="C161" s="19">
        <f t="shared" si="2"/>
        <v>1.9478417585913363E-3</v>
      </c>
    </row>
    <row r="162" spans="1:3" x14ac:dyDescent="0.25">
      <c r="A162" s="10" t="s">
        <v>162</v>
      </c>
      <c r="B162" s="10">
        <v>43.966094684928997</v>
      </c>
      <c r="C162" s="19">
        <f t="shared" si="2"/>
        <v>-1.9478417585913489E-3</v>
      </c>
    </row>
    <row r="163" spans="1:3" x14ac:dyDescent="0.25">
      <c r="A163" s="10" t="s">
        <v>163</v>
      </c>
      <c r="B163" s="10">
        <v>43.670828451127001</v>
      </c>
      <c r="C163" s="19">
        <f t="shared" si="2"/>
        <v>-6.7384234973564047E-3</v>
      </c>
    </row>
    <row r="164" spans="1:3" x14ac:dyDescent="0.25">
      <c r="A164" s="10" t="s">
        <v>164</v>
      </c>
      <c r="B164" s="10">
        <v>44.070866574343</v>
      </c>
      <c r="C164" s="19">
        <f t="shared" si="2"/>
        <v>9.1186042164246566E-3</v>
      </c>
    </row>
    <row r="165" spans="1:3" x14ac:dyDescent="0.25">
      <c r="A165" s="10" t="s">
        <v>165</v>
      </c>
      <c r="B165" s="10">
        <v>43.442235237859997</v>
      </c>
      <c r="C165" s="19">
        <f t="shared" si="2"/>
        <v>-1.4366812195300298E-2</v>
      </c>
    </row>
    <row r="166" spans="1:3" x14ac:dyDescent="0.25">
      <c r="A166" s="10" t="s">
        <v>166</v>
      </c>
      <c r="B166" s="10">
        <v>43.413661086201998</v>
      </c>
      <c r="C166" s="19">
        <f t="shared" si="2"/>
        <v>-6.5796690606351085E-4</v>
      </c>
    </row>
    <row r="167" spans="1:3" x14ac:dyDescent="0.25">
      <c r="A167" s="10" t="s">
        <v>167</v>
      </c>
      <c r="B167" s="10">
        <v>42.670733143085997</v>
      </c>
      <c r="C167" s="19">
        <f t="shared" si="2"/>
        <v>-1.7260884396593436E-2</v>
      </c>
    </row>
    <row r="168" spans="1:3" x14ac:dyDescent="0.25">
      <c r="A168" s="10" t="s">
        <v>168</v>
      </c>
      <c r="B168" s="10">
        <v>41.537291793972003</v>
      </c>
      <c r="C168" s="19">
        <f t="shared" si="2"/>
        <v>-2.6921657566283032E-2</v>
      </c>
    </row>
    <row r="169" spans="1:3" x14ac:dyDescent="0.25">
      <c r="A169" s="10" t="s">
        <v>169</v>
      </c>
      <c r="B169" s="10">
        <v>39.298983247404003</v>
      </c>
      <c r="C169" s="19">
        <f t="shared" si="2"/>
        <v>-5.5392974211567116E-2</v>
      </c>
    </row>
    <row r="170" spans="1:3" x14ac:dyDescent="0.25">
      <c r="A170" s="10" t="s">
        <v>170</v>
      </c>
      <c r="B170" s="10">
        <v>38.317937373802003</v>
      </c>
      <c r="C170" s="19">
        <f t="shared" si="2"/>
        <v>-2.5280521681404058E-2</v>
      </c>
    </row>
    <row r="171" spans="1:3" x14ac:dyDescent="0.25">
      <c r="A171" s="10" t="s">
        <v>171</v>
      </c>
      <c r="B171" s="10">
        <v>34.803316719828999</v>
      </c>
      <c r="C171" s="19">
        <f t="shared" si="2"/>
        <v>-9.6205435011839424E-2</v>
      </c>
    </row>
    <row r="172" spans="1:3" x14ac:dyDescent="0.25">
      <c r="A172" s="10" t="s">
        <v>172</v>
      </c>
      <c r="B172" s="10">
        <v>36.574914122644998</v>
      </c>
      <c r="C172" s="19">
        <f t="shared" si="2"/>
        <v>4.964990864383155E-2</v>
      </c>
    </row>
    <row r="173" spans="1:3" x14ac:dyDescent="0.25">
      <c r="A173" s="10" t="s">
        <v>173</v>
      </c>
      <c r="B173" s="10">
        <v>36.670161294838998</v>
      </c>
      <c r="C173" s="19">
        <f t="shared" si="2"/>
        <v>2.6007817000468099E-3</v>
      </c>
    </row>
    <row r="174" spans="1:3" x14ac:dyDescent="0.25">
      <c r="A174" s="10" t="s">
        <v>174</v>
      </c>
      <c r="B174" s="10">
        <v>38.241739636047001</v>
      </c>
      <c r="C174" s="19">
        <f t="shared" si="2"/>
        <v>4.1964199099048173E-2</v>
      </c>
    </row>
    <row r="175" spans="1:3" x14ac:dyDescent="0.25">
      <c r="A175" s="10" t="s">
        <v>175</v>
      </c>
      <c r="B175" s="10">
        <v>38.186549729287002</v>
      </c>
      <c r="C175" s="19">
        <f t="shared" si="2"/>
        <v>-1.4442274401583858E-3</v>
      </c>
    </row>
    <row r="176" spans="1:3" x14ac:dyDescent="0.25">
      <c r="A176" s="10" t="s">
        <v>176</v>
      </c>
      <c r="B176" s="10">
        <v>38.85939751563</v>
      </c>
      <c r="C176" s="19">
        <f t="shared" si="2"/>
        <v>1.7466587573903868E-2</v>
      </c>
    </row>
    <row r="177" spans="1:3" x14ac:dyDescent="0.25">
      <c r="A177" s="10" t="s">
        <v>177</v>
      </c>
      <c r="B177" s="10">
        <v>38.761883343695999</v>
      </c>
      <c r="C177" s="19">
        <f t="shared" si="2"/>
        <v>-2.5125641358876116E-3</v>
      </c>
    </row>
    <row r="178" spans="1:3" x14ac:dyDescent="0.25">
      <c r="A178" s="10" t="s">
        <v>178</v>
      </c>
      <c r="B178" s="10">
        <v>39.298211289332002</v>
      </c>
      <c r="C178" s="19">
        <f t="shared" si="2"/>
        <v>1.3741627852295293E-2</v>
      </c>
    </row>
    <row r="179" spans="1:3" x14ac:dyDescent="0.25">
      <c r="A179" s="10" t="s">
        <v>179</v>
      </c>
      <c r="B179" s="10">
        <v>37.347927850655999</v>
      </c>
      <c r="C179" s="19">
        <f t="shared" si="2"/>
        <v>-5.0901572766023001E-2</v>
      </c>
    </row>
    <row r="180" spans="1:3" x14ac:dyDescent="0.25">
      <c r="A180" s="10" t="s">
        <v>180</v>
      </c>
      <c r="B180" s="10">
        <v>36.382537548511003</v>
      </c>
      <c r="C180" s="19">
        <f t="shared" si="2"/>
        <v>-2.6188508953536686E-2</v>
      </c>
    </row>
    <row r="181" spans="1:3" x14ac:dyDescent="0.25">
      <c r="A181" s="10" t="s">
        <v>181</v>
      </c>
      <c r="B181" s="10">
        <v>36.577565892377997</v>
      </c>
      <c r="C181" s="19">
        <f t="shared" si="2"/>
        <v>5.3461768607114026E-3</v>
      </c>
    </row>
    <row r="182" spans="1:3" x14ac:dyDescent="0.25">
      <c r="A182" s="10" t="s">
        <v>182</v>
      </c>
      <c r="B182" s="10">
        <v>37.640470366457002</v>
      </c>
      <c r="C182" s="19">
        <f t="shared" si="2"/>
        <v>2.8644712376997269E-2</v>
      </c>
    </row>
    <row r="183" spans="1:3" x14ac:dyDescent="0.25">
      <c r="A183" s="10" t="s">
        <v>183</v>
      </c>
      <c r="B183" s="10">
        <v>37.728233121198002</v>
      </c>
      <c r="C183" s="19">
        <f t="shared" si="2"/>
        <v>2.3288922416510914E-3</v>
      </c>
    </row>
    <row r="184" spans="1:3" x14ac:dyDescent="0.25">
      <c r="A184" s="10" t="s">
        <v>184</v>
      </c>
      <c r="B184" s="10">
        <v>37.347927850655999</v>
      </c>
      <c r="C184" s="19">
        <f t="shared" si="2"/>
        <v>-1.0131272525823271E-2</v>
      </c>
    </row>
    <row r="185" spans="1:3" x14ac:dyDescent="0.25">
      <c r="A185" s="10" t="s">
        <v>185</v>
      </c>
      <c r="B185" s="10">
        <v>38.050029888578997</v>
      </c>
      <c r="C185" s="19">
        <f t="shared" si="2"/>
        <v>1.8624439008350032E-2</v>
      </c>
    </row>
    <row r="186" spans="1:3" x14ac:dyDescent="0.25">
      <c r="A186" s="10" t="s">
        <v>186</v>
      </c>
      <c r="B186" s="10">
        <v>38.781386178082997</v>
      </c>
      <c r="C186" s="19">
        <f t="shared" si="2"/>
        <v>1.9038524024641949E-2</v>
      </c>
    </row>
    <row r="187" spans="1:3" x14ac:dyDescent="0.25">
      <c r="A187" s="10" t="s">
        <v>187</v>
      </c>
      <c r="B187" s="10">
        <v>39.044674442304</v>
      </c>
      <c r="C187" s="19">
        <f t="shared" si="2"/>
        <v>6.7660952274121462E-3</v>
      </c>
    </row>
    <row r="188" spans="1:3" x14ac:dyDescent="0.25">
      <c r="A188" s="10" t="s">
        <v>188</v>
      </c>
      <c r="B188" s="10">
        <v>39.639510891100997</v>
      </c>
      <c r="C188" s="19">
        <f t="shared" si="2"/>
        <v>1.5119881546816231E-2</v>
      </c>
    </row>
    <row r="189" spans="1:3" x14ac:dyDescent="0.25">
      <c r="A189" s="10" t="s">
        <v>189</v>
      </c>
      <c r="B189" s="10">
        <v>39.971059075676003</v>
      </c>
      <c r="C189" s="19">
        <f t="shared" si="2"/>
        <v>8.3292985224264829E-3</v>
      </c>
    </row>
    <row r="190" spans="1:3" x14ac:dyDescent="0.25">
      <c r="A190" s="10" t="s">
        <v>190</v>
      </c>
      <c r="B190" s="10">
        <v>39.346968375298999</v>
      </c>
      <c r="C190" s="19">
        <f t="shared" si="2"/>
        <v>-1.5736739800301193E-2</v>
      </c>
    </row>
    <row r="191" spans="1:3" x14ac:dyDescent="0.25">
      <c r="A191" s="10" t="s">
        <v>191</v>
      </c>
      <c r="B191" s="10">
        <v>38.693623423341997</v>
      </c>
      <c r="C191" s="19">
        <f t="shared" si="2"/>
        <v>-1.6744112299295236E-2</v>
      </c>
    </row>
    <row r="192" spans="1:3" x14ac:dyDescent="0.25">
      <c r="A192" s="10" t="s">
        <v>192</v>
      </c>
      <c r="B192" s="10">
        <v>39.649262308293999</v>
      </c>
      <c r="C192" s="19">
        <f t="shared" si="2"/>
        <v>2.4397525783541499E-2</v>
      </c>
    </row>
    <row r="193" spans="1:3" x14ac:dyDescent="0.25">
      <c r="A193" s="10" t="s">
        <v>193</v>
      </c>
      <c r="B193" s="10">
        <v>40.380618597797998</v>
      </c>
      <c r="C193" s="19">
        <f t="shared" si="2"/>
        <v>1.8277589357282596E-2</v>
      </c>
    </row>
    <row r="194" spans="1:3" x14ac:dyDescent="0.25">
      <c r="A194" s="10" t="s">
        <v>194</v>
      </c>
      <c r="B194" s="10">
        <v>39.912550572515002</v>
      </c>
      <c r="C194" s="19">
        <f t="shared" si="2"/>
        <v>-1.1659107053179876E-2</v>
      </c>
    </row>
    <row r="195" spans="1:3" x14ac:dyDescent="0.25">
      <c r="A195" s="10" t="s">
        <v>195</v>
      </c>
      <c r="B195" s="10">
        <v>40.253850174283997</v>
      </c>
      <c r="C195" s="19">
        <f t="shared" si="2"/>
        <v>8.5148306690106135E-3</v>
      </c>
    </row>
    <row r="196" spans="1:3" x14ac:dyDescent="0.25">
      <c r="A196" s="10" t="s">
        <v>196</v>
      </c>
      <c r="B196" s="10">
        <v>40.526889855698002</v>
      </c>
      <c r="C196" s="19">
        <f t="shared" si="2"/>
        <v>6.7600450577017177E-3</v>
      </c>
    </row>
    <row r="197" spans="1:3" x14ac:dyDescent="0.25">
      <c r="A197" s="10" t="s">
        <v>197</v>
      </c>
      <c r="B197" s="10">
        <v>41.102223470108001</v>
      </c>
      <c r="C197" s="19">
        <f t="shared" si="2"/>
        <v>1.4096518216848195E-2</v>
      </c>
    </row>
    <row r="198" spans="1:3" x14ac:dyDescent="0.25">
      <c r="A198" s="10" t="s">
        <v>198</v>
      </c>
      <c r="B198" s="10">
        <v>41.658054250131002</v>
      </c>
      <c r="C198" s="19">
        <f t="shared" si="2"/>
        <v>1.343251020407956E-2</v>
      </c>
    </row>
    <row r="199" spans="1:3" x14ac:dyDescent="0.25">
      <c r="A199" s="10" t="s">
        <v>199</v>
      </c>
      <c r="B199" s="10">
        <v>41.931093931545</v>
      </c>
      <c r="C199" s="19">
        <f t="shared" si="2"/>
        <v>6.5329210416058886E-3</v>
      </c>
    </row>
    <row r="200" spans="1:3" x14ac:dyDescent="0.25">
      <c r="A200" s="10" t="s">
        <v>200</v>
      </c>
      <c r="B200" s="10">
        <v>42.496676128761997</v>
      </c>
      <c r="C200" s="19">
        <f t="shared" si="2"/>
        <v>1.3398213822930424E-2</v>
      </c>
    </row>
    <row r="201" spans="1:3" x14ac:dyDescent="0.25">
      <c r="A201" s="10" t="s">
        <v>201</v>
      </c>
      <c r="B201" s="10">
        <v>42.906235650884</v>
      </c>
      <c r="C201" s="19">
        <f t="shared" si="2"/>
        <v>9.5913044017856604E-3</v>
      </c>
    </row>
    <row r="202" spans="1:3" x14ac:dyDescent="0.25">
      <c r="A202" s="10" t="s">
        <v>202</v>
      </c>
      <c r="B202" s="10">
        <v>42.369907705248004</v>
      </c>
      <c r="C202" s="19">
        <f t="shared" si="2"/>
        <v>-1.2578782206858836E-2</v>
      </c>
    </row>
    <row r="203" spans="1:3" x14ac:dyDescent="0.25">
      <c r="A203" s="10" t="s">
        <v>203</v>
      </c>
      <c r="B203" s="10">
        <v>40.546392690085</v>
      </c>
      <c r="C203" s="19">
        <f t="shared" si="2"/>
        <v>-4.3991569281544858E-2</v>
      </c>
    </row>
    <row r="204" spans="1:3" x14ac:dyDescent="0.25">
      <c r="A204" s="10" t="s">
        <v>204</v>
      </c>
      <c r="B204" s="10">
        <v>39.980810492868997</v>
      </c>
      <c r="C204" s="19">
        <f t="shared" si="2"/>
        <v>-1.4047215725554316E-2</v>
      </c>
    </row>
    <row r="205" spans="1:3" x14ac:dyDescent="0.25">
      <c r="A205" s="10" t="s">
        <v>205</v>
      </c>
      <c r="B205" s="10">
        <v>39.493239633199998</v>
      </c>
      <c r="C205" s="19">
        <f t="shared" si="2"/>
        <v>-1.2270092591810874E-2</v>
      </c>
    </row>
    <row r="206" spans="1:3" x14ac:dyDescent="0.25">
      <c r="A206" s="10" t="s">
        <v>206</v>
      </c>
      <c r="B206" s="10">
        <v>39.805284983387999</v>
      </c>
      <c r="C206" s="19">
        <f t="shared" si="2"/>
        <v>7.8701832691991363E-3</v>
      </c>
    </row>
    <row r="207" spans="1:3" x14ac:dyDescent="0.25">
      <c r="A207" s="10" t="s">
        <v>207</v>
      </c>
      <c r="B207" s="10">
        <v>39.571250970747002</v>
      </c>
      <c r="C207" s="19">
        <f t="shared" si="2"/>
        <v>-5.8968229840252817E-3</v>
      </c>
    </row>
    <row r="208" spans="1:3" x14ac:dyDescent="0.25">
      <c r="A208" s="10" t="s">
        <v>208</v>
      </c>
      <c r="B208" s="10">
        <v>39.103182945465001</v>
      </c>
      <c r="C208" s="19">
        <f t="shared" si="2"/>
        <v>-1.1899000085135732E-2</v>
      </c>
    </row>
    <row r="209" spans="1:3" x14ac:dyDescent="0.25">
      <c r="A209" s="10" t="s">
        <v>209</v>
      </c>
      <c r="B209" s="10">
        <v>38.254809649640002</v>
      </c>
      <c r="C209" s="19">
        <f t="shared" si="2"/>
        <v>-2.1934574091080478E-2</v>
      </c>
    </row>
    <row r="210" spans="1:3" x14ac:dyDescent="0.25">
      <c r="A210" s="10" t="s">
        <v>210</v>
      </c>
      <c r="B210" s="10">
        <v>37.299170764689002</v>
      </c>
      <c r="C210" s="19">
        <f t="shared" si="2"/>
        <v>-2.5298199948903047E-2</v>
      </c>
    </row>
    <row r="211" spans="1:3" x14ac:dyDescent="0.25">
      <c r="A211" s="10" t="s">
        <v>211</v>
      </c>
      <c r="B211" s="10">
        <v>36.909114076953003</v>
      </c>
      <c r="C211" s="19">
        <f t="shared" si="2"/>
        <v>-1.051258038910576E-2</v>
      </c>
    </row>
    <row r="212" spans="1:3" x14ac:dyDescent="0.25">
      <c r="A212" s="10" t="s">
        <v>212</v>
      </c>
      <c r="B212" s="10">
        <v>37.737984538390997</v>
      </c>
      <c r="C212" s="19">
        <f t="shared" si="2"/>
        <v>2.2208620152290942E-2</v>
      </c>
    </row>
    <row r="213" spans="1:3" x14ac:dyDescent="0.25">
      <c r="A213" s="10" t="s">
        <v>213</v>
      </c>
      <c r="B213" s="10">
        <v>38.323069569993997</v>
      </c>
      <c r="C213" s="19">
        <f t="shared" si="2"/>
        <v>1.538491883948055E-2</v>
      </c>
    </row>
    <row r="214" spans="1:3" x14ac:dyDescent="0.25">
      <c r="A214" s="10" t="s">
        <v>214</v>
      </c>
      <c r="B214" s="10">
        <v>37.357679267849001</v>
      </c>
      <c r="C214" s="19">
        <f t="shared" si="2"/>
        <v>-2.5513560162660816E-2</v>
      </c>
    </row>
    <row r="215" spans="1:3" x14ac:dyDescent="0.25">
      <c r="A215" s="10" t="s">
        <v>215</v>
      </c>
      <c r="B215" s="10">
        <v>38.566854999828003</v>
      </c>
      <c r="C215" s="19">
        <f t="shared" ref="C215:C278" si="3">LN(B215/B214)</f>
        <v>3.1854735501093696E-2</v>
      </c>
    </row>
    <row r="216" spans="1:3" x14ac:dyDescent="0.25">
      <c r="A216" s="10" t="s">
        <v>216</v>
      </c>
      <c r="B216" s="10">
        <v>39.229951368978</v>
      </c>
      <c r="C216" s="19">
        <f t="shared" si="3"/>
        <v>1.7047291748033537E-2</v>
      </c>
    </row>
    <row r="217" spans="1:3" x14ac:dyDescent="0.25">
      <c r="A217" s="10" t="s">
        <v>217</v>
      </c>
      <c r="B217" s="10">
        <v>39.932053406902</v>
      </c>
      <c r="C217" s="19">
        <f t="shared" si="3"/>
        <v>1.7738824337392975E-2</v>
      </c>
    </row>
    <row r="218" spans="1:3" x14ac:dyDescent="0.25">
      <c r="A218" s="10" t="s">
        <v>218</v>
      </c>
      <c r="B218" s="10">
        <v>40.156336002350002</v>
      </c>
      <c r="C218" s="19">
        <f t="shared" si="3"/>
        <v>5.6008913005700179E-3</v>
      </c>
    </row>
    <row r="219" spans="1:3" x14ac:dyDescent="0.25">
      <c r="A219" s="10" t="s">
        <v>219</v>
      </c>
      <c r="B219" s="10">
        <v>38.74</v>
      </c>
      <c r="C219" s="19">
        <f t="shared" si="3"/>
        <v>-3.5907578241213087E-2</v>
      </c>
    </row>
    <row r="220" spans="1:3" x14ac:dyDescent="0.25">
      <c r="A220" s="10" t="s">
        <v>220</v>
      </c>
      <c r="B220" s="10">
        <v>38.799999999999997</v>
      </c>
      <c r="C220" s="19">
        <f t="shared" si="3"/>
        <v>1.5475886503779107E-3</v>
      </c>
    </row>
    <row r="221" spans="1:3" x14ac:dyDescent="0.25">
      <c r="A221" s="10" t="s">
        <v>221</v>
      </c>
      <c r="B221" s="10">
        <v>37.69</v>
      </c>
      <c r="C221" s="19">
        <f t="shared" si="3"/>
        <v>-2.9025439350183705E-2</v>
      </c>
    </row>
    <row r="222" spans="1:3" x14ac:dyDescent="0.25">
      <c r="A222" s="10" t="s">
        <v>222</v>
      </c>
      <c r="B222" s="10">
        <v>37.21</v>
      </c>
      <c r="C222" s="19">
        <f t="shared" si="3"/>
        <v>-1.2817264920512902E-2</v>
      </c>
    </row>
    <row r="223" spans="1:3" x14ac:dyDescent="0.25">
      <c r="A223" s="10" t="s">
        <v>223</v>
      </c>
      <c r="B223" s="10">
        <v>37.869999999999997</v>
      </c>
      <c r="C223" s="19">
        <f t="shared" si="3"/>
        <v>1.758169955517221E-2</v>
      </c>
    </row>
    <row r="224" spans="1:3" x14ac:dyDescent="0.25">
      <c r="A224" s="10" t="s">
        <v>224</v>
      </c>
      <c r="B224" s="10">
        <v>40.119999999999997</v>
      </c>
      <c r="C224" s="19">
        <f t="shared" si="3"/>
        <v>5.7715721180031251E-2</v>
      </c>
    </row>
    <row r="225" spans="1:3" x14ac:dyDescent="0.25">
      <c r="A225" s="10" t="s">
        <v>225</v>
      </c>
      <c r="B225" s="10">
        <v>39.74</v>
      </c>
      <c r="C225" s="19">
        <f t="shared" si="3"/>
        <v>-9.5167259700638471E-3</v>
      </c>
    </row>
    <row r="226" spans="1:3" x14ac:dyDescent="0.25">
      <c r="A226" s="10" t="s">
        <v>226</v>
      </c>
      <c r="B226" s="10">
        <v>40.729999999999997</v>
      </c>
      <c r="C226" s="19">
        <f t="shared" si="3"/>
        <v>2.4606684536650332E-2</v>
      </c>
    </row>
    <row r="227" spans="1:3" x14ac:dyDescent="0.25">
      <c r="A227" s="10" t="s">
        <v>227</v>
      </c>
      <c r="B227" s="10">
        <v>41.69</v>
      </c>
      <c r="C227" s="19">
        <f t="shared" si="3"/>
        <v>2.329637023238432E-2</v>
      </c>
    </row>
    <row r="228" spans="1:3" x14ac:dyDescent="0.25">
      <c r="A228" s="10" t="s">
        <v>228</v>
      </c>
      <c r="B228" s="10">
        <v>41.68</v>
      </c>
      <c r="C228" s="19">
        <f t="shared" si="3"/>
        <v>-2.3989444759399845E-4</v>
      </c>
    </row>
    <row r="229" spans="1:3" x14ac:dyDescent="0.25">
      <c r="A229" s="10" t="s">
        <v>229</v>
      </c>
      <c r="B229" s="10">
        <v>40.799999999999997</v>
      </c>
      <c r="C229" s="19">
        <f t="shared" si="3"/>
        <v>-2.1339316034995493E-2</v>
      </c>
    </row>
    <row r="230" spans="1:3" x14ac:dyDescent="0.25">
      <c r="A230" s="10" t="s">
        <v>230</v>
      </c>
      <c r="B230" s="10">
        <v>40.4</v>
      </c>
      <c r="C230" s="19">
        <f t="shared" si="3"/>
        <v>-9.8522964430115944E-3</v>
      </c>
    </row>
    <row r="231" spans="1:3" x14ac:dyDescent="0.25">
      <c r="A231" s="10" t="s">
        <v>231</v>
      </c>
      <c r="B231" s="10">
        <v>41.7</v>
      </c>
      <c r="C231" s="19">
        <f t="shared" si="3"/>
        <v>3.1671343837651404E-2</v>
      </c>
    </row>
    <row r="232" spans="1:3" x14ac:dyDescent="0.25">
      <c r="A232" s="10" t="s">
        <v>232</v>
      </c>
      <c r="B232" s="10">
        <v>42.25</v>
      </c>
      <c r="C232" s="19">
        <f t="shared" si="3"/>
        <v>1.3103224998427008E-2</v>
      </c>
    </row>
    <row r="233" spans="1:3" x14ac:dyDescent="0.25">
      <c r="A233" s="10" t="s">
        <v>233</v>
      </c>
      <c r="B233" s="10">
        <v>42.64</v>
      </c>
      <c r="C233" s="19">
        <f t="shared" si="3"/>
        <v>9.1884260544061701E-3</v>
      </c>
    </row>
    <row r="234" spans="1:3" x14ac:dyDescent="0.25">
      <c r="A234" s="10" t="s">
        <v>234</v>
      </c>
      <c r="B234" s="10">
        <v>42.45</v>
      </c>
      <c r="C234" s="19">
        <f t="shared" si="3"/>
        <v>-4.465867100232764E-3</v>
      </c>
    </row>
    <row r="235" spans="1:3" x14ac:dyDescent="0.25">
      <c r="A235" s="10" t="s">
        <v>235</v>
      </c>
      <c r="B235" s="10">
        <v>41.78</v>
      </c>
      <c r="C235" s="19">
        <f t="shared" si="3"/>
        <v>-1.590915662893664E-2</v>
      </c>
    </row>
    <row r="236" spans="1:3" x14ac:dyDescent="0.25">
      <c r="A236" s="10" t="s">
        <v>236</v>
      </c>
      <c r="B236" s="10">
        <v>41.6</v>
      </c>
      <c r="C236" s="19">
        <f t="shared" si="3"/>
        <v>-4.317588861202132E-3</v>
      </c>
    </row>
    <row r="237" spans="1:3" x14ac:dyDescent="0.25">
      <c r="A237" s="10" t="s">
        <v>237</v>
      </c>
      <c r="B237" s="10">
        <v>42.15</v>
      </c>
      <c r="C237" s="19">
        <f t="shared" si="3"/>
        <v>1.3134517180646763E-2</v>
      </c>
    </row>
    <row r="238" spans="1:3" x14ac:dyDescent="0.25">
      <c r="A238" s="10" t="s">
        <v>238</v>
      </c>
      <c r="B238" s="10">
        <v>41.97</v>
      </c>
      <c r="C238" s="19">
        <f t="shared" si="3"/>
        <v>-4.2796071023649953E-3</v>
      </c>
    </row>
    <row r="239" spans="1:3" x14ac:dyDescent="0.25">
      <c r="A239" s="10" t="s">
        <v>239</v>
      </c>
      <c r="B239" s="10">
        <v>42.28</v>
      </c>
      <c r="C239" s="19">
        <f t="shared" si="3"/>
        <v>7.3590836565373876E-3</v>
      </c>
    </row>
    <row r="240" spans="1:3" x14ac:dyDescent="0.25">
      <c r="A240" s="10" t="s">
        <v>240</v>
      </c>
      <c r="B240" s="10">
        <v>41.35</v>
      </c>
      <c r="C240" s="19">
        <f t="shared" si="3"/>
        <v>-2.2241739532336605E-2</v>
      </c>
    </row>
    <row r="241" spans="1:3" x14ac:dyDescent="0.25">
      <c r="A241" s="10" t="s">
        <v>241</v>
      </c>
      <c r="B241" s="10">
        <v>41.25</v>
      </c>
      <c r="C241" s="19">
        <f t="shared" si="3"/>
        <v>-2.4213086890103389E-3</v>
      </c>
    </row>
    <row r="242" spans="1:3" x14ac:dyDescent="0.25">
      <c r="A242" s="10" t="s">
        <v>242</v>
      </c>
      <c r="B242" s="10">
        <v>41.15</v>
      </c>
      <c r="C242" s="19">
        <f t="shared" si="3"/>
        <v>-2.4271856576111883E-3</v>
      </c>
    </row>
    <row r="243" spans="1:3" x14ac:dyDescent="0.25">
      <c r="A243" s="10" t="s">
        <v>243</v>
      </c>
      <c r="B243" s="10">
        <v>40.880000000000003</v>
      </c>
      <c r="C243" s="19">
        <f t="shared" si="3"/>
        <v>-6.58298122762975E-3</v>
      </c>
    </row>
    <row r="244" spans="1:3" x14ac:dyDescent="0.25">
      <c r="A244" s="10" t="s">
        <v>244</v>
      </c>
      <c r="B244" s="10">
        <v>39.85</v>
      </c>
      <c r="C244" s="19">
        <f t="shared" si="3"/>
        <v>-2.5518540659225011E-2</v>
      </c>
    </row>
    <row r="245" spans="1:3" x14ac:dyDescent="0.25">
      <c r="A245" s="10" t="s">
        <v>245</v>
      </c>
      <c r="B245" s="10">
        <v>39.85</v>
      </c>
      <c r="C245" s="19">
        <f t="shared" si="3"/>
        <v>0</v>
      </c>
    </row>
    <row r="246" spans="1:3" x14ac:dyDescent="0.25">
      <c r="A246" s="10" t="s">
        <v>246</v>
      </c>
      <c r="B246" s="10">
        <v>39</v>
      </c>
      <c r="C246" s="19">
        <f t="shared" si="3"/>
        <v>-2.1560759106577624E-2</v>
      </c>
    </row>
    <row r="247" spans="1:3" x14ac:dyDescent="0.25">
      <c r="A247" s="10" t="s">
        <v>247</v>
      </c>
      <c r="B247" s="10">
        <v>39.5</v>
      </c>
      <c r="C247" s="19">
        <f t="shared" si="3"/>
        <v>1.2739025777429712E-2</v>
      </c>
    </row>
    <row r="248" spans="1:3" x14ac:dyDescent="0.25">
      <c r="A248" s="10" t="s">
        <v>248</v>
      </c>
      <c r="B248" s="10">
        <v>38.85</v>
      </c>
      <c r="C248" s="19">
        <f t="shared" si="3"/>
        <v>-1.6592595093419715E-2</v>
      </c>
    </row>
    <row r="249" spans="1:3" x14ac:dyDescent="0.25">
      <c r="A249" s="10" t="s">
        <v>249</v>
      </c>
      <c r="B249" s="10">
        <v>39.03</v>
      </c>
      <c r="C249" s="19">
        <f t="shared" si="3"/>
        <v>4.6225043788672296E-3</v>
      </c>
    </row>
    <row r="250" spans="1:3" x14ac:dyDescent="0.25">
      <c r="A250" s="10" t="s">
        <v>250</v>
      </c>
      <c r="B250" s="10">
        <v>39.299999999999997</v>
      </c>
      <c r="C250" s="19">
        <f t="shared" si="3"/>
        <v>6.8939376826918182E-3</v>
      </c>
    </row>
    <row r="251" spans="1:3" x14ac:dyDescent="0.25">
      <c r="A251" s="10" t="s">
        <v>251</v>
      </c>
      <c r="B251" s="10">
        <v>39.909999999999997</v>
      </c>
      <c r="C251" s="19">
        <f t="shared" si="3"/>
        <v>1.5402400185426861E-2</v>
      </c>
    </row>
    <row r="252" spans="1:3" x14ac:dyDescent="0.25">
      <c r="A252" s="10" t="s">
        <v>252</v>
      </c>
      <c r="B252" s="10">
        <v>40.5</v>
      </c>
      <c r="C252" s="19">
        <f t="shared" si="3"/>
        <v>1.4675055051851059E-2</v>
      </c>
    </row>
    <row r="253" spans="1:3" x14ac:dyDescent="0.25">
      <c r="A253" s="10" t="s">
        <v>253</v>
      </c>
      <c r="B253" s="10">
        <v>40.53</v>
      </c>
      <c r="C253" s="19">
        <f t="shared" si="3"/>
        <v>7.4046652772369196E-4</v>
      </c>
    </row>
    <row r="254" spans="1:3" x14ac:dyDescent="0.25">
      <c r="A254" s="10" t="s">
        <v>254</v>
      </c>
      <c r="B254" s="10">
        <v>39.06</v>
      </c>
      <c r="C254" s="19">
        <f t="shared" si="3"/>
        <v>-3.6943515191684324E-2</v>
      </c>
    </row>
    <row r="255" spans="1:3" x14ac:dyDescent="0.25">
      <c r="A255" s="10" t="s">
        <v>255</v>
      </c>
      <c r="B255" s="10">
        <v>38.5</v>
      </c>
      <c r="C255" s="19">
        <f t="shared" si="3"/>
        <v>-1.444068415479436E-2</v>
      </c>
    </row>
    <row r="256" spans="1:3" x14ac:dyDescent="0.25">
      <c r="A256" s="10" t="s">
        <v>256</v>
      </c>
      <c r="B256" s="10">
        <v>39.119999999999997</v>
      </c>
      <c r="C256" s="19">
        <f t="shared" si="3"/>
        <v>1.59756038728779E-2</v>
      </c>
    </row>
    <row r="257" spans="1:3" x14ac:dyDescent="0.25">
      <c r="A257" s="10" t="s">
        <v>257</v>
      </c>
      <c r="B257" s="10">
        <v>38.549999999999997</v>
      </c>
      <c r="C257" s="19">
        <f t="shared" si="3"/>
        <v>-1.4677745157278061E-2</v>
      </c>
    </row>
    <row r="258" spans="1:3" x14ac:dyDescent="0.25">
      <c r="A258" s="10" t="s">
        <v>258</v>
      </c>
      <c r="B258" s="10">
        <v>38.56</v>
      </c>
      <c r="C258" s="19">
        <f t="shared" si="3"/>
        <v>2.5936973300658985E-4</v>
      </c>
    </row>
    <row r="259" spans="1:3" x14ac:dyDescent="0.25">
      <c r="A259" s="10" t="s">
        <v>259</v>
      </c>
      <c r="B259" s="10">
        <v>38</v>
      </c>
      <c r="C259" s="19">
        <f t="shared" si="3"/>
        <v>-1.4629310015959155E-2</v>
      </c>
    </row>
    <row r="260" spans="1:3" x14ac:dyDescent="0.25">
      <c r="A260" s="10" t="s">
        <v>260</v>
      </c>
      <c r="B260" s="10">
        <v>37.549999999999997</v>
      </c>
      <c r="C260" s="19">
        <f t="shared" si="3"/>
        <v>-1.1912781516242112E-2</v>
      </c>
    </row>
    <row r="261" spans="1:3" x14ac:dyDescent="0.25">
      <c r="A261" s="10" t="s">
        <v>261</v>
      </c>
      <c r="B261" s="10">
        <v>37.46</v>
      </c>
      <c r="C261" s="19">
        <f t="shared" si="3"/>
        <v>-2.3996811942011507E-3</v>
      </c>
    </row>
    <row r="262" spans="1:3" x14ac:dyDescent="0.25">
      <c r="A262" s="10" t="s">
        <v>262</v>
      </c>
      <c r="B262" s="10">
        <v>36.799999999999997</v>
      </c>
      <c r="C262" s="19">
        <f t="shared" si="3"/>
        <v>-1.7775851841057337E-2</v>
      </c>
    </row>
    <row r="263" spans="1:3" x14ac:dyDescent="0.25">
      <c r="A263" s="10" t="s">
        <v>263</v>
      </c>
      <c r="B263" s="10">
        <v>38.14</v>
      </c>
      <c r="C263" s="19">
        <f t="shared" si="3"/>
        <v>3.5765754997387905E-2</v>
      </c>
    </row>
    <row r="264" spans="1:3" x14ac:dyDescent="0.25">
      <c r="A264" s="10" t="s">
        <v>264</v>
      </c>
      <c r="B264" s="10">
        <v>38.17</v>
      </c>
      <c r="C264" s="19">
        <f t="shared" si="3"/>
        <v>7.8626658486537508E-4</v>
      </c>
    </row>
    <row r="265" spans="1:3" x14ac:dyDescent="0.25">
      <c r="A265" s="10" t="s">
        <v>265</v>
      </c>
      <c r="B265" s="10">
        <v>38.700000000000003</v>
      </c>
      <c r="C265" s="19">
        <f t="shared" si="3"/>
        <v>1.3789733278597815E-2</v>
      </c>
    </row>
    <row r="266" spans="1:3" x14ac:dyDescent="0.25">
      <c r="A266" s="10" t="s">
        <v>266</v>
      </c>
      <c r="B266" s="10">
        <v>38.950000000000003</v>
      </c>
      <c r="C266" s="19">
        <f t="shared" si="3"/>
        <v>6.4391722810212331E-3</v>
      </c>
    </row>
    <row r="267" spans="1:3" x14ac:dyDescent="0.25">
      <c r="A267" s="10" t="s">
        <v>267</v>
      </c>
      <c r="B267" s="10">
        <v>38.700000000000003</v>
      </c>
      <c r="C267" s="19">
        <f t="shared" si="3"/>
        <v>-6.4391722810212011E-3</v>
      </c>
    </row>
    <row r="268" spans="1:3" x14ac:dyDescent="0.25">
      <c r="A268" s="10" t="s">
        <v>268</v>
      </c>
      <c r="B268" s="10">
        <v>38.82</v>
      </c>
      <c r="C268" s="19">
        <f t="shared" si="3"/>
        <v>3.0959777051279922E-3</v>
      </c>
    </row>
    <row r="269" spans="1:3" x14ac:dyDescent="0.25">
      <c r="A269" s="10" t="s">
        <v>269</v>
      </c>
      <c r="B269" s="10">
        <v>37.81</v>
      </c>
      <c r="C269" s="19">
        <f t="shared" si="3"/>
        <v>-2.6361959838022656E-2</v>
      </c>
    </row>
    <row r="270" spans="1:3" x14ac:dyDescent="0.25">
      <c r="A270" s="10" t="s">
        <v>270</v>
      </c>
      <c r="B270" s="10">
        <v>37.82</v>
      </c>
      <c r="C270" s="19">
        <f t="shared" si="3"/>
        <v>2.6444532746996735E-4</v>
      </c>
    </row>
    <row r="271" spans="1:3" x14ac:dyDescent="0.25">
      <c r="A271" s="10" t="s">
        <v>271</v>
      </c>
      <c r="B271" s="10">
        <v>38.9</v>
      </c>
      <c r="C271" s="19">
        <f t="shared" si="3"/>
        <v>2.8156187394089136E-2</v>
      </c>
    </row>
    <row r="272" spans="1:3" x14ac:dyDescent="0.25">
      <c r="A272" s="10" t="s">
        <v>272</v>
      </c>
      <c r="B272" s="10">
        <v>40.47</v>
      </c>
      <c r="C272" s="19">
        <f t="shared" si="3"/>
        <v>3.9566708263373628E-2</v>
      </c>
    </row>
    <row r="273" spans="1:3" x14ac:dyDescent="0.25">
      <c r="A273" s="10" t="s">
        <v>273</v>
      </c>
      <c r="B273" s="10">
        <v>40.79</v>
      </c>
      <c r="C273" s="19">
        <f t="shared" si="3"/>
        <v>7.8759944416928896E-3</v>
      </c>
    </row>
    <row r="274" spans="1:3" x14ac:dyDescent="0.25">
      <c r="A274" s="10" t="s">
        <v>274</v>
      </c>
      <c r="B274" s="10">
        <v>39.76</v>
      </c>
      <c r="C274" s="19">
        <f t="shared" si="3"/>
        <v>-2.5575571541093866E-2</v>
      </c>
    </row>
    <row r="275" spans="1:3" x14ac:dyDescent="0.25">
      <c r="A275" s="10" t="s">
        <v>275</v>
      </c>
      <c r="B275" s="10">
        <v>39.46</v>
      </c>
      <c r="C275" s="19">
        <f t="shared" si="3"/>
        <v>-7.5738811939039087E-3</v>
      </c>
    </row>
    <row r="276" spans="1:3" x14ac:dyDescent="0.25">
      <c r="A276" s="10" t="s">
        <v>276</v>
      </c>
      <c r="B276" s="10">
        <v>39.5</v>
      </c>
      <c r="C276" s="19">
        <f t="shared" si="3"/>
        <v>1.0131713126068026E-3</v>
      </c>
    </row>
    <row r="277" spans="1:3" x14ac:dyDescent="0.25">
      <c r="A277" s="10" t="s">
        <v>277</v>
      </c>
      <c r="B277" s="10">
        <v>39.51</v>
      </c>
      <c r="C277" s="19">
        <f t="shared" si="3"/>
        <v>2.5313251622304813E-4</v>
      </c>
    </row>
    <row r="278" spans="1:3" x14ac:dyDescent="0.25">
      <c r="A278" s="10" t="s">
        <v>278</v>
      </c>
      <c r="B278" s="10">
        <v>39.81</v>
      </c>
      <c r="C278" s="19">
        <f t="shared" si="3"/>
        <v>7.5643325889266071E-3</v>
      </c>
    </row>
    <row r="279" spans="1:3" x14ac:dyDescent="0.25">
      <c r="A279" s="10" t="s">
        <v>279</v>
      </c>
      <c r="B279" s="10">
        <v>39.36</v>
      </c>
      <c r="C279" s="19">
        <f t="shared" ref="C279:C313" si="4">LN(B279/B278)</f>
        <v>-1.1368064828173216E-2</v>
      </c>
    </row>
    <row r="280" spans="1:3" x14ac:dyDescent="0.25">
      <c r="A280" s="10" t="s">
        <v>280</v>
      </c>
      <c r="B280" s="10">
        <v>38.950000000000003</v>
      </c>
      <c r="C280" s="19">
        <f t="shared" si="4"/>
        <v>-1.0471299867295366E-2</v>
      </c>
    </row>
    <row r="281" spans="1:3" x14ac:dyDescent="0.25">
      <c r="A281" s="10" t="s">
        <v>281</v>
      </c>
      <c r="B281" s="10">
        <v>39.299999999999997</v>
      </c>
      <c r="C281" s="19">
        <f t="shared" si="4"/>
        <v>8.9457465584580464E-3</v>
      </c>
    </row>
    <row r="282" spans="1:3" x14ac:dyDescent="0.25">
      <c r="A282" s="10" t="s">
        <v>282</v>
      </c>
      <c r="B282" s="10">
        <v>40.909999999999997</v>
      </c>
      <c r="C282" s="19">
        <f t="shared" si="4"/>
        <v>4.0150013066091651E-2</v>
      </c>
    </row>
    <row r="283" spans="1:3" x14ac:dyDescent="0.25">
      <c r="A283" s="10" t="s">
        <v>283</v>
      </c>
      <c r="B283" s="10">
        <v>41.13</v>
      </c>
      <c r="C283" s="19">
        <f t="shared" si="4"/>
        <v>5.3632503010255664E-3</v>
      </c>
    </row>
    <row r="284" spans="1:3" x14ac:dyDescent="0.25">
      <c r="A284" s="10" t="s">
        <v>284</v>
      </c>
      <c r="B284" s="10">
        <v>41.05</v>
      </c>
      <c r="C284" s="19">
        <f t="shared" si="4"/>
        <v>-1.9469463438956541E-3</v>
      </c>
    </row>
    <row r="285" spans="1:3" x14ac:dyDescent="0.25">
      <c r="A285" s="10" t="s">
        <v>285</v>
      </c>
      <c r="B285" s="10">
        <v>40.99</v>
      </c>
      <c r="C285" s="19">
        <f t="shared" si="4"/>
        <v>-1.4627013821909387E-3</v>
      </c>
    </row>
    <row r="286" spans="1:3" x14ac:dyDescent="0.25">
      <c r="A286" s="10" t="s">
        <v>286</v>
      </c>
      <c r="B286" s="10">
        <v>41.05</v>
      </c>
      <c r="C286" s="19">
        <f t="shared" si="4"/>
        <v>1.4627013821908368E-3</v>
      </c>
    </row>
    <row r="287" spans="1:3" x14ac:dyDescent="0.25">
      <c r="A287" s="10" t="s">
        <v>287</v>
      </c>
      <c r="B287" s="10">
        <v>41.58</v>
      </c>
      <c r="C287" s="19">
        <f t="shared" si="4"/>
        <v>1.2828446531429559E-2</v>
      </c>
    </row>
    <row r="288" spans="1:3" x14ac:dyDescent="0.25">
      <c r="A288" s="10" t="s">
        <v>288</v>
      </c>
      <c r="B288" s="10">
        <v>41.23</v>
      </c>
      <c r="C288" s="19">
        <f t="shared" si="4"/>
        <v>-8.4531357110582388E-3</v>
      </c>
    </row>
    <row r="289" spans="1:3" x14ac:dyDescent="0.25">
      <c r="A289" s="10" t="s">
        <v>289</v>
      </c>
      <c r="B289" s="10">
        <v>41.32</v>
      </c>
      <c r="C289" s="19">
        <f t="shared" si="4"/>
        <v>2.1804975326291274E-3</v>
      </c>
    </row>
    <row r="290" spans="1:3" x14ac:dyDescent="0.25">
      <c r="A290" s="10" t="s">
        <v>290</v>
      </c>
      <c r="B290" s="10">
        <v>41.63</v>
      </c>
      <c r="C290" s="19">
        <f t="shared" si="4"/>
        <v>7.4744169554462813E-3</v>
      </c>
    </row>
    <row r="291" spans="1:3" x14ac:dyDescent="0.25">
      <c r="A291" s="10" t="s">
        <v>291</v>
      </c>
      <c r="B291" s="10">
        <v>42.69</v>
      </c>
      <c r="C291" s="19">
        <f t="shared" si="4"/>
        <v>2.5143639562986476E-2</v>
      </c>
    </row>
    <row r="292" spans="1:3" x14ac:dyDescent="0.25">
      <c r="A292" s="10" t="s">
        <v>292</v>
      </c>
      <c r="B292" s="10">
        <v>43.55</v>
      </c>
      <c r="C292" s="19">
        <f t="shared" si="4"/>
        <v>1.9945002528641103E-2</v>
      </c>
    </row>
    <row r="293" spans="1:3" x14ac:dyDescent="0.25">
      <c r="A293" s="10" t="s">
        <v>293</v>
      </c>
      <c r="B293" s="10">
        <v>43.68</v>
      </c>
      <c r="C293" s="19">
        <f t="shared" si="4"/>
        <v>2.9806281381379411E-3</v>
      </c>
    </row>
    <row r="294" spans="1:3" x14ac:dyDescent="0.25">
      <c r="A294" s="10" t="s">
        <v>294</v>
      </c>
      <c r="B294" s="10">
        <v>43.83</v>
      </c>
      <c r="C294" s="19">
        <f t="shared" si="4"/>
        <v>3.4281829940681911E-3</v>
      </c>
    </row>
    <row r="295" spans="1:3" x14ac:dyDescent="0.25">
      <c r="A295" s="10" t="s">
        <v>295</v>
      </c>
      <c r="B295" s="10">
        <v>43.92</v>
      </c>
      <c r="C295" s="19">
        <f t="shared" si="4"/>
        <v>2.0512827705573612E-3</v>
      </c>
    </row>
    <row r="296" spans="1:3" x14ac:dyDescent="0.25">
      <c r="A296" s="10" t="s">
        <v>296</v>
      </c>
      <c r="B296" s="10">
        <v>43.97</v>
      </c>
      <c r="C296" s="19">
        <f t="shared" si="4"/>
        <v>1.1377859914435701E-3</v>
      </c>
    </row>
    <row r="297" spans="1:3" x14ac:dyDescent="0.25">
      <c r="A297" s="10" t="s">
        <v>297</v>
      </c>
      <c r="B297" s="10">
        <v>43.65</v>
      </c>
      <c r="C297" s="19">
        <f t="shared" si="4"/>
        <v>-7.3043009071075641E-3</v>
      </c>
    </row>
    <row r="298" spans="1:3" x14ac:dyDescent="0.25">
      <c r="A298" s="10" t="s">
        <v>298</v>
      </c>
      <c r="B298" s="10">
        <v>43.38</v>
      </c>
      <c r="C298" s="19">
        <f t="shared" si="4"/>
        <v>-6.2047768868827577E-3</v>
      </c>
    </row>
    <row r="299" spans="1:3" x14ac:dyDescent="0.25">
      <c r="A299" s="10" t="s">
        <v>299</v>
      </c>
      <c r="B299" s="10">
        <v>42.63</v>
      </c>
      <c r="C299" s="19">
        <f t="shared" si="4"/>
        <v>-1.7440274621609408E-2</v>
      </c>
    </row>
    <row r="300" spans="1:3" x14ac:dyDescent="0.25">
      <c r="A300" s="10" t="s">
        <v>300</v>
      </c>
      <c r="B300" s="10">
        <v>43.73</v>
      </c>
      <c r="C300" s="19">
        <f t="shared" si="4"/>
        <v>2.5476134647710206E-2</v>
      </c>
    </row>
    <row r="301" spans="1:3" x14ac:dyDescent="0.25">
      <c r="A301" s="10" t="s">
        <v>301</v>
      </c>
      <c r="B301" s="10">
        <v>42.88</v>
      </c>
      <c r="C301" s="19">
        <f t="shared" si="4"/>
        <v>-1.9628848662282504E-2</v>
      </c>
    </row>
    <row r="302" spans="1:3" x14ac:dyDescent="0.25">
      <c r="A302" s="10" t="s">
        <v>302</v>
      </c>
      <c r="B302" s="10">
        <v>42.08</v>
      </c>
      <c r="C302" s="19">
        <f t="shared" si="4"/>
        <v>-1.883294833309224E-2</v>
      </c>
    </row>
    <row r="303" spans="1:3" x14ac:dyDescent="0.25">
      <c r="A303" s="10" t="s">
        <v>303</v>
      </c>
      <c r="B303" s="10">
        <v>42.36</v>
      </c>
      <c r="C303" s="19">
        <f t="shared" si="4"/>
        <v>6.6319523037512073E-3</v>
      </c>
    </row>
    <row r="304" spans="1:3" x14ac:dyDescent="0.25">
      <c r="A304" s="10" t="s">
        <v>304</v>
      </c>
      <c r="B304" s="10">
        <v>41.99</v>
      </c>
      <c r="C304" s="19">
        <f t="shared" si="4"/>
        <v>-8.7730260371037799E-3</v>
      </c>
    </row>
    <row r="305" spans="1:3" x14ac:dyDescent="0.25">
      <c r="A305" s="10" t="s">
        <v>305</v>
      </c>
      <c r="B305" s="10">
        <v>41.98</v>
      </c>
      <c r="C305" s="19">
        <f t="shared" si="4"/>
        <v>-2.3818030361511813E-4</v>
      </c>
    </row>
    <row r="306" spans="1:3" x14ac:dyDescent="0.25">
      <c r="A306" s="10" t="s">
        <v>306</v>
      </c>
      <c r="B306" s="10">
        <v>42.8</v>
      </c>
      <c r="C306" s="19">
        <f t="shared" si="4"/>
        <v>1.9344788195264164E-2</v>
      </c>
    </row>
    <row r="307" spans="1:3" x14ac:dyDescent="0.25">
      <c r="A307" s="10" t="s">
        <v>307</v>
      </c>
      <c r="B307" s="10">
        <v>42.97</v>
      </c>
      <c r="C307" s="19">
        <f t="shared" si="4"/>
        <v>3.964095199152624E-3</v>
      </c>
    </row>
    <row r="308" spans="1:3" x14ac:dyDescent="0.25">
      <c r="A308" s="10" t="s">
        <v>308</v>
      </c>
      <c r="B308" s="10">
        <v>42.5</v>
      </c>
      <c r="C308" s="19">
        <f t="shared" si="4"/>
        <v>-1.0998121856532579E-2</v>
      </c>
    </row>
    <row r="309" spans="1:3" x14ac:dyDescent="0.25">
      <c r="A309" s="10" t="s">
        <v>309</v>
      </c>
      <c r="B309" s="10">
        <v>42.9</v>
      </c>
      <c r="C309" s="19">
        <f t="shared" si="4"/>
        <v>9.3677500036000207E-3</v>
      </c>
    </row>
    <row r="310" spans="1:3" x14ac:dyDescent="0.25">
      <c r="A310" s="10" t="s">
        <v>310</v>
      </c>
      <c r="B310" s="10">
        <v>42.5</v>
      </c>
      <c r="C310" s="19">
        <f t="shared" si="4"/>
        <v>-9.3677500036001594E-3</v>
      </c>
    </row>
    <row r="311" spans="1:3" x14ac:dyDescent="0.25">
      <c r="A311" s="10" t="s">
        <v>311</v>
      </c>
      <c r="B311" s="10">
        <v>42.95</v>
      </c>
      <c r="C311" s="19">
        <f t="shared" si="4"/>
        <v>1.053257249989337E-2</v>
      </c>
    </row>
    <row r="312" spans="1:3" x14ac:dyDescent="0.25">
      <c r="A312" s="10" t="s">
        <v>312</v>
      </c>
      <c r="B312" s="10">
        <v>43.3</v>
      </c>
      <c r="C312" s="19">
        <f t="shared" si="4"/>
        <v>8.1159865781795914E-3</v>
      </c>
    </row>
    <row r="313" spans="1:3" x14ac:dyDescent="0.25">
      <c r="A313" s="10" t="s">
        <v>313</v>
      </c>
      <c r="B313" s="10">
        <v>42.04</v>
      </c>
      <c r="C313" s="19">
        <f t="shared" si="4"/>
        <v>-2.9531088999693707E-2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showGridLines="0" workbookViewId="0">
      <selection activeCell="B6" sqref="B6"/>
    </sheetView>
  </sheetViews>
  <sheetFormatPr defaultColWidth="9.140625" defaultRowHeight="15" x14ac:dyDescent="0.25"/>
  <cols>
    <col min="1" max="3" width="14.28515625" style="10" bestFit="1" customWidth="1"/>
    <col min="4" max="16384" width="9.140625" style="10"/>
  </cols>
  <sheetData>
    <row r="1" spans="1:4" x14ac:dyDescent="0.25">
      <c r="A1" s="10" t="s">
        <v>314</v>
      </c>
    </row>
    <row r="2" spans="1:4" x14ac:dyDescent="0.25">
      <c r="A2" s="10" t="s">
        <v>320</v>
      </c>
      <c r="B2" s="22">
        <f>AVERAGE('VaR historico 1 ativo'!C23:C313)</f>
        <v>-3.5484992235739117E-4</v>
      </c>
    </row>
    <row r="3" spans="1:4" x14ac:dyDescent="0.25">
      <c r="A3" s="10" t="s">
        <v>315</v>
      </c>
      <c r="B3" s="17">
        <f>_xlfn.STDEV.S('VaR historico 1 ativo'!C23:C313)</f>
        <v>1.6755334748323802E-2</v>
      </c>
    </row>
    <row r="4" spans="1:4" x14ac:dyDescent="0.25">
      <c r="A4" s="10" t="s">
        <v>316</v>
      </c>
      <c r="B4" s="18">
        <v>1.645</v>
      </c>
    </row>
    <row r="5" spans="1:4" x14ac:dyDescent="0.25">
      <c r="A5" s="10" t="s">
        <v>317</v>
      </c>
      <c r="B5" s="16">
        <v>10000000</v>
      </c>
    </row>
    <row r="6" spans="1:4" x14ac:dyDescent="0.25">
      <c r="A6" s="12"/>
      <c r="B6" s="23">
        <f>B2-B4*B3</f>
        <v>-2.7917375583350047E-2</v>
      </c>
      <c r="C6" s="19">
        <f>B6*SQRT(21)</f>
        <v>-0.12793348681521352</v>
      </c>
      <c r="D6" s="19">
        <f>B6*SQRT(252)</f>
        <v>-0.44317459830678585</v>
      </c>
    </row>
    <row r="7" spans="1:4" x14ac:dyDescent="0.25">
      <c r="A7" s="12"/>
      <c r="B7" s="12">
        <f>B6*B5</f>
        <v>-279173.75583350047</v>
      </c>
      <c r="C7" s="14"/>
    </row>
    <row r="8" spans="1:4" x14ac:dyDescent="0.25">
      <c r="A8" s="11" t="s">
        <v>319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25"/>
  <sheetViews>
    <sheetView zoomScale="85" zoomScaleNormal="85" workbookViewId="0">
      <selection activeCell="K6" sqref="K6"/>
    </sheetView>
  </sheetViews>
  <sheetFormatPr defaultRowHeight="15" x14ac:dyDescent="0.25"/>
  <cols>
    <col min="10" max="10" width="19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</row>
    <row r="2" spans="1:18" ht="15.75" thickBot="1" x14ac:dyDescent="0.3">
      <c r="A2" s="1">
        <v>43565</v>
      </c>
      <c r="B2" s="2">
        <v>95953.45</v>
      </c>
      <c r="C2" s="3">
        <v>19.25</v>
      </c>
      <c r="D2" s="3">
        <v>15.11</v>
      </c>
      <c r="E2" s="3">
        <v>17.55</v>
      </c>
      <c r="F2" s="3">
        <v>36.049999999999997</v>
      </c>
      <c r="G2" s="3">
        <v>28.73</v>
      </c>
      <c r="H2" s="3">
        <v>17.100000000000001</v>
      </c>
      <c r="I2" s="3">
        <v>82</v>
      </c>
      <c r="K2" s="20">
        <f>LN(B2/B3)</f>
        <v>-3.5198827219229925E-3</v>
      </c>
      <c r="L2" s="20">
        <f t="shared" ref="L2:R2" si="0">LN(C2/C3)</f>
        <v>2.6007817000574403E-3</v>
      </c>
      <c r="M2" s="20">
        <f t="shared" si="0"/>
        <v>5.3085725197649985E-3</v>
      </c>
      <c r="N2" s="20">
        <f t="shared" si="0"/>
        <v>-7.9455582598191698E-3</v>
      </c>
      <c r="O2" s="20">
        <f t="shared" si="0"/>
        <v>8.3565945909412718E-3</v>
      </c>
      <c r="P2" s="20">
        <f t="shared" si="0"/>
        <v>6.9637885822550335E-4</v>
      </c>
      <c r="Q2" s="20">
        <f t="shared" si="0"/>
        <v>4.5462374076757413E-2</v>
      </c>
      <c r="R2" s="20">
        <f t="shared" si="0"/>
        <v>3.659205993137836E-4</v>
      </c>
    </row>
    <row r="3" spans="1:18" x14ac:dyDescent="0.25">
      <c r="A3" s="4">
        <v>43564</v>
      </c>
      <c r="B3" s="5">
        <v>96291.79</v>
      </c>
      <c r="C3" s="6">
        <v>19.2</v>
      </c>
      <c r="D3" s="6">
        <v>15.03</v>
      </c>
      <c r="E3" s="6">
        <v>17.690000000000001</v>
      </c>
      <c r="F3" s="6">
        <v>35.75</v>
      </c>
      <c r="G3" s="6">
        <v>28.71</v>
      </c>
      <c r="H3" s="6">
        <v>16.34</v>
      </c>
      <c r="I3" s="6">
        <v>81.97</v>
      </c>
      <c r="K3" s="20">
        <f>LN(B3/B4)</f>
        <v>-1.1127802434008781E-2</v>
      </c>
      <c r="L3" s="20">
        <f t="shared" ref="L3:L66" si="1">LN(C3/C4)</f>
        <v>-6.7480141865035835E-3</v>
      </c>
      <c r="M3" s="20">
        <f t="shared" ref="M3:M66" si="2">LN(D3/D4)</f>
        <v>-2.1718523954642986E-2</v>
      </c>
      <c r="N3" s="20">
        <f t="shared" ref="N3:N66" si="3">LN(E3/E4)</f>
        <v>1.9407001778825612E-2</v>
      </c>
      <c r="O3" s="20">
        <f t="shared" ref="O3:O66" si="4">LN(F3/F4)</f>
        <v>-8.3565945909413047E-3</v>
      </c>
      <c r="P3" s="20">
        <f t="shared" ref="P3:P66" si="5">LN(G3/G4)</f>
        <v>-1.7950084990181928E-2</v>
      </c>
      <c r="Q3" s="20">
        <f t="shared" ref="Q3:Q66" si="6">LN(H3/H4)</f>
        <v>-1.5184014770496272E-2</v>
      </c>
      <c r="R3" s="20">
        <f t="shared" ref="R3:R66" si="7">LN(I3/I4)</f>
        <v>-3.6592059931383472E-4</v>
      </c>
    </row>
    <row r="4" spans="1:18" ht="15.75" thickBot="1" x14ac:dyDescent="0.3">
      <c r="A4" s="1">
        <v>43563</v>
      </c>
      <c r="B4" s="2">
        <v>97369.29</v>
      </c>
      <c r="C4" s="3">
        <v>19.329999999999998</v>
      </c>
      <c r="D4" s="3">
        <v>15.36</v>
      </c>
      <c r="E4" s="3">
        <v>17.350000000000001</v>
      </c>
      <c r="F4" s="3">
        <v>36.049999999999997</v>
      </c>
      <c r="G4" s="3">
        <v>29.23</v>
      </c>
      <c r="H4" s="3">
        <v>16.59</v>
      </c>
      <c r="I4" s="3">
        <v>82</v>
      </c>
      <c r="K4" s="20">
        <f t="shared" ref="K4:K66" si="8">LN(B4/B5)</f>
        <v>2.685351370938002E-3</v>
      </c>
      <c r="L4" s="20">
        <f t="shared" si="1"/>
        <v>-1.0341262555514038E-3</v>
      </c>
      <c r="M4" s="20">
        <f t="shared" si="2"/>
        <v>-3.249921612498337E-3</v>
      </c>
      <c r="N4" s="20">
        <f t="shared" si="3"/>
        <v>-5.1739120879653261E-3</v>
      </c>
      <c r="O4" s="20">
        <f t="shared" si="4"/>
        <v>-3.8099846232270522E-2</v>
      </c>
      <c r="P4" s="20">
        <f t="shared" si="5"/>
        <v>-3.0742978952961997E-3</v>
      </c>
      <c r="Q4" s="20">
        <f t="shared" si="6"/>
        <v>3.5586577193729617E-2</v>
      </c>
      <c r="R4" s="20">
        <f t="shared" si="7"/>
        <v>1.2195865616693459E-4</v>
      </c>
    </row>
    <row r="5" spans="1:18" x14ac:dyDescent="0.25">
      <c r="A5" s="4">
        <v>43560</v>
      </c>
      <c r="B5" s="5">
        <v>97108.17</v>
      </c>
      <c r="C5" s="6">
        <v>19.350000000000001</v>
      </c>
      <c r="D5" s="6">
        <v>15.41</v>
      </c>
      <c r="E5" s="6">
        <v>17.440000000000001</v>
      </c>
      <c r="F5" s="6">
        <v>37.450000000000003</v>
      </c>
      <c r="G5" s="6">
        <v>29.32</v>
      </c>
      <c r="H5" s="6">
        <v>16.010000000000002</v>
      </c>
      <c r="I5" s="6">
        <v>81.99</v>
      </c>
      <c r="K5" s="20">
        <f t="shared" si="8"/>
        <v>8.2215843498340546E-3</v>
      </c>
      <c r="L5" s="20">
        <f t="shared" si="1"/>
        <v>0</v>
      </c>
      <c r="M5" s="20">
        <f t="shared" si="2"/>
        <v>7.8176293910535016E-3</v>
      </c>
      <c r="N5" s="20">
        <f t="shared" si="3"/>
        <v>6.9045153465444858E-3</v>
      </c>
      <c r="O5" s="20">
        <f t="shared" si="4"/>
        <v>-3.5155771488647188E-2</v>
      </c>
      <c r="P5" s="20">
        <f t="shared" si="5"/>
        <v>-1.0517484567023066E-2</v>
      </c>
      <c r="Q5" s="20">
        <f t="shared" si="6"/>
        <v>8.7829924703058428E-3</v>
      </c>
      <c r="R5" s="20">
        <f t="shared" si="7"/>
        <v>-8.533984059537422E-4</v>
      </c>
    </row>
    <row r="6" spans="1:18" ht="15.75" thickBot="1" x14ac:dyDescent="0.3">
      <c r="A6" s="1">
        <v>43559</v>
      </c>
      <c r="B6" s="2">
        <v>96313.06</v>
      </c>
      <c r="C6" s="3">
        <v>19.350000000000001</v>
      </c>
      <c r="D6" s="3">
        <v>15.29</v>
      </c>
      <c r="E6" s="3">
        <v>17.32</v>
      </c>
      <c r="F6" s="3">
        <v>38.79</v>
      </c>
      <c r="G6" s="3">
        <v>29.63</v>
      </c>
      <c r="H6" s="3">
        <v>15.87</v>
      </c>
      <c r="I6" s="3">
        <v>82.06</v>
      </c>
      <c r="K6" s="20">
        <f t="shared" si="8"/>
        <v>1.9094255764664975E-2</v>
      </c>
      <c r="L6" s="20">
        <f t="shared" si="1"/>
        <v>1.7727262975452997E-2</v>
      </c>
      <c r="M6" s="20">
        <f t="shared" si="2"/>
        <v>1.4493007302566824E-2</v>
      </c>
      <c r="N6" s="20">
        <f t="shared" si="3"/>
        <v>2.8104894320108521E-2</v>
      </c>
      <c r="O6" s="20">
        <f t="shared" si="4"/>
        <v>-4.3729973224586344E-3</v>
      </c>
      <c r="P6" s="20">
        <f t="shared" si="5"/>
        <v>-6.7272369411831984E-3</v>
      </c>
      <c r="Q6" s="20">
        <f t="shared" si="6"/>
        <v>1.6518800010976994E-2</v>
      </c>
      <c r="R6" s="20">
        <f t="shared" si="7"/>
        <v>1.9516961550162799E-3</v>
      </c>
    </row>
    <row r="7" spans="1:18" x14ac:dyDescent="0.25">
      <c r="A7" s="4">
        <v>43558</v>
      </c>
      <c r="B7" s="5">
        <v>94491.48</v>
      </c>
      <c r="C7" s="6">
        <v>19.010000000000002</v>
      </c>
      <c r="D7" s="6">
        <v>15.07</v>
      </c>
      <c r="E7" s="6">
        <v>16.84</v>
      </c>
      <c r="F7" s="6">
        <v>38.96</v>
      </c>
      <c r="G7" s="6">
        <v>29.83</v>
      </c>
      <c r="H7" s="6">
        <v>15.61</v>
      </c>
      <c r="I7" s="6">
        <v>81.900000000000006</v>
      </c>
      <c r="K7" s="20">
        <f t="shared" si="8"/>
        <v>-9.4301130507593988E-3</v>
      </c>
      <c r="L7" s="20">
        <f t="shared" si="1"/>
        <v>-9.9451225333979515E-3</v>
      </c>
      <c r="M7" s="20">
        <f t="shared" si="2"/>
        <v>-1.1217537620096141E-2</v>
      </c>
      <c r="N7" s="20">
        <f t="shared" si="3"/>
        <v>4.1654329790631762E-3</v>
      </c>
      <c r="O7" s="20">
        <f t="shared" si="4"/>
        <v>4.1152321451065794E-3</v>
      </c>
      <c r="P7" s="20">
        <f t="shared" si="5"/>
        <v>-1.298935831793642E-2</v>
      </c>
      <c r="Q7" s="20">
        <f t="shared" si="6"/>
        <v>2.2021615296799579E-2</v>
      </c>
      <c r="R7" s="20">
        <f t="shared" si="7"/>
        <v>4.8851979476687783E-4</v>
      </c>
    </row>
    <row r="8" spans="1:18" ht="15.75" thickBot="1" x14ac:dyDescent="0.3">
      <c r="A8" s="1">
        <v>43557</v>
      </c>
      <c r="B8" s="2">
        <v>95386.76</v>
      </c>
      <c r="C8" s="3">
        <v>19.2</v>
      </c>
      <c r="D8" s="3">
        <v>15.24</v>
      </c>
      <c r="E8" s="3">
        <v>16.77</v>
      </c>
      <c r="F8" s="3">
        <v>38.799999999999997</v>
      </c>
      <c r="G8" s="3">
        <v>30.22</v>
      </c>
      <c r="H8" s="3">
        <v>15.27</v>
      </c>
      <c r="I8" s="3">
        <v>81.86</v>
      </c>
      <c r="K8" s="20">
        <f t="shared" si="8"/>
        <v>-6.9754334220469734E-3</v>
      </c>
      <c r="L8" s="20">
        <f t="shared" si="1"/>
        <v>-1.499123448573348E-2</v>
      </c>
      <c r="M8" s="20">
        <f t="shared" si="2"/>
        <v>-9.7943975922876979E-3</v>
      </c>
      <c r="N8" s="20">
        <f t="shared" si="3"/>
        <v>-2.9770787096845036E-3</v>
      </c>
      <c r="O8" s="20">
        <f t="shared" si="4"/>
        <v>-3.6017533148259184E-3</v>
      </c>
      <c r="P8" s="20">
        <f t="shared" si="5"/>
        <v>-4.2925606609138627E-3</v>
      </c>
      <c r="Q8" s="20">
        <f t="shared" si="6"/>
        <v>-6.5888297402381418E-2</v>
      </c>
      <c r="R8" s="20">
        <f t="shared" si="7"/>
        <v>4.8875856300446146E-4</v>
      </c>
    </row>
    <row r="9" spans="1:18" x14ac:dyDescent="0.25">
      <c r="A9" s="4">
        <v>43556</v>
      </c>
      <c r="B9" s="5">
        <v>96054.45</v>
      </c>
      <c r="C9" s="6">
        <v>19.489999999999998</v>
      </c>
      <c r="D9" s="6">
        <v>15.39</v>
      </c>
      <c r="E9" s="6">
        <v>16.82</v>
      </c>
      <c r="F9" s="6">
        <v>38.94</v>
      </c>
      <c r="G9" s="6">
        <v>30.35</v>
      </c>
      <c r="H9" s="6">
        <v>16.309999999999999</v>
      </c>
      <c r="I9" s="6">
        <v>81.819999999999993</v>
      </c>
      <c r="K9" s="20">
        <f t="shared" si="8"/>
        <v>6.6841356296311154E-3</v>
      </c>
      <c r="L9" s="20">
        <f t="shared" si="1"/>
        <v>2.2834411946759416E-2</v>
      </c>
      <c r="M9" s="20">
        <f t="shared" si="2"/>
        <v>6.4998377328998611E-4</v>
      </c>
      <c r="N9" s="20">
        <f t="shared" si="3"/>
        <v>-5.9435365791250989E-4</v>
      </c>
      <c r="O9" s="20">
        <f t="shared" si="4"/>
        <v>1.7355700506442653E-2</v>
      </c>
      <c r="P9" s="20">
        <f t="shared" si="5"/>
        <v>1.5272541209660795E-2</v>
      </c>
      <c r="Q9" s="20">
        <f t="shared" si="6"/>
        <v>-2.3630302789786985E-2</v>
      </c>
      <c r="R9" s="20">
        <f t="shared" si="7"/>
        <v>-9.7727835777134103E-4</v>
      </c>
    </row>
    <row r="10" spans="1:18" ht="15.75" thickBot="1" x14ac:dyDescent="0.3">
      <c r="A10" s="1">
        <v>43553</v>
      </c>
      <c r="B10" s="2">
        <v>95414.55</v>
      </c>
      <c r="C10" s="3">
        <v>19.05</v>
      </c>
      <c r="D10" s="3">
        <v>15.38</v>
      </c>
      <c r="E10" s="3">
        <v>16.829999999999998</v>
      </c>
      <c r="F10" s="3">
        <v>38.270000000000003</v>
      </c>
      <c r="G10" s="3">
        <v>29.89</v>
      </c>
      <c r="H10" s="3">
        <v>16.7</v>
      </c>
      <c r="I10" s="3">
        <v>81.900000000000006</v>
      </c>
      <c r="K10" s="20">
        <f t="shared" si="8"/>
        <v>1.0807177277553018E-2</v>
      </c>
      <c r="L10" s="20">
        <f t="shared" si="1"/>
        <v>1.3210231736806482E-2</v>
      </c>
      <c r="M10" s="20">
        <f t="shared" si="2"/>
        <v>2.1025741705750379E-2</v>
      </c>
      <c r="N10" s="20">
        <f t="shared" si="3"/>
        <v>4.7647499316390701E-3</v>
      </c>
      <c r="O10" s="20">
        <f t="shared" si="4"/>
        <v>2.7014354612042369E-2</v>
      </c>
      <c r="P10" s="20">
        <f t="shared" si="5"/>
        <v>1.7209805550115195E-2</v>
      </c>
      <c r="Q10" s="20">
        <f t="shared" si="6"/>
        <v>1.8127384592556701E-2</v>
      </c>
      <c r="R10" s="20">
        <f t="shared" si="7"/>
        <v>-3.6623329469959176E-4</v>
      </c>
    </row>
    <row r="11" spans="1:18" x14ac:dyDescent="0.25">
      <c r="A11" s="4">
        <v>43552</v>
      </c>
      <c r="B11" s="5">
        <v>94388.94</v>
      </c>
      <c r="C11" s="6">
        <v>18.8</v>
      </c>
      <c r="D11" s="6">
        <v>15.06</v>
      </c>
      <c r="E11" s="6">
        <v>16.75</v>
      </c>
      <c r="F11" s="6">
        <v>37.25</v>
      </c>
      <c r="G11" s="6">
        <v>29.38</v>
      </c>
      <c r="H11" s="6">
        <v>16.399999999999999</v>
      </c>
      <c r="I11" s="6">
        <v>81.93</v>
      </c>
      <c r="K11" s="20">
        <f t="shared" si="8"/>
        <v>2.6685879857756771E-2</v>
      </c>
      <c r="L11" s="20">
        <f t="shared" si="1"/>
        <v>1.5545743250497268E-2</v>
      </c>
      <c r="M11" s="20">
        <f t="shared" si="2"/>
        <v>6.6622498254162504E-3</v>
      </c>
      <c r="N11" s="20">
        <f t="shared" si="3"/>
        <v>1.2616568675530314E-2</v>
      </c>
      <c r="O11" s="20">
        <f t="shared" si="4"/>
        <v>-1.1742862453475521E-2</v>
      </c>
      <c r="P11" s="20">
        <f t="shared" si="5"/>
        <v>3.7099071621922997E-2</v>
      </c>
      <c r="Q11" s="20">
        <f t="shared" si="6"/>
        <v>1.3505423199806972E-2</v>
      </c>
      <c r="R11" s="20">
        <f t="shared" si="7"/>
        <v>4.8834087162644331E-4</v>
      </c>
    </row>
    <row r="12" spans="1:18" ht="15.75" thickBot="1" x14ac:dyDescent="0.3">
      <c r="A12" s="1">
        <v>43551</v>
      </c>
      <c r="B12" s="2">
        <v>91903.4</v>
      </c>
      <c r="C12" s="3">
        <v>18.510000000000002</v>
      </c>
      <c r="D12" s="3">
        <v>14.96</v>
      </c>
      <c r="E12" s="3">
        <v>16.54</v>
      </c>
      <c r="F12" s="3">
        <v>37.69</v>
      </c>
      <c r="G12" s="3">
        <v>28.31</v>
      </c>
      <c r="H12" s="3">
        <v>16.18</v>
      </c>
      <c r="I12" s="3">
        <v>81.89</v>
      </c>
      <c r="K12" s="20">
        <f t="shared" si="8"/>
        <v>-3.6363346170486983E-2</v>
      </c>
      <c r="L12" s="20">
        <f t="shared" si="1"/>
        <v>-8.606830968225081E-3</v>
      </c>
      <c r="M12" s="20">
        <f t="shared" si="2"/>
        <v>-2.5735501486874941E-2</v>
      </c>
      <c r="N12" s="20">
        <f t="shared" si="3"/>
        <v>-2.6843246088295372E-2</v>
      </c>
      <c r="O12" s="20">
        <f t="shared" si="4"/>
        <v>-5.3718051940555372E-2</v>
      </c>
      <c r="P12" s="20">
        <f t="shared" si="5"/>
        <v>-3.7779575220827658E-2</v>
      </c>
      <c r="Q12" s="20">
        <f t="shared" si="6"/>
        <v>-5.2374292099180285E-2</v>
      </c>
      <c r="R12" s="20">
        <f t="shared" si="7"/>
        <v>-1.8300499220830014E-3</v>
      </c>
    </row>
    <row r="13" spans="1:18" x14ac:dyDescent="0.25">
      <c r="A13" s="4">
        <v>43550</v>
      </c>
      <c r="B13" s="5">
        <v>95306.82</v>
      </c>
      <c r="C13" s="6">
        <v>18.670000000000002</v>
      </c>
      <c r="D13" s="6">
        <v>15.35</v>
      </c>
      <c r="E13" s="6">
        <v>16.989999999999998</v>
      </c>
      <c r="F13" s="6">
        <v>39.770000000000003</v>
      </c>
      <c r="G13" s="6">
        <v>29.4</v>
      </c>
      <c r="H13" s="6">
        <v>17.05</v>
      </c>
      <c r="I13" s="6">
        <v>82.04</v>
      </c>
      <c r="K13" s="20">
        <f t="shared" si="8"/>
        <v>1.7408707456049846E-2</v>
      </c>
      <c r="L13" s="20">
        <f t="shared" si="1"/>
        <v>4.2941558202786402E-3</v>
      </c>
      <c r="M13" s="20">
        <f t="shared" si="2"/>
        <v>2.3065272930995969E-2</v>
      </c>
      <c r="N13" s="20">
        <f t="shared" si="3"/>
        <v>2.8053167591008669E-2</v>
      </c>
      <c r="O13" s="20">
        <f t="shared" si="4"/>
        <v>1.9038524024634108E-2</v>
      </c>
      <c r="P13" s="20">
        <f t="shared" si="5"/>
        <v>-1.3596195160397067E-3</v>
      </c>
      <c r="Q13" s="20">
        <f t="shared" si="6"/>
        <v>1.1206251155816417E-2</v>
      </c>
      <c r="R13" s="20">
        <f t="shared" si="7"/>
        <v>-1.2181753242326173E-3</v>
      </c>
    </row>
    <row r="14" spans="1:18" ht="15.75" thickBot="1" x14ac:dyDescent="0.3">
      <c r="A14" s="1">
        <v>43549</v>
      </c>
      <c r="B14" s="2">
        <v>93662.01</v>
      </c>
      <c r="C14" s="3">
        <v>18.59</v>
      </c>
      <c r="D14" s="3">
        <v>15</v>
      </c>
      <c r="E14" s="3">
        <v>16.52</v>
      </c>
      <c r="F14" s="3">
        <v>39.020000000000003</v>
      </c>
      <c r="G14" s="3">
        <v>29.44</v>
      </c>
      <c r="H14" s="3">
        <v>16.86</v>
      </c>
      <c r="I14" s="3">
        <v>82.14</v>
      </c>
      <c r="K14" s="20">
        <f t="shared" si="8"/>
        <v>-7.8058817661687285E-4</v>
      </c>
      <c r="L14" s="20">
        <f t="shared" si="1"/>
        <v>2.4504357046362092E-2</v>
      </c>
      <c r="M14" s="20">
        <f t="shared" si="2"/>
        <v>-1.126959225823077E-2</v>
      </c>
      <c r="N14" s="20">
        <f t="shared" si="3"/>
        <v>-1.2033839563723565E-2</v>
      </c>
      <c r="O14" s="20">
        <f t="shared" si="4"/>
        <v>-1.0959712096918086E-2</v>
      </c>
      <c r="P14" s="20">
        <f t="shared" si="5"/>
        <v>1.4024515824137017E-2</v>
      </c>
      <c r="Q14" s="20">
        <f t="shared" si="6"/>
        <v>2.2189816002202004E-2</v>
      </c>
      <c r="R14" s="20">
        <f t="shared" si="7"/>
        <v>1.8278199203263204E-3</v>
      </c>
    </row>
    <row r="15" spans="1:18" x14ac:dyDescent="0.25">
      <c r="A15" s="4">
        <v>43546</v>
      </c>
      <c r="B15" s="5">
        <v>93735.15</v>
      </c>
      <c r="C15" s="6">
        <v>18.14</v>
      </c>
      <c r="D15" s="6">
        <v>15.17</v>
      </c>
      <c r="E15" s="6">
        <v>16.72</v>
      </c>
      <c r="F15" s="6">
        <v>39.450000000000003</v>
      </c>
      <c r="G15" s="6">
        <v>29.03</v>
      </c>
      <c r="H15" s="6">
        <v>16.489999999999998</v>
      </c>
      <c r="I15" s="6">
        <v>81.99</v>
      </c>
      <c r="K15" s="20">
        <f t="shared" si="8"/>
        <v>-3.1440828835282625E-2</v>
      </c>
      <c r="L15" s="20">
        <f t="shared" si="1"/>
        <v>-1.586032699474129E-2</v>
      </c>
      <c r="M15" s="20">
        <f t="shared" si="2"/>
        <v>-1.6345574774742605E-2</v>
      </c>
      <c r="N15" s="20">
        <f t="shared" si="3"/>
        <v>-1.5430573226645804E-2</v>
      </c>
      <c r="O15" s="20">
        <f t="shared" si="4"/>
        <v>-3.7317763007195165E-2</v>
      </c>
      <c r="P15" s="20">
        <f t="shared" si="5"/>
        <v>-2.0457583548935267E-2</v>
      </c>
      <c r="Q15" s="20">
        <f t="shared" si="6"/>
        <v>-3.0459207484708688E-2</v>
      </c>
      <c r="R15" s="20">
        <f t="shared" si="7"/>
        <v>1.8311669647151816E-3</v>
      </c>
    </row>
    <row r="16" spans="1:18" ht="15.75" thickBot="1" x14ac:dyDescent="0.3">
      <c r="A16" s="1">
        <v>43545</v>
      </c>
      <c r="B16" s="2">
        <v>96729.08</v>
      </c>
      <c r="C16" s="3">
        <v>18.43</v>
      </c>
      <c r="D16" s="3">
        <v>15.42</v>
      </c>
      <c r="E16" s="3">
        <v>16.98</v>
      </c>
      <c r="F16" s="3">
        <v>40.950000000000003</v>
      </c>
      <c r="G16" s="3">
        <v>29.63</v>
      </c>
      <c r="H16" s="3">
        <v>17</v>
      </c>
      <c r="I16" s="3">
        <v>81.84</v>
      </c>
      <c r="K16" s="20">
        <f t="shared" si="8"/>
        <v>-1.3475451311289018E-2</v>
      </c>
      <c r="L16" s="20">
        <f t="shared" si="1"/>
        <v>-3.0459207484708574E-2</v>
      </c>
      <c r="M16" s="20">
        <f t="shared" si="2"/>
        <v>-0.22443972777565643</v>
      </c>
      <c r="N16" s="20">
        <f t="shared" si="3"/>
        <v>-1.177163173014752E-3</v>
      </c>
      <c r="O16" s="20">
        <f t="shared" si="4"/>
        <v>-5.358025482734897E-3</v>
      </c>
      <c r="P16" s="20">
        <f t="shared" si="5"/>
        <v>-3.7055794465350976E-3</v>
      </c>
      <c r="Q16" s="20">
        <f t="shared" si="6"/>
        <v>-1.9802627296179754E-2</v>
      </c>
      <c r="R16" s="20">
        <f t="shared" si="7"/>
        <v>2.3243022268969967E-3</v>
      </c>
    </row>
    <row r="17" spans="1:18" x14ac:dyDescent="0.25">
      <c r="A17" s="4">
        <v>43544</v>
      </c>
      <c r="B17" s="5">
        <v>98041.37</v>
      </c>
      <c r="C17" s="6">
        <v>19</v>
      </c>
      <c r="D17" s="6">
        <v>19.3</v>
      </c>
      <c r="E17" s="6">
        <v>17</v>
      </c>
      <c r="F17" s="6">
        <v>41.17</v>
      </c>
      <c r="G17" s="6">
        <v>29.74</v>
      </c>
      <c r="H17" s="6">
        <v>17.34</v>
      </c>
      <c r="I17" s="6">
        <v>81.650000000000006</v>
      </c>
      <c r="K17" s="20">
        <f t="shared" si="8"/>
        <v>-1.565585825398776E-2</v>
      </c>
      <c r="L17" s="20">
        <f t="shared" si="1"/>
        <v>-3.6774404458873051E-3</v>
      </c>
      <c r="M17" s="20">
        <f t="shared" si="2"/>
        <v>-1.5424470325631752E-2</v>
      </c>
      <c r="N17" s="20">
        <f t="shared" si="3"/>
        <v>-1.1114475338541926E-2</v>
      </c>
      <c r="O17" s="20">
        <f t="shared" si="4"/>
        <v>-2.1625061820616128E-2</v>
      </c>
      <c r="P17" s="20">
        <f t="shared" si="5"/>
        <v>-2.1949667380167039E-2</v>
      </c>
      <c r="Q17" s="20">
        <f t="shared" si="6"/>
        <v>-2.1113480442346452E-2</v>
      </c>
      <c r="R17" s="20">
        <f t="shared" si="7"/>
        <v>-1.9576661091326997E-3</v>
      </c>
    </row>
    <row r="18" spans="1:18" ht="15.75" thickBot="1" x14ac:dyDescent="0.3">
      <c r="A18" s="1">
        <v>43543</v>
      </c>
      <c r="B18" s="2">
        <v>99588.37</v>
      </c>
      <c r="C18" s="3">
        <v>19.07</v>
      </c>
      <c r="D18" s="3">
        <v>19.600000000000001</v>
      </c>
      <c r="E18" s="3">
        <v>17.190000000000001</v>
      </c>
      <c r="F18" s="3">
        <v>42.07</v>
      </c>
      <c r="G18" s="3">
        <v>30.4</v>
      </c>
      <c r="H18" s="3">
        <v>17.71</v>
      </c>
      <c r="I18" s="3">
        <v>81.81</v>
      </c>
      <c r="K18" s="20">
        <f t="shared" si="8"/>
        <v>-4.0639934352218778E-3</v>
      </c>
      <c r="L18" s="20">
        <f t="shared" si="1"/>
        <v>1.4259549776424237E-2</v>
      </c>
      <c r="M18" s="20">
        <f t="shared" si="2"/>
        <v>-1.0152371464017962E-2</v>
      </c>
      <c r="N18" s="20">
        <f t="shared" si="3"/>
        <v>-6.9565497933598269E-3</v>
      </c>
      <c r="O18" s="20">
        <f t="shared" si="4"/>
        <v>-3.5591448177450203E-3</v>
      </c>
      <c r="P18" s="20">
        <f t="shared" si="5"/>
        <v>-1.0145726040555077E-2</v>
      </c>
      <c r="Q18" s="20">
        <f t="shared" si="6"/>
        <v>-4.5070498830015251E-3</v>
      </c>
      <c r="R18" s="20">
        <f t="shared" si="7"/>
        <v>6.1135907021252721E-4</v>
      </c>
    </row>
    <row r="19" spans="1:18" x14ac:dyDescent="0.25">
      <c r="A19" s="4">
        <v>43542</v>
      </c>
      <c r="B19" s="5">
        <v>99993.919999999998</v>
      </c>
      <c r="C19" s="6">
        <v>18.8</v>
      </c>
      <c r="D19" s="6">
        <v>19.8</v>
      </c>
      <c r="E19" s="6">
        <v>17.309999999999999</v>
      </c>
      <c r="F19" s="6">
        <v>42.22</v>
      </c>
      <c r="G19" s="6">
        <v>30.71</v>
      </c>
      <c r="H19" s="6">
        <v>17.79</v>
      </c>
      <c r="I19" s="6">
        <v>81.760000000000005</v>
      </c>
      <c r="K19" s="20">
        <f t="shared" si="8"/>
        <v>8.6092748799306788E-3</v>
      </c>
      <c r="L19" s="20">
        <f t="shared" si="1"/>
        <v>-1.6354888416278107E-2</v>
      </c>
      <c r="M19" s="20">
        <f t="shared" si="2"/>
        <v>-2.0990275891835743E-2</v>
      </c>
      <c r="N19" s="20">
        <f t="shared" si="3"/>
        <v>3.2289274134180729E-2</v>
      </c>
      <c r="O19" s="20">
        <f t="shared" si="4"/>
        <v>1.7200615183521853E-2</v>
      </c>
      <c r="P19" s="20">
        <f t="shared" si="5"/>
        <v>-1.3904831953121212E-2</v>
      </c>
      <c r="Q19" s="20">
        <f t="shared" si="6"/>
        <v>1.700721264723315E-2</v>
      </c>
      <c r="R19" s="20">
        <f t="shared" si="7"/>
        <v>-1.7108644036294301E-3</v>
      </c>
    </row>
    <row r="20" spans="1:18" ht="15.75" thickBot="1" x14ac:dyDescent="0.3">
      <c r="A20" s="1">
        <v>43539</v>
      </c>
      <c r="B20" s="2">
        <v>99136.74</v>
      </c>
      <c r="C20" s="3">
        <v>19.11</v>
      </c>
      <c r="D20" s="3">
        <v>20.22</v>
      </c>
      <c r="E20" s="3">
        <v>16.760000000000002</v>
      </c>
      <c r="F20" s="3">
        <v>41.5</v>
      </c>
      <c r="G20" s="3">
        <v>31.14</v>
      </c>
      <c r="H20" s="3">
        <v>17.489999999999998</v>
      </c>
      <c r="I20" s="3">
        <v>81.900000000000006</v>
      </c>
      <c r="K20" s="20">
        <f t="shared" si="8"/>
        <v>5.3814856896071579E-3</v>
      </c>
      <c r="L20" s="20">
        <f t="shared" si="1"/>
        <v>2.6198600261255452E-3</v>
      </c>
      <c r="M20" s="20">
        <f t="shared" si="2"/>
        <v>1.5952481861878628E-2</v>
      </c>
      <c r="N20" s="20">
        <f t="shared" si="3"/>
        <v>5.9844583152404863E-3</v>
      </c>
      <c r="O20" s="20">
        <f t="shared" si="4"/>
        <v>5.3153060633452194E-3</v>
      </c>
      <c r="P20" s="20">
        <f t="shared" si="5"/>
        <v>-1.9399558932848379E-2</v>
      </c>
      <c r="Q20" s="20">
        <f t="shared" si="6"/>
        <v>1.0922787526777295E-2</v>
      </c>
      <c r="R20" s="20">
        <f t="shared" si="7"/>
        <v>0</v>
      </c>
    </row>
    <row r="21" spans="1:18" x14ac:dyDescent="0.25">
      <c r="A21" s="4">
        <v>43538</v>
      </c>
      <c r="B21" s="5">
        <v>98604.67</v>
      </c>
      <c r="C21" s="6">
        <v>19.059999999999999</v>
      </c>
      <c r="D21" s="6">
        <v>19.899999999999999</v>
      </c>
      <c r="E21" s="6">
        <v>16.66</v>
      </c>
      <c r="F21" s="6">
        <v>41.28</v>
      </c>
      <c r="G21" s="6">
        <v>31.75</v>
      </c>
      <c r="H21" s="6">
        <v>17.3</v>
      </c>
      <c r="I21" s="6">
        <v>81.900000000000006</v>
      </c>
      <c r="K21" s="20">
        <f t="shared" si="8"/>
        <v>-3.0298458359880446E-3</v>
      </c>
      <c r="L21" s="20">
        <f t="shared" si="1"/>
        <v>-9.9191625077372243E-3</v>
      </c>
      <c r="M21" s="20">
        <f t="shared" si="2"/>
        <v>-5.0125418235443982E-3</v>
      </c>
      <c r="N21" s="20">
        <f t="shared" si="3"/>
        <v>-1.4302985190331028E-2</v>
      </c>
      <c r="O21" s="20">
        <f t="shared" si="4"/>
        <v>1.9076147060813887E-2</v>
      </c>
      <c r="P21" s="20">
        <f t="shared" si="5"/>
        <v>-7.8431774610258926E-3</v>
      </c>
      <c r="Q21" s="20">
        <f t="shared" si="6"/>
        <v>5.2158912802852597E-3</v>
      </c>
      <c r="R21" s="20">
        <f t="shared" si="7"/>
        <v>3.5471873778723023E-3</v>
      </c>
    </row>
    <row r="22" spans="1:18" ht="15.75" thickBot="1" x14ac:dyDescent="0.3">
      <c r="A22" s="1">
        <v>43537</v>
      </c>
      <c r="B22" s="2">
        <v>98903.88</v>
      </c>
      <c r="C22" s="3">
        <v>19.25</v>
      </c>
      <c r="D22" s="3">
        <v>20</v>
      </c>
      <c r="E22" s="3">
        <v>16.899999999999999</v>
      </c>
      <c r="F22" s="3">
        <v>40.5</v>
      </c>
      <c r="G22" s="3">
        <v>32</v>
      </c>
      <c r="H22" s="3">
        <v>17.21</v>
      </c>
      <c r="I22" s="3">
        <v>81.61</v>
      </c>
      <c r="K22" s="20">
        <f t="shared" si="8"/>
        <v>1.0937328111859596E-2</v>
      </c>
      <c r="L22" s="20">
        <f t="shared" si="1"/>
        <v>7.8227256812088575E-3</v>
      </c>
      <c r="M22" s="20">
        <f t="shared" si="2"/>
        <v>-1.5873349156290122E-2</v>
      </c>
      <c r="N22" s="20">
        <f t="shared" si="3"/>
        <v>-5.8997221271883827E-3</v>
      </c>
      <c r="O22" s="20">
        <f t="shared" si="4"/>
        <v>7.186253203310804E-3</v>
      </c>
      <c r="P22" s="20">
        <f t="shared" si="5"/>
        <v>-1.6119381879883415E-2</v>
      </c>
      <c r="Q22" s="20">
        <f t="shared" si="6"/>
        <v>6.4121467148337647E-3</v>
      </c>
      <c r="R22" s="20">
        <f t="shared" si="7"/>
        <v>-1.1021983848056877E-3</v>
      </c>
    </row>
    <row r="23" spans="1:18" x14ac:dyDescent="0.25">
      <c r="A23" s="4">
        <v>43536</v>
      </c>
      <c r="B23" s="5">
        <v>97828.03</v>
      </c>
      <c r="C23" s="6">
        <v>19.100000000000001</v>
      </c>
      <c r="D23" s="6">
        <v>20.32</v>
      </c>
      <c r="E23" s="6">
        <v>17</v>
      </c>
      <c r="F23" s="6">
        <v>40.21</v>
      </c>
      <c r="G23" s="6">
        <v>32.520000000000003</v>
      </c>
      <c r="H23" s="6">
        <v>17.100000000000001</v>
      </c>
      <c r="I23" s="6">
        <v>81.7</v>
      </c>
      <c r="K23" s="20">
        <f t="shared" si="8"/>
        <v>-2.0279331438763063E-3</v>
      </c>
      <c r="L23" s="20">
        <f t="shared" si="1"/>
        <v>-8.8611473736907899E-3</v>
      </c>
      <c r="M23" s="20">
        <f t="shared" si="2"/>
        <v>-1.2714107695622276E-2</v>
      </c>
      <c r="N23" s="20">
        <f t="shared" si="3"/>
        <v>-6.4497438478860044E-3</v>
      </c>
      <c r="O23" s="20">
        <f t="shared" si="4"/>
        <v>1.9081673617299288E-2</v>
      </c>
      <c r="P23" s="20">
        <f t="shared" si="5"/>
        <v>3.6968618813262026E-3</v>
      </c>
      <c r="Q23" s="20">
        <f t="shared" si="6"/>
        <v>1.7699577099400857E-2</v>
      </c>
      <c r="R23" s="20">
        <f t="shared" si="7"/>
        <v>6.1218244948298345E-4</v>
      </c>
    </row>
    <row r="24" spans="1:18" ht="15.75" thickBot="1" x14ac:dyDescent="0.3">
      <c r="A24" s="1">
        <v>43535</v>
      </c>
      <c r="B24" s="2">
        <v>98026.62</v>
      </c>
      <c r="C24" s="3">
        <v>19.27</v>
      </c>
      <c r="D24" s="3">
        <v>20.58</v>
      </c>
      <c r="E24" s="3">
        <v>17.11</v>
      </c>
      <c r="F24" s="3">
        <v>39.450000000000003</v>
      </c>
      <c r="G24" s="3">
        <v>32.4</v>
      </c>
      <c r="H24" s="3">
        <v>16.8</v>
      </c>
      <c r="I24" s="3">
        <v>81.650000000000006</v>
      </c>
      <c r="K24" s="20">
        <f t="shared" si="8"/>
        <v>2.752901251511566E-2</v>
      </c>
      <c r="L24" s="20">
        <f t="shared" si="1"/>
        <v>1.9387560360678333E-2</v>
      </c>
      <c r="M24" s="20">
        <f t="shared" si="2"/>
        <v>9.7657026113248651E-3</v>
      </c>
      <c r="N24" s="20">
        <f t="shared" si="3"/>
        <v>3.0862983701748892E-2</v>
      </c>
      <c r="O24" s="20">
        <f t="shared" si="4"/>
        <v>6.2495826434669499E-2</v>
      </c>
      <c r="P24" s="20">
        <f t="shared" si="5"/>
        <v>3.6139046615873138E-2</v>
      </c>
      <c r="Q24" s="20">
        <f t="shared" si="6"/>
        <v>3.5133837721946462E-2</v>
      </c>
      <c r="R24" s="20">
        <f t="shared" si="7"/>
        <v>-3.0571714425496103E-3</v>
      </c>
    </row>
    <row r="25" spans="1:18" x14ac:dyDescent="0.25">
      <c r="A25" s="4">
        <v>43532</v>
      </c>
      <c r="B25" s="5">
        <v>95364.85</v>
      </c>
      <c r="C25" s="6">
        <v>18.899999999999999</v>
      </c>
      <c r="D25" s="6">
        <v>20.38</v>
      </c>
      <c r="E25" s="6">
        <v>16.59</v>
      </c>
      <c r="F25" s="6">
        <v>37.06</v>
      </c>
      <c r="G25" s="6">
        <v>31.25</v>
      </c>
      <c r="H25" s="6">
        <v>16.22</v>
      </c>
      <c r="I25" s="6">
        <v>81.900000000000006</v>
      </c>
      <c r="K25" s="20">
        <f t="shared" si="8"/>
        <v>1.0802982075763671E-2</v>
      </c>
      <c r="L25" s="20">
        <f t="shared" si="1"/>
        <v>5.0458221270129035E-2</v>
      </c>
      <c r="M25" s="20">
        <f t="shared" si="2"/>
        <v>4.8250564931399738E-2</v>
      </c>
      <c r="N25" s="20">
        <f t="shared" si="3"/>
        <v>-6.0096334713906794E-3</v>
      </c>
      <c r="O25" s="20">
        <f t="shared" si="4"/>
        <v>1.7969446214518899E-2</v>
      </c>
      <c r="P25" s="20">
        <f t="shared" si="5"/>
        <v>1.9060502738742411E-2</v>
      </c>
      <c r="Q25" s="20">
        <f t="shared" si="6"/>
        <v>2.5602397465886165E-2</v>
      </c>
      <c r="R25" s="20">
        <f t="shared" si="7"/>
        <v>3.6697288889626228E-3</v>
      </c>
    </row>
    <row r="26" spans="1:18" ht="15.75" thickBot="1" x14ac:dyDescent="0.3">
      <c r="A26" s="1">
        <v>43531</v>
      </c>
      <c r="B26" s="2">
        <v>94340.17</v>
      </c>
      <c r="C26" s="3">
        <v>17.97</v>
      </c>
      <c r="D26" s="3">
        <v>19.420000000000002</v>
      </c>
      <c r="E26" s="3">
        <v>16.690000000000001</v>
      </c>
      <c r="F26" s="3">
        <v>36.4</v>
      </c>
      <c r="G26" s="3">
        <v>30.66</v>
      </c>
      <c r="H26" s="3">
        <v>15.81</v>
      </c>
      <c r="I26" s="3">
        <v>81.599999999999994</v>
      </c>
      <c r="K26" s="20">
        <f t="shared" si="8"/>
        <v>1.3078272503056728E-3</v>
      </c>
      <c r="L26" s="20">
        <f t="shared" si="1"/>
        <v>-1.9835361056145924E-2</v>
      </c>
      <c r="M26" s="20">
        <f t="shared" si="2"/>
        <v>-6.6718235681959065E-3</v>
      </c>
      <c r="N26" s="20">
        <f t="shared" si="3"/>
        <v>1.9359346290700186E-2</v>
      </c>
      <c r="O26" s="20">
        <f t="shared" si="4"/>
        <v>-8.2079804178297328E-3</v>
      </c>
      <c r="P26" s="20">
        <f t="shared" si="5"/>
        <v>8.5162650314921616E-3</v>
      </c>
      <c r="Q26" s="20">
        <f t="shared" si="6"/>
        <v>-3.9682825990000212E-2</v>
      </c>
      <c r="R26" s="20">
        <f t="shared" si="7"/>
        <v>1.4566360500933252E-2</v>
      </c>
    </row>
    <row r="27" spans="1:18" x14ac:dyDescent="0.25">
      <c r="A27" s="4">
        <v>43530</v>
      </c>
      <c r="B27" s="5">
        <v>94216.87</v>
      </c>
      <c r="C27" s="6">
        <v>18.329999999999998</v>
      </c>
      <c r="D27" s="6">
        <v>19.55</v>
      </c>
      <c r="E27" s="6">
        <v>16.37</v>
      </c>
      <c r="F27" s="6">
        <v>36.700000000000003</v>
      </c>
      <c r="G27" s="6">
        <v>30.4</v>
      </c>
      <c r="H27" s="6">
        <v>16.45</v>
      </c>
      <c r="I27" s="6">
        <v>80.42</v>
      </c>
      <c r="K27" s="20">
        <f t="shared" si="8"/>
        <v>-4.0978632671528591E-3</v>
      </c>
      <c r="L27" s="20">
        <f t="shared" si="1"/>
        <v>3.2786914616982953E-3</v>
      </c>
      <c r="M27" s="20">
        <f t="shared" si="2"/>
        <v>-1.9752478102317495E-2</v>
      </c>
      <c r="N27" s="20">
        <f t="shared" si="3"/>
        <v>-2.7712616819670962E-2</v>
      </c>
      <c r="O27" s="20">
        <f t="shared" si="4"/>
        <v>-1.3614705983209633E-3</v>
      </c>
      <c r="P27" s="20">
        <f t="shared" si="5"/>
        <v>-7.8637364602145762E-3</v>
      </c>
      <c r="Q27" s="20">
        <f t="shared" si="6"/>
        <v>-1.2084739215071886E-2</v>
      </c>
      <c r="R27" s="20">
        <f t="shared" si="7"/>
        <v>-8.1734201146712818E-3</v>
      </c>
    </row>
    <row r="28" spans="1:18" ht="15.75" thickBot="1" x14ac:dyDescent="0.3">
      <c r="A28" s="1">
        <v>43525</v>
      </c>
      <c r="B28" s="2">
        <v>94603.75</v>
      </c>
      <c r="C28" s="3">
        <v>18.27</v>
      </c>
      <c r="D28" s="3">
        <v>19.940000000000001</v>
      </c>
      <c r="E28" s="3">
        <v>16.829999999999998</v>
      </c>
      <c r="F28" s="3">
        <v>36.75</v>
      </c>
      <c r="G28" s="3">
        <v>30.64</v>
      </c>
      <c r="H28" s="3">
        <v>16.649999999999999</v>
      </c>
      <c r="I28" s="3">
        <v>81.08</v>
      </c>
      <c r="K28" s="20">
        <f t="shared" si="8"/>
        <v>-1.0311987863567167E-2</v>
      </c>
      <c r="L28" s="20">
        <f t="shared" si="1"/>
        <v>-5.4719563608870579E-4</v>
      </c>
      <c r="M28" s="20">
        <f t="shared" si="2"/>
        <v>3.8859695078400279E-2</v>
      </c>
      <c r="N28" s="20">
        <f t="shared" si="3"/>
        <v>-2.3489042337123778E-2</v>
      </c>
      <c r="O28" s="20">
        <f t="shared" si="4"/>
        <v>-2.4194728587056881E-2</v>
      </c>
      <c r="P28" s="20">
        <f t="shared" si="5"/>
        <v>1.4795601153643085E-2</v>
      </c>
      <c r="Q28" s="20">
        <f t="shared" si="6"/>
        <v>-5.9880418446226691E-3</v>
      </c>
      <c r="R28" s="20">
        <f t="shared" si="7"/>
        <v>0</v>
      </c>
    </row>
    <row r="29" spans="1:18" x14ac:dyDescent="0.25">
      <c r="A29" s="4">
        <v>43524</v>
      </c>
      <c r="B29" s="5">
        <v>95584.35</v>
      </c>
      <c r="C29" s="6">
        <v>18.28</v>
      </c>
      <c r="D29" s="6">
        <v>19.18</v>
      </c>
      <c r="E29" s="6">
        <v>17.23</v>
      </c>
      <c r="F29" s="6">
        <v>37.65</v>
      </c>
      <c r="G29" s="6">
        <v>30.19</v>
      </c>
      <c r="H29" s="6">
        <v>16.75</v>
      </c>
      <c r="I29" s="6">
        <v>81.08</v>
      </c>
      <c r="K29" s="20">
        <f t="shared" si="8"/>
        <v>-1.7865011110912571E-2</v>
      </c>
      <c r="L29" s="20">
        <f t="shared" si="1"/>
        <v>-2.1857932199802082E-3</v>
      </c>
      <c r="M29" s="20">
        <f t="shared" si="2"/>
        <v>-4.6814129709829028E-3</v>
      </c>
      <c r="N29" s="20">
        <f t="shared" si="3"/>
        <v>-6.3522334652506118E-2</v>
      </c>
      <c r="O29" s="20">
        <f t="shared" si="4"/>
        <v>-6.6181578424781172E-3</v>
      </c>
      <c r="P29" s="20">
        <f t="shared" si="5"/>
        <v>-6.931864693428531E-3</v>
      </c>
      <c r="Q29" s="20">
        <f t="shared" si="6"/>
        <v>-8.9153636579522803E-3</v>
      </c>
      <c r="R29" s="20">
        <f t="shared" si="7"/>
        <v>-1.7252006743524763E-3</v>
      </c>
    </row>
    <row r="30" spans="1:18" ht="15.75" thickBot="1" x14ac:dyDescent="0.3">
      <c r="A30" s="1">
        <v>43523</v>
      </c>
      <c r="B30" s="2">
        <v>97307.31</v>
      </c>
      <c r="C30" s="3">
        <v>18.32</v>
      </c>
      <c r="D30" s="3">
        <v>19.27</v>
      </c>
      <c r="E30" s="3">
        <v>18.36</v>
      </c>
      <c r="F30" s="3">
        <v>37.9</v>
      </c>
      <c r="G30" s="3">
        <v>30.4</v>
      </c>
      <c r="H30" s="3">
        <v>16.899999999999999</v>
      </c>
      <c r="I30" s="3">
        <v>81.22</v>
      </c>
      <c r="K30" s="20">
        <f t="shared" si="8"/>
        <v>-3.0289930064819949E-3</v>
      </c>
      <c r="L30" s="20">
        <f t="shared" si="1"/>
        <v>-7.0710112405519788E-3</v>
      </c>
      <c r="M30" s="20">
        <f t="shared" si="2"/>
        <v>6.246766799620101E-3</v>
      </c>
      <c r="N30" s="20">
        <f t="shared" si="3"/>
        <v>-7.055660206689021E-3</v>
      </c>
      <c r="O30" s="20">
        <f t="shared" si="4"/>
        <v>-1.570712920535788E-2</v>
      </c>
      <c r="P30" s="20">
        <f t="shared" si="5"/>
        <v>4.285485378548639E-3</v>
      </c>
      <c r="Q30" s="20">
        <f t="shared" si="6"/>
        <v>3.1863230545984098E-2</v>
      </c>
      <c r="R30" s="20">
        <f t="shared" si="7"/>
        <v>2.4627509051942519E-4</v>
      </c>
    </row>
    <row r="31" spans="1:18" x14ac:dyDescent="0.25">
      <c r="A31" s="4">
        <v>43522</v>
      </c>
      <c r="B31" s="5">
        <v>97602.5</v>
      </c>
      <c r="C31" s="6">
        <v>18.45</v>
      </c>
      <c r="D31" s="6">
        <v>19.149999999999999</v>
      </c>
      <c r="E31" s="6">
        <v>18.489999999999998</v>
      </c>
      <c r="F31" s="6">
        <v>38.5</v>
      </c>
      <c r="G31" s="6">
        <v>30.27</v>
      </c>
      <c r="H31" s="6">
        <v>16.37</v>
      </c>
      <c r="I31" s="6">
        <v>81.2</v>
      </c>
      <c r="K31" s="20">
        <f t="shared" si="8"/>
        <v>3.7219867810806022E-3</v>
      </c>
      <c r="L31" s="20">
        <f t="shared" si="1"/>
        <v>3.2573318703065048E-3</v>
      </c>
      <c r="M31" s="20">
        <f t="shared" si="2"/>
        <v>-8.8381131577170615E-3</v>
      </c>
      <c r="N31" s="20">
        <f t="shared" si="3"/>
        <v>5.4230067828036658E-3</v>
      </c>
      <c r="O31" s="20">
        <f t="shared" si="4"/>
        <v>7.8227256812088575E-3</v>
      </c>
      <c r="P31" s="20">
        <f t="shared" si="5"/>
        <v>1.9841276350466854E-3</v>
      </c>
      <c r="Q31" s="20">
        <f t="shared" si="6"/>
        <v>1.2224940397811E-3</v>
      </c>
      <c r="R31" s="20">
        <f t="shared" si="7"/>
        <v>-1.2314512668709898E-4</v>
      </c>
    </row>
    <row r="32" spans="1:18" ht="15.75" thickBot="1" x14ac:dyDescent="0.3">
      <c r="A32" s="1">
        <v>43521</v>
      </c>
      <c r="B32" s="2">
        <v>97239.9</v>
      </c>
      <c r="C32" s="3">
        <v>18.39</v>
      </c>
      <c r="D32" s="3">
        <v>19.32</v>
      </c>
      <c r="E32" s="3">
        <v>18.39</v>
      </c>
      <c r="F32" s="3">
        <v>38.200000000000003</v>
      </c>
      <c r="G32" s="3">
        <v>30.21</v>
      </c>
      <c r="H32" s="3">
        <v>16.350000000000001</v>
      </c>
      <c r="I32" s="3">
        <v>81.209999999999994</v>
      </c>
      <c r="K32" s="20">
        <f t="shared" si="8"/>
        <v>-6.6183287876341252E-3</v>
      </c>
      <c r="L32" s="20">
        <f t="shared" si="1"/>
        <v>-7.0441906018035598E-3</v>
      </c>
      <c r="M32" s="20">
        <f t="shared" si="2"/>
        <v>1.3024409172044256E-2</v>
      </c>
      <c r="N32" s="20">
        <f t="shared" si="3"/>
        <v>3.8136793702454263E-3</v>
      </c>
      <c r="O32" s="20">
        <f t="shared" si="4"/>
        <v>7.8844035241490557E-3</v>
      </c>
      <c r="P32" s="20">
        <f t="shared" si="5"/>
        <v>-2.9034823786607905E-2</v>
      </c>
      <c r="Q32" s="20">
        <f t="shared" si="6"/>
        <v>7.98284865599567E-3</v>
      </c>
      <c r="R32" s="20">
        <f t="shared" si="7"/>
        <v>-2.4624476854309679E-4</v>
      </c>
    </row>
    <row r="33" spans="1:18" x14ac:dyDescent="0.25">
      <c r="A33" s="4">
        <v>43518</v>
      </c>
      <c r="B33" s="5">
        <v>97885.6</v>
      </c>
      <c r="C33" s="6">
        <v>18.52</v>
      </c>
      <c r="D33" s="6">
        <v>19.07</v>
      </c>
      <c r="E33" s="6">
        <v>18.32</v>
      </c>
      <c r="F33" s="6">
        <v>37.9</v>
      </c>
      <c r="G33" s="6">
        <v>31.1</v>
      </c>
      <c r="H33" s="6">
        <v>16.22</v>
      </c>
      <c r="I33" s="6">
        <v>81.23</v>
      </c>
      <c r="K33" s="20">
        <f t="shared" si="8"/>
        <v>9.786962659211999E-3</v>
      </c>
      <c r="L33" s="20">
        <f t="shared" si="1"/>
        <v>1.0804971337541789E-3</v>
      </c>
      <c r="M33" s="20">
        <f t="shared" si="2"/>
        <v>-2.8433034524889406E-2</v>
      </c>
      <c r="N33" s="20">
        <f t="shared" si="3"/>
        <v>0</v>
      </c>
      <c r="O33" s="20">
        <f t="shared" si="4"/>
        <v>1.0876881340559945E-2</v>
      </c>
      <c r="P33" s="20">
        <f t="shared" si="5"/>
        <v>3.135462598683899E-2</v>
      </c>
      <c r="Q33" s="20">
        <f t="shared" si="6"/>
        <v>4.9443858454640659E-3</v>
      </c>
      <c r="R33" s="20">
        <f t="shared" si="7"/>
        <v>6.1572565211077197E-4</v>
      </c>
    </row>
    <row r="34" spans="1:18" ht="15.75" thickBot="1" x14ac:dyDescent="0.3">
      <c r="A34" s="1">
        <v>43517</v>
      </c>
      <c r="B34" s="2">
        <v>96932.27</v>
      </c>
      <c r="C34" s="3">
        <v>18.5</v>
      </c>
      <c r="D34" s="3">
        <v>19.62</v>
      </c>
      <c r="E34" s="3">
        <v>18.32</v>
      </c>
      <c r="F34" s="3">
        <v>37.49</v>
      </c>
      <c r="G34" s="3">
        <v>30.14</v>
      </c>
      <c r="H34" s="3">
        <v>16.14</v>
      </c>
      <c r="I34" s="3">
        <v>81.180000000000007</v>
      </c>
      <c r="K34" s="20">
        <f t="shared" si="8"/>
        <v>4.0052342940686391E-3</v>
      </c>
      <c r="L34" s="20">
        <f t="shared" si="1"/>
        <v>1.0869672236903891E-2</v>
      </c>
      <c r="M34" s="20">
        <f t="shared" si="2"/>
        <v>6.1349885675159293E-3</v>
      </c>
      <c r="N34" s="20">
        <f t="shared" si="3"/>
        <v>9.322798535124582E-3</v>
      </c>
      <c r="O34" s="20">
        <f t="shared" si="4"/>
        <v>-1.745152698264529E-2</v>
      </c>
      <c r="P34" s="20">
        <f t="shared" si="5"/>
        <v>2.9905322171329008E-3</v>
      </c>
      <c r="Q34" s="20">
        <f t="shared" si="6"/>
        <v>-6.1938682686265949E-4</v>
      </c>
      <c r="R34" s="20">
        <f t="shared" si="7"/>
        <v>1.355932411135997E-3</v>
      </c>
    </row>
    <row r="35" spans="1:18" x14ac:dyDescent="0.25">
      <c r="A35" s="4">
        <v>43516</v>
      </c>
      <c r="B35" s="5">
        <v>96544.81</v>
      </c>
      <c r="C35" s="6">
        <v>18.3</v>
      </c>
      <c r="D35" s="6">
        <v>19.5</v>
      </c>
      <c r="E35" s="6">
        <v>18.149999999999999</v>
      </c>
      <c r="F35" s="6">
        <v>38.15</v>
      </c>
      <c r="G35" s="6">
        <v>30.05</v>
      </c>
      <c r="H35" s="6">
        <v>16.149999999999999</v>
      </c>
      <c r="I35" s="6">
        <v>81.069999999999993</v>
      </c>
      <c r="K35" s="20">
        <f t="shared" si="8"/>
        <v>-1.1476102031491825E-2</v>
      </c>
      <c r="L35" s="20">
        <f t="shared" si="1"/>
        <v>-2.9611854046644601E-2</v>
      </c>
      <c r="M35" s="20">
        <f t="shared" si="2"/>
        <v>-2.5317807984289897E-2</v>
      </c>
      <c r="N35" s="20">
        <f t="shared" si="3"/>
        <v>-9.3227985351245421E-3</v>
      </c>
      <c r="O35" s="20">
        <f t="shared" si="4"/>
        <v>-1.3279716049718756E-2</v>
      </c>
      <c r="P35" s="20">
        <f t="shared" si="5"/>
        <v>-2.0748315517838865E-2</v>
      </c>
      <c r="Q35" s="20">
        <f t="shared" si="6"/>
        <v>-2.748264569383212E-2</v>
      </c>
      <c r="R35" s="20">
        <f t="shared" si="7"/>
        <v>-2.4639657654977249E-3</v>
      </c>
    </row>
    <row r="36" spans="1:18" ht="15.75" thickBot="1" x14ac:dyDescent="0.3">
      <c r="A36" s="1">
        <v>43515</v>
      </c>
      <c r="B36" s="2">
        <v>97659.15</v>
      </c>
      <c r="C36" s="3">
        <v>18.850000000000001</v>
      </c>
      <c r="D36" s="3">
        <v>20</v>
      </c>
      <c r="E36" s="3">
        <v>18.32</v>
      </c>
      <c r="F36" s="3">
        <v>38.659999999999997</v>
      </c>
      <c r="G36" s="3">
        <v>30.68</v>
      </c>
      <c r="H36" s="3">
        <v>16.600000000000001</v>
      </c>
      <c r="I36" s="3">
        <v>81.27</v>
      </c>
      <c r="K36" s="20">
        <f t="shared" si="8"/>
        <v>1.1837864789723927E-2</v>
      </c>
      <c r="L36" s="20">
        <f t="shared" si="1"/>
        <v>-2.6490081715767307E-3</v>
      </c>
      <c r="M36" s="20">
        <f t="shared" si="2"/>
        <v>1.9692633345736073E-2</v>
      </c>
      <c r="N36" s="20">
        <f t="shared" si="3"/>
        <v>7.1213667159532529E-3</v>
      </c>
      <c r="O36" s="20">
        <f t="shared" si="4"/>
        <v>-5.6745058120535874E-3</v>
      </c>
      <c r="P36" s="20">
        <f t="shared" si="5"/>
        <v>-3.5789854373535854E-3</v>
      </c>
      <c r="Q36" s="20">
        <f t="shared" si="6"/>
        <v>-6.0222826270580753E-4</v>
      </c>
      <c r="R36" s="20">
        <f t="shared" si="7"/>
        <v>1.8474049222402587E-3</v>
      </c>
    </row>
    <row r="37" spans="1:18" x14ac:dyDescent="0.25">
      <c r="A37" s="4">
        <v>43514</v>
      </c>
      <c r="B37" s="5">
        <v>96509.89</v>
      </c>
      <c r="C37" s="6">
        <v>18.899999999999999</v>
      </c>
      <c r="D37" s="6">
        <v>19.61</v>
      </c>
      <c r="E37" s="6">
        <v>18.190000000000001</v>
      </c>
      <c r="F37" s="6">
        <v>38.880000000000003</v>
      </c>
      <c r="G37" s="6">
        <v>30.79</v>
      </c>
      <c r="H37" s="6">
        <v>16.61</v>
      </c>
      <c r="I37" s="6">
        <v>81.12</v>
      </c>
      <c r="K37" s="20">
        <f t="shared" si="8"/>
        <v>-1.0472596149837926E-2</v>
      </c>
      <c r="L37" s="20">
        <f t="shared" si="1"/>
        <v>1.5885626851377399E-3</v>
      </c>
      <c r="M37" s="20">
        <f t="shared" si="2"/>
        <v>1.5934544297415011E-2</v>
      </c>
      <c r="N37" s="20">
        <f t="shared" si="3"/>
        <v>-1.6358052869002462E-2</v>
      </c>
      <c r="O37" s="20">
        <f t="shared" si="4"/>
        <v>9.8217382984999435E-3</v>
      </c>
      <c r="P37" s="20">
        <f t="shared" si="5"/>
        <v>3.2530933047640502E-3</v>
      </c>
      <c r="Q37" s="20">
        <f t="shared" si="6"/>
        <v>1.0895991576026833E-2</v>
      </c>
      <c r="R37" s="20">
        <f t="shared" si="7"/>
        <v>-7.3937156787863285E-4</v>
      </c>
    </row>
    <row r="38" spans="1:18" ht="15.75" thickBot="1" x14ac:dyDescent="0.3">
      <c r="A38" s="1">
        <v>43511</v>
      </c>
      <c r="B38" s="2">
        <v>97525.91</v>
      </c>
      <c r="C38" s="3">
        <v>18.87</v>
      </c>
      <c r="D38" s="3">
        <v>19.3</v>
      </c>
      <c r="E38" s="3">
        <v>18.489999999999998</v>
      </c>
      <c r="F38" s="3">
        <v>38.5</v>
      </c>
      <c r="G38" s="3">
        <v>30.69</v>
      </c>
      <c r="H38" s="3">
        <v>16.43</v>
      </c>
      <c r="I38" s="3">
        <v>81.180000000000007</v>
      </c>
      <c r="K38" s="20">
        <f t="shared" si="8"/>
        <v>-5.0033601187963479E-3</v>
      </c>
      <c r="L38" s="20">
        <f t="shared" si="1"/>
        <v>-1.8898200220229432E-2</v>
      </c>
      <c r="M38" s="20">
        <f t="shared" si="2"/>
        <v>-2.3048395436291017E-2</v>
      </c>
      <c r="N38" s="20">
        <f t="shared" si="3"/>
        <v>-5.3937563343192784E-3</v>
      </c>
      <c r="O38" s="20">
        <f t="shared" si="4"/>
        <v>-2.5940351770466466E-3</v>
      </c>
      <c r="P38" s="20">
        <f t="shared" si="5"/>
        <v>-6.8193152720548364E-3</v>
      </c>
      <c r="Q38" s="20">
        <f t="shared" si="6"/>
        <v>2.4375392934383512E-3</v>
      </c>
      <c r="R38" s="20">
        <f t="shared" si="7"/>
        <v>-4.9261084739990967E-4</v>
      </c>
    </row>
    <row r="39" spans="1:18" x14ac:dyDescent="0.25">
      <c r="A39" s="4">
        <v>43510</v>
      </c>
      <c r="B39" s="5">
        <v>98015.09</v>
      </c>
      <c r="C39" s="6">
        <v>19.23</v>
      </c>
      <c r="D39" s="6">
        <v>19.75</v>
      </c>
      <c r="E39" s="6">
        <v>18.59</v>
      </c>
      <c r="F39" s="6">
        <v>38.6</v>
      </c>
      <c r="G39" s="6">
        <v>30.9</v>
      </c>
      <c r="H39" s="6">
        <v>16.39</v>
      </c>
      <c r="I39" s="6">
        <v>81.22</v>
      </c>
      <c r="K39" s="20">
        <f t="shared" si="8"/>
        <v>2.2416270618940991E-2</v>
      </c>
      <c r="L39" s="20">
        <f t="shared" si="1"/>
        <v>1.3085766418906507E-2</v>
      </c>
      <c r="M39" s="20">
        <f t="shared" si="2"/>
        <v>-1.5178348474352362E-3</v>
      </c>
      <c r="N39" s="20">
        <f t="shared" si="3"/>
        <v>1.0816763117122966E-2</v>
      </c>
      <c r="O39" s="20">
        <f t="shared" si="4"/>
        <v>5.1948168771041511E-3</v>
      </c>
      <c r="P39" s="20">
        <f t="shared" si="5"/>
        <v>3.0559302575128011E-2</v>
      </c>
      <c r="Q39" s="20">
        <f t="shared" si="6"/>
        <v>1.5990500618620819E-2</v>
      </c>
      <c r="R39" s="20">
        <f t="shared" si="7"/>
        <v>-2.9505799621147629E-3</v>
      </c>
    </row>
    <row r="40" spans="1:18" ht="15.75" thickBot="1" x14ac:dyDescent="0.3">
      <c r="A40" s="1">
        <v>43509</v>
      </c>
      <c r="B40" s="2">
        <v>95842.4</v>
      </c>
      <c r="C40" s="3">
        <v>18.98</v>
      </c>
      <c r="D40" s="3">
        <v>19.78</v>
      </c>
      <c r="E40" s="3">
        <v>18.39</v>
      </c>
      <c r="F40" s="3">
        <v>38.4</v>
      </c>
      <c r="G40" s="3">
        <v>29.97</v>
      </c>
      <c r="H40" s="3">
        <v>16.13</v>
      </c>
      <c r="I40" s="3">
        <v>81.459999999999994</v>
      </c>
      <c r="K40" s="20">
        <f t="shared" si="8"/>
        <v>-3.3956455912138189E-3</v>
      </c>
      <c r="L40" s="20">
        <f t="shared" si="1"/>
        <v>6.8728792877620504E-3</v>
      </c>
      <c r="M40" s="20">
        <f t="shared" si="2"/>
        <v>-4.0363324224603698E-3</v>
      </c>
      <c r="N40" s="20">
        <f t="shared" si="3"/>
        <v>-1.5110918937401531E-2</v>
      </c>
      <c r="O40" s="20">
        <f t="shared" si="4"/>
        <v>3.6524955815744691E-3</v>
      </c>
      <c r="P40" s="20">
        <f t="shared" si="5"/>
        <v>-4.118228996641541E-2</v>
      </c>
      <c r="Q40" s="20">
        <f t="shared" si="6"/>
        <v>1.6880675930415492E-2</v>
      </c>
      <c r="R40" s="20">
        <f t="shared" si="7"/>
        <v>6.4039627725468902E-3</v>
      </c>
    </row>
    <row r="41" spans="1:18" x14ac:dyDescent="0.25">
      <c r="A41" s="4">
        <v>43508</v>
      </c>
      <c r="B41" s="5">
        <v>96168.4</v>
      </c>
      <c r="C41" s="6">
        <v>18.850000000000001</v>
      </c>
      <c r="D41" s="6">
        <v>19.86</v>
      </c>
      <c r="E41" s="6">
        <v>18.670000000000002</v>
      </c>
      <c r="F41" s="6">
        <v>38.26</v>
      </c>
      <c r="G41" s="6">
        <v>31.23</v>
      </c>
      <c r="H41" s="6">
        <v>15.86</v>
      </c>
      <c r="I41" s="6">
        <v>80.94</v>
      </c>
      <c r="K41" s="20">
        <f t="shared" si="8"/>
        <v>1.8422999105597405E-2</v>
      </c>
      <c r="L41" s="20">
        <f t="shared" si="1"/>
        <v>3.1881004686458952E-3</v>
      </c>
      <c r="M41" s="20">
        <f t="shared" si="2"/>
        <v>1.5220994010355388E-2</v>
      </c>
      <c r="N41" s="20">
        <f t="shared" si="3"/>
        <v>-2.1401827323670013E-3</v>
      </c>
      <c r="O41" s="20">
        <f t="shared" si="4"/>
        <v>2.8096202733005792E-2</v>
      </c>
      <c r="P41" s="20">
        <f t="shared" si="5"/>
        <v>7.3919668098408756E-3</v>
      </c>
      <c r="Q41" s="20">
        <f t="shared" si="6"/>
        <v>1.1414201284440191E-2</v>
      </c>
      <c r="R41" s="20">
        <f t="shared" si="7"/>
        <v>3.7071362797127952E-4</v>
      </c>
    </row>
    <row r="42" spans="1:18" ht="15.75" thickBot="1" x14ac:dyDescent="0.3">
      <c r="A42" s="1">
        <v>43507</v>
      </c>
      <c r="B42" s="2">
        <v>94412.91</v>
      </c>
      <c r="C42" s="3">
        <v>18.79</v>
      </c>
      <c r="D42" s="3">
        <v>19.559999999999999</v>
      </c>
      <c r="E42" s="3">
        <v>18.71</v>
      </c>
      <c r="F42" s="3">
        <v>37.200000000000003</v>
      </c>
      <c r="G42" s="3">
        <v>31</v>
      </c>
      <c r="H42" s="3">
        <v>15.68</v>
      </c>
      <c r="I42" s="3">
        <v>80.91</v>
      </c>
      <c r="K42" s="20">
        <f t="shared" si="8"/>
        <v>-9.8041421813547577E-3</v>
      </c>
      <c r="L42" s="20">
        <f t="shared" si="1"/>
        <v>-1.7410094197881431E-2</v>
      </c>
      <c r="M42" s="20">
        <f t="shared" si="2"/>
        <v>-1.3204864295170737E-2</v>
      </c>
      <c r="N42" s="20">
        <f t="shared" si="3"/>
        <v>2.6538248454186186E-2</v>
      </c>
      <c r="O42" s="20">
        <f t="shared" si="4"/>
        <v>5.3908486348765933E-3</v>
      </c>
      <c r="P42" s="20">
        <f t="shared" si="5"/>
        <v>-2.0118832832411147E-2</v>
      </c>
      <c r="Q42" s="20">
        <f t="shared" si="6"/>
        <v>-1.707281430859172E-2</v>
      </c>
      <c r="R42" s="20">
        <f t="shared" si="7"/>
        <v>-2.961868140852014E-3</v>
      </c>
    </row>
    <row r="43" spans="1:18" x14ac:dyDescent="0.25">
      <c r="A43" s="4">
        <v>43504</v>
      </c>
      <c r="B43" s="5">
        <v>95343.1</v>
      </c>
      <c r="C43" s="6">
        <v>19.12</v>
      </c>
      <c r="D43" s="6">
        <v>19.82</v>
      </c>
      <c r="E43" s="6">
        <v>18.22</v>
      </c>
      <c r="F43" s="6">
        <v>37</v>
      </c>
      <c r="G43" s="6">
        <v>31.63</v>
      </c>
      <c r="H43" s="6">
        <v>15.95</v>
      </c>
      <c r="I43" s="6">
        <v>81.150000000000006</v>
      </c>
      <c r="K43" s="20">
        <f t="shared" si="8"/>
        <v>9.8816769568526135E-3</v>
      </c>
      <c r="L43" s="20">
        <f t="shared" si="1"/>
        <v>1.1572985557658564E-2</v>
      </c>
      <c r="M43" s="20">
        <f t="shared" si="2"/>
        <v>3.5380375547109863E-3</v>
      </c>
      <c r="N43" s="20">
        <f t="shared" si="3"/>
        <v>-2.867386058460767E-2</v>
      </c>
      <c r="O43" s="20">
        <f t="shared" si="4"/>
        <v>2.2411432677075377E-2</v>
      </c>
      <c r="P43" s="20">
        <f t="shared" si="5"/>
        <v>1.2086661135146917E-2</v>
      </c>
      <c r="Q43" s="20">
        <f t="shared" si="6"/>
        <v>1.6435262485912427E-2</v>
      </c>
      <c r="R43" s="20">
        <f t="shared" si="7"/>
        <v>2.8382816610556492E-3</v>
      </c>
    </row>
    <row r="44" spans="1:18" ht="15.75" thickBot="1" x14ac:dyDescent="0.3">
      <c r="A44" s="1">
        <v>43503</v>
      </c>
      <c r="B44" s="2">
        <v>94405.59</v>
      </c>
      <c r="C44" s="3">
        <v>18.899999999999999</v>
      </c>
      <c r="D44" s="3">
        <v>19.75</v>
      </c>
      <c r="E44" s="3">
        <v>18.75</v>
      </c>
      <c r="F44" s="3">
        <v>36.18</v>
      </c>
      <c r="G44" s="3">
        <v>31.25</v>
      </c>
      <c r="H44" s="3">
        <v>15.69</v>
      </c>
      <c r="I44" s="3">
        <v>80.92</v>
      </c>
      <c r="K44" s="20">
        <f t="shared" si="8"/>
        <v>-2.4331221143416423E-3</v>
      </c>
      <c r="L44" s="20">
        <f t="shared" si="1"/>
        <v>-3.2789822822990956E-2</v>
      </c>
      <c r="M44" s="20">
        <f t="shared" si="2"/>
        <v>-1.0075651988741587E-2</v>
      </c>
      <c r="N44" s="20">
        <f t="shared" si="3"/>
        <v>3.5834453009216109E-2</v>
      </c>
      <c r="O44" s="20">
        <f t="shared" si="4"/>
        <v>-3.0486846682620666E-2</v>
      </c>
      <c r="P44" s="20">
        <f t="shared" si="5"/>
        <v>-2.8393074501217787E-2</v>
      </c>
      <c r="Q44" s="20">
        <f t="shared" si="6"/>
        <v>1.347469858336019E-2</v>
      </c>
      <c r="R44" s="20">
        <f t="shared" si="7"/>
        <v>-9.8814237289408021E-4</v>
      </c>
    </row>
    <row r="45" spans="1:18" x14ac:dyDescent="0.25">
      <c r="A45" s="4">
        <v>43502</v>
      </c>
      <c r="B45" s="5">
        <v>94635.57</v>
      </c>
      <c r="C45" s="6">
        <v>19.53</v>
      </c>
      <c r="D45" s="6">
        <v>19.95</v>
      </c>
      <c r="E45" s="6">
        <v>18.09</v>
      </c>
      <c r="F45" s="6">
        <v>37.299999999999997</v>
      </c>
      <c r="G45" s="6">
        <v>32.15</v>
      </c>
      <c r="H45" s="6">
        <v>15.48</v>
      </c>
      <c r="I45" s="6">
        <v>81</v>
      </c>
      <c r="K45" s="20">
        <f t="shared" si="8"/>
        <v>-3.8104547976286825E-2</v>
      </c>
      <c r="L45" s="20">
        <f t="shared" si="1"/>
        <v>-2.777254993494074E-2</v>
      </c>
      <c r="M45" s="20">
        <f t="shared" si="2"/>
        <v>-3.1090587070031005E-2</v>
      </c>
      <c r="N45" s="20">
        <f t="shared" si="3"/>
        <v>-2.9950509850241374E-2</v>
      </c>
      <c r="O45" s="20">
        <f t="shared" si="4"/>
        <v>-3.3999848899757684E-2</v>
      </c>
      <c r="P45" s="20">
        <f t="shared" si="5"/>
        <v>-2.5792034556861739E-2</v>
      </c>
      <c r="Q45" s="20">
        <f t="shared" si="6"/>
        <v>-2.6141112387043516E-2</v>
      </c>
      <c r="R45" s="20">
        <f t="shared" si="7"/>
        <v>0</v>
      </c>
    </row>
    <row r="46" spans="1:18" ht="15.75" thickBot="1" x14ac:dyDescent="0.3">
      <c r="A46" s="1">
        <v>43501</v>
      </c>
      <c r="B46" s="2">
        <v>98311.2</v>
      </c>
      <c r="C46" s="3">
        <v>20.079999999999998</v>
      </c>
      <c r="D46" s="3">
        <v>20.58</v>
      </c>
      <c r="E46" s="3">
        <v>18.64</v>
      </c>
      <c r="F46" s="3">
        <v>38.590000000000003</v>
      </c>
      <c r="G46" s="3">
        <v>32.99</v>
      </c>
      <c r="H46" s="3">
        <v>15.89</v>
      </c>
      <c r="I46" s="3">
        <v>81</v>
      </c>
      <c r="K46" s="20">
        <f t="shared" si="8"/>
        <v>-2.817982967176137E-3</v>
      </c>
      <c r="L46" s="20">
        <f t="shared" si="1"/>
        <v>9.0045630930817525E-3</v>
      </c>
      <c r="M46" s="20">
        <f t="shared" si="2"/>
        <v>1.17303397854896E-2</v>
      </c>
      <c r="N46" s="20">
        <f t="shared" si="3"/>
        <v>1.0245438770908966E-2</v>
      </c>
      <c r="O46" s="20">
        <f t="shared" si="4"/>
        <v>1.435493787233796E-2</v>
      </c>
      <c r="P46" s="20">
        <f t="shared" si="5"/>
        <v>3.1406522168739973E-2</v>
      </c>
      <c r="Q46" s="20">
        <f t="shared" si="6"/>
        <v>3.7831066557038992E-3</v>
      </c>
      <c r="R46" s="20">
        <f t="shared" si="7"/>
        <v>0</v>
      </c>
    </row>
    <row r="47" spans="1:18" x14ac:dyDescent="0.25">
      <c r="A47" s="4">
        <v>43500</v>
      </c>
      <c r="B47" s="5">
        <v>98588.63</v>
      </c>
      <c r="C47" s="6">
        <v>19.899999999999999</v>
      </c>
      <c r="D47" s="6">
        <v>20.34</v>
      </c>
      <c r="E47" s="6">
        <v>18.45</v>
      </c>
      <c r="F47" s="6">
        <v>38.04</v>
      </c>
      <c r="G47" s="6">
        <v>31.97</v>
      </c>
      <c r="H47" s="6">
        <v>15.83</v>
      </c>
      <c r="I47" s="6">
        <v>81</v>
      </c>
      <c r="K47" s="20">
        <f t="shared" si="8"/>
        <v>7.4050770577044518E-3</v>
      </c>
      <c r="L47" s="20">
        <f t="shared" si="1"/>
        <v>9.5936105658177111E-3</v>
      </c>
      <c r="M47" s="20">
        <f t="shared" si="2"/>
        <v>9.8815033299975517E-3</v>
      </c>
      <c r="N47" s="20">
        <f t="shared" si="3"/>
        <v>1.860009859121417E-2</v>
      </c>
      <c r="O47" s="20">
        <f t="shared" si="4"/>
        <v>2.2329476398088577E-2</v>
      </c>
      <c r="P47" s="20">
        <f t="shared" si="5"/>
        <v>-5.9254812390154227E-3</v>
      </c>
      <c r="Q47" s="20">
        <f t="shared" si="6"/>
        <v>-1.8774018244196597E-2</v>
      </c>
      <c r="R47" s="20">
        <f t="shared" si="7"/>
        <v>1.1117288526904154E-3</v>
      </c>
    </row>
    <row r="48" spans="1:18" ht="15.75" thickBot="1" x14ac:dyDescent="0.3">
      <c r="A48" s="1">
        <v>43497</v>
      </c>
      <c r="B48" s="2">
        <v>97861.27</v>
      </c>
      <c r="C48" s="3">
        <v>19.71</v>
      </c>
      <c r="D48" s="3">
        <v>20.14</v>
      </c>
      <c r="E48" s="3">
        <v>18.11</v>
      </c>
      <c r="F48" s="3">
        <v>37.200000000000003</v>
      </c>
      <c r="G48" s="3">
        <v>32.159999999999997</v>
      </c>
      <c r="H48" s="3">
        <v>16.13</v>
      </c>
      <c r="I48" s="3">
        <v>80.91</v>
      </c>
      <c r="K48" s="20">
        <f t="shared" si="8"/>
        <v>4.7889259642563808E-3</v>
      </c>
      <c r="L48" s="20">
        <f t="shared" si="1"/>
        <v>-1.2103022171243536E-2</v>
      </c>
      <c r="M48" s="20">
        <f t="shared" si="2"/>
        <v>3.9801047566269477E-3</v>
      </c>
      <c r="N48" s="20">
        <f t="shared" si="3"/>
        <v>3.3692125597561427E-2</v>
      </c>
      <c r="O48" s="20">
        <f t="shared" si="4"/>
        <v>2.4222862065947171E-3</v>
      </c>
      <c r="P48" s="20">
        <f t="shared" si="5"/>
        <v>3.0305349495328843E-2</v>
      </c>
      <c r="Q48" s="20">
        <f t="shared" si="6"/>
        <v>-5.5641565501493599E-3</v>
      </c>
      <c r="R48" s="20">
        <f t="shared" si="7"/>
        <v>1.2360175530208743E-4</v>
      </c>
    </row>
    <row r="49" spans="1:18" x14ac:dyDescent="0.25">
      <c r="A49" s="4">
        <v>43496</v>
      </c>
      <c r="B49" s="5">
        <v>97393.74</v>
      </c>
      <c r="C49" s="6">
        <v>19.95</v>
      </c>
      <c r="D49" s="6">
        <v>20.059999999999999</v>
      </c>
      <c r="E49" s="6">
        <v>17.510000000000002</v>
      </c>
      <c r="F49" s="6">
        <v>37.11</v>
      </c>
      <c r="G49" s="6">
        <v>31.2</v>
      </c>
      <c r="H49" s="6">
        <v>16.22</v>
      </c>
      <c r="I49" s="6">
        <v>80.900000000000006</v>
      </c>
      <c r="K49" s="20">
        <f t="shared" si="8"/>
        <v>4.0900319606916981E-3</v>
      </c>
      <c r="L49" s="20">
        <f t="shared" si="1"/>
        <v>1.9231361927887592E-2</v>
      </c>
      <c r="M49" s="20">
        <f t="shared" si="2"/>
        <v>-4.4765058589025363E-3</v>
      </c>
      <c r="N49" s="20">
        <f t="shared" si="3"/>
        <v>-2.5931554497707045E-2</v>
      </c>
      <c r="O49" s="20">
        <f t="shared" si="4"/>
        <v>3.1757390905450412E-2</v>
      </c>
      <c r="P49" s="20">
        <f t="shared" si="5"/>
        <v>1.2578782206860185E-2</v>
      </c>
      <c r="Q49" s="20">
        <f t="shared" si="6"/>
        <v>-1.1036286142885886E-2</v>
      </c>
      <c r="R49" s="20">
        <f t="shared" si="7"/>
        <v>1.256313557049552E-2</v>
      </c>
    </row>
    <row r="50" spans="1:18" ht="15.75" thickBot="1" x14ac:dyDescent="0.3">
      <c r="A50" s="1">
        <v>43495</v>
      </c>
      <c r="B50" s="2">
        <v>96996.21</v>
      </c>
      <c r="C50" s="3">
        <v>19.57</v>
      </c>
      <c r="D50" s="3">
        <v>20.149999999999999</v>
      </c>
      <c r="E50" s="3">
        <v>17.97</v>
      </c>
      <c r="F50" s="3">
        <v>35.950000000000003</v>
      </c>
      <c r="G50" s="3">
        <v>30.81</v>
      </c>
      <c r="H50" s="3">
        <v>16.399999999999999</v>
      </c>
      <c r="I50" s="3">
        <v>79.89</v>
      </c>
      <c r="K50" s="20">
        <f t="shared" si="8"/>
        <v>1.4087768446567348E-2</v>
      </c>
      <c r="L50" s="20">
        <f t="shared" si="1"/>
        <v>-7.1283397566439723E-3</v>
      </c>
      <c r="M50" s="20">
        <f t="shared" si="2"/>
        <v>7.9721398803833908E-3</v>
      </c>
      <c r="N50" s="20">
        <f t="shared" si="3"/>
        <v>5.5803716241308934E-3</v>
      </c>
      <c r="O50" s="20">
        <f t="shared" si="4"/>
        <v>3.2511697386627153E-2</v>
      </c>
      <c r="P50" s="20">
        <f t="shared" si="5"/>
        <v>6.1859223790387231E-3</v>
      </c>
      <c r="Q50" s="20">
        <f t="shared" si="6"/>
        <v>-7.895577002780263E-3</v>
      </c>
      <c r="R50" s="20">
        <f t="shared" si="7"/>
        <v>0</v>
      </c>
    </row>
    <row r="51" spans="1:18" x14ac:dyDescent="0.25">
      <c r="A51" s="4">
        <v>43494</v>
      </c>
      <c r="B51" s="5">
        <v>95639.33</v>
      </c>
      <c r="C51" s="6">
        <v>19.71</v>
      </c>
      <c r="D51" s="6">
        <v>19.989999999999998</v>
      </c>
      <c r="E51" s="6">
        <v>17.87</v>
      </c>
      <c r="F51" s="6">
        <v>34.799999999999997</v>
      </c>
      <c r="G51" s="6">
        <v>30.62</v>
      </c>
      <c r="H51" s="6">
        <v>16.53</v>
      </c>
      <c r="I51" s="6">
        <v>79.89</v>
      </c>
      <c r="K51" s="20">
        <f t="shared" si="8"/>
        <v>2.0457063512988043E-3</v>
      </c>
      <c r="L51" s="20">
        <f t="shared" si="1"/>
        <v>1.9985292380257015E-2</v>
      </c>
      <c r="M51" s="20">
        <f t="shared" si="2"/>
        <v>-3.9940142959381765E-3</v>
      </c>
      <c r="N51" s="20">
        <f t="shared" si="3"/>
        <v>-4.4667857629510947E-3</v>
      </c>
      <c r="O51" s="20">
        <f t="shared" si="4"/>
        <v>-7.4434927126599314E-3</v>
      </c>
      <c r="P51" s="20">
        <f t="shared" si="5"/>
        <v>2.0456008567382264E-2</v>
      </c>
      <c r="Q51" s="20">
        <f t="shared" si="6"/>
        <v>-3.020237874215913E-3</v>
      </c>
      <c r="R51" s="20">
        <f t="shared" si="7"/>
        <v>4.8936668336643594E-3</v>
      </c>
    </row>
    <row r="52" spans="1:18" ht="15.75" thickBot="1" x14ac:dyDescent="0.3">
      <c r="A52" s="1">
        <v>43493</v>
      </c>
      <c r="B52" s="2">
        <v>95443.88</v>
      </c>
      <c r="C52" s="3">
        <v>19.32</v>
      </c>
      <c r="D52" s="3">
        <v>20.07</v>
      </c>
      <c r="E52" s="3">
        <v>17.95</v>
      </c>
      <c r="F52" s="3">
        <v>35.06</v>
      </c>
      <c r="G52" s="3">
        <v>30</v>
      </c>
      <c r="H52" s="3">
        <v>16.579999999999998</v>
      </c>
      <c r="I52" s="3">
        <v>79.5</v>
      </c>
      <c r="K52" s="20">
        <f t="shared" si="8"/>
        <v>-2.3129631207660799E-2</v>
      </c>
      <c r="L52" s="20">
        <f t="shared" si="1"/>
        <v>-1.0346612407763304E-3</v>
      </c>
      <c r="M52" s="20">
        <f t="shared" si="2"/>
        <v>-6.4564415989123089E-3</v>
      </c>
      <c r="N52" s="20">
        <f t="shared" si="3"/>
        <v>4.500902087447152E-2</v>
      </c>
      <c r="O52" s="20">
        <f t="shared" si="4"/>
        <v>-2.8123338282082747E-2</v>
      </c>
      <c r="P52" s="20">
        <f t="shared" si="5"/>
        <v>1.8503471564559726E-2</v>
      </c>
      <c r="Q52" s="20">
        <f t="shared" si="6"/>
        <v>-1.9116472221878924E-2</v>
      </c>
      <c r="R52" s="20">
        <f t="shared" si="7"/>
        <v>3.7807228399059311E-3</v>
      </c>
    </row>
    <row r="53" spans="1:18" x14ac:dyDescent="0.25">
      <c r="A53" s="4">
        <v>43489</v>
      </c>
      <c r="B53" s="5">
        <v>97677.19</v>
      </c>
      <c r="C53" s="6">
        <v>19.34</v>
      </c>
      <c r="D53" s="6">
        <v>20.2</v>
      </c>
      <c r="E53" s="6">
        <v>17.16</v>
      </c>
      <c r="F53" s="6">
        <v>36.06</v>
      </c>
      <c r="G53" s="6">
        <v>29.45</v>
      </c>
      <c r="H53" s="6">
        <v>16.899999999999999</v>
      </c>
      <c r="I53" s="6">
        <v>79.2</v>
      </c>
      <c r="K53" s="20">
        <f t="shared" si="8"/>
        <v>1.1519848212671E-2</v>
      </c>
      <c r="L53" s="20">
        <f t="shared" si="1"/>
        <v>1.6158808717090131E-2</v>
      </c>
      <c r="M53" s="20">
        <f t="shared" si="2"/>
        <v>1.496287267671232E-2</v>
      </c>
      <c r="N53" s="20">
        <f t="shared" si="3"/>
        <v>-1.1648224962930943E-3</v>
      </c>
      <c r="O53" s="20">
        <f t="shared" si="4"/>
        <v>1.6652793190612488E-3</v>
      </c>
      <c r="P53" s="20">
        <f t="shared" si="5"/>
        <v>4.1600452505145658E-2</v>
      </c>
      <c r="Q53" s="20">
        <f t="shared" si="6"/>
        <v>2.1531932333482502E-2</v>
      </c>
      <c r="R53" s="20">
        <f t="shared" si="7"/>
        <v>-1.3879252748480802E-3</v>
      </c>
    </row>
    <row r="54" spans="1:18" ht="15.75" thickBot="1" x14ac:dyDescent="0.3">
      <c r="A54" s="1">
        <v>43488</v>
      </c>
      <c r="B54" s="2">
        <v>96558.42</v>
      </c>
      <c r="C54" s="3">
        <v>19.03</v>
      </c>
      <c r="D54" s="3">
        <v>19.899999999999999</v>
      </c>
      <c r="E54" s="3">
        <v>17.18</v>
      </c>
      <c r="F54" s="3">
        <v>36</v>
      </c>
      <c r="G54" s="3">
        <v>28.25</v>
      </c>
      <c r="H54" s="3">
        <v>16.54</v>
      </c>
      <c r="I54" s="3">
        <v>79.31</v>
      </c>
      <c r="K54" s="20">
        <f t="shared" si="8"/>
        <v>1.5183703317235894E-2</v>
      </c>
      <c r="L54" s="20">
        <f t="shared" si="1"/>
        <v>1.909872375442687E-2</v>
      </c>
      <c r="M54" s="20">
        <f t="shared" si="2"/>
        <v>1.7744445299071911E-2</v>
      </c>
      <c r="N54" s="20">
        <f t="shared" si="3"/>
        <v>-1.9597168952136108E-2</v>
      </c>
      <c r="O54" s="20">
        <f t="shared" si="4"/>
        <v>1.398624197473987E-2</v>
      </c>
      <c r="P54" s="20">
        <f t="shared" si="5"/>
        <v>9.2461540650878304E-3</v>
      </c>
      <c r="Q54" s="20">
        <f t="shared" si="6"/>
        <v>5.4562123841642865E-3</v>
      </c>
      <c r="R54" s="20">
        <f t="shared" si="7"/>
        <v>-7.2864643987222474E-3</v>
      </c>
    </row>
    <row r="55" spans="1:18" x14ac:dyDescent="0.25">
      <c r="A55" s="4">
        <v>43487</v>
      </c>
      <c r="B55" s="5">
        <v>95103.38</v>
      </c>
      <c r="C55" s="6">
        <v>18.670000000000002</v>
      </c>
      <c r="D55" s="6">
        <v>19.55</v>
      </c>
      <c r="E55" s="6">
        <v>17.52</v>
      </c>
      <c r="F55" s="6">
        <v>35.5</v>
      </c>
      <c r="G55" s="6">
        <v>27.99</v>
      </c>
      <c r="H55" s="6">
        <v>16.45</v>
      </c>
      <c r="I55" s="6">
        <v>79.89</v>
      </c>
      <c r="K55" s="20">
        <f t="shared" si="8"/>
        <v>-9.4854466678843674E-3</v>
      </c>
      <c r="L55" s="20">
        <f t="shared" si="1"/>
        <v>-2.6745134958146215E-3</v>
      </c>
      <c r="M55" s="20">
        <f t="shared" si="2"/>
        <v>3.0643789604499122E-2</v>
      </c>
      <c r="N55" s="20">
        <f t="shared" si="3"/>
        <v>-2.7028672387919374E-2</v>
      </c>
      <c r="O55" s="20">
        <f t="shared" si="4"/>
        <v>-1.8973783485778991E-2</v>
      </c>
      <c r="P55" s="20">
        <f t="shared" si="5"/>
        <v>-1.3132398136564636E-2</v>
      </c>
      <c r="Q55" s="20">
        <f t="shared" si="6"/>
        <v>-3.034903695154047E-3</v>
      </c>
      <c r="R55" s="20">
        <f t="shared" si="7"/>
        <v>-1.3759461799310734E-3</v>
      </c>
    </row>
    <row r="56" spans="1:18" ht="15.75" thickBot="1" x14ac:dyDescent="0.3">
      <c r="A56" s="1">
        <v>43486</v>
      </c>
      <c r="B56" s="2">
        <v>96009.77</v>
      </c>
      <c r="C56" s="3">
        <v>18.72</v>
      </c>
      <c r="D56" s="3">
        <v>18.96</v>
      </c>
      <c r="E56" s="3">
        <v>18</v>
      </c>
      <c r="F56" s="3">
        <v>36.18</v>
      </c>
      <c r="G56" s="3">
        <v>28.36</v>
      </c>
      <c r="H56" s="3">
        <v>16.5</v>
      </c>
      <c r="I56" s="3">
        <v>80</v>
      </c>
      <c r="K56" s="20">
        <f t="shared" si="8"/>
        <v>-9.0553934289835155E-4</v>
      </c>
      <c r="L56" s="20">
        <f t="shared" si="1"/>
        <v>1.9962896548866675E-2</v>
      </c>
      <c r="M56" s="20">
        <f t="shared" si="2"/>
        <v>8.4746269909722356E-3</v>
      </c>
      <c r="N56" s="20">
        <f t="shared" si="3"/>
        <v>0</v>
      </c>
      <c r="O56" s="20">
        <f t="shared" si="4"/>
        <v>-4.9627893421290139E-3</v>
      </c>
      <c r="P56" s="20">
        <f t="shared" si="5"/>
        <v>-7.0497006796982125E-4</v>
      </c>
      <c r="Q56" s="20">
        <f t="shared" si="6"/>
        <v>1.5883046173003151E-2</v>
      </c>
      <c r="R56" s="20">
        <f t="shared" si="7"/>
        <v>0.18482468701207311</v>
      </c>
    </row>
    <row r="57" spans="1:18" x14ac:dyDescent="0.25">
      <c r="A57" s="4">
        <v>43483</v>
      </c>
      <c r="B57" s="5">
        <v>96096.75</v>
      </c>
      <c r="C57" s="6">
        <v>18.350000000000001</v>
      </c>
      <c r="D57" s="6">
        <v>18.8</v>
      </c>
      <c r="E57" s="6">
        <v>18</v>
      </c>
      <c r="F57" s="6">
        <v>36.36</v>
      </c>
      <c r="G57" s="6">
        <v>28.38</v>
      </c>
      <c r="H57" s="6">
        <v>16.239999999999998</v>
      </c>
      <c r="I57" s="6">
        <v>66.5</v>
      </c>
      <c r="K57" s="20">
        <f t="shared" si="8"/>
        <v>7.7897329167722186E-3</v>
      </c>
      <c r="L57" s="20">
        <f t="shared" si="1"/>
        <v>1.3717636228799126E-2</v>
      </c>
      <c r="M57" s="20">
        <f t="shared" si="2"/>
        <v>-2.6560440581162963E-3</v>
      </c>
      <c r="N57" s="20">
        <f t="shared" si="3"/>
        <v>8.3682496705165792E-3</v>
      </c>
      <c r="O57" s="20">
        <f t="shared" si="4"/>
        <v>-1.8799082432817693E-2</v>
      </c>
      <c r="P57" s="20">
        <f t="shared" si="5"/>
        <v>9.5592868134561724E-3</v>
      </c>
      <c r="Q57" s="20">
        <f t="shared" si="6"/>
        <v>-1.1022769290750434E-2</v>
      </c>
      <c r="R57" s="20">
        <f t="shared" si="7"/>
        <v>2.32763227693688E-2</v>
      </c>
    </row>
    <row r="58" spans="1:18" ht="15.75" thickBot="1" x14ac:dyDescent="0.3">
      <c r="A58" s="1">
        <v>43482</v>
      </c>
      <c r="B58" s="2">
        <v>95351.09</v>
      </c>
      <c r="C58" s="3">
        <v>18.100000000000001</v>
      </c>
      <c r="D58" s="3">
        <v>18.850000000000001</v>
      </c>
      <c r="E58" s="3">
        <v>17.850000000000001</v>
      </c>
      <c r="F58" s="3">
        <v>37.049999999999997</v>
      </c>
      <c r="G58" s="3">
        <v>28.11</v>
      </c>
      <c r="H58" s="3">
        <v>16.420000000000002</v>
      </c>
      <c r="I58" s="3">
        <v>64.97</v>
      </c>
      <c r="K58" s="20">
        <f t="shared" si="8"/>
        <v>1.0098104109210608E-2</v>
      </c>
      <c r="L58" s="20">
        <f t="shared" si="1"/>
        <v>6.6519092283059186E-3</v>
      </c>
      <c r="M58" s="20">
        <f t="shared" si="2"/>
        <v>-2.6490081715767307E-3</v>
      </c>
      <c r="N58" s="20">
        <f t="shared" si="3"/>
        <v>2.8050509276086816E-3</v>
      </c>
      <c r="O58" s="20">
        <f t="shared" si="4"/>
        <v>1.3504390978713249E-3</v>
      </c>
      <c r="P58" s="20">
        <f t="shared" si="5"/>
        <v>3.9208747432366619E-3</v>
      </c>
      <c r="Q58" s="20">
        <f t="shared" si="6"/>
        <v>1.6580054355616717E-2</v>
      </c>
      <c r="R58" s="20">
        <f t="shared" si="7"/>
        <v>1.4573901361728672E-2</v>
      </c>
    </row>
    <row r="59" spans="1:18" x14ac:dyDescent="0.25">
      <c r="A59" s="4">
        <v>43481</v>
      </c>
      <c r="B59" s="5">
        <v>94393.07</v>
      </c>
      <c r="C59" s="6">
        <v>17.98</v>
      </c>
      <c r="D59" s="6">
        <v>18.899999999999999</v>
      </c>
      <c r="E59" s="6">
        <v>17.8</v>
      </c>
      <c r="F59" s="6">
        <v>37</v>
      </c>
      <c r="G59" s="6">
        <v>28</v>
      </c>
      <c r="H59" s="6">
        <v>16.149999999999999</v>
      </c>
      <c r="I59" s="6">
        <v>64.03</v>
      </c>
      <c r="K59" s="20">
        <f t="shared" si="8"/>
        <v>3.5802868286786502E-3</v>
      </c>
      <c r="L59" s="20">
        <f t="shared" si="1"/>
        <v>-4.9930755606628621E-3</v>
      </c>
      <c r="M59" s="20">
        <f t="shared" si="2"/>
        <v>-2.6420094628386965E-3</v>
      </c>
      <c r="N59" s="20">
        <f t="shared" si="3"/>
        <v>5.6338177182560642E-3</v>
      </c>
      <c r="O59" s="20">
        <f t="shared" si="4"/>
        <v>0</v>
      </c>
      <c r="P59" s="20">
        <f t="shared" si="5"/>
        <v>1.7873105740958803E-3</v>
      </c>
      <c r="Q59" s="20">
        <f t="shared" si="6"/>
        <v>-3.0911925696728579E-3</v>
      </c>
      <c r="R59" s="20">
        <f t="shared" si="7"/>
        <v>4.6864017103897773E-4</v>
      </c>
    </row>
    <row r="60" spans="1:18" ht="15.75" thickBot="1" x14ac:dyDescent="0.3">
      <c r="A60" s="1">
        <v>43480</v>
      </c>
      <c r="B60" s="2">
        <v>94055.72</v>
      </c>
      <c r="C60" s="3">
        <v>18.07</v>
      </c>
      <c r="D60" s="3">
        <v>18.95</v>
      </c>
      <c r="E60" s="3">
        <v>17.7</v>
      </c>
      <c r="F60" s="3">
        <v>37</v>
      </c>
      <c r="G60" s="3">
        <v>27.95</v>
      </c>
      <c r="H60" s="3">
        <v>16.2</v>
      </c>
      <c r="I60" s="3">
        <v>64</v>
      </c>
      <c r="K60" s="20">
        <f t="shared" si="8"/>
        <v>-4.4386677966519262E-3</v>
      </c>
      <c r="L60" s="20">
        <f t="shared" si="1"/>
        <v>-4.4174561067225268E-3</v>
      </c>
      <c r="M60" s="20">
        <f t="shared" si="2"/>
        <v>-2.6350476380051138E-3</v>
      </c>
      <c r="N60" s="20">
        <f t="shared" si="3"/>
        <v>9.0806526357465594E-3</v>
      </c>
      <c r="O60" s="20">
        <f t="shared" si="4"/>
        <v>-1.2622700161371479E-2</v>
      </c>
      <c r="P60" s="20">
        <f t="shared" si="5"/>
        <v>-2.9958187540792144E-2</v>
      </c>
      <c r="Q60" s="20">
        <f t="shared" si="6"/>
        <v>-9.2166551049241759E-3</v>
      </c>
      <c r="R60" s="20">
        <f t="shared" si="7"/>
        <v>-1.5623779424026721E-4</v>
      </c>
    </row>
    <row r="61" spans="1:18" x14ac:dyDescent="0.25">
      <c r="A61" s="4">
        <v>43479</v>
      </c>
      <c r="B61" s="5">
        <v>94474.13</v>
      </c>
      <c r="C61" s="6">
        <v>18.149999999999999</v>
      </c>
      <c r="D61" s="6">
        <v>19</v>
      </c>
      <c r="E61" s="6">
        <v>17.54</v>
      </c>
      <c r="F61" s="6">
        <v>37.47</v>
      </c>
      <c r="G61" s="6">
        <v>28.8</v>
      </c>
      <c r="H61" s="6">
        <v>16.350000000000001</v>
      </c>
      <c r="I61" s="6">
        <v>64.010000000000005</v>
      </c>
      <c r="K61" s="20">
        <f t="shared" si="8"/>
        <v>8.6728808040537845E-3</v>
      </c>
      <c r="L61" s="20">
        <f t="shared" si="1"/>
        <v>3.86420574682934E-3</v>
      </c>
      <c r="M61" s="20">
        <f t="shared" si="2"/>
        <v>5.2645434224604128E-4</v>
      </c>
      <c r="N61" s="20">
        <f t="shared" si="3"/>
        <v>1.4355687248837935E-2</v>
      </c>
      <c r="O61" s="20">
        <f t="shared" si="4"/>
        <v>7.2318515264949658E-3</v>
      </c>
      <c r="P61" s="20">
        <f t="shared" si="5"/>
        <v>-3.812168886354455E-3</v>
      </c>
      <c r="Q61" s="20">
        <f t="shared" si="6"/>
        <v>3.2321023450341616E-2</v>
      </c>
      <c r="R61" s="20">
        <f t="shared" si="7"/>
        <v>4.0002146341440017E-2</v>
      </c>
    </row>
    <row r="62" spans="1:18" ht="15.75" thickBot="1" x14ac:dyDescent="0.3">
      <c r="A62" s="1">
        <v>43476</v>
      </c>
      <c r="B62" s="2">
        <v>93658.31</v>
      </c>
      <c r="C62" s="3">
        <v>18.079999999999998</v>
      </c>
      <c r="D62" s="3">
        <v>18.989999999999998</v>
      </c>
      <c r="E62" s="3">
        <v>17.29</v>
      </c>
      <c r="F62" s="3">
        <v>37.200000000000003</v>
      </c>
      <c r="G62" s="3">
        <v>28.91</v>
      </c>
      <c r="H62" s="3">
        <v>15.83</v>
      </c>
      <c r="I62" s="3">
        <v>61.5</v>
      </c>
      <c r="K62" s="20">
        <f t="shared" si="8"/>
        <v>-1.5749140264029178E-3</v>
      </c>
      <c r="L62" s="20">
        <f t="shared" si="1"/>
        <v>2.011240978709547E-2</v>
      </c>
      <c r="M62" s="20">
        <f t="shared" si="2"/>
        <v>-5.2645434224608443E-4</v>
      </c>
      <c r="N62" s="20">
        <f t="shared" si="3"/>
        <v>2.5777642896828285E-2</v>
      </c>
      <c r="O62" s="20">
        <f t="shared" si="4"/>
        <v>3.5292953041109562E-2</v>
      </c>
      <c r="P62" s="20">
        <f t="shared" si="5"/>
        <v>-8.2673567682466798E-3</v>
      </c>
      <c r="Q62" s="20">
        <f t="shared" si="6"/>
        <v>1.2075138775755773E-2</v>
      </c>
      <c r="R62" s="20">
        <f t="shared" si="7"/>
        <v>3.6427868808792431E-2</v>
      </c>
    </row>
    <row r="63" spans="1:18" x14ac:dyDescent="0.25">
      <c r="A63" s="4">
        <v>43475</v>
      </c>
      <c r="B63" s="5">
        <v>93805.93</v>
      </c>
      <c r="C63" s="6">
        <v>17.72</v>
      </c>
      <c r="D63" s="6">
        <v>19</v>
      </c>
      <c r="E63" s="6">
        <v>16.850000000000001</v>
      </c>
      <c r="F63" s="6">
        <v>35.909999999999997</v>
      </c>
      <c r="G63" s="6">
        <v>29.15</v>
      </c>
      <c r="H63" s="6">
        <v>15.64</v>
      </c>
      <c r="I63" s="6">
        <v>59.3</v>
      </c>
      <c r="K63" s="20">
        <f t="shared" si="8"/>
        <v>2.0583836108513669E-3</v>
      </c>
      <c r="L63" s="20">
        <f t="shared" si="1"/>
        <v>7.3633864274680163E-3</v>
      </c>
      <c r="M63" s="20">
        <f t="shared" si="2"/>
        <v>3.162891408508217E-3</v>
      </c>
      <c r="N63" s="20">
        <f t="shared" si="3"/>
        <v>2.8289578373447484E-2</v>
      </c>
      <c r="O63" s="20">
        <f t="shared" si="4"/>
        <v>2.139118998131756E-2</v>
      </c>
      <c r="P63" s="20">
        <f t="shared" si="5"/>
        <v>-8.539761548134496E-3</v>
      </c>
      <c r="Q63" s="20">
        <f t="shared" si="6"/>
        <v>2.7878628845963604E-2</v>
      </c>
      <c r="R63" s="20">
        <f t="shared" si="7"/>
        <v>6.2590071538576797E-3</v>
      </c>
    </row>
    <row r="64" spans="1:18" ht="15.75" thickBot="1" x14ac:dyDescent="0.3">
      <c r="A64" s="1">
        <v>43474</v>
      </c>
      <c r="B64" s="2">
        <v>93613.04</v>
      </c>
      <c r="C64" s="3">
        <v>17.59</v>
      </c>
      <c r="D64" s="3">
        <v>18.940000000000001</v>
      </c>
      <c r="E64" s="3">
        <v>16.38</v>
      </c>
      <c r="F64" s="3">
        <v>35.15</v>
      </c>
      <c r="G64" s="3">
        <v>29.4</v>
      </c>
      <c r="H64" s="3">
        <v>15.21</v>
      </c>
      <c r="I64" s="3">
        <v>58.93</v>
      </c>
      <c r="K64" s="20">
        <f t="shared" si="8"/>
        <v>1.7034868571900553E-2</v>
      </c>
      <c r="L64" s="20">
        <f t="shared" si="1"/>
        <v>1.5468655615177624E-2</v>
      </c>
      <c r="M64" s="20">
        <f t="shared" si="2"/>
        <v>6.7711448178148864E-2</v>
      </c>
      <c r="N64" s="20">
        <f t="shared" si="3"/>
        <v>1.414102875625785E-2</v>
      </c>
      <c r="O64" s="20">
        <f t="shared" si="4"/>
        <v>1.2308728464524582E-2</v>
      </c>
      <c r="P64" s="20">
        <f t="shared" si="5"/>
        <v>3.4957703859756016E-2</v>
      </c>
      <c r="Q64" s="20">
        <f t="shared" si="6"/>
        <v>7.9208334914440577E-3</v>
      </c>
      <c r="R64" s="20">
        <f t="shared" si="7"/>
        <v>-7.1018222058550689E-3</v>
      </c>
    </row>
    <row r="65" spans="1:18" x14ac:dyDescent="0.25">
      <c r="A65" s="4">
        <v>43473</v>
      </c>
      <c r="B65" s="5">
        <v>92031.86</v>
      </c>
      <c r="C65" s="6">
        <v>17.32</v>
      </c>
      <c r="D65" s="6">
        <v>17.7</v>
      </c>
      <c r="E65" s="6">
        <v>16.149999999999999</v>
      </c>
      <c r="F65" s="6">
        <v>34.72</v>
      </c>
      <c r="G65" s="6">
        <v>28.39</v>
      </c>
      <c r="H65" s="6">
        <v>15.09</v>
      </c>
      <c r="I65" s="6">
        <v>59.35</v>
      </c>
      <c r="K65" s="20">
        <f t="shared" si="8"/>
        <v>3.6228021077389376E-3</v>
      </c>
      <c r="L65" s="20">
        <f t="shared" si="1"/>
        <v>1.8648559078072995E-2</v>
      </c>
      <c r="M65" s="20">
        <f t="shared" si="2"/>
        <v>1.9395930347579235E-2</v>
      </c>
      <c r="N65" s="20">
        <f t="shared" si="3"/>
        <v>-2.0227474812660171E-2</v>
      </c>
      <c r="O65" s="20">
        <f t="shared" si="4"/>
        <v>-1.6567074147101665E-2</v>
      </c>
      <c r="P65" s="20">
        <f t="shared" si="5"/>
        <v>-2.111190087460026E-3</v>
      </c>
      <c r="Q65" s="20">
        <f t="shared" si="6"/>
        <v>-6.6247104112114065E-4</v>
      </c>
      <c r="R65" s="20">
        <f t="shared" si="7"/>
        <v>5.9146771499576653E-3</v>
      </c>
    </row>
    <row r="66" spans="1:18" ht="15.75" thickBot="1" x14ac:dyDescent="0.3">
      <c r="A66" s="1">
        <v>43472</v>
      </c>
      <c r="B66" s="2">
        <v>91699.05</v>
      </c>
      <c r="C66" s="3">
        <v>17</v>
      </c>
      <c r="D66" s="3">
        <v>17.36</v>
      </c>
      <c r="E66" s="3">
        <v>16.48</v>
      </c>
      <c r="F66" s="3">
        <v>35.299999999999997</v>
      </c>
      <c r="G66" s="3">
        <v>28.45</v>
      </c>
      <c r="H66" s="3">
        <v>15.1</v>
      </c>
      <c r="I66" s="3">
        <v>59</v>
      </c>
      <c r="K66" s="20">
        <f t="shared" si="8"/>
        <v>-1.5445151110193118E-3</v>
      </c>
      <c r="L66" s="20">
        <f t="shared" si="1"/>
        <v>2.9455102297569658E-3</v>
      </c>
      <c r="M66" s="20">
        <f t="shared" si="2"/>
        <v>-2.301496988279163E-3</v>
      </c>
      <c r="N66" s="20">
        <f t="shared" si="3"/>
        <v>-4.238577341746254E-3</v>
      </c>
      <c r="O66" s="20">
        <f t="shared" si="4"/>
        <v>-2.6556417361432823E-2</v>
      </c>
      <c r="P66" s="20">
        <f t="shared" si="5"/>
        <v>-3.3866401673041523E-2</v>
      </c>
      <c r="Q66" s="20">
        <f t="shared" si="6"/>
        <v>-3.4497400612506654E-2</v>
      </c>
      <c r="R66" s="20">
        <f t="shared" si="7"/>
        <v>0</v>
      </c>
    </row>
    <row r="67" spans="1:18" x14ac:dyDescent="0.25">
      <c r="A67" s="4">
        <v>43469</v>
      </c>
      <c r="B67" s="5">
        <v>91840.79</v>
      </c>
      <c r="C67" s="6">
        <v>16.95</v>
      </c>
      <c r="D67" s="6">
        <v>17.399999999999999</v>
      </c>
      <c r="E67" s="6">
        <v>16.55</v>
      </c>
      <c r="F67" s="6">
        <v>36.25</v>
      </c>
      <c r="G67" s="6">
        <v>29.43</v>
      </c>
      <c r="H67" s="6">
        <v>15.63</v>
      </c>
      <c r="I67" s="6">
        <v>59</v>
      </c>
      <c r="K67" s="20">
        <f t="shared" ref="K67:K119" si="9">LN(B67/B68)</f>
        <v>3.0156227939073361E-3</v>
      </c>
      <c r="L67" s="20">
        <f t="shared" ref="L67:L119" si="10">LN(C67/C68)</f>
        <v>-8.8106296821550325E-3</v>
      </c>
      <c r="M67" s="20">
        <f t="shared" ref="M67:M119" si="11">LN(D67/D68)</f>
        <v>-7.4434927126599314E-3</v>
      </c>
      <c r="N67" s="20">
        <f t="shared" ref="N67:N119" si="12">LN(E67/E68)</f>
        <v>1.338219484069824E-2</v>
      </c>
      <c r="O67" s="20">
        <f t="shared" ref="O67:O119" si="13">LN(F67/F68)</f>
        <v>-3.3048776982138321E-3</v>
      </c>
      <c r="P67" s="20">
        <f t="shared" ref="P67:P119" si="14">LN(G67/G68)</f>
        <v>-3.9638827984156383E-2</v>
      </c>
      <c r="Q67" s="20">
        <f t="shared" ref="Q67:Q119" si="15">LN(H67/H68)</f>
        <v>2.3302025202844329E-2</v>
      </c>
      <c r="R67" s="20">
        <f t="shared" ref="R67:R119" si="16">LN(I67/I68)</f>
        <v>-1.5139061215684153E-2</v>
      </c>
    </row>
    <row r="68" spans="1:18" ht="15.75" thickBot="1" x14ac:dyDescent="0.3">
      <c r="A68" s="1">
        <v>43468</v>
      </c>
      <c r="B68" s="2">
        <v>91564.25</v>
      </c>
      <c r="C68" s="3">
        <v>17.100000000000001</v>
      </c>
      <c r="D68" s="3">
        <v>17.53</v>
      </c>
      <c r="E68" s="3">
        <v>16.329999999999998</v>
      </c>
      <c r="F68" s="3">
        <v>36.369999999999997</v>
      </c>
      <c r="G68" s="3">
        <v>30.62</v>
      </c>
      <c r="H68" s="3">
        <v>15.27</v>
      </c>
      <c r="I68" s="3">
        <v>59.9</v>
      </c>
      <c r="K68" s="20">
        <f t="shared" si="9"/>
        <v>6.0461395634047585E-3</v>
      </c>
      <c r="L68" s="20">
        <f t="shared" si="10"/>
        <v>-1.1689072049818425E-3</v>
      </c>
      <c r="M68" s="20">
        <f t="shared" si="11"/>
        <v>1.7128180036748251E-3</v>
      </c>
      <c r="N68" s="20">
        <f t="shared" si="12"/>
        <v>1.1083857313708192E-2</v>
      </c>
      <c r="O68" s="20">
        <f t="shared" si="13"/>
        <v>1.1004127657869747E-3</v>
      </c>
      <c r="P68" s="20">
        <f t="shared" si="14"/>
        <v>1.3480394830957086E-2</v>
      </c>
      <c r="Q68" s="20">
        <f t="shared" si="15"/>
        <v>-2.1380795024950331E-2</v>
      </c>
      <c r="R68" s="20">
        <f t="shared" si="16"/>
        <v>1.6708441648177223E-3</v>
      </c>
    </row>
    <row r="69" spans="1:18" x14ac:dyDescent="0.25">
      <c r="A69" s="4">
        <v>43467</v>
      </c>
      <c r="B69" s="5">
        <v>91012.31</v>
      </c>
      <c r="C69" s="6">
        <v>17.12</v>
      </c>
      <c r="D69" s="6">
        <v>17.5</v>
      </c>
      <c r="E69" s="6">
        <v>16.149999999999999</v>
      </c>
      <c r="F69" s="6">
        <v>36.33</v>
      </c>
      <c r="G69" s="6">
        <v>30.21</v>
      </c>
      <c r="H69" s="6">
        <v>15.6</v>
      </c>
      <c r="I69" s="6">
        <v>59.8</v>
      </c>
      <c r="K69" s="20">
        <f t="shared" si="9"/>
        <v>3.4939915335533533E-2</v>
      </c>
      <c r="L69" s="20">
        <f t="shared" si="10"/>
        <v>1.4117881545785022E-2</v>
      </c>
      <c r="M69" s="20">
        <f t="shared" si="11"/>
        <v>2.7811757784240304E-2</v>
      </c>
      <c r="N69" s="20">
        <f t="shared" si="12"/>
        <v>4.8852085591167507E-2</v>
      </c>
      <c r="O69" s="20">
        <f t="shared" si="13"/>
        <v>9.1249077770004534E-3</v>
      </c>
      <c r="P69" s="20">
        <f t="shared" si="14"/>
        <v>3.2635360517003033E-2</v>
      </c>
      <c r="Q69" s="20">
        <f t="shared" si="15"/>
        <v>3.7222710490608352E-2</v>
      </c>
      <c r="R69" s="20">
        <f t="shared" si="16"/>
        <v>1.7714507932317668E-2</v>
      </c>
    </row>
    <row r="70" spans="1:18" ht="15.75" thickBot="1" x14ac:dyDescent="0.3">
      <c r="A70" s="1">
        <v>43462</v>
      </c>
      <c r="B70" s="2">
        <v>87887.26</v>
      </c>
      <c r="C70" s="3">
        <v>16.88</v>
      </c>
      <c r="D70" s="3">
        <v>17.02</v>
      </c>
      <c r="E70" s="3">
        <v>15.38</v>
      </c>
      <c r="F70" s="3">
        <v>36</v>
      </c>
      <c r="G70" s="3">
        <v>29.24</v>
      </c>
      <c r="H70" s="3">
        <v>15.03</v>
      </c>
      <c r="I70" s="3">
        <v>58.75</v>
      </c>
      <c r="K70" s="20">
        <f t="shared" si="9"/>
        <v>2.8004086268497576E-2</v>
      </c>
      <c r="L70" s="20">
        <f t="shared" si="10"/>
        <v>7.1343941138738909E-3</v>
      </c>
      <c r="M70" s="20">
        <f t="shared" si="11"/>
        <v>8.8522265873511134E-3</v>
      </c>
      <c r="N70" s="20">
        <f t="shared" si="12"/>
        <v>1.8373220256619322E-2</v>
      </c>
      <c r="O70" s="20">
        <f t="shared" si="13"/>
        <v>3.0745617339165487E-2</v>
      </c>
      <c r="P70" s="20">
        <f t="shared" si="14"/>
        <v>1.5162247739677455E-2</v>
      </c>
      <c r="Q70" s="20">
        <f t="shared" si="15"/>
        <v>3.7970663121490493E-2</v>
      </c>
      <c r="R70" s="20">
        <f t="shared" si="16"/>
        <v>4.4353535693337871E-3</v>
      </c>
    </row>
    <row r="71" spans="1:18" x14ac:dyDescent="0.25">
      <c r="A71" s="4">
        <v>43461</v>
      </c>
      <c r="B71" s="5">
        <v>85460.2</v>
      </c>
      <c r="C71" s="6">
        <v>16.760000000000002</v>
      </c>
      <c r="D71" s="6">
        <v>16.87</v>
      </c>
      <c r="E71" s="6">
        <v>15.1</v>
      </c>
      <c r="F71" s="6">
        <v>34.909999999999997</v>
      </c>
      <c r="G71" s="6">
        <v>28.8</v>
      </c>
      <c r="H71" s="6">
        <v>14.47</v>
      </c>
      <c r="I71" s="6">
        <v>58.49</v>
      </c>
      <c r="K71" s="20">
        <f t="shared" si="9"/>
        <v>3.7996180447269876E-3</v>
      </c>
      <c r="L71" s="20">
        <f t="shared" si="10"/>
        <v>1.6847570572611444E-2</v>
      </c>
      <c r="M71" s="20">
        <f t="shared" si="11"/>
        <v>3.2532989575503261E-2</v>
      </c>
      <c r="N71" s="20">
        <f t="shared" si="12"/>
        <v>-2.6455041884241655E-3</v>
      </c>
      <c r="O71" s="20">
        <f t="shared" si="13"/>
        <v>5.7306591826183939E-4</v>
      </c>
      <c r="P71" s="20">
        <f t="shared" si="14"/>
        <v>4.1835239160754267E-2</v>
      </c>
      <c r="Q71" s="20">
        <f t="shared" si="15"/>
        <v>6.2391883504919338E-3</v>
      </c>
      <c r="R71" s="20">
        <f t="shared" si="16"/>
        <v>2.5979985608026133E-2</v>
      </c>
    </row>
    <row r="72" spans="1:18" ht="15.75" thickBot="1" x14ac:dyDescent="0.3">
      <c r="A72" s="1">
        <v>43460</v>
      </c>
      <c r="B72" s="2">
        <v>85136.1</v>
      </c>
      <c r="C72" s="3">
        <v>16.48</v>
      </c>
      <c r="D72" s="3">
        <v>16.329999999999998</v>
      </c>
      <c r="E72" s="3">
        <v>15.14</v>
      </c>
      <c r="F72" s="3">
        <v>34.89</v>
      </c>
      <c r="G72" s="3">
        <v>27.62</v>
      </c>
      <c r="H72" s="3">
        <v>14.38</v>
      </c>
      <c r="I72" s="3">
        <v>56.99</v>
      </c>
      <c r="K72" s="20">
        <f t="shared" si="9"/>
        <v>-6.5684170635998199E-3</v>
      </c>
      <c r="L72" s="20">
        <f t="shared" si="10"/>
        <v>7.9196271380632243E-3</v>
      </c>
      <c r="M72" s="20">
        <f t="shared" si="11"/>
        <v>-2.2404812440335709E-2</v>
      </c>
      <c r="N72" s="20">
        <f t="shared" si="12"/>
        <v>-1.9795453511381612E-3</v>
      </c>
      <c r="O72" s="20">
        <f t="shared" si="13"/>
        <v>-3.1478062907309024E-3</v>
      </c>
      <c r="P72" s="20">
        <f t="shared" si="14"/>
        <v>6.1739800256064431E-3</v>
      </c>
      <c r="Q72" s="20">
        <f t="shared" si="15"/>
        <v>-6.9300346646696317E-3</v>
      </c>
      <c r="R72" s="20">
        <f t="shared" si="16"/>
        <v>-3.6780845388440391E-3</v>
      </c>
    </row>
    <row r="73" spans="1:18" x14ac:dyDescent="0.25">
      <c r="A73" s="4">
        <v>43455</v>
      </c>
      <c r="B73" s="5">
        <v>85697.15</v>
      </c>
      <c r="C73" s="6">
        <v>16.350000000000001</v>
      </c>
      <c r="D73" s="6">
        <v>16.7</v>
      </c>
      <c r="E73" s="6">
        <v>15.17</v>
      </c>
      <c r="F73" s="6">
        <v>35</v>
      </c>
      <c r="G73" s="6">
        <v>27.45</v>
      </c>
      <c r="H73" s="6">
        <v>14.48</v>
      </c>
      <c r="I73" s="6">
        <v>57.2</v>
      </c>
      <c r="K73" s="20">
        <f t="shared" si="9"/>
        <v>5.0052032811916071E-3</v>
      </c>
      <c r="L73" s="20">
        <f t="shared" si="10"/>
        <v>-7.3126468462863786E-3</v>
      </c>
      <c r="M73" s="20">
        <f t="shared" si="11"/>
        <v>1.2048338516174355E-2</v>
      </c>
      <c r="N73" s="20">
        <f t="shared" si="12"/>
        <v>-2.6333129107606571E-3</v>
      </c>
      <c r="O73" s="20">
        <f t="shared" si="13"/>
        <v>4.380262265839284E-2</v>
      </c>
      <c r="P73" s="20">
        <f t="shared" si="14"/>
        <v>3.6354151716529656E-2</v>
      </c>
      <c r="Q73" s="20">
        <f t="shared" si="15"/>
        <v>5.5401803756153509E-3</v>
      </c>
      <c r="R73" s="20">
        <f t="shared" si="16"/>
        <v>1.8883469431644338E-2</v>
      </c>
    </row>
    <row r="74" spans="1:18" ht="15.75" thickBot="1" x14ac:dyDescent="0.3">
      <c r="A74" s="1">
        <v>43454</v>
      </c>
      <c r="B74" s="2">
        <v>85269.29</v>
      </c>
      <c r="C74" s="3">
        <v>16.47</v>
      </c>
      <c r="D74" s="3">
        <v>16.5</v>
      </c>
      <c r="E74" s="3">
        <v>15.21</v>
      </c>
      <c r="F74" s="3">
        <v>33.5</v>
      </c>
      <c r="G74" s="3">
        <v>26.47</v>
      </c>
      <c r="H74" s="3">
        <v>14.4</v>
      </c>
      <c r="I74" s="3">
        <v>56.13</v>
      </c>
      <c r="K74" s="20">
        <f t="shared" si="9"/>
        <v>-4.7294268003065867E-3</v>
      </c>
      <c r="L74" s="20">
        <f t="shared" si="10"/>
        <v>-6.0698029177676856E-4</v>
      </c>
      <c r="M74" s="20">
        <f t="shared" si="11"/>
        <v>2.3299643828052639E-2</v>
      </c>
      <c r="N74" s="20">
        <f t="shared" si="12"/>
        <v>-1.2414403148381964E-2</v>
      </c>
      <c r="O74" s="20">
        <f t="shared" si="13"/>
        <v>3.4313370892867776E-2</v>
      </c>
      <c r="P74" s="20">
        <f t="shared" si="14"/>
        <v>1.791547821752788E-2</v>
      </c>
      <c r="Q74" s="20">
        <f t="shared" si="15"/>
        <v>7.3467151881872542E-2</v>
      </c>
      <c r="R74" s="20">
        <f t="shared" si="16"/>
        <v>-6.7471846876439598E-3</v>
      </c>
    </row>
    <row r="75" spans="1:18" x14ac:dyDescent="0.25">
      <c r="A75" s="4">
        <v>43453</v>
      </c>
      <c r="B75" s="5">
        <v>85673.52</v>
      </c>
      <c r="C75" s="6">
        <v>16.48</v>
      </c>
      <c r="D75" s="6">
        <v>16.12</v>
      </c>
      <c r="E75" s="6">
        <v>15.4</v>
      </c>
      <c r="F75" s="6">
        <v>32.369999999999997</v>
      </c>
      <c r="G75" s="6">
        <v>26</v>
      </c>
      <c r="H75" s="6">
        <v>13.38</v>
      </c>
      <c r="I75" s="6">
        <v>56.51</v>
      </c>
      <c r="K75" s="20">
        <f t="shared" si="9"/>
        <v>-1.0877146844986941E-2</v>
      </c>
      <c r="L75" s="20">
        <f t="shared" si="10"/>
        <v>-1.026269194512705E-2</v>
      </c>
      <c r="M75" s="20">
        <f t="shared" si="11"/>
        <v>9.3487748515612284E-3</v>
      </c>
      <c r="N75" s="20">
        <f t="shared" si="12"/>
        <v>-3.7596017426279396E-2</v>
      </c>
      <c r="O75" s="20">
        <f t="shared" si="13"/>
        <v>-1.9275493528327321E-2</v>
      </c>
      <c r="P75" s="20">
        <f t="shared" si="14"/>
        <v>-2.1686221750240053E-2</v>
      </c>
      <c r="Q75" s="20">
        <f t="shared" si="15"/>
        <v>1.6579128802911264E-2</v>
      </c>
      <c r="R75" s="20">
        <f t="shared" si="16"/>
        <v>-1.1261776599067666E-2</v>
      </c>
    </row>
    <row r="76" spans="1:18" ht="15.75" thickBot="1" x14ac:dyDescent="0.3">
      <c r="A76" s="1">
        <v>43452</v>
      </c>
      <c r="B76" s="2">
        <v>86610.49</v>
      </c>
      <c r="C76" s="3">
        <v>16.649999999999999</v>
      </c>
      <c r="D76" s="3">
        <v>15.97</v>
      </c>
      <c r="E76" s="3">
        <v>15.99</v>
      </c>
      <c r="F76" s="3">
        <v>33</v>
      </c>
      <c r="G76" s="3">
        <v>26.57</v>
      </c>
      <c r="H76" s="3">
        <v>13.16</v>
      </c>
      <c r="I76" s="3">
        <v>57.15</v>
      </c>
      <c r="K76" s="20">
        <f t="shared" si="9"/>
        <v>2.436967772820394E-3</v>
      </c>
      <c r="L76" s="20">
        <f t="shared" si="10"/>
        <v>2.1858793812499017E-2</v>
      </c>
      <c r="M76" s="20">
        <f t="shared" si="11"/>
        <v>3.7641198772256921E-3</v>
      </c>
      <c r="N76" s="20">
        <f t="shared" si="12"/>
        <v>-6.8557451445544725E-3</v>
      </c>
      <c r="O76" s="20">
        <f t="shared" si="13"/>
        <v>3.5470179448307791E-2</v>
      </c>
      <c r="P76" s="20">
        <f t="shared" si="14"/>
        <v>2.4382160221149116E-2</v>
      </c>
      <c r="Q76" s="20">
        <f t="shared" si="15"/>
        <v>1.5314234973042356E-2</v>
      </c>
      <c r="R76" s="20">
        <f t="shared" si="16"/>
        <v>6.1430645137140714E-3</v>
      </c>
    </row>
    <row r="77" spans="1:18" x14ac:dyDescent="0.25">
      <c r="A77" s="4">
        <v>43451</v>
      </c>
      <c r="B77" s="5">
        <v>86399.679999999993</v>
      </c>
      <c r="C77" s="6">
        <v>16.29</v>
      </c>
      <c r="D77" s="6">
        <v>15.91</v>
      </c>
      <c r="E77" s="6">
        <v>16.100000000000001</v>
      </c>
      <c r="F77" s="6">
        <v>31.85</v>
      </c>
      <c r="G77" s="6">
        <v>25.93</v>
      </c>
      <c r="H77" s="6">
        <v>12.96</v>
      </c>
      <c r="I77" s="6">
        <v>56.8</v>
      </c>
      <c r="K77" s="20">
        <f t="shared" si="9"/>
        <v>-1.2077511795931023E-2</v>
      </c>
      <c r="L77" s="20">
        <f t="shared" si="10"/>
        <v>-1.6438726343159835E-2</v>
      </c>
      <c r="M77" s="20">
        <f t="shared" si="11"/>
        <v>3.7783420264058997E-3</v>
      </c>
      <c r="N77" s="20">
        <f t="shared" si="12"/>
        <v>2.4875634718019286E-3</v>
      </c>
      <c r="O77" s="20">
        <f t="shared" si="13"/>
        <v>-4.6619910745110189E-2</v>
      </c>
      <c r="P77" s="20">
        <f t="shared" si="14"/>
        <v>-2.0611416688436815E-2</v>
      </c>
      <c r="Q77" s="20">
        <f t="shared" si="15"/>
        <v>-2.7398974188114388E-2</v>
      </c>
      <c r="R77" s="20">
        <f t="shared" si="16"/>
        <v>-1.4074597678798285E-3</v>
      </c>
    </row>
    <row r="78" spans="1:18" ht="15.75" thickBot="1" x14ac:dyDescent="0.3">
      <c r="A78" s="1">
        <v>43448</v>
      </c>
      <c r="B78" s="2">
        <v>87449.5</v>
      </c>
      <c r="C78" s="3">
        <v>16.559999999999999</v>
      </c>
      <c r="D78" s="3">
        <v>15.85</v>
      </c>
      <c r="E78" s="3">
        <v>16.059999999999999</v>
      </c>
      <c r="F78" s="3">
        <v>33.369999999999997</v>
      </c>
      <c r="G78" s="3">
        <v>26.47</v>
      </c>
      <c r="H78" s="3">
        <v>13.32</v>
      </c>
      <c r="I78" s="3">
        <v>56.88</v>
      </c>
      <c r="K78" s="20">
        <f t="shared" si="9"/>
        <v>-4.4280572417381616E-3</v>
      </c>
      <c r="L78" s="20">
        <f t="shared" si="10"/>
        <v>-4.8192864359489947E-3</v>
      </c>
      <c r="M78" s="20">
        <f t="shared" si="11"/>
        <v>-6.2893289075639904E-3</v>
      </c>
      <c r="N78" s="20">
        <f t="shared" si="12"/>
        <v>-1.7896188824646917E-2</v>
      </c>
      <c r="O78" s="20">
        <f t="shared" si="13"/>
        <v>-1.3986241974740065E-2</v>
      </c>
      <c r="P78" s="20">
        <f t="shared" si="14"/>
        <v>-2.4628110431830431E-2</v>
      </c>
      <c r="Q78" s="20">
        <f t="shared" si="15"/>
        <v>1.8947137476112392E-2</v>
      </c>
      <c r="R78" s="20">
        <f t="shared" si="16"/>
        <v>-1.0841162308319319E-2</v>
      </c>
    </row>
    <row r="79" spans="1:18" x14ac:dyDescent="0.25">
      <c r="A79" s="4">
        <v>43447</v>
      </c>
      <c r="B79" s="5">
        <v>87837.59</v>
      </c>
      <c r="C79" s="6">
        <v>16.64</v>
      </c>
      <c r="D79" s="6">
        <v>15.95</v>
      </c>
      <c r="E79" s="6">
        <v>16.350000000000001</v>
      </c>
      <c r="F79" s="6">
        <v>33.840000000000003</v>
      </c>
      <c r="G79" s="6">
        <v>27.13</v>
      </c>
      <c r="H79" s="6">
        <v>13.07</v>
      </c>
      <c r="I79" s="6">
        <v>57.5</v>
      </c>
      <c r="K79" s="20">
        <f t="shared" si="9"/>
        <v>9.8405365094430732E-3</v>
      </c>
      <c r="L79" s="20">
        <f t="shared" si="10"/>
        <v>0</v>
      </c>
      <c r="M79" s="20">
        <f t="shared" si="11"/>
        <v>0</v>
      </c>
      <c r="N79" s="20">
        <f t="shared" si="12"/>
        <v>2.4769068112408948E-2</v>
      </c>
      <c r="O79" s="20">
        <f t="shared" si="13"/>
        <v>5.6304786472859197E-3</v>
      </c>
      <c r="P79" s="20">
        <f t="shared" si="14"/>
        <v>-9.5378566041465235E-3</v>
      </c>
      <c r="Q79" s="20">
        <f t="shared" si="15"/>
        <v>2.2979711376237273E-3</v>
      </c>
      <c r="R79" s="20">
        <f t="shared" si="16"/>
        <v>-3.4722257107492036E-3</v>
      </c>
    </row>
    <row r="80" spans="1:18" ht="15.75" thickBot="1" x14ac:dyDescent="0.3">
      <c r="A80" s="1">
        <v>43446</v>
      </c>
      <c r="B80" s="2">
        <v>86977.46</v>
      </c>
      <c r="C80" s="3">
        <v>16.64</v>
      </c>
      <c r="D80" s="3">
        <v>15.95</v>
      </c>
      <c r="E80" s="3">
        <v>15.95</v>
      </c>
      <c r="F80" s="3">
        <v>33.65</v>
      </c>
      <c r="G80" s="3">
        <v>27.39</v>
      </c>
      <c r="H80" s="3">
        <v>13.04</v>
      </c>
      <c r="I80" s="3">
        <v>57.7</v>
      </c>
      <c r="K80" s="20">
        <f t="shared" si="9"/>
        <v>6.4348498363346338E-3</v>
      </c>
      <c r="L80" s="20">
        <f t="shared" si="10"/>
        <v>6.0114218822627478E-4</v>
      </c>
      <c r="M80" s="20">
        <f t="shared" si="11"/>
        <v>1.8987912244691381E-2</v>
      </c>
      <c r="N80" s="20">
        <f t="shared" si="12"/>
        <v>0</v>
      </c>
      <c r="O80" s="20">
        <f t="shared" si="13"/>
        <v>2.3452668414608892E-2</v>
      </c>
      <c r="P80" s="20">
        <f t="shared" si="14"/>
        <v>3.001892998988762E-2</v>
      </c>
      <c r="Q80" s="20">
        <f t="shared" si="15"/>
        <v>2.6419563033961344E-2</v>
      </c>
      <c r="R80" s="20">
        <f t="shared" si="16"/>
        <v>-1.0344919842392773E-2</v>
      </c>
    </row>
    <row r="81" spans="1:18" x14ac:dyDescent="0.25">
      <c r="A81" s="4">
        <v>43445</v>
      </c>
      <c r="B81" s="5">
        <v>86419.57</v>
      </c>
      <c r="C81" s="6">
        <v>16.63</v>
      </c>
      <c r="D81" s="6">
        <v>15.65</v>
      </c>
      <c r="E81" s="6">
        <v>15.95</v>
      </c>
      <c r="F81" s="6">
        <v>32.869999999999997</v>
      </c>
      <c r="G81" s="6">
        <v>26.58</v>
      </c>
      <c r="H81" s="6">
        <v>12.7</v>
      </c>
      <c r="I81" s="6">
        <v>58.3</v>
      </c>
      <c r="K81" s="20">
        <f t="shared" si="9"/>
        <v>5.8590948275304196E-3</v>
      </c>
      <c r="L81" s="20">
        <f t="shared" si="10"/>
        <v>1.392695837468369E-2</v>
      </c>
      <c r="M81" s="20">
        <f t="shared" si="11"/>
        <v>1.3509372389532159E-2</v>
      </c>
      <c r="N81" s="20">
        <f t="shared" si="12"/>
        <v>3.7688486822288684E-3</v>
      </c>
      <c r="O81" s="20">
        <f t="shared" si="13"/>
        <v>6.3099540741113097E-2</v>
      </c>
      <c r="P81" s="20">
        <f t="shared" si="14"/>
        <v>1.4018035949784159E-2</v>
      </c>
      <c r="Q81" s="20">
        <f t="shared" si="15"/>
        <v>2.7945930390559322E-2</v>
      </c>
      <c r="R81" s="20">
        <f t="shared" si="16"/>
        <v>1.3817145553141903E-2</v>
      </c>
    </row>
    <row r="82" spans="1:18" ht="15.75" thickBot="1" x14ac:dyDescent="0.3">
      <c r="A82" s="1">
        <v>43444</v>
      </c>
      <c r="B82" s="2">
        <v>85914.71</v>
      </c>
      <c r="C82" s="3">
        <v>16.399999999999999</v>
      </c>
      <c r="D82" s="3">
        <v>15.44</v>
      </c>
      <c r="E82" s="3">
        <v>15.89</v>
      </c>
      <c r="F82" s="3">
        <v>30.86</v>
      </c>
      <c r="G82" s="3">
        <v>26.21</v>
      </c>
      <c r="H82" s="3">
        <v>12.35</v>
      </c>
      <c r="I82" s="3">
        <v>57.5</v>
      </c>
      <c r="K82" s="20">
        <f t="shared" si="9"/>
        <v>-2.5288513968596486E-2</v>
      </c>
      <c r="L82" s="20">
        <f t="shared" si="10"/>
        <v>-1.5729301908544029E-2</v>
      </c>
      <c r="M82" s="20">
        <f t="shared" si="11"/>
        <v>-4.5234325918173694E-3</v>
      </c>
      <c r="N82" s="20">
        <f t="shared" si="12"/>
        <v>-1.3750216640258271E-2</v>
      </c>
      <c r="O82" s="20">
        <f t="shared" si="13"/>
        <v>-1.5753420143915012E-2</v>
      </c>
      <c r="P82" s="20">
        <f t="shared" si="14"/>
        <v>-1.1003715656861503E-2</v>
      </c>
      <c r="Q82" s="20">
        <f t="shared" si="15"/>
        <v>-3.2336325670649104E-3</v>
      </c>
      <c r="R82" s="20">
        <f t="shared" si="16"/>
        <v>-9.5197603405956649E-3</v>
      </c>
    </row>
    <row r="83" spans="1:18" x14ac:dyDescent="0.25">
      <c r="A83" s="4">
        <v>43441</v>
      </c>
      <c r="B83" s="5">
        <v>88115.07</v>
      </c>
      <c r="C83" s="6">
        <v>16.66</v>
      </c>
      <c r="D83" s="6">
        <v>15.51</v>
      </c>
      <c r="E83" s="6">
        <v>16.11</v>
      </c>
      <c r="F83" s="6">
        <v>31.35</v>
      </c>
      <c r="G83" s="6">
        <v>26.5</v>
      </c>
      <c r="H83" s="6">
        <v>12.39</v>
      </c>
      <c r="I83" s="6">
        <v>58.05</v>
      </c>
      <c r="K83" s="20">
        <f t="shared" si="9"/>
        <v>-8.2663625508850661E-3</v>
      </c>
      <c r="L83" s="20">
        <f t="shared" si="10"/>
        <v>1.6339243982958242E-2</v>
      </c>
      <c r="M83" s="20">
        <f t="shared" si="11"/>
        <v>-4.0435072480218034E-2</v>
      </c>
      <c r="N83" s="20">
        <f t="shared" si="12"/>
        <v>-1.7231195566855331E-2</v>
      </c>
      <c r="O83" s="20">
        <f t="shared" si="13"/>
        <v>-3.8484336094969325E-2</v>
      </c>
      <c r="P83" s="20">
        <f t="shared" si="14"/>
        <v>7.5757938084577226E-3</v>
      </c>
      <c r="Q83" s="20">
        <f t="shared" si="15"/>
        <v>-8.0677696994003426E-4</v>
      </c>
      <c r="R83" s="20">
        <f t="shared" si="16"/>
        <v>1.1260404818379843E-2</v>
      </c>
    </row>
    <row r="84" spans="1:18" ht="15.75" thickBot="1" x14ac:dyDescent="0.3">
      <c r="A84" s="1">
        <v>43440</v>
      </c>
      <c r="B84" s="2">
        <v>88846.48</v>
      </c>
      <c r="C84" s="3">
        <v>16.39</v>
      </c>
      <c r="D84" s="3">
        <v>16.149999999999999</v>
      </c>
      <c r="E84" s="3">
        <v>16.39</v>
      </c>
      <c r="F84" s="3">
        <v>32.58</v>
      </c>
      <c r="G84" s="3">
        <v>26.3</v>
      </c>
      <c r="H84" s="3">
        <v>12.4</v>
      </c>
      <c r="I84" s="3">
        <v>57.4</v>
      </c>
      <c r="K84" s="20">
        <f t="shared" si="9"/>
        <v>-2.1734119906520358E-3</v>
      </c>
      <c r="L84" s="20">
        <f t="shared" si="10"/>
        <v>-1.3935396671563864E-2</v>
      </c>
      <c r="M84" s="20">
        <f t="shared" si="11"/>
        <v>1.1208087441744334E-2</v>
      </c>
      <c r="N84" s="20">
        <f t="shared" si="12"/>
        <v>-9.1102968398068893E-3</v>
      </c>
      <c r="O84" s="20">
        <f t="shared" si="13"/>
        <v>-2.0055366813348432E-2</v>
      </c>
      <c r="P84" s="20">
        <f t="shared" si="14"/>
        <v>2.6976587698202076E-2</v>
      </c>
      <c r="Q84" s="20">
        <f t="shared" si="15"/>
        <v>-8.8318518678285728E-3</v>
      </c>
      <c r="R84" s="20">
        <f t="shared" si="16"/>
        <v>-5.1772273735280983E-2</v>
      </c>
    </row>
    <row r="85" spans="1:18" x14ac:dyDescent="0.25">
      <c r="A85" s="4">
        <v>43439</v>
      </c>
      <c r="B85" s="5">
        <v>89039.79</v>
      </c>
      <c r="C85" s="6">
        <v>16.62</v>
      </c>
      <c r="D85" s="6">
        <v>15.97</v>
      </c>
      <c r="E85" s="6">
        <v>16.54</v>
      </c>
      <c r="F85" s="6">
        <v>33.24</v>
      </c>
      <c r="G85" s="6">
        <v>25.6</v>
      </c>
      <c r="H85" s="6">
        <v>12.51</v>
      </c>
      <c r="I85" s="6">
        <v>60.45</v>
      </c>
      <c r="K85" s="20">
        <f t="shared" si="9"/>
        <v>4.67556956474364E-3</v>
      </c>
      <c r="L85" s="20">
        <f t="shared" si="10"/>
        <v>-6.5967255714304649E-3</v>
      </c>
      <c r="M85" s="20">
        <f t="shared" si="11"/>
        <v>4.3928530007353341E-3</v>
      </c>
      <c r="N85" s="20">
        <f t="shared" si="12"/>
        <v>-6.6285268309075841E-3</v>
      </c>
      <c r="O85" s="20">
        <f t="shared" si="13"/>
        <v>3.3652609677881022E-2</v>
      </c>
      <c r="P85" s="20">
        <f t="shared" si="14"/>
        <v>1.9550348358032951E-3</v>
      </c>
      <c r="Q85" s="20">
        <f t="shared" si="15"/>
        <v>-1.2708669854227944E-2</v>
      </c>
      <c r="R85" s="20">
        <f t="shared" si="16"/>
        <v>2.4844733276619658E-3</v>
      </c>
    </row>
    <row r="86" spans="1:18" ht="15.75" thickBot="1" x14ac:dyDescent="0.3">
      <c r="A86" s="1">
        <v>43438</v>
      </c>
      <c r="B86" s="2">
        <v>88624.45</v>
      </c>
      <c r="C86" s="3">
        <v>16.73</v>
      </c>
      <c r="D86" s="3">
        <v>15.9</v>
      </c>
      <c r="E86" s="3">
        <v>16.649999999999999</v>
      </c>
      <c r="F86" s="3">
        <v>32.14</v>
      </c>
      <c r="G86" s="3">
        <v>25.55</v>
      </c>
      <c r="H86" s="3">
        <v>12.67</v>
      </c>
      <c r="I86" s="3">
        <v>60.3</v>
      </c>
      <c r="K86" s="20">
        <f t="shared" si="9"/>
        <v>-1.3400890753899643E-2</v>
      </c>
      <c r="L86" s="20">
        <f t="shared" si="10"/>
        <v>-1.4832665884468648E-2</v>
      </c>
      <c r="M86" s="20">
        <f t="shared" si="11"/>
        <v>-1.8074658463357967E-2</v>
      </c>
      <c r="N86" s="20">
        <f t="shared" si="12"/>
        <v>-5.3908486348764233E-3</v>
      </c>
      <c r="O86" s="20">
        <f t="shared" si="13"/>
        <v>-3.0035969207692321E-2</v>
      </c>
      <c r="P86" s="20">
        <f t="shared" si="14"/>
        <v>-1.97642550469855E-2</v>
      </c>
      <c r="Q86" s="20">
        <f t="shared" si="15"/>
        <v>1.5797791595184333E-3</v>
      </c>
      <c r="R86" s="20">
        <f t="shared" si="16"/>
        <v>3.4886653873031784E-3</v>
      </c>
    </row>
    <row r="87" spans="1:18" x14ac:dyDescent="0.25">
      <c r="A87" s="4">
        <v>43437</v>
      </c>
      <c r="B87" s="5">
        <v>89820.09</v>
      </c>
      <c r="C87" s="6">
        <v>16.98</v>
      </c>
      <c r="D87" s="6">
        <v>16.190000000000001</v>
      </c>
      <c r="E87" s="6">
        <v>16.739999999999998</v>
      </c>
      <c r="F87" s="6">
        <v>33.119999999999997</v>
      </c>
      <c r="G87" s="6">
        <v>26.06</v>
      </c>
      <c r="H87" s="6">
        <v>12.65</v>
      </c>
      <c r="I87" s="6">
        <v>60.09</v>
      </c>
      <c r="K87" s="20">
        <f t="shared" si="9"/>
        <v>3.5250174630544404E-3</v>
      </c>
      <c r="L87" s="20">
        <f t="shared" si="10"/>
        <v>3.0495636693652406E-2</v>
      </c>
      <c r="M87" s="20">
        <f t="shared" si="11"/>
        <v>-6.7713401231728485E-3</v>
      </c>
      <c r="N87" s="20">
        <f t="shared" si="12"/>
        <v>-1.0695289116748143E-2</v>
      </c>
      <c r="O87" s="20">
        <f t="shared" si="13"/>
        <v>-4.775443129590011E-2</v>
      </c>
      <c r="P87" s="20">
        <f t="shared" si="14"/>
        <v>1.0414751803445553E-2</v>
      </c>
      <c r="Q87" s="20">
        <f t="shared" si="15"/>
        <v>-5.5183427384468712E-3</v>
      </c>
      <c r="R87" s="20">
        <f t="shared" si="16"/>
        <v>2.6133157082096844E-2</v>
      </c>
    </row>
    <row r="88" spans="1:18" ht="15.75" thickBot="1" x14ac:dyDescent="0.3">
      <c r="A88" s="1">
        <v>43434</v>
      </c>
      <c r="B88" s="2">
        <v>89504.03</v>
      </c>
      <c r="C88" s="3">
        <v>16.47</v>
      </c>
      <c r="D88" s="3">
        <v>16.3</v>
      </c>
      <c r="E88" s="3">
        <v>16.920000000000002</v>
      </c>
      <c r="F88" s="3">
        <v>34.74</v>
      </c>
      <c r="G88" s="3">
        <v>25.79</v>
      </c>
      <c r="H88" s="3">
        <v>12.72</v>
      </c>
      <c r="I88" s="3">
        <v>58.54</v>
      </c>
      <c r="K88" s="20">
        <f t="shared" si="9"/>
        <v>-2.2936886662210964E-3</v>
      </c>
      <c r="L88" s="20">
        <f t="shared" si="10"/>
        <v>1.2150669781680898E-3</v>
      </c>
      <c r="M88" s="20">
        <f t="shared" si="11"/>
        <v>2.925823391979588E-2</v>
      </c>
      <c r="N88" s="20">
        <f t="shared" si="12"/>
        <v>1.6686918785014736E-2</v>
      </c>
      <c r="O88" s="20">
        <f t="shared" si="13"/>
        <v>1.2746406641064766E-2</v>
      </c>
      <c r="P88" s="20">
        <f t="shared" si="14"/>
        <v>3.8782238221205054E-4</v>
      </c>
      <c r="Q88" s="20">
        <f t="shared" si="15"/>
        <v>5.5183427384468122E-3</v>
      </c>
      <c r="R88" s="20">
        <f t="shared" si="16"/>
        <v>6.8352702592893431E-4</v>
      </c>
    </row>
    <row r="89" spans="1:18" x14ac:dyDescent="0.25">
      <c r="A89" s="4">
        <v>43433</v>
      </c>
      <c r="B89" s="5">
        <v>89709.56</v>
      </c>
      <c r="C89" s="6">
        <v>16.45</v>
      </c>
      <c r="D89" s="6">
        <v>15.83</v>
      </c>
      <c r="E89" s="6">
        <v>16.64</v>
      </c>
      <c r="F89" s="6">
        <v>34.299999999999997</v>
      </c>
      <c r="G89" s="6">
        <v>25.78</v>
      </c>
      <c r="H89" s="6">
        <v>12.65</v>
      </c>
      <c r="I89" s="6">
        <v>58.5</v>
      </c>
      <c r="K89" s="20">
        <f t="shared" si="9"/>
        <v>5.126732573652551E-3</v>
      </c>
      <c r="L89" s="20">
        <f t="shared" si="10"/>
        <v>9.774054597427112E-3</v>
      </c>
      <c r="M89" s="20">
        <f t="shared" si="11"/>
        <v>-1.6912398097496641E-2</v>
      </c>
      <c r="N89" s="20">
        <f t="shared" si="12"/>
        <v>-3.0003022806811656E-3</v>
      </c>
      <c r="O89" s="20">
        <f t="shared" si="13"/>
        <v>-4.9440263568798102E-3</v>
      </c>
      <c r="P89" s="20">
        <f t="shared" si="14"/>
        <v>1.0136539034452333E-2</v>
      </c>
      <c r="Q89" s="20">
        <f t="shared" si="15"/>
        <v>1.9960742562538152E-2</v>
      </c>
      <c r="R89" s="20">
        <f t="shared" si="16"/>
        <v>2.0551625674164707E-2</v>
      </c>
    </row>
    <row r="90" spans="1:18" ht="15.75" thickBot="1" x14ac:dyDescent="0.3">
      <c r="A90" s="1">
        <v>43432</v>
      </c>
      <c r="B90" s="2">
        <v>89250.82</v>
      </c>
      <c r="C90" s="3">
        <v>16.29</v>
      </c>
      <c r="D90" s="3">
        <v>16.100000000000001</v>
      </c>
      <c r="E90" s="3">
        <v>16.690000000000001</v>
      </c>
      <c r="F90" s="3">
        <v>34.47</v>
      </c>
      <c r="G90" s="3">
        <v>25.52</v>
      </c>
      <c r="H90" s="3">
        <v>12.4</v>
      </c>
      <c r="I90" s="3">
        <v>57.31</v>
      </c>
      <c r="K90" s="20">
        <f t="shared" si="9"/>
        <v>1.5351149932934004E-2</v>
      </c>
      <c r="L90" s="20">
        <f t="shared" si="10"/>
        <v>1.4842573037928849E-2</v>
      </c>
      <c r="M90" s="20">
        <f t="shared" si="11"/>
        <v>5.2274488252043075E-2</v>
      </c>
      <c r="N90" s="20">
        <f t="shared" si="12"/>
        <v>9.028048078198514E-3</v>
      </c>
      <c r="O90" s="20">
        <f t="shared" si="13"/>
        <v>1.903703705833968E-2</v>
      </c>
      <c r="P90" s="20">
        <f t="shared" si="14"/>
        <v>1.5002255314487749E-2</v>
      </c>
      <c r="Q90" s="20">
        <f t="shared" si="15"/>
        <v>-6.4308903302904025E-3</v>
      </c>
      <c r="R90" s="20">
        <f t="shared" si="16"/>
        <v>-1.743375615899235E-3</v>
      </c>
    </row>
    <row r="91" spans="1:18" x14ac:dyDescent="0.25">
      <c r="A91" s="4">
        <v>43431</v>
      </c>
      <c r="B91" s="5">
        <v>87891.18</v>
      </c>
      <c r="C91" s="6">
        <v>16.05</v>
      </c>
      <c r="D91" s="6">
        <v>15.28</v>
      </c>
      <c r="E91" s="6">
        <v>16.54</v>
      </c>
      <c r="F91" s="6">
        <v>33.82</v>
      </c>
      <c r="G91" s="6">
        <v>25.14</v>
      </c>
      <c r="H91" s="6">
        <v>12.48</v>
      </c>
      <c r="I91" s="6">
        <v>57.41</v>
      </c>
      <c r="K91" s="20">
        <f t="shared" si="9"/>
        <v>2.7039253710417543E-2</v>
      </c>
      <c r="L91" s="20">
        <f t="shared" si="10"/>
        <v>1.6965534158296668E-2</v>
      </c>
      <c r="M91" s="20">
        <f t="shared" si="11"/>
        <v>2.5854937042456689E-2</v>
      </c>
      <c r="N91" s="20">
        <f t="shared" si="12"/>
        <v>2.3861639926879809E-2</v>
      </c>
      <c r="O91" s="20">
        <f t="shared" si="13"/>
        <v>2.1216991911279324E-2</v>
      </c>
      <c r="P91" s="20">
        <f t="shared" si="14"/>
        <v>5.1844582725736037E-3</v>
      </c>
      <c r="Q91" s="20">
        <f t="shared" si="15"/>
        <v>2.4332100659530721E-2</v>
      </c>
      <c r="R91" s="20">
        <f t="shared" si="16"/>
        <v>2.2669815271551198E-3</v>
      </c>
    </row>
    <row r="92" spans="1:18" ht="15.75" thickBot="1" x14ac:dyDescent="0.3">
      <c r="A92" s="1">
        <v>43430</v>
      </c>
      <c r="B92" s="2">
        <v>85546.51</v>
      </c>
      <c r="C92" s="3">
        <v>15.78</v>
      </c>
      <c r="D92" s="3">
        <v>14.89</v>
      </c>
      <c r="E92" s="3">
        <v>16.149999999999999</v>
      </c>
      <c r="F92" s="3">
        <v>33.11</v>
      </c>
      <c r="G92" s="3">
        <v>25.01</v>
      </c>
      <c r="H92" s="3">
        <v>12.18</v>
      </c>
      <c r="I92" s="3">
        <v>57.28</v>
      </c>
      <c r="K92" s="20">
        <f t="shared" si="9"/>
        <v>-7.9604916279649787E-3</v>
      </c>
      <c r="L92" s="20">
        <f t="shared" si="10"/>
        <v>-8.2045269319674062E-3</v>
      </c>
      <c r="M92" s="20">
        <f t="shared" si="11"/>
        <v>-1.1352375675829892E-2</v>
      </c>
      <c r="N92" s="20">
        <f t="shared" si="12"/>
        <v>-3.0911925696728579E-3</v>
      </c>
      <c r="O92" s="20">
        <f t="shared" si="13"/>
        <v>-8.3683586896955098E-2</v>
      </c>
      <c r="P92" s="20">
        <f t="shared" si="14"/>
        <v>-9.5504108318410445E-3</v>
      </c>
      <c r="Q92" s="20">
        <f t="shared" si="15"/>
        <v>-1.3860800792235211E-2</v>
      </c>
      <c r="R92" s="20">
        <f t="shared" si="16"/>
        <v>-9.3832139358097661E-3</v>
      </c>
    </row>
    <row r="93" spans="1:18" x14ac:dyDescent="0.25">
      <c r="A93" s="4">
        <v>43427</v>
      </c>
      <c r="B93" s="5">
        <v>86230.22</v>
      </c>
      <c r="C93" s="6">
        <v>15.91</v>
      </c>
      <c r="D93" s="6">
        <v>15.06</v>
      </c>
      <c r="E93" s="6">
        <v>16.2</v>
      </c>
      <c r="F93" s="6">
        <v>36</v>
      </c>
      <c r="G93" s="6">
        <v>25.25</v>
      </c>
      <c r="H93" s="6">
        <v>12.35</v>
      </c>
      <c r="I93" s="6">
        <v>57.82</v>
      </c>
      <c r="K93" s="20">
        <f t="shared" si="9"/>
        <v>-1.4360235271414102E-2</v>
      </c>
      <c r="L93" s="20">
        <f t="shared" si="10"/>
        <v>-5.6408798900857288E-3</v>
      </c>
      <c r="M93" s="20">
        <f t="shared" si="11"/>
        <v>-1.9724505347778476E-2</v>
      </c>
      <c r="N93" s="20">
        <f t="shared" si="12"/>
        <v>-1.8349138668196541E-2</v>
      </c>
      <c r="O93" s="20">
        <f t="shared" si="13"/>
        <v>9.2089390853099078E-3</v>
      </c>
      <c r="P93" s="20">
        <f t="shared" si="14"/>
        <v>-2.3734188356637942E-3</v>
      </c>
      <c r="Q93" s="20">
        <f t="shared" si="15"/>
        <v>8.1004459674434545E-4</v>
      </c>
      <c r="R93" s="20">
        <f t="shared" si="16"/>
        <v>-1.6807118316381174E-2</v>
      </c>
    </row>
    <row r="94" spans="1:18" ht="15.75" thickBot="1" x14ac:dyDescent="0.3">
      <c r="A94" s="1">
        <v>43426</v>
      </c>
      <c r="B94" s="2">
        <v>87477.440000000002</v>
      </c>
      <c r="C94" s="3">
        <v>16</v>
      </c>
      <c r="D94" s="3">
        <v>15.36</v>
      </c>
      <c r="E94" s="3">
        <v>16.5</v>
      </c>
      <c r="F94" s="3">
        <v>35.67</v>
      </c>
      <c r="G94" s="3">
        <v>25.31</v>
      </c>
      <c r="H94" s="3">
        <v>12.34</v>
      </c>
      <c r="I94" s="3">
        <v>58.8</v>
      </c>
      <c r="K94" s="20">
        <f t="shared" si="9"/>
        <v>2.3879208976587685E-3</v>
      </c>
      <c r="L94" s="20">
        <f t="shared" si="10"/>
        <v>1.1313759900273314E-2</v>
      </c>
      <c r="M94" s="20">
        <f t="shared" si="11"/>
        <v>1.3029317804160619E-3</v>
      </c>
      <c r="N94" s="20">
        <f t="shared" si="12"/>
        <v>7.2993024816115351E-3</v>
      </c>
      <c r="O94" s="20">
        <f t="shared" si="13"/>
        <v>2.1536678253855645E-2</v>
      </c>
      <c r="P94" s="20">
        <f t="shared" si="14"/>
        <v>1.6733458177531926E-2</v>
      </c>
      <c r="Q94" s="20">
        <f t="shared" si="15"/>
        <v>4.8992777887073707E-2</v>
      </c>
      <c r="R94" s="20">
        <f t="shared" si="16"/>
        <v>2.8953439284573603E-3</v>
      </c>
    </row>
    <row r="95" spans="1:18" x14ac:dyDescent="0.25">
      <c r="A95" s="4">
        <v>43425</v>
      </c>
      <c r="B95" s="5">
        <v>87268.800000000003</v>
      </c>
      <c r="C95" s="6">
        <v>15.82</v>
      </c>
      <c r="D95" s="6">
        <v>15.34</v>
      </c>
      <c r="E95" s="6">
        <v>16.38</v>
      </c>
      <c r="F95" s="6">
        <v>34.909999999999997</v>
      </c>
      <c r="G95" s="6">
        <v>24.89</v>
      </c>
      <c r="H95" s="6">
        <v>11.75</v>
      </c>
      <c r="I95" s="6">
        <v>58.63</v>
      </c>
      <c r="K95" s="20">
        <f t="shared" si="9"/>
        <v>-7.2162365439200878E-3</v>
      </c>
      <c r="L95" s="20">
        <f t="shared" si="10"/>
        <v>-2.9890145473208889E-2</v>
      </c>
      <c r="M95" s="20">
        <f t="shared" si="11"/>
        <v>-9.7308584896671595E-3</v>
      </c>
      <c r="N95" s="20">
        <f t="shared" si="12"/>
        <v>-4.8721168240005398E-3</v>
      </c>
      <c r="O95" s="20">
        <f t="shared" si="13"/>
        <v>1.5007496672769696E-2</v>
      </c>
      <c r="P95" s="20">
        <f t="shared" si="14"/>
        <v>-8.8000567899929171E-3</v>
      </c>
      <c r="Q95" s="20">
        <f t="shared" si="15"/>
        <v>-1.7006806820173311E-3</v>
      </c>
      <c r="R95" s="20">
        <f t="shared" si="16"/>
        <v>-9.6750309138362803E-3</v>
      </c>
    </row>
    <row r="96" spans="1:18" ht="15.75" thickBot="1" x14ac:dyDescent="0.3">
      <c r="A96" s="1">
        <v>43423</v>
      </c>
      <c r="B96" s="2">
        <v>87900.83</v>
      </c>
      <c r="C96" s="3">
        <v>16.3</v>
      </c>
      <c r="D96" s="3">
        <v>15.49</v>
      </c>
      <c r="E96" s="3">
        <v>16.46</v>
      </c>
      <c r="F96" s="3">
        <v>34.39</v>
      </c>
      <c r="G96" s="3">
        <v>25.11</v>
      </c>
      <c r="H96" s="3">
        <v>11.77</v>
      </c>
      <c r="I96" s="3">
        <v>59.2</v>
      </c>
      <c r="K96" s="20">
        <f t="shared" si="9"/>
        <v>-6.9658323081408999E-3</v>
      </c>
      <c r="L96" s="20">
        <f t="shared" si="10"/>
        <v>-1.8237587549780901E-2</v>
      </c>
      <c r="M96" s="20">
        <f t="shared" si="11"/>
        <v>-1.4102797838752597E-2</v>
      </c>
      <c r="N96" s="20">
        <f t="shared" si="12"/>
        <v>-2.4271856576110772E-3</v>
      </c>
      <c r="O96" s="20">
        <f t="shared" si="13"/>
        <v>-1.7582237045238872E-2</v>
      </c>
      <c r="P96" s="20">
        <f t="shared" si="14"/>
        <v>-1.5804358984226469E-2</v>
      </c>
      <c r="Q96" s="20">
        <f t="shared" si="15"/>
        <v>-9.302392662313674E-3</v>
      </c>
      <c r="R96" s="20">
        <f t="shared" si="16"/>
        <v>1.2065742435025501E-2</v>
      </c>
    </row>
    <row r="97" spans="1:18" x14ac:dyDescent="0.25">
      <c r="A97" s="4">
        <v>43420</v>
      </c>
      <c r="B97" s="5">
        <v>88515.27</v>
      </c>
      <c r="C97" s="6">
        <v>16.600000000000001</v>
      </c>
      <c r="D97" s="6">
        <v>15.71</v>
      </c>
      <c r="E97" s="6">
        <v>16.5</v>
      </c>
      <c r="F97" s="6">
        <v>35</v>
      </c>
      <c r="G97" s="6">
        <v>25.51</v>
      </c>
      <c r="H97" s="6">
        <v>11.88</v>
      </c>
      <c r="I97" s="6">
        <v>58.49</v>
      </c>
      <c r="K97" s="20">
        <f t="shared" si="9"/>
        <v>2.9141088138339249E-2</v>
      </c>
      <c r="L97" s="20">
        <f t="shared" si="10"/>
        <v>6.0423144559626617E-3</v>
      </c>
      <c r="M97" s="20">
        <f t="shared" si="11"/>
        <v>3.2344345996328322E-2</v>
      </c>
      <c r="N97" s="20">
        <f t="shared" si="12"/>
        <v>2.8898414285073237E-2</v>
      </c>
      <c r="O97" s="20">
        <f t="shared" si="13"/>
        <v>4.7990483998867593E-2</v>
      </c>
      <c r="P97" s="20">
        <f t="shared" si="14"/>
        <v>9.4526107536173319E-3</v>
      </c>
      <c r="Q97" s="20">
        <f t="shared" si="15"/>
        <v>1.9550133922789384E-2</v>
      </c>
      <c r="R97" s="20">
        <f t="shared" si="16"/>
        <v>4.4397364697000175E-2</v>
      </c>
    </row>
    <row r="98" spans="1:18" ht="15.75" thickBot="1" x14ac:dyDescent="0.3">
      <c r="A98" s="1">
        <v>43418</v>
      </c>
      <c r="B98" s="2">
        <v>85973.06</v>
      </c>
      <c r="C98" s="3">
        <v>16.5</v>
      </c>
      <c r="D98" s="3">
        <v>15.21</v>
      </c>
      <c r="E98" s="3">
        <v>16.03</v>
      </c>
      <c r="F98" s="3">
        <v>33.36</v>
      </c>
      <c r="G98" s="3">
        <v>25.27</v>
      </c>
      <c r="H98" s="3">
        <v>11.65</v>
      </c>
      <c r="I98" s="3">
        <v>55.95</v>
      </c>
      <c r="K98" s="20">
        <f t="shared" si="9"/>
        <v>1.2393716332201172E-2</v>
      </c>
      <c r="L98" s="20">
        <f t="shared" si="10"/>
        <v>-2.4213086890102274E-3</v>
      </c>
      <c r="M98" s="20">
        <f t="shared" si="11"/>
        <v>-1.9704439872987251E-3</v>
      </c>
      <c r="N98" s="20">
        <f t="shared" si="12"/>
        <v>1.6986882191728499E-2</v>
      </c>
      <c r="O98" s="20">
        <f t="shared" si="13"/>
        <v>1.5405832559926391E-2</v>
      </c>
      <c r="P98" s="20">
        <f t="shared" si="14"/>
        <v>6.7100830201286307E-2</v>
      </c>
      <c r="Q98" s="20">
        <f t="shared" si="15"/>
        <v>0</v>
      </c>
      <c r="R98" s="20">
        <f t="shared" si="16"/>
        <v>-1.964110978707927E-3</v>
      </c>
    </row>
    <row r="99" spans="1:18" x14ac:dyDescent="0.25">
      <c r="A99" s="4">
        <v>43417</v>
      </c>
      <c r="B99" s="5">
        <v>84914.11</v>
      </c>
      <c r="C99" s="6">
        <v>16.54</v>
      </c>
      <c r="D99" s="6">
        <v>15.24</v>
      </c>
      <c r="E99" s="6">
        <v>15.76</v>
      </c>
      <c r="F99" s="6">
        <v>32.85</v>
      </c>
      <c r="G99" s="6">
        <v>23.63</v>
      </c>
      <c r="H99" s="6">
        <v>11.65</v>
      </c>
      <c r="I99" s="6">
        <v>56.06</v>
      </c>
      <c r="K99" s="20">
        <f t="shared" si="9"/>
        <v>-7.1649480787416078E-3</v>
      </c>
      <c r="L99" s="20">
        <f t="shared" si="10"/>
        <v>-1.5597196813668042E-2</v>
      </c>
      <c r="M99" s="20">
        <f t="shared" si="11"/>
        <v>9.8912774787427004E-3</v>
      </c>
      <c r="N99" s="20">
        <f t="shared" si="12"/>
        <v>-1.1983744801120483E-2</v>
      </c>
      <c r="O99" s="20">
        <f t="shared" si="13"/>
        <v>-1.2169152703460431E-3</v>
      </c>
      <c r="P99" s="20">
        <f t="shared" si="14"/>
        <v>-5.0654392818337982E-3</v>
      </c>
      <c r="Q99" s="20">
        <f t="shared" si="15"/>
        <v>0</v>
      </c>
      <c r="R99" s="20">
        <f t="shared" si="16"/>
        <v>-1.3289820832393308E-2</v>
      </c>
    </row>
    <row r="100" spans="1:18" ht="15.75" thickBot="1" x14ac:dyDescent="0.3">
      <c r="A100" s="1">
        <v>43416</v>
      </c>
      <c r="B100" s="2">
        <v>85524.7</v>
      </c>
      <c r="C100" s="3">
        <v>16.8</v>
      </c>
      <c r="D100" s="3">
        <v>15.09</v>
      </c>
      <c r="E100" s="3">
        <v>15.95</v>
      </c>
      <c r="F100" s="3">
        <v>32.89</v>
      </c>
      <c r="G100" s="3">
        <v>23.75</v>
      </c>
      <c r="H100" s="3">
        <v>11.65</v>
      </c>
      <c r="I100" s="3">
        <v>56.81</v>
      </c>
      <c r="K100" s="20">
        <f t="shared" si="9"/>
        <v>-1.3613694221503154E-3</v>
      </c>
      <c r="L100" s="20">
        <f t="shared" si="10"/>
        <v>1.7412628477176485E-2</v>
      </c>
      <c r="M100" s="20">
        <f t="shared" si="11"/>
        <v>-2.5516595381823572E-2</v>
      </c>
      <c r="N100" s="20">
        <f t="shared" si="12"/>
        <v>-8.1174345199666546E-3</v>
      </c>
      <c r="O100" s="20">
        <f t="shared" si="13"/>
        <v>3.2445299224783418E-2</v>
      </c>
      <c r="P100" s="20">
        <f t="shared" si="14"/>
        <v>-2.2893819865852622E-2</v>
      </c>
      <c r="Q100" s="20">
        <f t="shared" si="15"/>
        <v>1.5571248870430324E-2</v>
      </c>
      <c r="R100" s="20">
        <f t="shared" si="16"/>
        <v>-9.7052911537017256E-2</v>
      </c>
    </row>
    <row r="101" spans="1:18" x14ac:dyDescent="0.25">
      <c r="A101" s="4">
        <v>43413</v>
      </c>
      <c r="B101" s="5">
        <v>85641.21</v>
      </c>
      <c r="C101" s="6">
        <v>16.510000000000002</v>
      </c>
      <c r="D101" s="6">
        <v>15.48</v>
      </c>
      <c r="E101" s="6">
        <v>16.079999999999998</v>
      </c>
      <c r="F101" s="6">
        <v>31.84</v>
      </c>
      <c r="G101" s="6">
        <v>24.3</v>
      </c>
      <c r="H101" s="6">
        <v>11.47</v>
      </c>
      <c r="I101" s="6">
        <v>62.6</v>
      </c>
      <c r="K101" s="20">
        <f t="shared" si="9"/>
        <v>2.4617348090877155E-4</v>
      </c>
      <c r="L101" s="20">
        <f t="shared" si="10"/>
        <v>7.9051795071134676E-3</v>
      </c>
      <c r="M101" s="20">
        <f t="shared" si="11"/>
        <v>-1.291155763619816E-3</v>
      </c>
      <c r="N101" s="20">
        <f t="shared" si="12"/>
        <v>2.3278811483290352E-2</v>
      </c>
      <c r="O101" s="20">
        <f t="shared" si="13"/>
        <v>4.4637366820276157E-2</v>
      </c>
      <c r="P101" s="20">
        <f t="shared" si="14"/>
        <v>0</v>
      </c>
      <c r="Q101" s="20">
        <f t="shared" si="15"/>
        <v>1.0517187213867678E-2</v>
      </c>
      <c r="R101" s="20">
        <f t="shared" si="16"/>
        <v>2.0170106949132436E-2</v>
      </c>
    </row>
    <row r="102" spans="1:18" ht="15.75" thickBot="1" x14ac:dyDescent="0.3">
      <c r="A102" s="1">
        <v>43412</v>
      </c>
      <c r="B102" s="2">
        <v>85620.13</v>
      </c>
      <c r="C102" s="3">
        <v>16.38</v>
      </c>
      <c r="D102" s="3">
        <v>15.5</v>
      </c>
      <c r="E102" s="3">
        <v>15.71</v>
      </c>
      <c r="F102" s="3">
        <v>30.45</v>
      </c>
      <c r="G102" s="3">
        <v>24.3</v>
      </c>
      <c r="H102" s="3">
        <v>11.35</v>
      </c>
      <c r="I102" s="3">
        <v>61.35</v>
      </c>
      <c r="K102" s="20">
        <f t="shared" si="9"/>
        <v>-2.4165092938098862E-2</v>
      </c>
      <c r="L102" s="20">
        <f t="shared" si="10"/>
        <v>-1.0929070532190206E-2</v>
      </c>
      <c r="M102" s="20">
        <f t="shared" si="11"/>
        <v>-1.790329149252725E-2</v>
      </c>
      <c r="N102" s="20">
        <f t="shared" si="12"/>
        <v>-3.9930445075732651E-2</v>
      </c>
      <c r="O102" s="20">
        <f t="shared" si="13"/>
        <v>-3.2312988990543454E-2</v>
      </c>
      <c r="P102" s="20">
        <f t="shared" si="14"/>
        <v>-1.8753097469892649E-2</v>
      </c>
      <c r="Q102" s="20">
        <f t="shared" si="15"/>
        <v>-1.9197797278173539E-2</v>
      </c>
      <c r="R102" s="20">
        <f t="shared" si="16"/>
        <v>5.7213069836091236E-3</v>
      </c>
    </row>
    <row r="103" spans="1:18" x14ac:dyDescent="0.25">
      <c r="A103" s="4">
        <v>43411</v>
      </c>
      <c r="B103" s="5">
        <v>87714.35</v>
      </c>
      <c r="C103" s="6">
        <v>16.559999999999999</v>
      </c>
      <c r="D103" s="6">
        <v>15.78</v>
      </c>
      <c r="E103" s="6">
        <v>16.350000000000001</v>
      </c>
      <c r="F103" s="6">
        <v>31.45</v>
      </c>
      <c r="G103" s="6">
        <v>24.76</v>
      </c>
      <c r="H103" s="6">
        <v>11.57</v>
      </c>
      <c r="I103" s="6">
        <v>61</v>
      </c>
      <c r="K103" s="20">
        <f t="shared" si="9"/>
        <v>-1.0823921333922109E-2</v>
      </c>
      <c r="L103" s="20">
        <f t="shared" si="10"/>
        <v>-2.6223195099102557E-2</v>
      </c>
      <c r="M103" s="20">
        <f t="shared" si="11"/>
        <v>6.9952590497987729E-3</v>
      </c>
      <c r="N103" s="20">
        <f t="shared" si="12"/>
        <v>-1.7581538049800102E-2</v>
      </c>
      <c r="O103" s="20">
        <f t="shared" si="13"/>
        <v>-6.339165443735654E-3</v>
      </c>
      <c r="P103" s="20">
        <f t="shared" si="14"/>
        <v>4.0469500801970718E-3</v>
      </c>
      <c r="Q103" s="20">
        <f t="shared" si="15"/>
        <v>-2.5895569067336775E-3</v>
      </c>
      <c r="R103" s="20">
        <f t="shared" si="16"/>
        <v>3.1135454340572667E-2</v>
      </c>
    </row>
    <row r="104" spans="1:18" ht="15.75" thickBot="1" x14ac:dyDescent="0.3">
      <c r="A104" s="1">
        <v>43410</v>
      </c>
      <c r="B104" s="2">
        <v>88668.92</v>
      </c>
      <c r="C104" s="3">
        <v>17</v>
      </c>
      <c r="D104" s="3">
        <v>15.67</v>
      </c>
      <c r="E104" s="3">
        <v>16.64</v>
      </c>
      <c r="F104" s="3">
        <v>31.65</v>
      </c>
      <c r="G104" s="3">
        <v>24.66</v>
      </c>
      <c r="H104" s="3">
        <v>11.6</v>
      </c>
      <c r="I104" s="3">
        <v>59.13</v>
      </c>
      <c r="K104" s="20">
        <f t="shared" si="9"/>
        <v>-1.0425350731232914E-2</v>
      </c>
      <c r="L104" s="20">
        <f t="shared" si="10"/>
        <v>3.71522656312928E-2</v>
      </c>
      <c r="M104" s="20">
        <f t="shared" si="11"/>
        <v>1.6731407035905133E-2</v>
      </c>
      <c r="N104" s="20">
        <f t="shared" si="12"/>
        <v>1.0876240144138733E-2</v>
      </c>
      <c r="O104" s="20">
        <f t="shared" si="13"/>
        <v>-2.8039220064393047E-2</v>
      </c>
      <c r="P104" s="20">
        <f t="shared" si="14"/>
        <v>-9.6853057344636548E-3</v>
      </c>
      <c r="Q104" s="20">
        <f t="shared" si="15"/>
        <v>4.3196611445163796E-3</v>
      </c>
      <c r="R104" s="20">
        <f t="shared" si="16"/>
        <v>5.4265013608738536E-3</v>
      </c>
    </row>
    <row r="105" spans="1:18" x14ac:dyDescent="0.25">
      <c r="A105" s="4">
        <v>43409</v>
      </c>
      <c r="B105" s="5">
        <v>89598.16</v>
      </c>
      <c r="C105" s="6">
        <v>16.38</v>
      </c>
      <c r="D105" s="6">
        <v>15.41</v>
      </c>
      <c r="E105" s="6">
        <v>16.46</v>
      </c>
      <c r="F105" s="6">
        <v>32.549999999999997</v>
      </c>
      <c r="G105" s="6">
        <v>24.9</v>
      </c>
      <c r="H105" s="6">
        <v>11.55</v>
      </c>
      <c r="I105" s="6">
        <v>58.81</v>
      </c>
      <c r="K105" s="20">
        <f t="shared" si="9"/>
        <v>1.3247339890886263E-2</v>
      </c>
      <c r="L105" s="20">
        <f t="shared" si="10"/>
        <v>9.8160297376564138E-3</v>
      </c>
      <c r="M105" s="20">
        <f t="shared" si="11"/>
        <v>-1.5454267654137885E-2</v>
      </c>
      <c r="N105" s="20">
        <f t="shared" si="12"/>
        <v>5.4828038658801736E-3</v>
      </c>
      <c r="O105" s="20">
        <f t="shared" si="13"/>
        <v>2.8355225755125005E-2</v>
      </c>
      <c r="P105" s="20">
        <f t="shared" si="14"/>
        <v>1.7419926016081524E-2</v>
      </c>
      <c r="Q105" s="20">
        <f t="shared" si="15"/>
        <v>3.9740328649514121E-2</v>
      </c>
      <c r="R105" s="20">
        <f t="shared" si="16"/>
        <v>2.8107721577698891E-2</v>
      </c>
    </row>
    <row r="106" spans="1:18" ht="15.75" thickBot="1" x14ac:dyDescent="0.3">
      <c r="A106" s="1">
        <v>43405</v>
      </c>
      <c r="B106" s="2">
        <v>88419.05</v>
      </c>
      <c r="C106" s="3">
        <v>16.22</v>
      </c>
      <c r="D106" s="3">
        <v>15.65</v>
      </c>
      <c r="E106" s="3">
        <v>16.37</v>
      </c>
      <c r="F106" s="3">
        <v>31.64</v>
      </c>
      <c r="G106" s="3">
        <v>24.47</v>
      </c>
      <c r="H106" s="3">
        <v>11.1</v>
      </c>
      <c r="I106" s="3">
        <v>57.18</v>
      </c>
      <c r="K106" s="20">
        <f t="shared" si="9"/>
        <v>1.1322746997794331E-2</v>
      </c>
      <c r="L106" s="20">
        <f t="shared" si="10"/>
        <v>3.0873750982511067E-3</v>
      </c>
      <c r="M106" s="20">
        <f t="shared" si="11"/>
        <v>2.9833600378480825E-2</v>
      </c>
      <c r="N106" s="20">
        <f t="shared" si="12"/>
        <v>1.8343019511866904E-3</v>
      </c>
      <c r="O106" s="20">
        <f t="shared" si="13"/>
        <v>3.3748984736641036E-2</v>
      </c>
      <c r="P106" s="20">
        <f t="shared" si="14"/>
        <v>7.7288025525537193E-2</v>
      </c>
      <c r="Q106" s="20">
        <f t="shared" si="15"/>
        <v>1.8034269991507267E-3</v>
      </c>
      <c r="R106" s="20">
        <f t="shared" si="16"/>
        <v>5.5370001041729872E-2</v>
      </c>
    </row>
    <row r="107" spans="1:18" x14ac:dyDescent="0.25">
      <c r="A107" s="4">
        <v>43404</v>
      </c>
      <c r="B107" s="5">
        <v>87423.55</v>
      </c>
      <c r="C107" s="6">
        <v>16.170000000000002</v>
      </c>
      <c r="D107" s="6">
        <v>15.19</v>
      </c>
      <c r="E107" s="6">
        <v>16.34</v>
      </c>
      <c r="F107" s="6">
        <v>30.59</v>
      </c>
      <c r="G107" s="6">
        <v>22.65</v>
      </c>
      <c r="H107" s="6">
        <v>11.08</v>
      </c>
      <c r="I107" s="6">
        <v>54.1</v>
      </c>
      <c r="K107" s="20">
        <f t="shared" si="9"/>
        <v>6.1711203049876571E-3</v>
      </c>
      <c r="L107" s="20">
        <f t="shared" si="10"/>
        <v>1.8570107472129108E-3</v>
      </c>
      <c r="M107" s="20">
        <f t="shared" si="11"/>
        <v>0</v>
      </c>
      <c r="N107" s="20">
        <f t="shared" si="12"/>
        <v>1.7907239855831803E-2</v>
      </c>
      <c r="O107" s="20">
        <f t="shared" si="13"/>
        <v>-1.2022890558714338E-2</v>
      </c>
      <c r="P107" s="20">
        <f t="shared" si="14"/>
        <v>7.089085957818657E-3</v>
      </c>
      <c r="Q107" s="20">
        <f t="shared" si="15"/>
        <v>-1.8034269991506827E-3</v>
      </c>
      <c r="R107" s="20">
        <f t="shared" si="16"/>
        <v>4.5763326378089414E-2</v>
      </c>
    </row>
    <row r="108" spans="1:18" ht="15.75" thickBot="1" x14ac:dyDescent="0.3">
      <c r="A108" s="1">
        <v>43403</v>
      </c>
      <c r="B108" s="2">
        <v>86885.71</v>
      </c>
      <c r="C108" s="3">
        <v>16.14</v>
      </c>
      <c r="D108" s="3">
        <v>15.19</v>
      </c>
      <c r="E108" s="3">
        <v>16.05</v>
      </c>
      <c r="F108" s="3">
        <v>30.96</v>
      </c>
      <c r="G108" s="3">
        <v>22.49</v>
      </c>
      <c r="H108" s="3">
        <v>11.1</v>
      </c>
      <c r="I108" s="3">
        <v>51.68</v>
      </c>
      <c r="K108" s="20">
        <f t="shared" si="9"/>
        <v>3.6199830287930362E-2</v>
      </c>
      <c r="L108" s="20">
        <f t="shared" si="10"/>
        <v>1.3724482425565761E-2</v>
      </c>
      <c r="M108" s="20">
        <f t="shared" si="11"/>
        <v>4.648866718115284E-2</v>
      </c>
      <c r="N108" s="20">
        <f t="shared" si="12"/>
        <v>3.9395183200955503E-2</v>
      </c>
      <c r="O108" s="20">
        <f t="shared" si="13"/>
        <v>7.4754175730328262E-2</v>
      </c>
      <c r="P108" s="20">
        <f t="shared" si="14"/>
        <v>4.5017830837607187E-2</v>
      </c>
      <c r="Q108" s="20">
        <f t="shared" si="15"/>
        <v>-4.4943895878393264E-3</v>
      </c>
      <c r="R108" s="20">
        <f t="shared" si="16"/>
        <v>-1.1925511596530722E-2</v>
      </c>
    </row>
    <row r="109" spans="1:18" x14ac:dyDescent="0.25">
      <c r="A109" s="4">
        <v>43402</v>
      </c>
      <c r="B109" s="5">
        <v>83796.710000000006</v>
      </c>
      <c r="C109" s="6">
        <v>15.92</v>
      </c>
      <c r="D109" s="6">
        <v>14.5</v>
      </c>
      <c r="E109" s="6">
        <v>15.43</v>
      </c>
      <c r="F109" s="6">
        <v>28.73</v>
      </c>
      <c r="G109" s="6">
        <v>21.5</v>
      </c>
      <c r="H109" s="6">
        <v>11.15</v>
      </c>
      <c r="I109" s="6">
        <v>52.3</v>
      </c>
      <c r="K109" s="20">
        <f t="shared" si="9"/>
        <v>-2.2690907464524224E-2</v>
      </c>
      <c r="L109" s="20">
        <f t="shared" si="10"/>
        <v>1.3915468061974579E-2</v>
      </c>
      <c r="M109" s="20">
        <f t="shared" si="11"/>
        <v>-6.0218859993054839E-2</v>
      </c>
      <c r="N109" s="20">
        <f t="shared" si="12"/>
        <v>1.5676349767387916E-2</v>
      </c>
      <c r="O109" s="20">
        <f t="shared" si="13"/>
        <v>-1.6226836283037799E-2</v>
      </c>
      <c r="P109" s="20">
        <f t="shared" si="14"/>
        <v>-2.7524673390090033E-2</v>
      </c>
      <c r="Q109" s="20">
        <f t="shared" si="15"/>
        <v>-5.6660033565491388E-2</v>
      </c>
      <c r="R109" s="20">
        <f t="shared" si="16"/>
        <v>-3.6263041933312415E-3</v>
      </c>
    </row>
    <row r="110" spans="1:18" ht="15.75" thickBot="1" x14ac:dyDescent="0.3">
      <c r="A110" s="1">
        <v>43399</v>
      </c>
      <c r="B110" s="2">
        <v>85719.87</v>
      </c>
      <c r="C110" s="3">
        <v>15.7</v>
      </c>
      <c r="D110" s="3">
        <v>15.4</v>
      </c>
      <c r="E110" s="3">
        <v>15.19</v>
      </c>
      <c r="F110" s="3">
        <v>29.2</v>
      </c>
      <c r="G110" s="3">
        <v>22.1</v>
      </c>
      <c r="H110" s="3">
        <v>11.8</v>
      </c>
      <c r="I110" s="3">
        <v>52.49</v>
      </c>
      <c r="K110" s="20">
        <f t="shared" si="9"/>
        <v>1.9274182385074345E-2</v>
      </c>
      <c r="L110" s="20">
        <f t="shared" si="10"/>
        <v>-6.3492276786588919E-3</v>
      </c>
      <c r="M110" s="20">
        <f t="shared" si="11"/>
        <v>2.6317308317373358E-2</v>
      </c>
      <c r="N110" s="20">
        <f t="shared" si="12"/>
        <v>1.258711550547136E-2</v>
      </c>
      <c r="O110" s="20">
        <f t="shared" si="13"/>
        <v>4.6976740922576421E-2</v>
      </c>
      <c r="P110" s="20">
        <f t="shared" si="14"/>
        <v>5.4394072065798764E-2</v>
      </c>
      <c r="Q110" s="20">
        <f t="shared" si="15"/>
        <v>7.1113763056089102E-2</v>
      </c>
      <c r="R110" s="20">
        <f t="shared" si="16"/>
        <v>1.4198243118729909E-2</v>
      </c>
    </row>
    <row r="111" spans="1:18" x14ac:dyDescent="0.25">
      <c r="A111" s="4">
        <v>43398</v>
      </c>
      <c r="B111" s="5">
        <v>84083.51</v>
      </c>
      <c r="C111" s="6">
        <v>15.8</v>
      </c>
      <c r="D111" s="6">
        <v>15</v>
      </c>
      <c r="E111" s="6">
        <v>15</v>
      </c>
      <c r="F111" s="6">
        <v>27.86</v>
      </c>
      <c r="G111" s="6">
        <v>20.93</v>
      </c>
      <c r="H111" s="6">
        <v>10.99</v>
      </c>
      <c r="I111" s="6">
        <v>51.75</v>
      </c>
      <c r="K111" s="20">
        <f t="shared" si="9"/>
        <v>1.2204373786759376E-2</v>
      </c>
      <c r="L111" s="20">
        <f t="shared" si="10"/>
        <v>1.9169916107720123E-2</v>
      </c>
      <c r="M111" s="20">
        <f t="shared" si="11"/>
        <v>0</v>
      </c>
      <c r="N111" s="20">
        <f t="shared" si="12"/>
        <v>-5.7639779446414623E-2</v>
      </c>
      <c r="O111" s="20">
        <f t="shared" si="13"/>
        <v>5.7595551583669077E-3</v>
      </c>
      <c r="P111" s="20">
        <f t="shared" si="14"/>
        <v>2.0758650313545887E-2</v>
      </c>
      <c r="Q111" s="20">
        <f t="shared" si="15"/>
        <v>5.4218885788652492E-2</v>
      </c>
      <c r="R111" s="20">
        <f t="shared" si="16"/>
        <v>-3.857285399758042E-3</v>
      </c>
    </row>
    <row r="112" spans="1:18" ht="15.75" thickBot="1" x14ac:dyDescent="0.3">
      <c r="A112" s="1">
        <v>43397</v>
      </c>
      <c r="B112" s="2">
        <v>83063.56</v>
      </c>
      <c r="C112" s="3">
        <v>15.5</v>
      </c>
      <c r="D112" s="3">
        <v>15</v>
      </c>
      <c r="E112" s="3">
        <v>15.89</v>
      </c>
      <c r="F112" s="3">
        <v>27.7</v>
      </c>
      <c r="G112" s="3">
        <v>20.5</v>
      </c>
      <c r="H112" s="3">
        <v>10.41</v>
      </c>
      <c r="I112" s="3">
        <v>51.95</v>
      </c>
      <c r="K112" s="20">
        <f t="shared" si="9"/>
        <v>-2.6568708330624087E-2</v>
      </c>
      <c r="L112" s="20">
        <f t="shared" si="10"/>
        <v>-1.0908032442728498E-2</v>
      </c>
      <c r="M112" s="20">
        <f t="shared" si="11"/>
        <v>3.1146728996836719E-2</v>
      </c>
      <c r="N112" s="20">
        <f t="shared" si="12"/>
        <v>-4.5518312656211625E-2</v>
      </c>
      <c r="O112" s="20">
        <f t="shared" si="13"/>
        <v>-3.511621679998065E-2</v>
      </c>
      <c r="P112" s="20">
        <f t="shared" si="14"/>
        <v>-2.5525103570245983E-2</v>
      </c>
      <c r="Q112" s="20">
        <f t="shared" si="15"/>
        <v>3.8498603854417151E-3</v>
      </c>
      <c r="R112" s="20">
        <f t="shared" si="16"/>
        <v>9.6292737339356469E-4</v>
      </c>
    </row>
    <row r="113" spans="1:18" x14ac:dyDescent="0.25">
      <c r="A113" s="4">
        <v>43396</v>
      </c>
      <c r="B113" s="5">
        <v>85300.03</v>
      </c>
      <c r="C113" s="6">
        <v>15.67</v>
      </c>
      <c r="D113" s="6">
        <v>14.54</v>
      </c>
      <c r="E113" s="6">
        <v>16.63</v>
      </c>
      <c r="F113" s="6">
        <v>28.69</v>
      </c>
      <c r="G113" s="6">
        <v>21.03</v>
      </c>
      <c r="H113" s="6">
        <v>10.37</v>
      </c>
      <c r="I113" s="6">
        <v>51.9</v>
      </c>
      <c r="K113" s="20">
        <f t="shared" si="9"/>
        <v>-3.4718079783079424E-3</v>
      </c>
      <c r="L113" s="20">
        <f t="shared" si="10"/>
        <v>8.330711428428025E-3</v>
      </c>
      <c r="M113" s="20">
        <f t="shared" si="11"/>
        <v>2.0654052092768578E-3</v>
      </c>
      <c r="N113" s="20">
        <f t="shared" si="12"/>
        <v>-1.1360361339965742E-2</v>
      </c>
      <c r="O113" s="20">
        <f t="shared" si="13"/>
        <v>6.644542718668732E-3</v>
      </c>
      <c r="P113" s="20">
        <f t="shared" si="14"/>
        <v>-3.3230507674123764E-3</v>
      </c>
      <c r="Q113" s="20">
        <f t="shared" si="15"/>
        <v>6.7731270058457391E-3</v>
      </c>
      <c r="R113" s="20">
        <f t="shared" si="16"/>
        <v>7.7369825021524011E-3</v>
      </c>
    </row>
    <row r="114" spans="1:18" ht="15.75" thickBot="1" x14ac:dyDescent="0.3">
      <c r="A114" s="1">
        <v>43395</v>
      </c>
      <c r="B114" s="2">
        <v>85596.69</v>
      </c>
      <c r="C114" s="3">
        <v>15.54</v>
      </c>
      <c r="D114" s="3">
        <v>14.51</v>
      </c>
      <c r="E114" s="3">
        <v>16.82</v>
      </c>
      <c r="F114" s="3">
        <v>28.5</v>
      </c>
      <c r="G114" s="3">
        <v>21.1</v>
      </c>
      <c r="H114" s="3">
        <v>10.3</v>
      </c>
      <c r="I114" s="3">
        <v>51.5</v>
      </c>
      <c r="K114" s="20">
        <f t="shared" si="9"/>
        <v>1.6217278599441172E-2</v>
      </c>
      <c r="L114" s="20">
        <f t="shared" si="10"/>
        <v>2.3438572972017381E-2</v>
      </c>
      <c r="M114" s="20">
        <f t="shared" si="11"/>
        <v>-6.6001957029104427E-2</v>
      </c>
      <c r="N114" s="20">
        <f t="shared" si="12"/>
        <v>-2.3752980289073944E-3</v>
      </c>
      <c r="O114" s="20">
        <f t="shared" si="13"/>
        <v>1.7699577099400857E-2</v>
      </c>
      <c r="P114" s="20">
        <f t="shared" si="14"/>
        <v>4.7404599133756746E-4</v>
      </c>
      <c r="Q114" s="20">
        <f t="shared" si="15"/>
        <v>1.9436352085712523E-3</v>
      </c>
      <c r="R114" s="20">
        <f t="shared" si="16"/>
        <v>2.1987536745226358E-2</v>
      </c>
    </row>
    <row r="115" spans="1:18" x14ac:dyDescent="0.25">
      <c r="A115" s="4">
        <v>43392</v>
      </c>
      <c r="B115" s="5">
        <v>84219.74</v>
      </c>
      <c r="C115" s="6">
        <v>15.18</v>
      </c>
      <c r="D115" s="6">
        <v>15.5</v>
      </c>
      <c r="E115" s="6">
        <v>16.86</v>
      </c>
      <c r="F115" s="6">
        <v>28</v>
      </c>
      <c r="G115" s="6">
        <v>21.09</v>
      </c>
      <c r="H115" s="6">
        <v>10.28</v>
      </c>
      <c r="I115" s="6">
        <v>50.38</v>
      </c>
      <c r="K115" s="20">
        <f t="shared" si="9"/>
        <v>4.4341949452772859E-3</v>
      </c>
      <c r="L115" s="20">
        <f t="shared" si="10"/>
        <v>-1.9743343037177405E-3</v>
      </c>
      <c r="M115" s="20">
        <f t="shared" si="11"/>
        <v>0.13815033848081718</v>
      </c>
      <c r="N115" s="20">
        <f t="shared" si="12"/>
        <v>1.2533736147256657E-2</v>
      </c>
      <c r="O115" s="20">
        <f t="shared" si="13"/>
        <v>-1.2069724087330399E-2</v>
      </c>
      <c r="P115" s="20">
        <f t="shared" si="14"/>
        <v>-3.3136124994153806E-3</v>
      </c>
      <c r="Q115" s="20">
        <f t="shared" si="15"/>
        <v>0</v>
      </c>
      <c r="R115" s="20">
        <f t="shared" si="16"/>
        <v>-8.3020836599720146E-3</v>
      </c>
    </row>
    <row r="116" spans="1:18" ht="15.75" thickBot="1" x14ac:dyDescent="0.3">
      <c r="A116" s="1">
        <v>43391</v>
      </c>
      <c r="B116" s="2">
        <v>83847.12</v>
      </c>
      <c r="C116" s="3">
        <v>15.21</v>
      </c>
      <c r="D116" s="3">
        <v>13.5</v>
      </c>
      <c r="E116" s="3">
        <v>16.649999999999999</v>
      </c>
      <c r="F116" s="3">
        <v>28.34</v>
      </c>
      <c r="G116" s="3">
        <v>21.16</v>
      </c>
      <c r="H116" s="3">
        <v>10.28</v>
      </c>
      <c r="I116" s="3">
        <v>50.8</v>
      </c>
      <c r="K116" s="20">
        <f t="shared" si="9"/>
        <v>-2.2603614399432079E-2</v>
      </c>
      <c r="L116" s="20">
        <f t="shared" si="10"/>
        <v>-1.888691765399942E-2</v>
      </c>
      <c r="M116" s="20">
        <f t="shared" si="11"/>
        <v>5.9435539008481373E-3</v>
      </c>
      <c r="N116" s="20">
        <f t="shared" si="12"/>
        <v>-2.3739987303073057E-2</v>
      </c>
      <c r="O116" s="20">
        <f t="shared" si="13"/>
        <v>1.564754543521445E-2</v>
      </c>
      <c r="P116" s="20">
        <f t="shared" si="14"/>
        <v>3.6577706139928015E-2</v>
      </c>
      <c r="Q116" s="20">
        <f t="shared" si="15"/>
        <v>-1.9436352085711256E-3</v>
      </c>
      <c r="R116" s="20">
        <f t="shared" si="16"/>
        <v>-1.2908452269161926E-2</v>
      </c>
    </row>
    <row r="117" spans="1:18" x14ac:dyDescent="0.25">
      <c r="A117" s="4">
        <v>43390</v>
      </c>
      <c r="B117" s="5">
        <v>85763.95</v>
      </c>
      <c r="C117" s="6">
        <v>15.5</v>
      </c>
      <c r="D117" s="6">
        <v>13.42</v>
      </c>
      <c r="E117" s="6">
        <v>17.05</v>
      </c>
      <c r="F117" s="6">
        <v>27.9</v>
      </c>
      <c r="G117" s="6">
        <v>20.399999999999999</v>
      </c>
      <c r="H117" s="6">
        <v>10.3</v>
      </c>
      <c r="I117" s="6">
        <v>51.46</v>
      </c>
      <c r="K117" s="20">
        <f t="shared" si="9"/>
        <v>5.4104959924442691E-4</v>
      </c>
      <c r="L117" s="20">
        <f t="shared" si="10"/>
        <v>9.7245498919947809E-3</v>
      </c>
      <c r="M117" s="20">
        <f t="shared" si="11"/>
        <v>-1.4892035514677455E-3</v>
      </c>
      <c r="N117" s="20">
        <f t="shared" si="12"/>
        <v>-2.0894550050571864E-2</v>
      </c>
      <c r="O117" s="20">
        <f t="shared" si="13"/>
        <v>5.7512739406344136E-3</v>
      </c>
      <c r="P117" s="20">
        <f t="shared" si="14"/>
        <v>3.086357465560462E-2</v>
      </c>
      <c r="Q117" s="20">
        <f t="shared" si="15"/>
        <v>-1.9231361927887533E-2</v>
      </c>
      <c r="R117" s="20">
        <f t="shared" si="16"/>
        <v>-1.0631200931382962E-2</v>
      </c>
    </row>
    <row r="118" spans="1:18" ht="15.75" thickBot="1" x14ac:dyDescent="0.3">
      <c r="A118" s="1">
        <v>43389</v>
      </c>
      <c r="B118" s="2">
        <v>85717.56</v>
      </c>
      <c r="C118" s="3">
        <v>15.35</v>
      </c>
      <c r="D118" s="3">
        <v>13.44</v>
      </c>
      <c r="E118" s="3">
        <v>17.41</v>
      </c>
      <c r="F118" s="3">
        <v>27.74</v>
      </c>
      <c r="G118" s="3">
        <v>19.78</v>
      </c>
      <c r="H118" s="3">
        <v>10.5</v>
      </c>
      <c r="I118" s="3">
        <v>52.01</v>
      </c>
      <c r="K118" s="20">
        <f t="shared" si="9"/>
        <v>2.7892006509014355E-2</v>
      </c>
      <c r="L118" s="20">
        <f t="shared" si="10"/>
        <v>-1.3020835172983022E-3</v>
      </c>
      <c r="M118" s="20">
        <f t="shared" si="11"/>
        <v>1.2729486750887328E-2</v>
      </c>
      <c r="N118" s="20">
        <f t="shared" si="12"/>
        <v>2.7957557635053767E-2</v>
      </c>
      <c r="O118" s="20">
        <f t="shared" si="13"/>
        <v>3.5220074623659003E-2</v>
      </c>
      <c r="P118" s="20">
        <f t="shared" si="14"/>
        <v>6.6900594110286885E-2</v>
      </c>
      <c r="Q118" s="20">
        <f t="shared" si="15"/>
        <v>2.0202707317519469E-2</v>
      </c>
      <c r="R118" s="20">
        <f t="shared" si="16"/>
        <v>2.1172176131381004E-3</v>
      </c>
    </row>
    <row r="119" spans="1:18" x14ac:dyDescent="0.25">
      <c r="A119" s="4">
        <v>43388</v>
      </c>
      <c r="B119" s="5">
        <v>83359.759999999995</v>
      </c>
      <c r="C119" s="6">
        <v>15.37</v>
      </c>
      <c r="D119" s="6">
        <v>13.27</v>
      </c>
      <c r="E119" s="6">
        <v>16.93</v>
      </c>
      <c r="F119" s="6">
        <v>26.78</v>
      </c>
      <c r="G119" s="6">
        <v>18.5</v>
      </c>
      <c r="H119" s="6">
        <v>10.29</v>
      </c>
      <c r="I119" s="6">
        <v>51.9</v>
      </c>
      <c r="K119" s="20">
        <f t="shared" si="9"/>
        <v>5.2763868374317777E-3</v>
      </c>
      <c r="L119" s="20">
        <f t="shared" si="10"/>
        <v>-9.0674196379430146E-3</v>
      </c>
      <c r="M119" s="20">
        <f t="shared" si="11"/>
        <v>-2.9697802391742027E-2</v>
      </c>
      <c r="N119" s="20">
        <f t="shared" si="12"/>
        <v>-3.5377395387965931E-3</v>
      </c>
      <c r="O119" s="20">
        <f t="shared" si="13"/>
        <v>1.6187065275655148E-2</v>
      </c>
      <c r="P119" s="20">
        <f t="shared" si="14"/>
        <v>-4.3150013014132361E-3</v>
      </c>
      <c r="Q119" s="20">
        <f t="shared" si="15"/>
        <v>1.567123158536601E-2</v>
      </c>
      <c r="R119" s="20">
        <f t="shared" si="16"/>
        <v>1.8670320620531918E-2</v>
      </c>
    </row>
    <row r="120" spans="1:18" ht="15.75" thickBot="1" x14ac:dyDescent="0.3">
      <c r="A120" s="7">
        <v>43384</v>
      </c>
      <c r="B120" s="8">
        <v>82921.08</v>
      </c>
      <c r="C120" s="9">
        <v>15.51</v>
      </c>
      <c r="D120" s="9">
        <v>13.67</v>
      </c>
      <c r="E120" s="9">
        <v>16.989999999999998</v>
      </c>
      <c r="F120" s="9">
        <v>26.35</v>
      </c>
      <c r="G120" s="9">
        <v>18.579999999999998</v>
      </c>
      <c r="H120" s="9">
        <v>10.130000000000001</v>
      </c>
      <c r="I120" s="9">
        <v>50.94</v>
      </c>
      <c r="K120" s="20"/>
      <c r="L120" s="20"/>
      <c r="M120" s="20"/>
      <c r="N120" s="20"/>
      <c r="O120" s="20"/>
      <c r="P120" s="20"/>
      <c r="Q120" s="20"/>
      <c r="R120" s="20"/>
    </row>
    <row r="122" spans="1:18" x14ac:dyDescent="0.25">
      <c r="J122" t="s">
        <v>322</v>
      </c>
      <c r="K122" s="20">
        <f>PERCENTILE(K2:K119,5%)</f>
        <v>-2.328495046722651E-2</v>
      </c>
      <c r="L122" s="20">
        <f t="shared" ref="L122:R122" si="17">PERCENTILE(L2:L119,5%)</f>
        <v>-2.0793536162589416E-2</v>
      </c>
      <c r="M122" s="20">
        <f t="shared" si="17"/>
        <v>-2.8622749704917298E-2</v>
      </c>
      <c r="N122" s="20">
        <f t="shared" si="17"/>
        <v>-2.8865357974452725E-2</v>
      </c>
      <c r="O122" s="20">
        <f t="shared" si="17"/>
        <v>-3.7435075490956468E-2</v>
      </c>
      <c r="P122" s="20">
        <f t="shared" si="17"/>
        <v>-2.8489336894026305E-2</v>
      </c>
      <c r="Q122" s="20">
        <f t="shared" si="17"/>
        <v>-2.7929129962463606E-2</v>
      </c>
      <c r="R122" s="20">
        <f t="shared" si="17"/>
        <v>-1.2072952697425402E-2</v>
      </c>
    </row>
    <row r="123" spans="1:18" x14ac:dyDescent="0.25">
      <c r="J123" t="s">
        <v>321</v>
      </c>
      <c r="K123" s="24">
        <f>K124-1.645*K125</f>
        <v>-2.1714112736332492E-2</v>
      </c>
      <c r="L123" s="24">
        <f t="shared" ref="L123:R123" si="18">L124-1.645*L125</f>
        <v>-2.242861514222573E-2</v>
      </c>
      <c r="M123" s="24">
        <f t="shared" si="18"/>
        <v>-5.1298130676100021E-2</v>
      </c>
      <c r="N123" s="24">
        <f t="shared" si="18"/>
        <v>-3.2230188159758116E-2</v>
      </c>
      <c r="O123" s="24">
        <f t="shared" si="18"/>
        <v>-3.9287406916059482E-2</v>
      </c>
      <c r="P123" s="24">
        <f t="shared" si="18"/>
        <v>-3.3518257799030012E-2</v>
      </c>
      <c r="Q123" s="24">
        <f t="shared" si="18"/>
        <v>-3.2240463969478023E-2</v>
      </c>
      <c r="R123" s="24">
        <f t="shared" si="18"/>
        <v>-3.4500768628674065E-2</v>
      </c>
    </row>
    <row r="124" spans="1:18" x14ac:dyDescent="0.25">
      <c r="J124" t="s">
        <v>320</v>
      </c>
      <c r="K124" s="24">
        <f>AVERAGE(K2:K119)</f>
        <v>1.2370666605908101E-3</v>
      </c>
      <c r="L124" s="24">
        <f t="shared" ref="L124:R124" si="19">AVERAGE(L2:L119)</f>
        <v>1.8307295215707225E-3</v>
      </c>
      <c r="M124" s="24">
        <f t="shared" si="19"/>
        <v>8.4875530126093447E-4</v>
      </c>
      <c r="N124" s="24">
        <f t="shared" si="19"/>
        <v>2.7482215447486403E-4</v>
      </c>
      <c r="O124" s="24">
        <f t="shared" si="19"/>
        <v>2.6562592266405633E-3</v>
      </c>
      <c r="P124" s="24">
        <f t="shared" si="19"/>
        <v>3.6936960983517402E-3</v>
      </c>
      <c r="Q124" s="24">
        <f t="shared" si="19"/>
        <v>4.4370944512544235E-3</v>
      </c>
      <c r="R124" s="24">
        <f t="shared" si="19"/>
        <v>4.0344981162113713E-3</v>
      </c>
    </row>
    <row r="125" spans="1:18" x14ac:dyDescent="0.25">
      <c r="J125" t="s">
        <v>323</v>
      </c>
      <c r="K125" s="21">
        <f>_xlfn.STDEV.S(K2:K119)</f>
        <v>1.3952084739771005E-2</v>
      </c>
      <c r="L125" s="21">
        <f t="shared" ref="L125:R125" si="20">_xlfn.STDEV.S(L2:L119)</f>
        <v>1.4747321984070793E-2</v>
      </c>
      <c r="M125" s="21">
        <f t="shared" si="20"/>
        <v>3.1700234636693587E-2</v>
      </c>
      <c r="N125" s="21">
        <f t="shared" si="20"/>
        <v>1.9759884689503331E-2</v>
      </c>
      <c r="O125" s="21">
        <f t="shared" si="20"/>
        <v>2.5497669387659599E-2</v>
      </c>
      <c r="P125" s="21">
        <f t="shared" si="20"/>
        <v>2.2621248569836931E-2</v>
      </c>
      <c r="Q125" s="21">
        <f t="shared" si="20"/>
        <v>2.2296388097709695E-2</v>
      </c>
      <c r="R125" s="21">
        <f t="shared" si="20"/>
        <v>2.342569406983917E-2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VaR historico 1 ativo</vt:lpstr>
      <vt:lpstr>Parametrico 1 ativo</vt:lpstr>
      <vt:lpstr>Base de Ações</vt:lpstr>
    </vt:vector>
  </TitlesOfParts>
  <Company>Nestle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Piva,Rafael,SAO PAULO,Treasury Services</dc:creator>
  <cp:lastModifiedBy>Rafael Fernandes Piva</cp:lastModifiedBy>
  <dcterms:created xsi:type="dcterms:W3CDTF">2019-04-11T04:33:57Z</dcterms:created>
  <dcterms:modified xsi:type="dcterms:W3CDTF">2022-11-17T23:20:26Z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Enabled">
    <vt:lpwstr>True</vt:lpwstr>
  </property>
  <property fmtid="{D5CDD505-2E9C-101B-9397-08002B2CF9AE}" pid="3" name="MSIP_Label_1ada0a2f-b917-4d51-b0d0-d418a10c8b23_SiteId">
    <vt:lpwstr>12a3af23-a769-4654-847f-958f3d479f4a</vt:lpwstr>
  </property>
  <property fmtid="{D5CDD505-2E9C-101B-9397-08002B2CF9AE}" pid="4" name="MSIP_Label_1ada0a2f-b917-4d51-b0d0-d418a10c8b23_Owner">
    <vt:lpwstr>Rafael.Piva@br.nestle.com</vt:lpwstr>
  </property>
  <property fmtid="{D5CDD505-2E9C-101B-9397-08002B2CF9AE}" pid="5" name="MSIP_Label_1ada0a2f-b917-4d51-b0d0-d418a10c8b23_SetDate">
    <vt:lpwstr>2019-04-11T04:41:58.2861079Z</vt:lpwstr>
  </property>
  <property fmtid="{D5CDD505-2E9C-101B-9397-08002B2CF9AE}" pid="6" name="MSIP_Label_1ada0a2f-b917-4d51-b0d0-d418a10c8b23_Name">
    <vt:lpwstr>General Use</vt:lpwstr>
  </property>
  <property fmtid="{D5CDD505-2E9C-101B-9397-08002B2CF9AE}" pid="7" name="MSIP_Label_1ada0a2f-b917-4d51-b0d0-d418a10c8b23_Application">
    <vt:lpwstr>Microsoft Azure Information Protection</vt:lpwstr>
  </property>
  <property fmtid="{D5CDD505-2E9C-101B-9397-08002B2CF9AE}" pid="8" name="MSIP_Label_1ada0a2f-b917-4d51-b0d0-d418a10c8b23_Extended_MSFT_Method">
    <vt:lpwstr>Automatic</vt:lpwstr>
  </property>
  <property fmtid="{D5CDD505-2E9C-101B-9397-08002B2CF9AE}" pid="9" name="Sensitivity">
    <vt:lpwstr>General Use</vt:lpwstr>
  </property>
</Properties>
</file>