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mo Rico MBA\"/>
    </mc:Choice>
  </mc:AlternateContent>
  <xr:revisionPtr revIDLastSave="0" documentId="8_{FA9B2EE2-7C37-4443-8696-5F913861A0FC}" xr6:coauthVersionLast="47" xr6:coauthVersionMax="47" xr10:uidLastSave="{00000000-0000-0000-0000-000000000000}"/>
  <bookViews>
    <workbookView xWindow="-108" yWindow="-108" windowWidth="23256" windowHeight="12576" activeTab="1" xr2:uid="{3E69A334-DC34-497F-836E-142EDB631CB5}"/>
  </bookViews>
  <sheets>
    <sheet name="NDFCompra" sheetId="1" r:id="rId1"/>
    <sheet name="NDFVen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" i="2" l="1"/>
  <c r="D15" i="2"/>
  <c r="B16" i="2"/>
  <c r="B14" i="2"/>
  <c r="B15" i="2"/>
  <c r="D11" i="2"/>
  <c r="D10" i="2"/>
  <c r="B11" i="2"/>
  <c r="B9" i="2"/>
  <c r="C7" i="2"/>
  <c r="B10" i="2"/>
  <c r="D16" i="1"/>
  <c r="D15" i="1"/>
  <c r="D11" i="1"/>
  <c r="D10" i="1"/>
  <c r="B16" i="1"/>
  <c r="B14" i="1"/>
  <c r="B15" i="1"/>
  <c r="B11" i="1"/>
  <c r="B9" i="1"/>
  <c r="B10" i="1"/>
  <c r="C7" i="1"/>
</calcChain>
</file>

<file path=xl/sharedStrings.xml><?xml version="1.0" encoding="utf-8"?>
<sst xmlns="http://schemas.openxmlformats.org/spreadsheetml/2006/main" count="68" uniqueCount="28">
  <si>
    <t>Cen 1:</t>
  </si>
  <si>
    <t>Ajuste</t>
  </si>
  <si>
    <t>R$/USD</t>
  </si>
  <si>
    <t>+</t>
  </si>
  <si>
    <t>-</t>
  </si>
  <si>
    <t>Líquido</t>
  </si>
  <si>
    <t>Cen 2:</t>
  </si>
  <si>
    <r>
      <rPr>
        <b/>
        <sz val="11"/>
        <color theme="1"/>
        <rFont val="Calibri"/>
        <family val="2"/>
        <scheme val="minor"/>
      </rPr>
      <t>Compra</t>
    </r>
    <r>
      <rPr>
        <sz val="11"/>
        <color theme="1"/>
        <rFont val="Calibri"/>
        <family val="2"/>
        <scheme val="minor"/>
      </rPr>
      <t xml:space="preserve"> NDF a </t>
    </r>
  </si>
  <si>
    <t>R$/EUR</t>
  </si>
  <si>
    <t>Proteção contra</t>
  </si>
  <si>
    <t>ALTA</t>
  </si>
  <si>
    <r>
      <rPr>
        <b/>
        <sz val="11"/>
        <color theme="1"/>
        <rFont val="Calibri"/>
        <family val="2"/>
        <scheme val="minor"/>
      </rPr>
      <t>paga</t>
    </r>
    <r>
      <rPr>
        <sz val="11"/>
        <color theme="1"/>
        <rFont val="Calibri"/>
        <family val="2"/>
        <scheme val="minor"/>
      </rPr>
      <t xml:space="preserve"> ajuste em cenários de alta de câmbio</t>
    </r>
  </si>
  <si>
    <r>
      <rPr>
        <b/>
        <sz val="11"/>
        <color theme="1"/>
        <rFont val="Calibri"/>
        <family val="2"/>
        <scheme val="minor"/>
      </rPr>
      <t>recebe</t>
    </r>
    <r>
      <rPr>
        <sz val="11"/>
        <color theme="1"/>
        <rFont val="Calibri"/>
        <family val="2"/>
        <scheme val="minor"/>
      </rPr>
      <t xml:space="preserve"> ajustes em cenários de baixa de câmbio</t>
    </r>
  </si>
  <si>
    <t>Notional ME</t>
  </si>
  <si>
    <t>EUR</t>
  </si>
  <si>
    <t>USD</t>
  </si>
  <si>
    <t>R$</t>
  </si>
  <si>
    <t>BAIXA</t>
  </si>
  <si>
    <r>
      <rPr>
        <b/>
        <sz val="11"/>
        <color theme="1"/>
        <rFont val="Calibri"/>
        <family val="2"/>
        <scheme val="minor"/>
      </rPr>
      <t>Vende</t>
    </r>
    <r>
      <rPr>
        <sz val="11"/>
        <color theme="1"/>
        <rFont val="Calibri"/>
        <family val="2"/>
        <scheme val="minor"/>
      </rPr>
      <t xml:space="preserve"> NDF a </t>
    </r>
  </si>
  <si>
    <r>
      <rPr>
        <b/>
        <sz val="11"/>
        <color theme="1"/>
        <rFont val="Calibri"/>
        <family val="2"/>
        <scheme val="minor"/>
      </rPr>
      <t>recebe</t>
    </r>
    <r>
      <rPr>
        <sz val="11"/>
        <color theme="1"/>
        <rFont val="Calibri"/>
        <family val="2"/>
        <scheme val="minor"/>
      </rPr>
      <t xml:space="preserve"> ajuste em cenários no NDF de alta de câmbio</t>
    </r>
  </si>
  <si>
    <r>
      <rPr>
        <b/>
        <sz val="11"/>
        <color theme="1"/>
        <rFont val="Calibri"/>
        <family val="2"/>
        <scheme val="minor"/>
      </rPr>
      <t>paga</t>
    </r>
    <r>
      <rPr>
        <sz val="11"/>
        <color theme="1"/>
        <rFont val="Calibri"/>
        <family val="2"/>
        <scheme val="minor"/>
      </rPr>
      <t xml:space="preserve"> ajustes no NDF em cenários de baixa de câmbio</t>
    </r>
  </si>
  <si>
    <t>Recebimento</t>
  </si>
  <si>
    <t>Hedge de Recebimentos em Moeda Estrangeira</t>
  </si>
  <si>
    <t>Hedge de Pagamentos em Moeda Estrangeira</t>
  </si>
  <si>
    <t>Empresa paga ou recebe ajuste?</t>
  </si>
  <si>
    <t>Pagamento</t>
  </si>
  <si>
    <t>Importação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</si>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</sst>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43" fontId="0" fillId="2" borderId="0" xfId="1" applyFont="1" applyFill="1" applyAlignment="1">
      <alignment horizontal="center"/>
    </xf>
    <xf numFmtId="43" fontId="0" fillId="2" borderId="0" xfId="1" applyFont="1" applyFill="1"/>
    <xf numFmtId="43" fontId="2" fillId="2" borderId="0" xfId="0" applyNumberFormat="1" applyFont="1" applyFill="1"/>
    <xf numFmtId="2" fontId="0" fillId="5" borderId="0" xfId="0" applyNumberForma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43" fontId="0" fillId="6" borderId="0" xfId="0" applyNumberFormat="1" applyFill="1"/>
    <xf numFmtId="0" fontId="4" fillId="0" borderId="0" xfId="0" applyFont="1"/>
    <xf numFmtId="0" fontId="5" fillId="0" borderId="0" xfId="0" applyFont="1" applyAlignment="1">
      <alignment horizontal="left"/>
    </xf>
    <xf numFmtId="43" fontId="0" fillId="0" borderId="0" xfId="0" applyNumberFormat="1" applyAlignment="1">
      <alignment horizontal="center"/>
    </xf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9E7F-60B3-4213-8AFD-A896F8011525}">
  <dimension ref="A1:G16"/>
  <sheetViews>
    <sheetView zoomScale="160" zoomScaleNormal="160" workbookViewId="0">
      <selection activeCell="D17" sqref="D17"/>
    </sheetView>
  </sheetViews>
  <sheetFormatPr defaultRowHeight="14.4" x14ac:dyDescent="0.3"/>
  <cols>
    <col min="1" max="1" width="10.5546875" customWidth="1"/>
    <col min="2" max="2" width="13" bestFit="1" customWidth="1"/>
    <col min="3" max="3" width="14" bestFit="1" customWidth="1"/>
    <col min="4" max="4" width="13" bestFit="1" customWidth="1"/>
  </cols>
  <sheetData>
    <row r="1" spans="1:7" x14ac:dyDescent="0.3">
      <c r="B1" s="14" t="s">
        <v>23</v>
      </c>
      <c r="C1" s="1"/>
    </row>
    <row r="2" spans="1:7" x14ac:dyDescent="0.3">
      <c r="B2" s="3" t="s">
        <v>9</v>
      </c>
      <c r="C2" s="4" t="s">
        <v>10</v>
      </c>
      <c r="D2" t="s">
        <v>2</v>
      </c>
    </row>
    <row r="3" spans="1:7" x14ac:dyDescent="0.3">
      <c r="C3" s="5" t="s">
        <v>3</v>
      </c>
      <c r="D3" s="2" t="s">
        <v>19</v>
      </c>
    </row>
    <row r="4" spans="1:7" x14ac:dyDescent="0.3">
      <c r="B4" t="s">
        <v>7</v>
      </c>
      <c r="C4" s="11">
        <v>5.2</v>
      </c>
      <c r="D4" s="1" t="s">
        <v>2</v>
      </c>
    </row>
    <row r="5" spans="1:7" x14ac:dyDescent="0.3">
      <c r="C5" s="5" t="s">
        <v>4</v>
      </c>
      <c r="D5" s="2" t="s">
        <v>20</v>
      </c>
    </row>
    <row r="6" spans="1:7" x14ac:dyDescent="0.3">
      <c r="B6" t="s">
        <v>13</v>
      </c>
      <c r="C6" s="6">
        <v>1000000</v>
      </c>
      <c r="D6" s="2" t="s">
        <v>15</v>
      </c>
    </row>
    <row r="7" spans="1:7" x14ac:dyDescent="0.3">
      <c r="B7" t="s">
        <v>26</v>
      </c>
      <c r="C7" s="15">
        <f>-C6*C4</f>
        <v>-5200000</v>
      </c>
      <c r="D7" s="2" t="s">
        <v>16</v>
      </c>
    </row>
    <row r="8" spans="1:7" x14ac:dyDescent="0.3">
      <c r="A8" t="s">
        <v>0</v>
      </c>
      <c r="B8" s="9">
        <v>5.5</v>
      </c>
      <c r="C8" t="s">
        <v>2</v>
      </c>
    </row>
    <row r="9" spans="1:7" x14ac:dyDescent="0.3">
      <c r="A9" t="s">
        <v>1</v>
      </c>
      <c r="B9" s="7">
        <f>(B8-C4)*C6</f>
        <v>299999.99999999983</v>
      </c>
      <c r="C9" t="s">
        <v>16</v>
      </c>
      <c r="D9" s="2" t="s">
        <v>24</v>
      </c>
      <c r="G9" s="13"/>
    </row>
    <row r="10" spans="1:7" x14ac:dyDescent="0.3">
      <c r="A10" t="s">
        <v>25</v>
      </c>
      <c r="B10" s="7">
        <f>-C6*B8</f>
        <v>-5500000</v>
      </c>
      <c r="C10" t="s">
        <v>16</v>
      </c>
      <c r="D10" s="16">
        <f>B10-C7</f>
        <v>-300000</v>
      </c>
    </row>
    <row r="11" spans="1:7" x14ac:dyDescent="0.3">
      <c r="A11" t="s">
        <v>5</v>
      </c>
      <c r="B11" s="8">
        <f>B9+B10</f>
        <v>-5200000</v>
      </c>
      <c r="C11" t="s">
        <v>16</v>
      </c>
      <c r="D11" s="12">
        <f>B11/C6</f>
        <v>-5.2</v>
      </c>
      <c r="E11" t="s">
        <v>2</v>
      </c>
    </row>
    <row r="13" spans="1:7" x14ac:dyDescent="0.3">
      <c r="A13" t="s">
        <v>6</v>
      </c>
      <c r="B13" s="9">
        <v>5</v>
      </c>
      <c r="C13" t="s">
        <v>2</v>
      </c>
    </row>
    <row r="14" spans="1:7" x14ac:dyDescent="0.3">
      <c r="A14" t="s">
        <v>1</v>
      </c>
      <c r="B14" s="7">
        <f>(B13-C4)*C6</f>
        <v>-200000.00000000017</v>
      </c>
      <c r="C14" t="s">
        <v>16</v>
      </c>
      <c r="D14" s="2" t="s">
        <v>24</v>
      </c>
    </row>
    <row r="15" spans="1:7" x14ac:dyDescent="0.3">
      <c r="A15" t="s">
        <v>25</v>
      </c>
      <c r="B15" s="7">
        <f>-C6*B13</f>
        <v>-5000000</v>
      </c>
      <c r="C15" t="s">
        <v>16</v>
      </c>
      <c r="D15" s="16">
        <f>B15-C7</f>
        <v>200000</v>
      </c>
    </row>
    <row r="16" spans="1:7" x14ac:dyDescent="0.3">
      <c r="A16" t="s">
        <v>5</v>
      </c>
      <c r="B16" s="8">
        <f>B14+B15</f>
        <v>-5200000</v>
      </c>
      <c r="C16" t="s">
        <v>16</v>
      </c>
      <c r="D16" s="12">
        <f>B16/C6</f>
        <v>-5.2</v>
      </c>
      <c r="E16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86BE-1922-493D-B204-621971231C30}">
  <dimension ref="A1:E16"/>
  <sheetViews>
    <sheetView tabSelected="1" zoomScale="160" zoomScaleNormal="160" workbookViewId="0">
      <selection activeCell="C4" sqref="C4"/>
    </sheetView>
  </sheetViews>
  <sheetFormatPr defaultRowHeight="14.4" x14ac:dyDescent="0.3"/>
  <cols>
    <col min="1" max="1" width="12.44140625" customWidth="1"/>
    <col min="2" max="2" width="13" bestFit="1" customWidth="1"/>
    <col min="3" max="3" width="12.88671875" bestFit="1" customWidth="1"/>
    <col min="4" max="4" width="11.33203125" bestFit="1" customWidth="1"/>
  </cols>
  <sheetData>
    <row r="1" spans="1:5" x14ac:dyDescent="0.3">
      <c r="B1" s="14" t="s">
        <v>22</v>
      </c>
    </row>
    <row r="2" spans="1:5" x14ac:dyDescent="0.3">
      <c r="B2" s="3" t="s">
        <v>9</v>
      </c>
      <c r="C2" s="4" t="s">
        <v>17</v>
      </c>
      <c r="D2" t="s">
        <v>8</v>
      </c>
    </row>
    <row r="3" spans="1:5" x14ac:dyDescent="0.3">
      <c r="C3" s="5" t="s">
        <v>4</v>
      </c>
      <c r="D3" s="2" t="s">
        <v>11</v>
      </c>
    </row>
    <row r="4" spans="1:5" x14ac:dyDescent="0.3">
      <c r="B4" t="s">
        <v>18</v>
      </c>
      <c r="C4" s="10">
        <v>5.17</v>
      </c>
      <c r="D4" s="1" t="s">
        <v>8</v>
      </c>
    </row>
    <row r="5" spans="1:5" x14ac:dyDescent="0.3">
      <c r="C5" s="5" t="s">
        <v>3</v>
      </c>
      <c r="D5" s="2" t="s">
        <v>12</v>
      </c>
    </row>
    <row r="6" spans="1:5" x14ac:dyDescent="0.3">
      <c r="B6" t="s">
        <v>13</v>
      </c>
      <c r="C6" s="6">
        <v>1000000</v>
      </c>
      <c r="D6" s="2" t="s">
        <v>14</v>
      </c>
    </row>
    <row r="7" spans="1:5" x14ac:dyDescent="0.3">
      <c r="B7" t="s">
        <v>27</v>
      </c>
      <c r="C7" s="15">
        <f>C6*C4</f>
        <v>5170000</v>
      </c>
      <c r="D7" s="2" t="s">
        <v>16</v>
      </c>
    </row>
    <row r="8" spans="1:5" x14ac:dyDescent="0.3">
      <c r="A8" t="s">
        <v>0</v>
      </c>
      <c r="B8" s="9">
        <v>5.5</v>
      </c>
      <c r="C8" t="s">
        <v>8</v>
      </c>
      <c r="D8" s="2"/>
    </row>
    <row r="9" spans="1:5" x14ac:dyDescent="0.3">
      <c r="A9" t="s">
        <v>1</v>
      </c>
      <c r="B9" s="7">
        <f>(C4-B8)*C6</f>
        <v>-330000.00000000006</v>
      </c>
      <c r="C9" t="s">
        <v>16</v>
      </c>
      <c r="D9" s="2" t="s">
        <v>24</v>
      </c>
    </row>
    <row r="10" spans="1:5" x14ac:dyDescent="0.3">
      <c r="A10" t="s">
        <v>21</v>
      </c>
      <c r="B10" s="7">
        <f>C6*B8</f>
        <v>5500000</v>
      </c>
      <c r="C10" t="s">
        <v>16</v>
      </c>
      <c r="D10" s="16">
        <f>B10-C7</f>
        <v>330000</v>
      </c>
    </row>
    <row r="11" spans="1:5" x14ac:dyDescent="0.3">
      <c r="A11" t="s">
        <v>5</v>
      </c>
      <c r="B11" s="8">
        <f>B10+B9</f>
        <v>5170000</v>
      </c>
      <c r="C11" t="s">
        <v>16</v>
      </c>
      <c r="D11" s="12">
        <f>B11/C6</f>
        <v>5.17</v>
      </c>
      <c r="E11" t="s">
        <v>2</v>
      </c>
    </row>
    <row r="13" spans="1:5" x14ac:dyDescent="0.3">
      <c r="A13" t="s">
        <v>6</v>
      </c>
      <c r="B13" s="9">
        <v>5</v>
      </c>
      <c r="C13" t="s">
        <v>8</v>
      </c>
    </row>
    <row r="14" spans="1:5" x14ac:dyDescent="0.3">
      <c r="A14" t="s">
        <v>1</v>
      </c>
      <c r="B14" s="7">
        <f>(C4-B13)*C6</f>
        <v>169999.99999999994</v>
      </c>
      <c r="C14" t="s">
        <v>16</v>
      </c>
      <c r="D14" s="2" t="s">
        <v>24</v>
      </c>
    </row>
    <row r="15" spans="1:5" x14ac:dyDescent="0.3">
      <c r="A15" t="s">
        <v>21</v>
      </c>
      <c r="B15" s="7">
        <f>C6*B13</f>
        <v>5000000</v>
      </c>
      <c r="C15" t="s">
        <v>16</v>
      </c>
      <c r="D15" s="16">
        <f>B15-C7</f>
        <v>-170000</v>
      </c>
    </row>
    <row r="16" spans="1:5" x14ac:dyDescent="0.3">
      <c r="A16" t="s">
        <v>5</v>
      </c>
      <c r="B16" s="8">
        <f>B15+B14</f>
        <v>5170000</v>
      </c>
      <c r="C16" t="s">
        <v>16</v>
      </c>
      <c r="D16" s="12">
        <f>B16/C6</f>
        <v>5.17</v>
      </c>
      <c r="E16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NDFCompra</vt:lpstr>
      <vt:lpstr>NDFVenda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</dc:creator>
  <cp:lastModifiedBy>beren</cp:lastModifiedBy>
  <dcterms:created xsi:type="dcterms:W3CDTF">2020-08-14T00:58:53Z</dcterms:created>
  <dcterms:modified xsi:type="dcterms:W3CDTF">2022-09-30T03:17:05Z</dcterms:modified>
</cp:coreProperties>
</file>