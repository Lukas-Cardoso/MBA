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o Rico MBA\"/>
    </mc:Choice>
  </mc:AlternateContent>
  <xr:revisionPtr revIDLastSave="0" documentId="8_{5A8CAF21-6346-49E5-8FFB-165DBBADA371}" xr6:coauthVersionLast="47" xr6:coauthVersionMax="47" xr10:uidLastSave="{00000000-0000-0000-0000-000000000000}"/>
  <bookViews>
    <workbookView xWindow="-108" yWindow="-108" windowWidth="23256" windowHeight="12576" xr2:uid="{88F67C28-DD39-429B-B8A5-6882272B09A6}"/>
  </bookViews>
  <sheets>
    <sheet name="Sw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1" l="1"/>
  <c r="C15" i="1" s="1"/>
  <c r="D12" i="1"/>
  <c r="C18" i="1" s="1"/>
  <c r="C4" i="1"/>
  <c r="C21" i="1" l="1"/>
  <c r="E18" i="1" s="1"/>
  <c r="E15" i="1"/>
  <c r="I12" i="1"/>
  <c r="C22" i="1" l="1"/>
  <c r="J18" i="1"/>
  <c r="C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tc={98075868-DCFC-4E54-80B3-ABB036B9138A}</author>
  </authors>
  <commentList>
    <comment ref="D22" authorId="0" shapeId="0" xr:uid="{98075868-DCFC-4E54-80B3-ABB036B913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Veja tabela regressiva de IR abaixo.</t>
      </text>
    </comment>
  </commentList>
</comments>
</file>

<file path=xl/sharedStrings.xml><?xml version="1.0" encoding="utf-8"?>
<sst xmlns="http://schemas.openxmlformats.org/spreadsheetml/2006/main" count="66" uniqueCount="42">
  <si>
    <t>Swap Cambial: ajuste no Vencimento</t>
  </si>
  <si>
    <t>Notional R$</t>
  </si>
  <si>
    <t>R$/USD</t>
  </si>
  <si>
    <t>% do CDI do Swap</t>
  </si>
  <si>
    <t>Ptax D-1</t>
  </si>
  <si>
    <t>100% CDI acumul</t>
  </si>
  <si>
    <t>Ponta Ativa</t>
  </si>
  <si>
    <t>Prazo</t>
  </si>
  <si>
    <t>du</t>
  </si>
  <si>
    <t>dc</t>
  </si>
  <si>
    <t>VF</t>
  </si>
  <si>
    <t>Ajuste</t>
  </si>
  <si>
    <t>VF Ativo - VF Passivo</t>
  </si>
  <si>
    <t>Ajuste R$</t>
  </si>
  <si>
    <t>R$</t>
  </si>
  <si>
    <t>Ponta Passiva</t>
  </si>
  <si>
    <t>R$/USD Início (Spot)</t>
  </si>
  <si>
    <t>USD</t>
  </si>
  <si>
    <t>em R$, valor presente!!!</t>
  </si>
  <si>
    <t>a.p.</t>
  </si>
  <si>
    <t>tem efeito caixa</t>
  </si>
  <si>
    <t>netting</t>
  </si>
  <si>
    <t>bruto, antes de IR</t>
  </si>
  <si>
    <t>Ajuste líquido</t>
  </si>
  <si>
    <t>IR</t>
  </si>
  <si>
    <t>Taxa Pré Equival ao % CDI</t>
  </si>
  <si>
    <t>Custo em USD</t>
  </si>
  <si>
    <t>a.a.</t>
  </si>
  <si>
    <t>IR fonte - segue tabela regressiva de IR, de acordo com o prazo do swap.</t>
  </si>
  <si>
    <t>Notional USD VP</t>
  </si>
  <si>
    <t>Cenário 1 VF</t>
  </si>
  <si>
    <t>VF = VP*(1+i%a.a.)^(du/252)</t>
  </si>
  <si>
    <t>- 22,5%: até 6 meses;</t>
  </si>
  <si>
    <t>- 20,0%: de 6 à 12 meses;</t>
  </si>
  <si>
    <t>- 17,5%: de 12 à 24 meses;</t>
  </si>
  <si>
    <t>- 15,0%: mais de 24 meses.</t>
  </si>
  <si>
    <r>
      <t xml:space="preserve">O </t>
    </r>
    <r>
      <rPr>
        <b/>
        <sz val="14"/>
        <color rgb="FFED7D31"/>
        <rFont val="Calibri"/>
        <family val="2"/>
        <scheme val="minor"/>
      </rPr>
      <t>recolhimento do IR será fonte</t>
    </r>
    <r>
      <rPr>
        <sz val="14"/>
        <color rgb="FF000000"/>
        <rFont val="Calibri"/>
        <family val="2"/>
        <scheme val="minor"/>
      </rPr>
      <t>, feito pela Instituição Financeira.</t>
    </r>
  </si>
  <si>
    <r>
      <rPr>
        <sz val="14"/>
        <color rgb="FF000000"/>
        <rFont val="Calibri"/>
        <family val="2"/>
        <scheme val="minor"/>
      </rPr>
      <t xml:space="preserve">Operações de Derivativos de </t>
    </r>
    <r>
      <rPr>
        <b/>
        <sz val="14"/>
        <color rgb="FF0070C0"/>
        <rFont val="Calibri"/>
        <family val="2"/>
        <scheme val="minor"/>
      </rPr>
      <t>Renda Fixa</t>
    </r>
    <r>
      <rPr>
        <sz val="14"/>
        <color rgb="FF000000"/>
        <rFont val="Calibri"/>
        <family val="2"/>
        <scheme val="minor"/>
      </rPr>
      <t xml:space="preserve">, como o </t>
    </r>
    <r>
      <rPr>
        <b/>
        <sz val="14"/>
        <color rgb="FF000000"/>
        <rFont val="Calibri"/>
        <family val="2"/>
        <scheme val="minor"/>
      </rPr>
      <t>swap</t>
    </r>
    <r>
      <rPr>
        <sz val="14"/>
        <color rgb="FF000000"/>
        <rFont val="Calibri"/>
        <family val="2"/>
        <scheme val="minor"/>
      </rPr>
      <t xml:space="preserve">, têm alíquota de Imposto de Renda regressiva, de acordo com o prazo, </t>
    </r>
    <r>
      <rPr>
        <sz val="14"/>
        <color rgb="FFED7D31"/>
        <rFont val="Calibri"/>
        <family val="2"/>
        <scheme val="minor"/>
      </rPr>
      <t>sobre o ajuste positivo</t>
    </r>
    <r>
      <rPr>
        <sz val="14"/>
        <color rgb="FF000000"/>
        <rFont val="Calibri"/>
        <family val="2"/>
        <scheme val="minor"/>
      </rPr>
      <t>:</t>
    </r>
  </si>
  <si>
    <t>Cenário 2 VF</t>
  </si>
  <si>
    <t>VC R$/USD + X% a.a.</t>
  </si>
  <si>
    <t>VF = VP*(1+VCR$/USD% a.p.)*(1+(X% a.a.*dc/360))</t>
  </si>
  <si>
    <t>Y% CDI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</si>
</sst>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"/>
    <numFmt numFmtId="165" formatCode="0.0%"/>
    <numFmt numFmtId="167" formatCode="_-* #,##0.00000000_-;\-* #,##0.00000000_-;_-* &quot;-&quot;??_-;_-@_-"/>
    <numFmt numFmtId="168" formatCode="_-* #,##0.00000000_-;\-* #,##0.00000000_-;_-* &quot;-&quot;??????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ED7D31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43" fontId="2" fillId="3" borderId="0" xfId="1" applyFont="1" applyFill="1"/>
    <xf numFmtId="0" fontId="2" fillId="3" borderId="0" xfId="0" applyFont="1" applyFill="1"/>
    <xf numFmtId="9" fontId="2" fillId="3" borderId="0" xfId="0" applyNumberFormat="1" applyFont="1" applyFill="1"/>
    <xf numFmtId="10" fontId="2" fillId="2" borderId="0" xfId="2" applyNumberFormat="1" applyFont="1" applyFill="1"/>
    <xf numFmtId="10" fontId="2" fillId="3" borderId="0" xfId="0" applyNumberFormat="1" applyFont="1" applyFill="1"/>
    <xf numFmtId="43" fontId="2" fillId="2" borderId="0" xfId="1" applyFont="1" applyFill="1"/>
    <xf numFmtId="0" fontId="3" fillId="4" borderId="0" xfId="0" applyFont="1" applyFill="1"/>
    <xf numFmtId="164" fontId="2" fillId="0" borderId="0" xfId="0" applyNumberFormat="1" applyFont="1"/>
    <xf numFmtId="43" fontId="2" fillId="2" borderId="0" xfId="0" applyNumberFormat="1" applyFont="1" applyFill="1"/>
    <xf numFmtId="0" fontId="4" fillId="0" borderId="0" xfId="0" applyFont="1"/>
    <xf numFmtId="2" fontId="3" fillId="3" borderId="0" xfId="0" applyNumberFormat="1" applyFont="1" applyFill="1"/>
    <xf numFmtId="43" fontId="2" fillId="0" borderId="0" xfId="0" applyNumberFormat="1" applyFont="1"/>
    <xf numFmtId="0" fontId="5" fillId="0" borderId="0" xfId="0" applyFont="1"/>
    <xf numFmtId="43" fontId="2" fillId="5" borderId="0" xfId="0" applyNumberFormat="1" applyFont="1" applyFill="1"/>
    <xf numFmtId="43" fontId="2" fillId="6" borderId="0" xfId="0" applyNumberFormat="1" applyFont="1" applyFill="1"/>
    <xf numFmtId="0" fontId="2" fillId="6" borderId="0" xfId="0" applyFont="1" applyFill="1"/>
    <xf numFmtId="0" fontId="6" fillId="0" borderId="0" xfId="0" applyFont="1"/>
    <xf numFmtId="165" fontId="2" fillId="3" borderId="0" xfId="0" applyNumberFormat="1" applyFont="1" applyFill="1"/>
    <xf numFmtId="167" fontId="2" fillId="0" borderId="0" xfId="1" applyNumberFormat="1" applyFont="1"/>
    <xf numFmtId="168" fontId="2" fillId="0" borderId="0" xfId="0" applyNumberFormat="1" applyFont="1"/>
    <xf numFmtId="0" fontId="2" fillId="0" borderId="0" xfId="0" applyFont="1" applyAlignment="1">
      <alignment horizontal="left" vertical="center" indent="2" readingOrder="1"/>
    </xf>
    <xf numFmtId="0" fontId="7" fillId="0" borderId="0" xfId="0" applyFont="1" applyAlignment="1">
      <alignment horizontal="left" vertical="center" indent="2" readingOrder="1"/>
    </xf>
    <xf numFmtId="2" fontId="12" fillId="3" borderId="0" xfId="0" applyNumberFormat="1" applyFont="1" applyFill="1"/>
    <xf numFmtId="10" fontId="6" fillId="3" borderId="0" xfId="0" applyNumberFormat="1" applyFont="1" applyFill="1"/>
    <xf numFmtId="9" fontId="6" fillId="3" borderId="0" xfId="0" applyNumberFormat="1" applyFont="1" applyFill="1"/>
    <xf numFmtId="10" fontId="2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enicedamke@gmail.com" id="{CA6D5613-66AB-4A15-A0A3-6236BFD17E40}" userId="38158a2e0dc140bd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2" dT="2021-04-23T00:12:38.08" personId="{CA6D5613-66AB-4A15-A0A3-6236BFD17E40}" id="{98075868-DCFC-4E54-80B3-ABB036B9138A}">
    <text>Veja tabela regressiva de IR abaixo.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3A92-05E7-40E2-9A0F-BD136BECBFB6}">
  <dimension ref="B1:K29"/>
  <sheetViews>
    <sheetView tabSelected="1" zoomScale="120" zoomScaleNormal="120" workbookViewId="0">
      <selection activeCell="C3" sqref="C3"/>
    </sheetView>
  </sheetViews>
  <sheetFormatPr defaultRowHeight="18" x14ac:dyDescent="0.35"/>
  <cols>
    <col min="1" max="1" width="8.88671875" style="1"/>
    <col min="2" max="2" width="15.77734375" style="1" customWidth="1"/>
    <col min="3" max="3" width="18.109375" style="1" bestFit="1" customWidth="1"/>
    <col min="4" max="4" width="14.21875" style="1" bestFit="1" customWidth="1"/>
    <col min="5" max="5" width="17.44140625" style="1" customWidth="1"/>
    <col min="6" max="6" width="8.88671875" style="1"/>
    <col min="7" max="7" width="15.21875" style="1" customWidth="1"/>
    <col min="8" max="8" width="18.44140625" style="1" customWidth="1"/>
    <col min="9" max="9" width="12.21875" style="1" customWidth="1"/>
    <col min="10" max="10" width="16.6640625" style="1" bestFit="1" customWidth="1"/>
    <col min="11" max="16384" width="8.88671875" style="1"/>
  </cols>
  <sheetData>
    <row r="1" spans="2:11" x14ac:dyDescent="0.35">
      <c r="B1" s="2" t="s">
        <v>0</v>
      </c>
    </row>
    <row r="2" spans="2:11" x14ac:dyDescent="0.35">
      <c r="B2" s="3" t="s">
        <v>29</v>
      </c>
      <c r="C2" s="4">
        <v>1000000</v>
      </c>
      <c r="D2" s="16" t="s">
        <v>17</v>
      </c>
    </row>
    <row r="3" spans="2:11" x14ac:dyDescent="0.35">
      <c r="B3" s="3" t="s">
        <v>16</v>
      </c>
      <c r="C3" s="14">
        <v>5</v>
      </c>
      <c r="D3" s="1" t="s">
        <v>2</v>
      </c>
    </row>
    <row r="4" spans="2:11" x14ac:dyDescent="0.35">
      <c r="B4" s="3" t="s">
        <v>1</v>
      </c>
      <c r="C4" s="12">
        <f>C2*C3</f>
        <v>5000000</v>
      </c>
      <c r="D4" s="16" t="s">
        <v>18</v>
      </c>
    </row>
    <row r="5" spans="2:11" x14ac:dyDescent="0.35">
      <c r="B5" s="3" t="s">
        <v>26</v>
      </c>
      <c r="C5" s="8">
        <v>0.04</v>
      </c>
      <c r="D5" s="20" t="s">
        <v>27</v>
      </c>
    </row>
    <row r="6" spans="2:11" x14ac:dyDescent="0.35">
      <c r="B6" s="3" t="s">
        <v>7</v>
      </c>
      <c r="C6" s="5">
        <v>360</v>
      </c>
      <c r="D6" s="1" t="s">
        <v>9</v>
      </c>
    </row>
    <row r="7" spans="2:11" x14ac:dyDescent="0.35">
      <c r="C7" s="5">
        <v>252</v>
      </c>
      <c r="D7" s="1" t="s">
        <v>8</v>
      </c>
    </row>
    <row r="9" spans="2:11" x14ac:dyDescent="0.35">
      <c r="B9" s="10" t="s">
        <v>30</v>
      </c>
      <c r="C9" s="3" t="s">
        <v>4</v>
      </c>
      <c r="D9" s="26">
        <v>6</v>
      </c>
      <c r="E9" s="1" t="s">
        <v>2</v>
      </c>
      <c r="G9" s="10" t="s">
        <v>38</v>
      </c>
      <c r="H9" s="3" t="s">
        <v>4</v>
      </c>
      <c r="I9" s="14"/>
      <c r="J9" s="1" t="s">
        <v>2</v>
      </c>
    </row>
    <row r="10" spans="2:11" x14ac:dyDescent="0.35">
      <c r="C10" s="3" t="s">
        <v>5</v>
      </c>
      <c r="D10" s="27">
        <v>0.12</v>
      </c>
      <c r="E10" s="11" t="s">
        <v>27</v>
      </c>
      <c r="H10" s="3" t="s">
        <v>5</v>
      </c>
      <c r="I10" s="8"/>
    </row>
    <row r="11" spans="2:11" x14ac:dyDescent="0.35">
      <c r="C11" s="3" t="s">
        <v>3</v>
      </c>
      <c r="D11" s="28">
        <v>1.1000000000000001</v>
      </c>
      <c r="E11" s="11"/>
      <c r="H11" s="3" t="s">
        <v>3</v>
      </c>
      <c r="I11" s="6"/>
    </row>
    <row r="12" spans="2:11" x14ac:dyDescent="0.35">
      <c r="C12" s="3" t="s">
        <v>25</v>
      </c>
      <c r="D12" s="7">
        <f>((((((1+D10)^(1/252))-1)*D11)+1)^252)-1</f>
        <v>0.13276183351109938</v>
      </c>
      <c r="E12" s="22" t="s">
        <v>27</v>
      </c>
      <c r="H12" s="3" t="s">
        <v>25</v>
      </c>
      <c r="I12" s="7">
        <f>((((((1+I10)^(1/252))-1)*I11)+1)^252)-1</f>
        <v>0</v>
      </c>
    </row>
    <row r="13" spans="2:11" x14ac:dyDescent="0.35">
      <c r="E13" s="23"/>
    </row>
    <row r="14" spans="2:11" x14ac:dyDescent="0.35">
      <c r="B14" s="2" t="s">
        <v>6</v>
      </c>
      <c r="C14" s="1" t="s">
        <v>39</v>
      </c>
      <c r="E14" s="29">
        <f>(D9/C3)-1</f>
        <v>0.19999999999999996</v>
      </c>
      <c r="F14" s="1" t="s">
        <v>19</v>
      </c>
      <c r="G14" s="2" t="s">
        <v>6</v>
      </c>
      <c r="H14" s="1" t="s">
        <v>39</v>
      </c>
    </row>
    <row r="15" spans="2:11" x14ac:dyDescent="0.35">
      <c r="B15" s="1" t="s">
        <v>10</v>
      </c>
      <c r="C15" s="9">
        <f>C4*(1+E14)*(1+C5/360*C6)</f>
        <v>6240000</v>
      </c>
      <c r="D15" s="1" t="s">
        <v>14</v>
      </c>
      <c r="E15" s="7">
        <f>E14/C6*360</f>
        <v>0.19999999999999996</v>
      </c>
      <c r="F15" s="1" t="s">
        <v>27</v>
      </c>
      <c r="G15" s="1" t="s">
        <v>10</v>
      </c>
      <c r="H15" s="9"/>
      <c r="I15" s="1" t="s">
        <v>14</v>
      </c>
      <c r="J15" s="7"/>
      <c r="K15" s="1" t="s">
        <v>19</v>
      </c>
    </row>
    <row r="16" spans="2:11" x14ac:dyDescent="0.35">
      <c r="B16" s="13" t="s">
        <v>40</v>
      </c>
    </row>
    <row r="17" spans="2:10" x14ac:dyDescent="0.35">
      <c r="B17" s="2" t="s">
        <v>15</v>
      </c>
      <c r="C17" s="1" t="s">
        <v>41</v>
      </c>
      <c r="G17" s="2" t="s">
        <v>15</v>
      </c>
      <c r="H17" s="1" t="s">
        <v>41</v>
      </c>
    </row>
    <row r="18" spans="2:10" x14ac:dyDescent="0.35">
      <c r="B18" s="1" t="s">
        <v>10</v>
      </c>
      <c r="C18" s="9">
        <f>C4*(1+D12)^(C7/252)</f>
        <v>5663809.167555497</v>
      </c>
      <c r="D18" s="1" t="s">
        <v>14</v>
      </c>
      <c r="E18" s="18">
        <f>-C15+C21</f>
        <v>-5663809.167555497</v>
      </c>
      <c r="G18" s="1" t="s">
        <v>10</v>
      </c>
      <c r="H18" s="9"/>
      <c r="I18" s="1" t="s">
        <v>14</v>
      </c>
      <c r="J18" s="18">
        <f>-H15+H21</f>
        <v>0</v>
      </c>
    </row>
    <row r="19" spans="2:10" x14ac:dyDescent="0.35">
      <c r="B19" s="13" t="s">
        <v>31</v>
      </c>
      <c r="E19" s="19" t="s">
        <v>21</v>
      </c>
      <c r="J19" s="19" t="s">
        <v>21</v>
      </c>
    </row>
    <row r="20" spans="2:10" x14ac:dyDescent="0.35">
      <c r="B20" s="1" t="s">
        <v>11</v>
      </c>
      <c r="C20" s="1" t="s">
        <v>12</v>
      </c>
      <c r="G20" s="1" t="s">
        <v>11</v>
      </c>
      <c r="H20" s="1" t="s">
        <v>12</v>
      </c>
    </row>
    <row r="21" spans="2:10" x14ac:dyDescent="0.35">
      <c r="B21" s="2" t="s">
        <v>13</v>
      </c>
      <c r="C21" s="9">
        <f>C15-C18</f>
        <v>576190.83244450297</v>
      </c>
      <c r="E21" s="16" t="s">
        <v>22</v>
      </c>
      <c r="G21" s="2" t="s">
        <v>13</v>
      </c>
      <c r="H21" s="9"/>
      <c r="J21" s="16" t="s">
        <v>20</v>
      </c>
    </row>
    <row r="22" spans="2:10" x14ac:dyDescent="0.35">
      <c r="B22" s="1" t="s">
        <v>24</v>
      </c>
      <c r="C22" s="15">
        <f>IF(C21&gt;0,-C21*D22,0)</f>
        <v>-115238.16648890061</v>
      </c>
      <c r="D22" s="21">
        <v>0.2</v>
      </c>
      <c r="E22" s="1" t="s">
        <v>28</v>
      </c>
    </row>
    <row r="23" spans="2:10" x14ac:dyDescent="0.35">
      <c r="B23" s="1" t="s">
        <v>23</v>
      </c>
      <c r="C23" s="17">
        <f>C21+C22</f>
        <v>460952.66595560237</v>
      </c>
    </row>
    <row r="24" spans="2:10" x14ac:dyDescent="0.35">
      <c r="E24" s="24" t="s">
        <v>37</v>
      </c>
    </row>
    <row r="25" spans="2:10" x14ac:dyDescent="0.35">
      <c r="C25" s="15"/>
      <c r="F25" s="25" t="s">
        <v>32</v>
      </c>
    </row>
    <row r="26" spans="2:10" x14ac:dyDescent="0.35">
      <c r="F26" s="25" t="s">
        <v>33</v>
      </c>
    </row>
    <row r="27" spans="2:10" x14ac:dyDescent="0.35">
      <c r="F27" s="25" t="s">
        <v>34</v>
      </c>
    </row>
    <row r="28" spans="2:10" x14ac:dyDescent="0.35">
      <c r="F28" s="25" t="s">
        <v>35</v>
      </c>
    </row>
    <row r="29" spans="2:10" x14ac:dyDescent="0.35">
      <c r="E29" s="25" t="s">
        <v>36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</dc:creator>
  <cp:lastModifiedBy>beren</cp:lastModifiedBy>
  <dcterms:created xsi:type="dcterms:W3CDTF">2020-08-15T04:00:26Z</dcterms:created>
  <dcterms:modified xsi:type="dcterms:W3CDTF">2022-09-30T16:04:06Z</dcterms:modified>
</cp:coreProperties>
</file>