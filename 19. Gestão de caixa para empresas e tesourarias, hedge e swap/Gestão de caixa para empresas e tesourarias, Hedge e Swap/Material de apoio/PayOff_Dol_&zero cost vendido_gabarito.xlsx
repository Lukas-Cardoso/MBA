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EstaPasta_de_trabalho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beren\Downloads\"/>
    </mc:Choice>
  </mc:AlternateContent>
  <xr:revisionPtr revIDLastSave="0" documentId="13_ncr:1_{5A4C4ABB-6D4E-48CF-BFCC-492383CAEA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rcPut" sheetId="8" r:id="rId1"/>
    <sheet name="PayOff" sheetId="1" r:id="rId2"/>
    <sheet name="Grafico" sheetId="5" r:id="rId3"/>
    <sheet name="PayOff_ZCC" sheetId="6" r:id="rId4"/>
    <sheet name="Grafico_ZCC" sheetId="7" r:id="rId5"/>
  </sheets>
  <definedNames>
    <definedName name="F1_">#REF!</definedName>
    <definedName name="F2_">#REF!</definedName>
    <definedName name="F3_">#REF!</definedName>
    <definedName name="F4_">#REF!</definedName>
    <definedName name="i">#REF!</definedName>
    <definedName name="n">#REF!</definedName>
    <definedName name="PE">#REF!</definedName>
    <definedName name="PV">#REF!</definedName>
    <definedName name="Q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0" i="8" l="1"/>
  <c r="F19" i="8"/>
  <c r="F17" i="8"/>
  <c r="F18" i="8"/>
  <c r="E20" i="8"/>
  <c r="E19" i="8"/>
  <c r="E17" i="8"/>
  <c r="E18" i="8"/>
  <c r="D16" i="8"/>
  <c r="C20" i="8"/>
  <c r="C19" i="8"/>
  <c r="C17" i="8"/>
  <c r="C18" i="8"/>
  <c r="K19" i="8"/>
  <c r="C14" i="8"/>
  <c r="D14" i="8"/>
  <c r="E14" i="8"/>
  <c r="F14" i="8"/>
  <c r="B14" i="8"/>
  <c r="B13" i="8"/>
  <c r="C13" i="8"/>
  <c r="D12" i="8"/>
  <c r="E12" i="8" s="1"/>
  <c r="F12" i="8" s="1"/>
  <c r="C12" i="8"/>
  <c r="B12" i="8"/>
  <c r="D11" i="8"/>
  <c r="C8" i="8"/>
  <c r="C22" i="8" l="1"/>
  <c r="B12" i="6" l="1"/>
  <c r="G12" i="6" s="1"/>
  <c r="G11" i="6"/>
  <c r="F11" i="6"/>
  <c r="E11" i="6"/>
  <c r="D11" i="6"/>
  <c r="C11" i="6"/>
  <c r="G6" i="6"/>
  <c r="F6" i="6"/>
  <c r="E6" i="6"/>
  <c r="D6" i="6"/>
  <c r="C6" i="6"/>
  <c r="D6" i="1"/>
  <c r="B12" i="1"/>
  <c r="E12" i="1" s="1"/>
  <c r="C6" i="1"/>
  <c r="E6" i="1"/>
  <c r="F6" i="1"/>
  <c r="G6" i="1"/>
  <c r="E11" i="1"/>
  <c r="F11" i="1"/>
  <c r="G11" i="1"/>
  <c r="C11" i="1"/>
  <c r="D11" i="1"/>
  <c r="B13" i="1" l="1"/>
  <c r="E13" i="1" s="1"/>
  <c r="H6" i="6"/>
  <c r="H11" i="6" s="1"/>
  <c r="B13" i="6"/>
  <c r="B14" i="6" s="1"/>
  <c r="C12" i="1"/>
  <c r="H6" i="1"/>
  <c r="H11" i="1" s="1"/>
  <c r="B15" i="6"/>
  <c r="G14" i="6"/>
  <c r="F14" i="6"/>
  <c r="E14" i="6"/>
  <c r="D14" i="6"/>
  <c r="C14" i="6"/>
  <c r="C13" i="6"/>
  <c r="C12" i="6"/>
  <c r="D13" i="6"/>
  <c r="D12" i="6"/>
  <c r="E13" i="6"/>
  <c r="E12" i="6"/>
  <c r="F13" i="6"/>
  <c r="F12" i="6"/>
  <c r="G13" i="6"/>
  <c r="F12" i="1"/>
  <c r="D12" i="1"/>
  <c r="G12" i="1"/>
  <c r="F13" i="1" l="1"/>
  <c r="C13" i="1"/>
  <c r="D13" i="1"/>
  <c r="B14" i="1"/>
  <c r="G13" i="1"/>
  <c r="H13" i="6"/>
  <c r="H12" i="6"/>
  <c r="H14" i="6"/>
  <c r="H12" i="1"/>
  <c r="C15" i="6"/>
  <c r="H15" i="6" s="1"/>
  <c r="B16" i="6"/>
  <c r="D15" i="6"/>
  <c r="G15" i="6"/>
  <c r="F15" i="6"/>
  <c r="E15" i="6"/>
  <c r="H13" i="1" l="1"/>
  <c r="E14" i="1"/>
  <c r="D14" i="1"/>
  <c r="F14" i="1"/>
  <c r="C14" i="1"/>
  <c r="G14" i="1"/>
  <c r="B15" i="1"/>
  <c r="D16" i="6"/>
  <c r="C16" i="6"/>
  <c r="E16" i="6"/>
  <c r="B17" i="6"/>
  <c r="G16" i="6"/>
  <c r="F16" i="6"/>
  <c r="H14" i="1" l="1"/>
  <c r="C15" i="1"/>
  <c r="B16" i="1"/>
  <c r="D15" i="1"/>
  <c r="E15" i="1"/>
  <c r="F15" i="1"/>
  <c r="G15" i="1"/>
  <c r="E17" i="6"/>
  <c r="D17" i="6"/>
  <c r="C17" i="6"/>
  <c r="B18" i="6"/>
  <c r="F17" i="6"/>
  <c r="G17" i="6"/>
  <c r="H16" i="6"/>
  <c r="H15" i="1" l="1"/>
  <c r="B17" i="1"/>
  <c r="D16" i="1"/>
  <c r="C16" i="1"/>
  <c r="E16" i="1"/>
  <c r="F16" i="1"/>
  <c r="G16" i="1"/>
  <c r="F18" i="6"/>
  <c r="E18" i="6"/>
  <c r="D18" i="6"/>
  <c r="C18" i="6"/>
  <c r="G18" i="6"/>
  <c r="B19" i="6"/>
  <c r="H17" i="6"/>
  <c r="H16" i="1" l="1"/>
  <c r="C17" i="1"/>
  <c r="D17" i="1"/>
  <c r="G17" i="1"/>
  <c r="F17" i="1"/>
  <c r="E17" i="1"/>
  <c r="B18" i="1"/>
  <c r="H18" i="6"/>
  <c r="G19" i="6"/>
  <c r="F19" i="6"/>
  <c r="E19" i="6"/>
  <c r="D19" i="6"/>
  <c r="C19" i="6"/>
  <c r="B20" i="6"/>
  <c r="H17" i="1" l="1"/>
  <c r="G18" i="1"/>
  <c r="D18" i="1"/>
  <c r="E18" i="1"/>
  <c r="B19" i="1"/>
  <c r="F18" i="1"/>
  <c r="C18" i="1"/>
  <c r="H19" i="6"/>
  <c r="G20" i="6"/>
  <c r="F20" i="6"/>
  <c r="B21" i="6"/>
  <c r="E20" i="6"/>
  <c r="D20" i="6"/>
  <c r="C20" i="6"/>
  <c r="H20" i="6" s="1"/>
  <c r="H18" i="1" l="1"/>
  <c r="B20" i="1"/>
  <c r="G19" i="1"/>
  <c r="C19" i="1"/>
  <c r="E19" i="1"/>
  <c r="D19" i="1"/>
  <c r="F19" i="1"/>
  <c r="B22" i="6"/>
  <c r="G21" i="6"/>
  <c r="F21" i="6"/>
  <c r="E21" i="6"/>
  <c r="D21" i="6"/>
  <c r="C21" i="6"/>
  <c r="H19" i="1" l="1"/>
  <c r="D20" i="1"/>
  <c r="B21" i="1"/>
  <c r="E20" i="1"/>
  <c r="F20" i="1"/>
  <c r="G20" i="1"/>
  <c r="C20" i="1"/>
  <c r="H21" i="6"/>
  <c r="C22" i="6"/>
  <c r="B23" i="6"/>
  <c r="G22" i="6"/>
  <c r="F22" i="6"/>
  <c r="E22" i="6"/>
  <c r="D22" i="6"/>
  <c r="H20" i="1" l="1"/>
  <c r="B22" i="1"/>
  <c r="F21" i="1"/>
  <c r="E21" i="1"/>
  <c r="D21" i="1"/>
  <c r="C21" i="1"/>
  <c r="G21" i="1"/>
  <c r="C23" i="6"/>
  <c r="B24" i="6"/>
  <c r="G23" i="6"/>
  <c r="D23" i="6"/>
  <c r="F23" i="6"/>
  <c r="E23" i="6"/>
  <c r="H22" i="6"/>
  <c r="H21" i="1" l="1"/>
  <c r="G22" i="1"/>
  <c r="D22" i="1"/>
  <c r="B23" i="1"/>
  <c r="E22" i="1"/>
  <c r="C22" i="1"/>
  <c r="F22" i="1"/>
  <c r="H23" i="6"/>
  <c r="D24" i="6"/>
  <c r="C24" i="6"/>
  <c r="B25" i="6"/>
  <c r="G24" i="6"/>
  <c r="E24" i="6"/>
  <c r="F24" i="6"/>
  <c r="H22" i="1" l="1"/>
  <c r="F23" i="1"/>
  <c r="G23" i="1"/>
  <c r="C23" i="1"/>
  <c r="B24" i="1"/>
  <c r="D23" i="1"/>
  <c r="E23" i="1"/>
  <c r="E25" i="6"/>
  <c r="D25" i="6"/>
  <c r="F25" i="6"/>
  <c r="C25" i="6"/>
  <c r="B26" i="6"/>
  <c r="G25" i="6"/>
  <c r="H24" i="6"/>
  <c r="F24" i="1" l="1"/>
  <c r="G24" i="1"/>
  <c r="E24" i="1"/>
  <c r="B25" i="1"/>
  <c r="D24" i="1"/>
  <c r="C24" i="1"/>
  <c r="H23" i="1"/>
  <c r="H25" i="6"/>
  <c r="F26" i="6"/>
  <c r="E26" i="6"/>
  <c r="D26" i="6"/>
  <c r="C26" i="6"/>
  <c r="B27" i="6"/>
  <c r="G26" i="6"/>
  <c r="H24" i="1" l="1"/>
  <c r="F25" i="1"/>
  <c r="G25" i="1"/>
  <c r="E25" i="1"/>
  <c r="C25" i="1"/>
  <c r="B26" i="1"/>
  <c r="D25" i="1"/>
  <c r="G27" i="6"/>
  <c r="F27" i="6"/>
  <c r="E27" i="6"/>
  <c r="D27" i="6"/>
  <c r="C27" i="6"/>
  <c r="B28" i="6"/>
  <c r="H26" i="6"/>
  <c r="B27" i="1" l="1"/>
  <c r="D26" i="1"/>
  <c r="C26" i="1"/>
  <c r="F26" i="1"/>
  <c r="E26" i="1"/>
  <c r="G26" i="1"/>
  <c r="H25" i="1"/>
  <c r="B29" i="6"/>
  <c r="G28" i="6"/>
  <c r="F28" i="6"/>
  <c r="E28" i="6"/>
  <c r="D28" i="6"/>
  <c r="C28" i="6"/>
  <c r="H27" i="6"/>
  <c r="H26" i="1" l="1"/>
  <c r="B28" i="1"/>
  <c r="C27" i="1"/>
  <c r="D27" i="1"/>
  <c r="G27" i="1"/>
  <c r="F27" i="1"/>
  <c r="E27" i="1"/>
  <c r="H28" i="6"/>
  <c r="B30" i="6"/>
  <c r="G29" i="6"/>
  <c r="F29" i="6"/>
  <c r="E29" i="6"/>
  <c r="D29" i="6"/>
  <c r="C29" i="6"/>
  <c r="H29" i="6" s="1"/>
  <c r="H27" i="1" l="1"/>
  <c r="G28" i="1"/>
  <c r="C28" i="1"/>
  <c r="E28" i="1"/>
  <c r="F28" i="1"/>
  <c r="D28" i="1"/>
  <c r="B29" i="1"/>
  <c r="B31" i="6"/>
  <c r="C30" i="6"/>
  <c r="G30" i="6"/>
  <c r="F30" i="6"/>
  <c r="E30" i="6"/>
  <c r="D30" i="6"/>
  <c r="H28" i="1" l="1"/>
  <c r="C29" i="1"/>
  <c r="G29" i="1"/>
  <c r="F29" i="1"/>
  <c r="B30" i="1"/>
  <c r="D29" i="1"/>
  <c r="E29" i="1"/>
  <c r="C31" i="6"/>
  <c r="B32" i="6"/>
  <c r="D31" i="6"/>
  <c r="G31" i="6"/>
  <c r="F31" i="6"/>
  <c r="E31" i="6"/>
  <c r="H30" i="6"/>
  <c r="G30" i="1" l="1"/>
  <c r="B31" i="1"/>
  <c r="F30" i="1"/>
  <c r="D30" i="1"/>
  <c r="C30" i="1"/>
  <c r="E30" i="1"/>
  <c r="H29" i="1"/>
  <c r="H31" i="6"/>
  <c r="D32" i="6"/>
  <c r="C32" i="6"/>
  <c r="B33" i="6"/>
  <c r="G32" i="6"/>
  <c r="F32" i="6"/>
  <c r="E32" i="6"/>
  <c r="H30" i="1" l="1"/>
  <c r="F31" i="1"/>
  <c r="E31" i="1"/>
  <c r="B32" i="1"/>
  <c r="G31" i="1"/>
  <c r="C31" i="1"/>
  <c r="D31" i="1"/>
  <c r="E33" i="6"/>
  <c r="D33" i="6"/>
  <c r="C33" i="6"/>
  <c r="B34" i="6"/>
  <c r="F33" i="6"/>
  <c r="G33" i="6"/>
  <c r="H32" i="6"/>
  <c r="H31" i="1" l="1"/>
  <c r="F32" i="1"/>
  <c r="B33" i="1"/>
  <c r="C32" i="1"/>
  <c r="D32" i="1"/>
  <c r="G32" i="1"/>
  <c r="E32" i="1"/>
  <c r="F34" i="6"/>
  <c r="E34" i="6"/>
  <c r="D34" i="6"/>
  <c r="C34" i="6"/>
  <c r="B35" i="6"/>
  <c r="G34" i="6"/>
  <c r="H33" i="6"/>
  <c r="H32" i="1" l="1"/>
  <c r="E33" i="1"/>
  <c r="D33" i="1"/>
  <c r="F33" i="1"/>
  <c r="B34" i="1"/>
  <c r="C33" i="1"/>
  <c r="G33" i="1"/>
  <c r="H34" i="6"/>
  <c r="G35" i="6"/>
  <c r="F35" i="6"/>
  <c r="E35" i="6"/>
  <c r="D35" i="6"/>
  <c r="C35" i="6"/>
  <c r="H35" i="6" s="1"/>
  <c r="B36" i="6"/>
  <c r="H33" i="1" l="1"/>
  <c r="G34" i="1"/>
  <c r="B35" i="1"/>
  <c r="E34" i="1"/>
  <c r="F34" i="1"/>
  <c r="C34" i="1"/>
  <c r="D34" i="1"/>
  <c r="G36" i="6"/>
  <c r="F36" i="6"/>
  <c r="E36" i="6"/>
  <c r="D36" i="6"/>
  <c r="C36" i="6"/>
  <c r="H34" i="1" l="1"/>
  <c r="B36" i="1"/>
  <c r="C35" i="1"/>
  <c r="F35" i="1"/>
  <c r="G35" i="1"/>
  <c r="D35" i="1"/>
  <c r="E35" i="1"/>
  <c r="H36" i="6"/>
  <c r="H35" i="1" l="1"/>
  <c r="F36" i="1"/>
  <c r="G36" i="1"/>
  <c r="D36" i="1"/>
  <c r="C36" i="1"/>
  <c r="E36" i="1"/>
  <c r="H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damkeb</author>
  </authors>
  <commentList>
    <comment ref="B3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se compra a opção, digitar o notional com sinal positivo; se vende, sinal negativo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damkeb</author>
  </authors>
  <commentList>
    <comment ref="B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se compra a opção, digitar o notional com sinal positivo; se vende, sinal negativo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<sst xmlns="http://schemas.openxmlformats.org/spreadsheetml/2006/main" count="83" uniqueCount="52">
  <si>
    <t>Jump</t>
  </si>
  <si>
    <t>TIPO</t>
  </si>
  <si>
    <t>Ptax</t>
  </si>
  <si>
    <t>Custo R$</t>
  </si>
  <si>
    <t>F = Forward</t>
  </si>
  <si>
    <t>C = Call</t>
  </si>
  <si>
    <t>P = Put</t>
  </si>
  <si>
    <t>Cenários</t>
  </si>
  <si>
    <t>Liquidar R$</t>
  </si>
  <si>
    <t>Ativo 1</t>
  </si>
  <si>
    <t>Ativo 2</t>
  </si>
  <si>
    <t>Ativo 3</t>
  </si>
  <si>
    <t>Ativo 4</t>
  </si>
  <si>
    <t>Ativo 5</t>
  </si>
  <si>
    <t xml:space="preserve">L&amp;P ou Total a </t>
  </si>
  <si>
    <t>Custo Total R$</t>
  </si>
  <si>
    <t>Valores de Liquidação no Vencimento - R$</t>
  </si>
  <si>
    <t>Strike</t>
  </si>
  <si>
    <t>PAY-OFF DE ESTRATÉGIAS DE OPÇÕES</t>
  </si>
  <si>
    <t>Notional US$</t>
  </si>
  <si>
    <t>Prêmio R$</t>
  </si>
  <si>
    <t>C</t>
  </si>
  <si>
    <t>P</t>
  </si>
  <si>
    <t>Compra</t>
  </si>
  <si>
    <t>R$/USD</t>
  </si>
  <si>
    <t>Proteção contra</t>
  </si>
  <si>
    <t>Notional ME</t>
  </si>
  <si>
    <t>USD</t>
  </si>
  <si>
    <t>Cenários R$/USD</t>
  </si>
  <si>
    <t>Prêmio</t>
  </si>
  <si>
    <t>R$/USD 1.000</t>
  </si>
  <si>
    <t>Ajuste</t>
  </si>
  <si>
    <t>Resultado</t>
  </si>
  <si>
    <t>PUT</t>
  </si>
  <si>
    <t>BAIXA</t>
  </si>
  <si>
    <t>Hedge de Exportação</t>
  </si>
  <si>
    <t>Resultado R$</t>
  </si>
  <si>
    <t>Ponto de Equilíbrio</t>
  </si>
  <si>
    <t>Resultado após Prêmio</t>
  </si>
  <si>
    <t>cálculo do prêmio:</t>
  </si>
  <si>
    <t>R$</t>
  </si>
  <si>
    <t>*</t>
  </si>
  <si>
    <t>Exportação</t>
  </si>
  <si>
    <t>Resultado no vencimento: do ponto de vista de quem compra put</t>
  </si>
  <si>
    <t>Receita Prevista</t>
  </si>
  <si>
    <t>Strike = Preço de Exercício</t>
  </si>
  <si>
    <t>vencimto</t>
  </si>
  <si>
    <t>pago em D0</t>
  </si>
  <si>
    <t>p</t>
  </si>
  <si>
    <t>c</t>
  </si>
  <si>
    <t>venc: mar/23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</si>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</sst>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.0000_);_(* \(#,##0.0000\);_(* &quot;-&quot;??_);_(@_)"/>
    <numFmt numFmtId="168" formatCode="0.000"/>
    <numFmt numFmtId="169" formatCode="#,##0.000_);\(#,##0.000\)"/>
    <numFmt numFmtId="170" formatCode="#,##0.0"/>
  </numFmts>
  <fonts count="14" x14ac:knownFonts="1">
    <font>
      <sz val="10"/>
      <name val="Arial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164" fontId="3" fillId="0" borderId="0" xfId="1" applyFont="1" applyAlignment="1">
      <alignment horizontal="center"/>
    </xf>
    <xf numFmtId="164" fontId="2" fillId="0" borderId="0" xfId="1" applyFont="1" applyAlignment="1">
      <alignment horizontal="center"/>
    </xf>
    <xf numFmtId="164" fontId="0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2" xfId="1" applyFont="1" applyBorder="1" applyAlignment="1">
      <alignment horizontal="center"/>
    </xf>
    <xf numFmtId="164" fontId="5" fillId="0" borderId="0" xfId="1" applyFont="1" applyAlignment="1">
      <alignment horizontal="center"/>
    </xf>
    <xf numFmtId="164" fontId="6" fillId="0" borderId="0" xfId="1" applyFont="1" applyFill="1" applyAlignment="1">
      <alignment horizontal="center"/>
    </xf>
    <xf numFmtId="164" fontId="1" fillId="0" borderId="0" xfId="1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166" fontId="1" fillId="0" borderId="0" xfId="1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6" fillId="0" borderId="0" xfId="1" applyFont="1" applyFill="1" applyBorder="1" applyAlignment="1">
      <alignment horizontal="center"/>
    </xf>
    <xf numFmtId="168" fontId="0" fillId="0" borderId="0" xfId="1" applyNumberFormat="1" applyFont="1" applyAlignment="1">
      <alignment horizontal="center"/>
    </xf>
    <xf numFmtId="168" fontId="0" fillId="2" borderId="0" xfId="1" applyNumberFormat="1" applyFont="1" applyFill="1" applyAlignment="1">
      <alignment horizontal="center"/>
    </xf>
    <xf numFmtId="168" fontId="0" fillId="0" borderId="0" xfId="1" applyNumberFormat="1" applyFont="1" applyFill="1" applyAlignment="1">
      <alignment horizontal="center"/>
    </xf>
    <xf numFmtId="168" fontId="2" fillId="3" borderId="0" xfId="1" applyNumberFormat="1" applyFont="1" applyFill="1" applyAlignment="1">
      <alignment horizontal="center"/>
    </xf>
    <xf numFmtId="37" fontId="0" fillId="0" borderId="0" xfId="0" applyNumberFormat="1" applyAlignment="1">
      <alignment horizontal="center"/>
    </xf>
    <xf numFmtId="37" fontId="5" fillId="0" borderId="0" xfId="0" applyNumberFormat="1" applyFont="1" applyAlignment="1">
      <alignment horizontal="center"/>
    </xf>
    <xf numFmtId="37" fontId="2" fillId="3" borderId="0" xfId="1" applyNumberFormat="1" applyFont="1" applyFill="1" applyAlignment="1">
      <alignment horizontal="center"/>
    </xf>
    <xf numFmtId="37" fontId="0" fillId="0" borderId="0" xfId="1" applyNumberFormat="1" applyFont="1" applyAlignment="1">
      <alignment horizontal="center"/>
    </xf>
    <xf numFmtId="37" fontId="3" fillId="0" borderId="1" xfId="0" applyNumberFormat="1" applyFont="1" applyBorder="1" applyAlignment="1">
      <alignment horizontal="left"/>
    </xf>
    <xf numFmtId="37" fontId="4" fillId="0" borderId="1" xfId="0" applyNumberFormat="1" applyFont="1" applyBorder="1" applyAlignment="1">
      <alignment horizontal="center"/>
    </xf>
    <xf numFmtId="37" fontId="3" fillId="0" borderId="1" xfId="1" quotePrefix="1" applyNumberFormat="1" applyFont="1" applyBorder="1" applyAlignment="1">
      <alignment horizontal="center"/>
    </xf>
    <xf numFmtId="37" fontId="3" fillId="0" borderId="2" xfId="0" applyNumberFormat="1" applyFont="1" applyBorder="1" applyAlignment="1">
      <alignment horizontal="center"/>
    </xf>
    <xf numFmtId="37" fontId="3" fillId="0" borderId="2" xfId="1" applyNumberFormat="1" applyFont="1" applyBorder="1" applyAlignment="1">
      <alignment horizontal="center"/>
    </xf>
    <xf numFmtId="37" fontId="0" fillId="2" borderId="0" xfId="0" applyNumberFormat="1" applyFill="1" applyAlignment="1">
      <alignment horizontal="center"/>
    </xf>
    <xf numFmtId="37" fontId="0" fillId="2" borderId="0" xfId="1" applyNumberFormat="1" applyFont="1" applyFill="1" applyAlignment="1">
      <alignment horizontal="center"/>
    </xf>
    <xf numFmtId="37" fontId="0" fillId="0" borderId="0" xfId="1" applyNumberFormat="1" applyFont="1" applyFill="1" applyAlignment="1">
      <alignment horizontal="center"/>
    </xf>
    <xf numFmtId="169" fontId="2" fillId="3" borderId="0" xfId="1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10" fillId="0" borderId="0" xfId="0" applyFont="1"/>
    <xf numFmtId="0" fontId="10" fillId="4" borderId="0" xfId="0" applyFont="1" applyFill="1"/>
    <xf numFmtId="0" fontId="10" fillId="5" borderId="0" xfId="0" applyFont="1" applyFill="1"/>
    <xf numFmtId="0" fontId="3" fillId="0" borderId="0" xfId="0" applyFont="1"/>
    <xf numFmtId="0" fontId="10" fillId="0" borderId="0" xfId="0" applyFont="1" applyAlignment="1">
      <alignment horizontal="right"/>
    </xf>
    <xf numFmtId="0" fontId="0" fillId="4" borderId="0" xfId="0" applyFill="1"/>
    <xf numFmtId="2" fontId="3" fillId="5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3" fontId="0" fillId="6" borderId="0" xfId="0" applyNumberFormat="1" applyFill="1" applyAlignment="1">
      <alignment horizontal="center"/>
    </xf>
    <xf numFmtId="2" fontId="3" fillId="6" borderId="0" xfId="0" applyNumberFormat="1" applyFont="1" applyFill="1" applyAlignment="1">
      <alignment horizontal="center"/>
    </xf>
    <xf numFmtId="3" fontId="0" fillId="5" borderId="0" xfId="0" applyNumberForma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/>
    <xf numFmtId="0" fontId="1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70" fontId="0" fillId="0" borderId="0" xfId="0" applyNumberFormat="1"/>
    <xf numFmtId="164" fontId="0" fillId="0" borderId="0" xfId="1" applyFont="1"/>
    <xf numFmtId="43" fontId="12" fillId="0" borderId="0" xfId="0" applyNumberFormat="1" applyFont="1"/>
    <xf numFmtId="43" fontId="0" fillId="0" borderId="0" xfId="0" applyNumberFormat="1"/>
    <xf numFmtId="0" fontId="0" fillId="6" borderId="0" xfId="0" applyFill="1"/>
    <xf numFmtId="0" fontId="0" fillId="0" borderId="0" xfId="0" applyAlignment="1">
      <alignment horizontal="left"/>
    </xf>
    <xf numFmtId="0" fontId="11" fillId="0" borderId="0" xfId="0" applyFont="1"/>
    <xf numFmtId="2" fontId="13" fillId="0" borderId="0" xfId="0" applyNumberFormat="1" applyFont="1" applyAlignment="1">
      <alignment horizontal="left"/>
    </xf>
    <xf numFmtId="3" fontId="0" fillId="0" borderId="0" xfId="0" applyNumberFormat="1"/>
    <xf numFmtId="17" fontId="10" fillId="0" borderId="0" xfId="0" applyNumberFormat="1" applyFont="1" applyAlignment="1">
      <alignment horizontal="center"/>
    </xf>
    <xf numFmtId="37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00"/>
              <a:t>Resultado em R$ no Vencimento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ExercPut!$B$11:$F$11</c:f>
              <c:numCache>
                <c:formatCode>0.00</c:formatCode>
                <c:ptCount val="5"/>
                <c:pt idx="0">
                  <c:v>5.2</c:v>
                </c:pt>
                <c:pt idx="1">
                  <c:v>5.3</c:v>
                </c:pt>
                <c:pt idx="2">
                  <c:v>5.4</c:v>
                </c:pt>
                <c:pt idx="3">
                  <c:v>5.5</c:v>
                </c:pt>
                <c:pt idx="4">
                  <c:v>5.6</c:v>
                </c:pt>
              </c:numCache>
            </c:numRef>
          </c:cat>
          <c:val>
            <c:numRef>
              <c:f>ExercPut!$B$14:$F$14</c:f>
              <c:numCache>
                <c:formatCode>#,##0</c:formatCode>
                <c:ptCount val="5"/>
                <c:pt idx="0">
                  <c:v>80000.000000000175</c:v>
                </c:pt>
                <c:pt idx="1">
                  <c:v>-19999.999999999462</c:v>
                </c:pt>
                <c:pt idx="2">
                  <c:v>-120000</c:v>
                </c:pt>
                <c:pt idx="3">
                  <c:v>-120000</c:v>
                </c:pt>
                <c:pt idx="4">
                  <c:v>-120000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F-423B-A9BB-36CF8BFB8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28928"/>
        <c:axId val="253758624"/>
      </c:lineChart>
      <c:catAx>
        <c:axId val="1100289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3758624"/>
        <c:crosses val="autoZero"/>
        <c:auto val="1"/>
        <c:lblAlgn val="ctr"/>
        <c:lblOffset val="100"/>
        <c:noMultiLvlLbl val="0"/>
      </c:catAx>
      <c:valAx>
        <c:axId val="25375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02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baseline="0"/>
              <a:t>Resultado </a:t>
            </a:r>
            <a:r>
              <a:rPr lang="pt-BR"/>
              <a:t>no vencimento</a:t>
            </a:r>
          </a:p>
        </c:rich>
      </c:tx>
      <c:layout>
        <c:manualLayout>
          <c:xMode val="edge"/>
          <c:yMode val="edge"/>
          <c:x val="0.28124996578384986"/>
          <c:y val="2.02020076867988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70833333333333"/>
          <c:y val="0.16666666666666666"/>
          <c:w val="0.82708333333333328"/>
          <c:h val="0.6414141414141414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cat>
            <c:numRef>
              <c:f>PayOff!$B$11:$B$36</c:f>
              <c:numCache>
                <c:formatCode>0.000</c:formatCode>
                <c:ptCount val="26"/>
                <c:pt idx="0">
                  <c:v>4.5</c:v>
                </c:pt>
                <c:pt idx="1">
                  <c:v>4.5999999999999996</c:v>
                </c:pt>
                <c:pt idx="2">
                  <c:v>4.6999999999999993</c:v>
                </c:pt>
                <c:pt idx="3">
                  <c:v>4.7999999999999989</c:v>
                </c:pt>
                <c:pt idx="4">
                  <c:v>4.8999999999999986</c:v>
                </c:pt>
                <c:pt idx="5">
                  <c:v>4.9999999999999982</c:v>
                </c:pt>
                <c:pt idx="6">
                  <c:v>5.0999999999999979</c:v>
                </c:pt>
                <c:pt idx="7">
                  <c:v>5.1999999999999975</c:v>
                </c:pt>
                <c:pt idx="8">
                  <c:v>5.2999999999999972</c:v>
                </c:pt>
                <c:pt idx="9">
                  <c:v>5.3999999999999968</c:v>
                </c:pt>
                <c:pt idx="10">
                  <c:v>5.4999999999999964</c:v>
                </c:pt>
                <c:pt idx="11">
                  <c:v>5.5999999999999961</c:v>
                </c:pt>
                <c:pt idx="12">
                  <c:v>5.6999999999999957</c:v>
                </c:pt>
                <c:pt idx="13">
                  <c:v>5.7999999999999954</c:v>
                </c:pt>
                <c:pt idx="14">
                  <c:v>5.899999999999995</c:v>
                </c:pt>
                <c:pt idx="15">
                  <c:v>5.9999999999999947</c:v>
                </c:pt>
                <c:pt idx="16">
                  <c:v>6.0999999999999943</c:v>
                </c:pt>
                <c:pt idx="17">
                  <c:v>6.199999999999994</c:v>
                </c:pt>
                <c:pt idx="18">
                  <c:v>6.2999999999999936</c:v>
                </c:pt>
                <c:pt idx="19">
                  <c:v>6.3999999999999932</c:v>
                </c:pt>
                <c:pt idx="20">
                  <c:v>6.4999999999999929</c:v>
                </c:pt>
                <c:pt idx="21">
                  <c:v>6.5999999999999925</c:v>
                </c:pt>
                <c:pt idx="22">
                  <c:v>6.6999999999999922</c:v>
                </c:pt>
                <c:pt idx="23">
                  <c:v>6.7999999999999918</c:v>
                </c:pt>
                <c:pt idx="24">
                  <c:v>6.8999999999999915</c:v>
                </c:pt>
                <c:pt idx="25">
                  <c:v>6.9999999999999911</c:v>
                </c:pt>
              </c:numCache>
            </c:numRef>
          </c:cat>
          <c:val>
            <c:numRef>
              <c:f>PayOff!$H$11:$H$36</c:f>
              <c:numCache>
                <c:formatCode>#,##0_);\(#,##0\)</c:formatCode>
                <c:ptCount val="26"/>
                <c:pt idx="0">
                  <c:v>900000.00000000035</c:v>
                </c:pt>
                <c:pt idx="1">
                  <c:v>800000.0000000007</c:v>
                </c:pt>
                <c:pt idx="2">
                  <c:v>700000.00000000105</c:v>
                </c:pt>
                <c:pt idx="3">
                  <c:v>600000.0000000014</c:v>
                </c:pt>
                <c:pt idx="4">
                  <c:v>500000.0000000018</c:v>
                </c:pt>
                <c:pt idx="5">
                  <c:v>400000.00000000215</c:v>
                </c:pt>
                <c:pt idx="6">
                  <c:v>300000.0000000025</c:v>
                </c:pt>
                <c:pt idx="7">
                  <c:v>200000.00000000285</c:v>
                </c:pt>
                <c:pt idx="8">
                  <c:v>100000.0000000032</c:v>
                </c:pt>
                <c:pt idx="9">
                  <c:v>3.5527136788005009E-9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-99999.99999999431</c:v>
                </c:pt>
                <c:pt idx="17">
                  <c:v>-199999.99999999395</c:v>
                </c:pt>
                <c:pt idx="18">
                  <c:v>-299999.9999999936</c:v>
                </c:pt>
                <c:pt idx="19">
                  <c:v>-399999.99999999325</c:v>
                </c:pt>
                <c:pt idx="20">
                  <c:v>-499999.9999999929</c:v>
                </c:pt>
                <c:pt idx="21">
                  <c:v>-599999.99999999255</c:v>
                </c:pt>
                <c:pt idx="22">
                  <c:v>-699999.9999999922</c:v>
                </c:pt>
                <c:pt idx="23">
                  <c:v>-799999.99999999185</c:v>
                </c:pt>
                <c:pt idx="24">
                  <c:v>-899999.9999999915</c:v>
                </c:pt>
                <c:pt idx="25">
                  <c:v>-999999.99999999115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E-4F8A-9EED-27416B2BF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6482896"/>
        <c:axId val="1"/>
      </c:lineChart>
      <c:catAx>
        <c:axId val="207648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Ptax R$/US$</a:t>
                </a:r>
              </a:p>
            </c:rich>
          </c:tx>
          <c:layout>
            <c:manualLayout>
              <c:xMode val="edge"/>
              <c:yMode val="edge"/>
              <c:x val="0.8260416983736325"/>
              <c:y val="0.91414142308085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R$</a:t>
                </a:r>
              </a:p>
            </c:rich>
          </c:tx>
          <c:layout>
            <c:manualLayout>
              <c:xMode val="edge"/>
              <c:yMode val="edge"/>
              <c:x val="7.1875047218287219E-2"/>
              <c:y val="6.7340025622662919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76482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Zero</a:t>
            </a:r>
            <a:r>
              <a:rPr lang="pt-BR" baseline="0"/>
              <a:t> Cost Collar vendido: resultado </a:t>
            </a:r>
            <a:r>
              <a:rPr lang="pt-BR"/>
              <a:t>no vencimento</a:t>
            </a:r>
          </a:p>
        </c:rich>
      </c:tx>
      <c:layout>
        <c:manualLayout>
          <c:xMode val="edge"/>
          <c:yMode val="edge"/>
          <c:x val="0.28124996578384986"/>
          <c:y val="2.02020076867988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70833333333333"/>
          <c:y val="0.16666666666666666"/>
          <c:w val="0.82708333333333328"/>
          <c:h val="0.64141414141414144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cat>
            <c:numRef>
              <c:f>PayOff_ZCC!$B$11:$B$36</c:f>
              <c:numCache>
                <c:formatCode>0.000</c:formatCode>
                <c:ptCount val="26"/>
                <c:pt idx="0">
                  <c:v>3.5</c:v>
                </c:pt>
                <c:pt idx="1">
                  <c:v>3.6</c:v>
                </c:pt>
                <c:pt idx="2">
                  <c:v>3.7</c:v>
                </c:pt>
                <c:pt idx="3">
                  <c:v>3.8000000000000003</c:v>
                </c:pt>
                <c:pt idx="4">
                  <c:v>3.9000000000000004</c:v>
                </c:pt>
                <c:pt idx="5">
                  <c:v>4</c:v>
                </c:pt>
                <c:pt idx="6">
                  <c:v>4.0999999999999996</c:v>
                </c:pt>
                <c:pt idx="7">
                  <c:v>4.1999999999999993</c:v>
                </c:pt>
                <c:pt idx="8">
                  <c:v>4.2999999999999989</c:v>
                </c:pt>
                <c:pt idx="9">
                  <c:v>4.3999999999999986</c:v>
                </c:pt>
                <c:pt idx="10">
                  <c:v>4.4999999999999982</c:v>
                </c:pt>
                <c:pt idx="11">
                  <c:v>4.5999999999999979</c:v>
                </c:pt>
                <c:pt idx="12">
                  <c:v>4.6999999999999975</c:v>
                </c:pt>
                <c:pt idx="13">
                  <c:v>4.7999999999999972</c:v>
                </c:pt>
                <c:pt idx="14">
                  <c:v>4.8999999999999968</c:v>
                </c:pt>
                <c:pt idx="15">
                  <c:v>4.9999999999999964</c:v>
                </c:pt>
                <c:pt idx="16">
                  <c:v>5.0999999999999961</c:v>
                </c:pt>
                <c:pt idx="17">
                  <c:v>5.1999999999999957</c:v>
                </c:pt>
                <c:pt idx="18">
                  <c:v>5.2999999999999954</c:v>
                </c:pt>
                <c:pt idx="19">
                  <c:v>5.399999999999995</c:v>
                </c:pt>
                <c:pt idx="20">
                  <c:v>5.4999999999999947</c:v>
                </c:pt>
                <c:pt idx="21">
                  <c:v>5.5999999999999943</c:v>
                </c:pt>
                <c:pt idx="22">
                  <c:v>5.699999999999994</c:v>
                </c:pt>
                <c:pt idx="23">
                  <c:v>5.7999999999999936</c:v>
                </c:pt>
                <c:pt idx="24">
                  <c:v>5.8999999999999932</c:v>
                </c:pt>
                <c:pt idx="25">
                  <c:v>5.9999999999999929</c:v>
                </c:pt>
              </c:numCache>
            </c:numRef>
          </c:cat>
          <c:val>
            <c:numRef>
              <c:f>PayOff_ZCC!$H$11:$H$36</c:f>
              <c:numCache>
                <c:formatCode>#,##0_);\(#,##0\)</c:formatCode>
                <c:ptCount val="26"/>
                <c:pt idx="0">
                  <c:v>370000.00000000012</c:v>
                </c:pt>
                <c:pt idx="1">
                  <c:v>270000</c:v>
                </c:pt>
                <c:pt idx="2">
                  <c:v>169999.99999999994</c:v>
                </c:pt>
                <c:pt idx="3">
                  <c:v>69999.99999999984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-99999.999999998763</c:v>
                </c:pt>
                <c:pt idx="9">
                  <c:v>-199999.9999999984</c:v>
                </c:pt>
                <c:pt idx="10">
                  <c:v>-299999.99999999802</c:v>
                </c:pt>
                <c:pt idx="11">
                  <c:v>-399999.99999999767</c:v>
                </c:pt>
                <c:pt idx="12">
                  <c:v>-499999.99999999732</c:v>
                </c:pt>
                <c:pt idx="13">
                  <c:v>-599999.99999999697</c:v>
                </c:pt>
                <c:pt idx="14">
                  <c:v>-699999.99999999662</c:v>
                </c:pt>
                <c:pt idx="15">
                  <c:v>-799999.99999999627</c:v>
                </c:pt>
                <c:pt idx="16">
                  <c:v>-899999.99999999593</c:v>
                </c:pt>
                <c:pt idx="17">
                  <c:v>-999999.99999999558</c:v>
                </c:pt>
                <c:pt idx="18">
                  <c:v>-1099999.9999999951</c:v>
                </c:pt>
                <c:pt idx="19">
                  <c:v>-1199999.9999999949</c:v>
                </c:pt>
                <c:pt idx="20">
                  <c:v>-1299999.9999999944</c:v>
                </c:pt>
                <c:pt idx="21">
                  <c:v>-1399999.9999999942</c:v>
                </c:pt>
                <c:pt idx="22">
                  <c:v>-1499999.9999999937</c:v>
                </c:pt>
                <c:pt idx="23">
                  <c:v>-1599999.9999999935</c:v>
                </c:pt>
                <c:pt idx="24">
                  <c:v>-1699999.999999993</c:v>
                </c:pt>
                <c:pt idx="25">
                  <c:v>-1799999.9999999928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8-4752-90CF-EAD8E4062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6482896"/>
        <c:axId val="1"/>
      </c:lineChart>
      <c:catAx>
        <c:axId val="207648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Ptax R$/US$</a:t>
                </a:r>
              </a:p>
            </c:rich>
          </c:tx>
          <c:layout>
            <c:manualLayout>
              <c:xMode val="edge"/>
              <c:yMode val="edge"/>
              <c:x val="0.8260416983736325"/>
              <c:y val="0.91414142308085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R$</a:t>
                </a:r>
              </a:p>
            </c:rich>
          </c:tx>
          <c:layout>
            <c:manualLayout>
              <c:xMode val="edge"/>
              <c:yMode val="edge"/>
              <c:x val="7.1875047218287219E-2"/>
              <c:y val="6.7340025622662919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76482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áf2"/>
  <sheetViews>
    <sheetView workbookViewId="0"/>
  </sheetViews>
  <pageMargins left="0.78740157499999996" right="0.78740157499999996" top="0.984251969" bottom="0.984251969" header="0.49212598499999999" footer="0.49212598499999999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90" workbookViewId="0"/>
  </sheetViews>
  <pageMargins left="0.78740157499999996" right="0.78740157499999996" top="0.984251969" bottom="0.984251969" header="0.49212598499999999" footer="0.49212598499999999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0</xdr:row>
      <xdr:rowOff>61912</xdr:rowOff>
    </xdr:from>
    <xdr:to>
      <xdr:col>12</xdr:col>
      <xdr:colOff>423863</xdr:colOff>
      <xdr:row>15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AF18D8-A7F9-4E9A-9431-E079B6200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36380" cy="564642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F09202F-6C98-4148-B1B7-A6DD82D64E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144000" cy="565573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D4A70A-958F-46DE-90BC-9EE667F184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130" zoomScaleNormal="130" workbookViewId="0">
      <selection activeCell="C4" sqref="C4"/>
    </sheetView>
  </sheetViews>
  <sheetFormatPr defaultRowHeight="13.2" x14ac:dyDescent="0.25"/>
  <cols>
    <col min="1" max="1" width="17" customWidth="1"/>
    <col min="3" max="3" width="13.109375" bestFit="1" customWidth="1"/>
    <col min="5" max="6" width="13.109375" bestFit="1" customWidth="1"/>
  </cols>
  <sheetData>
    <row r="1" spans="1:6" x14ac:dyDescent="0.25">
      <c r="B1" s="41" t="s">
        <v>35</v>
      </c>
    </row>
    <row r="2" spans="1:6" x14ac:dyDescent="0.25">
      <c r="B2" s="42" t="s">
        <v>25</v>
      </c>
      <c r="C2" s="51" t="s">
        <v>34</v>
      </c>
      <c r="D2" s="38" t="s">
        <v>24</v>
      </c>
    </row>
    <row r="3" spans="1:6" x14ac:dyDescent="0.25">
      <c r="B3" s="52" t="s">
        <v>46</v>
      </c>
      <c r="C3" s="64">
        <v>44986</v>
      </c>
      <c r="D3" s="38"/>
    </row>
    <row r="4" spans="1:6" x14ac:dyDescent="0.25">
      <c r="B4" s="40" t="s">
        <v>23</v>
      </c>
      <c r="C4" s="50" t="s">
        <v>33</v>
      </c>
    </row>
    <row r="5" spans="1:6" x14ac:dyDescent="0.25">
      <c r="B5" s="54" t="s">
        <v>45</v>
      </c>
      <c r="C5" s="44">
        <v>5.4</v>
      </c>
      <c r="D5" s="38" t="s">
        <v>24</v>
      </c>
    </row>
    <row r="6" spans="1:6" x14ac:dyDescent="0.25">
      <c r="B6" s="42" t="s">
        <v>26</v>
      </c>
      <c r="C6" s="49">
        <v>1000000</v>
      </c>
      <c r="D6" s="38" t="s">
        <v>27</v>
      </c>
    </row>
    <row r="7" spans="1:6" x14ac:dyDescent="0.25">
      <c r="B7" s="42" t="s">
        <v>29</v>
      </c>
      <c r="C7" s="46">
        <v>120</v>
      </c>
      <c r="D7" s="39" t="s">
        <v>30</v>
      </c>
      <c r="E7" s="43"/>
      <c r="F7" s="61" t="s">
        <v>47</v>
      </c>
    </row>
    <row r="8" spans="1:6" x14ac:dyDescent="0.25">
      <c r="B8" s="54" t="s">
        <v>44</v>
      </c>
      <c r="C8" s="63">
        <f>C5*C6</f>
        <v>5400000</v>
      </c>
      <c r="D8" s="52" t="s">
        <v>40</v>
      </c>
    </row>
    <row r="9" spans="1:6" x14ac:dyDescent="0.25">
      <c r="A9" s="41"/>
    </row>
    <row r="10" spans="1:6" x14ac:dyDescent="0.25">
      <c r="A10" s="41" t="s">
        <v>43</v>
      </c>
    </row>
    <row r="11" spans="1:6" x14ac:dyDescent="0.25">
      <c r="A11" s="41" t="s">
        <v>28</v>
      </c>
      <c r="B11" s="46">
        <v>5.2</v>
      </c>
      <c r="C11" s="46">
        <v>5.3</v>
      </c>
      <c r="D11" s="48">
        <f>C5</f>
        <v>5.4</v>
      </c>
      <c r="E11" s="46">
        <v>5.5</v>
      </c>
      <c r="F11" s="46">
        <v>5.6</v>
      </c>
    </row>
    <row r="12" spans="1:6" x14ac:dyDescent="0.25">
      <c r="A12" s="38" t="s">
        <v>20</v>
      </c>
      <c r="B12" s="45">
        <f>-C7/1000*C6</f>
        <v>-120000</v>
      </c>
      <c r="C12" s="45">
        <f>B12</f>
        <v>-120000</v>
      </c>
      <c r="D12" s="45">
        <f t="shared" ref="D12:F12" si="0">C12</f>
        <v>-120000</v>
      </c>
      <c r="E12" s="45">
        <f t="shared" si="0"/>
        <v>-120000</v>
      </c>
      <c r="F12" s="45">
        <f t="shared" si="0"/>
        <v>-120000</v>
      </c>
    </row>
    <row r="13" spans="1:6" x14ac:dyDescent="0.25">
      <c r="A13" s="38" t="s">
        <v>31</v>
      </c>
      <c r="B13" s="45">
        <f>(C5-B11)*C6</f>
        <v>200000.00000000017</v>
      </c>
      <c r="C13" s="45">
        <f>(C5-C11)*C6</f>
        <v>100000.00000000054</v>
      </c>
      <c r="D13" s="45">
        <v>0</v>
      </c>
      <c r="E13" s="45">
        <v>0</v>
      </c>
      <c r="F13" s="45">
        <v>0</v>
      </c>
    </row>
    <row r="14" spans="1:6" x14ac:dyDescent="0.25">
      <c r="A14" s="52" t="s">
        <v>36</v>
      </c>
      <c r="B14" s="47">
        <f>B13+B12</f>
        <v>80000.000000000175</v>
      </c>
      <c r="C14" s="47">
        <f t="shared" ref="C14:F14" si="1">C13+C12</f>
        <v>-19999.999999999462</v>
      </c>
      <c r="D14" s="47">
        <f t="shared" si="1"/>
        <v>-120000</v>
      </c>
      <c r="E14" s="47">
        <f t="shared" si="1"/>
        <v>-120000</v>
      </c>
      <c r="F14" s="47">
        <f t="shared" si="1"/>
        <v>-120000</v>
      </c>
    </row>
    <row r="16" spans="1:6" x14ac:dyDescent="0.25">
      <c r="B16" s="46">
        <v>5.2</v>
      </c>
      <c r="C16" s="46">
        <v>5.3</v>
      </c>
      <c r="D16" s="48">
        <f>C5</f>
        <v>5.4</v>
      </c>
      <c r="E16" s="46">
        <v>5.5</v>
      </c>
      <c r="F16" s="46">
        <v>5.6</v>
      </c>
    </row>
    <row r="17" spans="1:12" x14ac:dyDescent="0.25">
      <c r="B17" s="54" t="s">
        <v>31</v>
      </c>
      <c r="C17" s="55">
        <f>C13</f>
        <v>100000.00000000054</v>
      </c>
      <c r="E17" s="63">
        <f>E13</f>
        <v>0</v>
      </c>
      <c r="F17" s="63">
        <f>F13</f>
        <v>0</v>
      </c>
    </row>
    <row r="18" spans="1:12" x14ac:dyDescent="0.25">
      <c r="B18" s="54" t="s">
        <v>42</v>
      </c>
      <c r="C18" s="56">
        <f>C6*C11</f>
        <v>5300000</v>
      </c>
      <c r="E18" s="56">
        <f>E16*C6</f>
        <v>5500000</v>
      </c>
      <c r="F18" s="56">
        <f>F16*C6</f>
        <v>5600000</v>
      </c>
      <c r="K18" s="52" t="s">
        <v>37</v>
      </c>
    </row>
    <row r="19" spans="1:12" x14ac:dyDescent="0.25">
      <c r="B19" s="52" t="s">
        <v>32</v>
      </c>
      <c r="C19" s="57">
        <f>C18+C17</f>
        <v>5400000.0000000009</v>
      </c>
      <c r="E19" s="58">
        <f>E18+E17</f>
        <v>5500000</v>
      </c>
      <c r="F19" s="58">
        <f>F18+F17</f>
        <v>5600000</v>
      </c>
      <c r="K19" s="59">
        <f>C5-C7/1000</f>
        <v>5.28</v>
      </c>
      <c r="L19" s="52" t="s">
        <v>24</v>
      </c>
    </row>
    <row r="20" spans="1:12" x14ac:dyDescent="0.25">
      <c r="B20" s="54" t="s">
        <v>38</v>
      </c>
      <c r="C20" s="58">
        <f>C19+C12</f>
        <v>5280000.0000000009</v>
      </c>
      <c r="E20" s="58">
        <f>E19+E12</f>
        <v>5380000</v>
      </c>
      <c r="F20" s="58">
        <f>F19+F12</f>
        <v>5480000</v>
      </c>
    </row>
    <row r="22" spans="1:12" x14ac:dyDescent="0.25">
      <c r="A22" s="54" t="s">
        <v>39</v>
      </c>
      <c r="B22" s="54" t="s">
        <v>40</v>
      </c>
      <c r="C22" s="62">
        <f>C7</f>
        <v>120</v>
      </c>
      <c r="D22" s="52" t="s">
        <v>41</v>
      </c>
      <c r="E22" s="60">
        <v>1000000</v>
      </c>
      <c r="F22" s="61" t="s">
        <v>27</v>
      </c>
    </row>
    <row r="23" spans="1:12" x14ac:dyDescent="0.25">
      <c r="B23" s="53" t="s">
        <v>27</v>
      </c>
      <c r="C23" s="60">
        <v>1000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B1:M145"/>
  <sheetViews>
    <sheetView zoomScale="110" zoomScaleNormal="110" workbookViewId="0">
      <selection activeCell="D5" sqref="C5:D5"/>
    </sheetView>
  </sheetViews>
  <sheetFormatPr defaultColWidth="9.109375" defaultRowHeight="13.2" x14ac:dyDescent="0.25"/>
  <cols>
    <col min="1" max="1" width="5" style="5" customWidth="1"/>
    <col min="2" max="2" width="16" style="5" customWidth="1"/>
    <col min="3" max="4" width="15.88671875" style="24" customWidth="1"/>
    <col min="5" max="5" width="14.88671875" style="24" customWidth="1"/>
    <col min="6" max="6" width="12.88671875" style="24" customWidth="1"/>
    <col min="7" max="7" width="14" style="24" customWidth="1"/>
    <col min="8" max="8" width="18.33203125" style="24" customWidth="1"/>
    <col min="9" max="9" width="7.6640625" style="5" customWidth="1"/>
    <col min="10" max="10" width="13.109375" style="5" customWidth="1"/>
    <col min="11" max="11" width="12.88671875" style="5" bestFit="1" customWidth="1"/>
    <col min="12" max="12" width="15" style="5" customWidth="1"/>
    <col min="13" max="13" width="5.109375" style="5" customWidth="1"/>
    <col min="14" max="16384" width="9.109375" style="5"/>
  </cols>
  <sheetData>
    <row r="1" spans="2:13" ht="13.8" x14ac:dyDescent="0.25">
      <c r="B1" s="12" t="s">
        <v>18</v>
      </c>
      <c r="D1" s="25"/>
      <c r="J1" s="13" t="s">
        <v>0</v>
      </c>
      <c r="K1" s="23">
        <v>0.1</v>
      </c>
      <c r="L1" s="13"/>
      <c r="M1" s="13"/>
    </row>
    <row r="2" spans="2:13" ht="13.8" x14ac:dyDescent="0.25">
      <c r="B2" s="12"/>
      <c r="C2" s="65" t="s">
        <v>50</v>
      </c>
      <c r="D2" s="25"/>
      <c r="J2" s="13"/>
      <c r="K2" s="14"/>
      <c r="L2" s="13"/>
      <c r="M2" s="13"/>
    </row>
    <row r="3" spans="2:13" x14ac:dyDescent="0.25">
      <c r="B3" s="1" t="s">
        <v>19</v>
      </c>
      <c r="C3" s="26">
        <v>1000000</v>
      </c>
      <c r="D3" s="26">
        <v>-1000000</v>
      </c>
      <c r="E3" s="26"/>
      <c r="F3" s="26"/>
      <c r="G3" s="26"/>
      <c r="J3" s="13"/>
      <c r="K3" s="13" t="s">
        <v>4</v>
      </c>
      <c r="L3" s="13"/>
      <c r="M3" s="13"/>
    </row>
    <row r="4" spans="2:13" x14ac:dyDescent="0.25">
      <c r="B4" s="4" t="s">
        <v>17</v>
      </c>
      <c r="C4" s="36">
        <v>5.4</v>
      </c>
      <c r="D4" s="36">
        <v>6</v>
      </c>
      <c r="E4" s="36">
        <v>5.8</v>
      </c>
      <c r="F4" s="36"/>
      <c r="G4" s="36"/>
      <c r="J4" s="13"/>
      <c r="K4" s="10" t="s">
        <v>5</v>
      </c>
      <c r="L4" s="13"/>
      <c r="M4" s="13"/>
    </row>
    <row r="5" spans="2:13" x14ac:dyDescent="0.25">
      <c r="B5" s="4" t="s">
        <v>20</v>
      </c>
      <c r="C5" s="26"/>
      <c r="D5" s="26"/>
      <c r="E5" s="26"/>
      <c r="F5" s="26"/>
      <c r="G5" s="26"/>
      <c r="H5" s="24" t="s">
        <v>15</v>
      </c>
      <c r="J5" s="13"/>
      <c r="K5" s="13" t="s">
        <v>6</v>
      </c>
      <c r="L5" s="13"/>
      <c r="M5" s="13"/>
    </row>
    <row r="6" spans="2:13" x14ac:dyDescent="0.25">
      <c r="B6" s="4" t="s">
        <v>3</v>
      </c>
      <c r="C6" s="27">
        <f>C3*C5/1000</f>
        <v>0</v>
      </c>
      <c r="D6" s="27">
        <f>D3*D5/1000</f>
        <v>0</v>
      </c>
      <c r="E6" s="27">
        <f>E3*E5/1000</f>
        <v>0</v>
      </c>
      <c r="F6" s="27">
        <f>F3*F5/1000</f>
        <v>0</v>
      </c>
      <c r="G6" s="27">
        <f>G3*G5/1000</f>
        <v>0</v>
      </c>
      <c r="H6" s="24">
        <f>SUM(C6:G6)</f>
        <v>0</v>
      </c>
      <c r="J6" s="13"/>
      <c r="K6" s="13"/>
      <c r="L6" s="13"/>
      <c r="M6" s="13"/>
    </row>
    <row r="7" spans="2:13" ht="13.8" thickBot="1" x14ac:dyDescent="0.3">
      <c r="B7" s="4" t="s">
        <v>1</v>
      </c>
      <c r="C7" s="26" t="s">
        <v>48</v>
      </c>
      <c r="D7" s="26" t="s">
        <v>49</v>
      </c>
      <c r="E7" s="26" t="s">
        <v>51</v>
      </c>
      <c r="F7" s="26"/>
      <c r="G7" s="26"/>
    </row>
    <row r="8" spans="2:13" ht="13.8" thickTop="1" x14ac:dyDescent="0.25">
      <c r="B8" s="6" t="s">
        <v>7</v>
      </c>
      <c r="C8" s="28" t="s">
        <v>16</v>
      </c>
      <c r="D8" s="29"/>
      <c r="E8" s="29"/>
      <c r="F8" s="29"/>
      <c r="G8" s="29"/>
      <c r="H8" s="30" t="s">
        <v>14</v>
      </c>
      <c r="I8" s="1"/>
      <c r="J8" s="4"/>
      <c r="K8" s="15"/>
      <c r="L8" s="4"/>
    </row>
    <row r="9" spans="2:13" ht="13.8" thickBot="1" x14ac:dyDescent="0.3">
      <c r="B9" s="7" t="s">
        <v>2</v>
      </c>
      <c r="C9" s="32" t="s">
        <v>9</v>
      </c>
      <c r="D9" s="31" t="s">
        <v>10</v>
      </c>
      <c r="E9" s="32" t="s">
        <v>11</v>
      </c>
      <c r="F9" s="31" t="s">
        <v>12</v>
      </c>
      <c r="G9" s="32" t="s">
        <v>13</v>
      </c>
      <c r="H9" s="32" t="s">
        <v>8</v>
      </c>
      <c r="J9" s="66"/>
      <c r="K9" s="66"/>
    </row>
    <row r="10" spans="2:13" ht="13.8" thickTop="1" x14ac:dyDescent="0.25">
      <c r="B10" s="8"/>
      <c r="C10" s="27"/>
      <c r="D10" s="27"/>
      <c r="E10" s="27"/>
      <c r="F10" s="27"/>
      <c r="G10" s="27"/>
      <c r="H10" s="25"/>
      <c r="I10" s="3"/>
      <c r="J10" s="11"/>
      <c r="K10" s="16"/>
      <c r="L10" s="3"/>
    </row>
    <row r="11" spans="2:13" x14ac:dyDescent="0.25">
      <c r="B11" s="23">
        <v>4.5</v>
      </c>
      <c r="C11" s="34">
        <f t="shared" ref="C11:G20" si="0">IF(C$7="F",$B11-C$4,MAX(IF(C$7="C",1,-1)*($B11-C$4),0))*C$3</f>
        <v>900000.00000000035</v>
      </c>
      <c r="D11" s="34">
        <f t="shared" si="0"/>
        <v>0</v>
      </c>
      <c r="E11" s="34">
        <f t="shared" si="0"/>
        <v>0</v>
      </c>
      <c r="F11" s="34">
        <f t="shared" si="0"/>
        <v>0</v>
      </c>
      <c r="G11" s="34">
        <f t="shared" si="0"/>
        <v>0</v>
      </c>
      <c r="H11" s="33">
        <f t="shared" ref="H11:H36" si="1">SUM(C11:G11)-H$6</f>
        <v>900000.00000000035</v>
      </c>
      <c r="I11" s="3"/>
      <c r="J11" s="11"/>
      <c r="K11" s="16"/>
      <c r="L11" s="3"/>
    </row>
    <row r="12" spans="2:13" x14ac:dyDescent="0.25">
      <c r="B12" s="20">
        <f t="shared" ref="B12:B36" si="2">B11+$K$1</f>
        <v>4.5999999999999996</v>
      </c>
      <c r="C12" s="27">
        <f t="shared" si="0"/>
        <v>800000.0000000007</v>
      </c>
      <c r="D12" s="27">
        <f t="shared" si="0"/>
        <v>0</v>
      </c>
      <c r="E12" s="27">
        <f t="shared" si="0"/>
        <v>0</v>
      </c>
      <c r="F12" s="27">
        <f t="shared" si="0"/>
        <v>0</v>
      </c>
      <c r="G12" s="27">
        <f t="shared" si="0"/>
        <v>0</v>
      </c>
      <c r="H12" s="24">
        <f t="shared" si="1"/>
        <v>800000.0000000007</v>
      </c>
      <c r="I12" s="3"/>
      <c r="J12" s="11"/>
      <c r="K12" s="17"/>
      <c r="L12" s="3"/>
    </row>
    <row r="13" spans="2:13" x14ac:dyDescent="0.25">
      <c r="B13" s="20">
        <f t="shared" si="2"/>
        <v>4.6999999999999993</v>
      </c>
      <c r="C13" s="27">
        <f t="shared" si="0"/>
        <v>700000.00000000105</v>
      </c>
      <c r="D13" s="27">
        <f t="shared" si="0"/>
        <v>0</v>
      </c>
      <c r="E13" s="27">
        <f t="shared" si="0"/>
        <v>0</v>
      </c>
      <c r="F13" s="27">
        <f t="shared" si="0"/>
        <v>0</v>
      </c>
      <c r="G13" s="27">
        <f t="shared" si="0"/>
        <v>0</v>
      </c>
      <c r="H13" s="24">
        <f t="shared" si="1"/>
        <v>700000.00000000105</v>
      </c>
      <c r="I13" s="3"/>
      <c r="J13" s="11"/>
      <c r="K13" s="18"/>
      <c r="L13" s="3"/>
    </row>
    <row r="14" spans="2:13" x14ac:dyDescent="0.25">
      <c r="B14" s="20">
        <f t="shared" si="2"/>
        <v>4.7999999999999989</v>
      </c>
      <c r="C14" s="27">
        <f t="shared" si="0"/>
        <v>600000.0000000014</v>
      </c>
      <c r="D14" s="27">
        <f t="shared" si="0"/>
        <v>0</v>
      </c>
      <c r="E14" s="27">
        <f t="shared" si="0"/>
        <v>0</v>
      </c>
      <c r="F14" s="27">
        <f t="shared" si="0"/>
        <v>0</v>
      </c>
      <c r="G14" s="27">
        <f t="shared" si="0"/>
        <v>0</v>
      </c>
      <c r="H14" s="24">
        <f t="shared" si="1"/>
        <v>600000.0000000014</v>
      </c>
      <c r="I14" s="3"/>
      <c r="J14" s="11"/>
      <c r="K14" s="17"/>
      <c r="L14" s="3"/>
    </row>
    <row r="15" spans="2:13" x14ac:dyDescent="0.25">
      <c r="B15" s="20">
        <f t="shared" si="2"/>
        <v>4.8999999999999986</v>
      </c>
      <c r="C15" s="27">
        <f t="shared" si="0"/>
        <v>500000.0000000018</v>
      </c>
      <c r="D15" s="27">
        <f t="shared" si="0"/>
        <v>0</v>
      </c>
      <c r="E15" s="27">
        <f t="shared" si="0"/>
        <v>0</v>
      </c>
      <c r="F15" s="27">
        <f t="shared" si="0"/>
        <v>0</v>
      </c>
      <c r="G15" s="27">
        <f t="shared" si="0"/>
        <v>0</v>
      </c>
      <c r="H15" s="24">
        <f t="shared" si="1"/>
        <v>500000.0000000018</v>
      </c>
      <c r="I15" s="3"/>
      <c r="J15" s="11"/>
      <c r="K15" s="11"/>
      <c r="L15" s="3"/>
    </row>
    <row r="16" spans="2:13" x14ac:dyDescent="0.25">
      <c r="B16" s="21">
        <f t="shared" si="2"/>
        <v>4.9999999999999982</v>
      </c>
      <c r="C16" s="34">
        <f t="shared" si="0"/>
        <v>400000.00000000215</v>
      </c>
      <c r="D16" s="34">
        <f t="shared" si="0"/>
        <v>0</v>
      </c>
      <c r="E16" s="34">
        <f t="shared" si="0"/>
        <v>0</v>
      </c>
      <c r="F16" s="34">
        <f t="shared" si="0"/>
        <v>0</v>
      </c>
      <c r="G16" s="34">
        <f t="shared" si="0"/>
        <v>0</v>
      </c>
      <c r="H16" s="33">
        <f t="shared" si="1"/>
        <v>400000.00000000215</v>
      </c>
      <c r="I16" s="2"/>
      <c r="J16" s="11"/>
      <c r="K16" s="11"/>
      <c r="L16" s="3"/>
    </row>
    <row r="17" spans="2:12" x14ac:dyDescent="0.25">
      <c r="B17" s="20">
        <f t="shared" si="2"/>
        <v>5.0999999999999979</v>
      </c>
      <c r="C17" s="27">
        <f t="shared" si="0"/>
        <v>300000.0000000025</v>
      </c>
      <c r="D17" s="27">
        <f t="shared" si="0"/>
        <v>0</v>
      </c>
      <c r="E17" s="27">
        <f t="shared" si="0"/>
        <v>0</v>
      </c>
      <c r="F17" s="27">
        <f t="shared" si="0"/>
        <v>0</v>
      </c>
      <c r="G17" s="27">
        <f t="shared" si="0"/>
        <v>0</v>
      </c>
      <c r="H17" s="24">
        <f t="shared" si="1"/>
        <v>300000.0000000025</v>
      </c>
      <c r="I17" s="2"/>
      <c r="J17" s="11"/>
      <c r="K17" s="11"/>
      <c r="L17" s="3"/>
    </row>
    <row r="18" spans="2:12" x14ac:dyDescent="0.25">
      <c r="B18" s="20">
        <f t="shared" si="2"/>
        <v>5.1999999999999975</v>
      </c>
      <c r="C18" s="27">
        <f t="shared" si="0"/>
        <v>200000.00000000285</v>
      </c>
      <c r="D18" s="27">
        <f t="shared" si="0"/>
        <v>0</v>
      </c>
      <c r="E18" s="27">
        <f t="shared" si="0"/>
        <v>0</v>
      </c>
      <c r="F18" s="27">
        <f t="shared" si="0"/>
        <v>0</v>
      </c>
      <c r="G18" s="27">
        <f t="shared" si="0"/>
        <v>0</v>
      </c>
      <c r="H18" s="24">
        <f t="shared" si="1"/>
        <v>200000.00000000285</v>
      </c>
      <c r="I18" s="2"/>
      <c r="J18" s="11"/>
      <c r="K18" s="11"/>
      <c r="L18" s="3"/>
    </row>
    <row r="19" spans="2:12" x14ac:dyDescent="0.25">
      <c r="B19" s="20">
        <f t="shared" si="2"/>
        <v>5.2999999999999972</v>
      </c>
      <c r="C19" s="27">
        <f t="shared" si="0"/>
        <v>100000.0000000032</v>
      </c>
      <c r="D19" s="27">
        <f t="shared" si="0"/>
        <v>0</v>
      </c>
      <c r="E19" s="27">
        <f t="shared" si="0"/>
        <v>0</v>
      </c>
      <c r="F19" s="27">
        <f t="shared" si="0"/>
        <v>0</v>
      </c>
      <c r="G19" s="27">
        <f t="shared" si="0"/>
        <v>0</v>
      </c>
      <c r="H19" s="24">
        <f t="shared" si="1"/>
        <v>100000.0000000032</v>
      </c>
      <c r="I19" s="3"/>
      <c r="J19" s="11"/>
      <c r="K19" s="11"/>
      <c r="L19" s="3"/>
    </row>
    <row r="20" spans="2:12" x14ac:dyDescent="0.25">
      <c r="B20" s="20">
        <f t="shared" si="2"/>
        <v>5.3999999999999968</v>
      </c>
      <c r="C20" s="27">
        <f t="shared" si="0"/>
        <v>3.5527136788005009E-9</v>
      </c>
      <c r="D20" s="27">
        <f t="shared" si="0"/>
        <v>0</v>
      </c>
      <c r="E20" s="27">
        <f t="shared" si="0"/>
        <v>0</v>
      </c>
      <c r="F20" s="27">
        <f t="shared" si="0"/>
        <v>0</v>
      </c>
      <c r="G20" s="27">
        <f t="shared" si="0"/>
        <v>0</v>
      </c>
      <c r="H20" s="24">
        <f t="shared" si="1"/>
        <v>3.5527136788005009E-9</v>
      </c>
      <c r="I20" s="9"/>
      <c r="J20" s="11"/>
      <c r="K20" s="11"/>
      <c r="L20" s="3"/>
    </row>
    <row r="21" spans="2:12" x14ac:dyDescent="0.25">
      <c r="B21" s="21">
        <f t="shared" si="2"/>
        <v>5.4999999999999964</v>
      </c>
      <c r="C21" s="34">
        <f t="shared" ref="C21:G30" si="3">IF(C$7="F",$B21-C$4,MAX(IF(C$7="C",1,-1)*($B21-C$4),0))*C$3</f>
        <v>0</v>
      </c>
      <c r="D21" s="34">
        <f t="shared" si="3"/>
        <v>0</v>
      </c>
      <c r="E21" s="34">
        <f t="shared" si="3"/>
        <v>0</v>
      </c>
      <c r="F21" s="34">
        <f t="shared" si="3"/>
        <v>0</v>
      </c>
      <c r="G21" s="34">
        <f t="shared" si="3"/>
        <v>0</v>
      </c>
      <c r="H21" s="33">
        <f t="shared" si="1"/>
        <v>0</v>
      </c>
      <c r="I21" s="19"/>
      <c r="J21" s="37"/>
      <c r="K21" s="11"/>
      <c r="L21" s="3"/>
    </row>
    <row r="22" spans="2:12" x14ac:dyDescent="0.25">
      <c r="B22" s="22">
        <f t="shared" si="2"/>
        <v>5.5999999999999961</v>
      </c>
      <c r="C22" s="35">
        <f t="shared" si="3"/>
        <v>0</v>
      </c>
      <c r="D22" s="35">
        <f t="shared" si="3"/>
        <v>0</v>
      </c>
      <c r="E22" s="35">
        <f t="shared" si="3"/>
        <v>0</v>
      </c>
      <c r="F22" s="35">
        <f t="shared" si="3"/>
        <v>0</v>
      </c>
      <c r="G22" s="35">
        <f t="shared" si="3"/>
        <v>0</v>
      </c>
      <c r="H22" s="24">
        <f t="shared" si="1"/>
        <v>0</v>
      </c>
      <c r="I22" s="19"/>
      <c r="J22" s="11"/>
      <c r="K22" s="11"/>
      <c r="L22" s="3"/>
    </row>
    <row r="23" spans="2:12" x14ac:dyDescent="0.25">
      <c r="B23" s="22">
        <f t="shared" si="2"/>
        <v>5.6999999999999957</v>
      </c>
      <c r="C23" s="35">
        <f t="shared" si="3"/>
        <v>0</v>
      </c>
      <c r="D23" s="35">
        <f t="shared" si="3"/>
        <v>0</v>
      </c>
      <c r="E23" s="35">
        <f t="shared" si="3"/>
        <v>0</v>
      </c>
      <c r="F23" s="35">
        <f t="shared" si="3"/>
        <v>0</v>
      </c>
      <c r="G23" s="35">
        <f t="shared" si="3"/>
        <v>0</v>
      </c>
      <c r="H23" s="24">
        <f t="shared" si="1"/>
        <v>0</v>
      </c>
      <c r="I23" s="19"/>
      <c r="J23" s="11"/>
      <c r="K23" s="11"/>
      <c r="L23" s="3"/>
    </row>
    <row r="24" spans="2:12" x14ac:dyDescent="0.25">
      <c r="B24" s="22">
        <f t="shared" si="2"/>
        <v>5.7999999999999954</v>
      </c>
      <c r="C24" s="35">
        <f t="shared" si="3"/>
        <v>0</v>
      </c>
      <c r="D24" s="35">
        <f t="shared" si="3"/>
        <v>0</v>
      </c>
      <c r="E24" s="35">
        <f t="shared" si="3"/>
        <v>0</v>
      </c>
      <c r="F24" s="35">
        <f t="shared" si="3"/>
        <v>0</v>
      </c>
      <c r="G24" s="35">
        <f t="shared" si="3"/>
        <v>0</v>
      </c>
      <c r="H24" s="24">
        <f t="shared" si="1"/>
        <v>0</v>
      </c>
      <c r="I24" s="19"/>
      <c r="J24" s="11"/>
      <c r="K24" s="11"/>
      <c r="L24" s="3"/>
    </row>
    <row r="25" spans="2:12" x14ac:dyDescent="0.25">
      <c r="B25" s="22">
        <f t="shared" si="2"/>
        <v>5.899999999999995</v>
      </c>
      <c r="C25" s="35">
        <f t="shared" si="3"/>
        <v>0</v>
      </c>
      <c r="D25" s="35">
        <f t="shared" si="3"/>
        <v>0</v>
      </c>
      <c r="E25" s="35">
        <f t="shared" si="3"/>
        <v>0</v>
      </c>
      <c r="F25" s="35">
        <f t="shared" si="3"/>
        <v>0</v>
      </c>
      <c r="G25" s="35">
        <f t="shared" si="3"/>
        <v>0</v>
      </c>
      <c r="H25" s="24">
        <f t="shared" si="1"/>
        <v>0</v>
      </c>
      <c r="I25" s="3"/>
      <c r="J25" s="11"/>
      <c r="K25" s="11"/>
      <c r="L25" s="3"/>
    </row>
    <row r="26" spans="2:12" x14ac:dyDescent="0.25">
      <c r="B26" s="21">
        <f t="shared" si="2"/>
        <v>5.9999999999999947</v>
      </c>
      <c r="C26" s="34">
        <f t="shared" si="3"/>
        <v>0</v>
      </c>
      <c r="D26" s="34">
        <f t="shared" si="3"/>
        <v>0</v>
      </c>
      <c r="E26" s="34">
        <f t="shared" si="3"/>
        <v>0</v>
      </c>
      <c r="F26" s="34">
        <f t="shared" si="3"/>
        <v>0</v>
      </c>
      <c r="G26" s="34">
        <f t="shared" si="3"/>
        <v>0</v>
      </c>
      <c r="H26" s="33">
        <f t="shared" si="1"/>
        <v>0</v>
      </c>
      <c r="I26" s="3"/>
      <c r="J26" s="11"/>
      <c r="K26" s="11"/>
      <c r="L26" s="3"/>
    </row>
    <row r="27" spans="2:12" x14ac:dyDescent="0.25">
      <c r="B27" s="20">
        <f t="shared" si="2"/>
        <v>6.0999999999999943</v>
      </c>
      <c r="C27" s="27">
        <f t="shared" si="3"/>
        <v>0</v>
      </c>
      <c r="D27" s="27">
        <f t="shared" si="3"/>
        <v>-99999.99999999431</v>
      </c>
      <c r="E27" s="27">
        <f t="shared" si="3"/>
        <v>0</v>
      </c>
      <c r="F27" s="27">
        <f t="shared" si="3"/>
        <v>0</v>
      </c>
      <c r="G27" s="27">
        <f t="shared" si="3"/>
        <v>0</v>
      </c>
      <c r="H27" s="24">
        <f t="shared" si="1"/>
        <v>-99999.99999999431</v>
      </c>
      <c r="I27" s="3"/>
      <c r="J27" s="11"/>
      <c r="K27" s="11"/>
      <c r="L27" s="3"/>
    </row>
    <row r="28" spans="2:12" x14ac:dyDescent="0.25">
      <c r="B28" s="20">
        <f t="shared" si="2"/>
        <v>6.199999999999994</v>
      </c>
      <c r="C28" s="27">
        <f t="shared" si="3"/>
        <v>0</v>
      </c>
      <c r="D28" s="27">
        <f t="shared" si="3"/>
        <v>-199999.99999999395</v>
      </c>
      <c r="E28" s="27">
        <f t="shared" si="3"/>
        <v>0</v>
      </c>
      <c r="F28" s="27">
        <f t="shared" si="3"/>
        <v>0</v>
      </c>
      <c r="G28" s="27">
        <f t="shared" si="3"/>
        <v>0</v>
      </c>
      <c r="H28" s="24">
        <f t="shared" si="1"/>
        <v>-199999.99999999395</v>
      </c>
      <c r="I28" s="3"/>
      <c r="J28" s="11"/>
      <c r="K28" s="11"/>
      <c r="L28" s="3"/>
    </row>
    <row r="29" spans="2:12" x14ac:dyDescent="0.25">
      <c r="B29" s="20">
        <f t="shared" si="2"/>
        <v>6.2999999999999936</v>
      </c>
      <c r="C29" s="27">
        <f t="shared" si="3"/>
        <v>0</v>
      </c>
      <c r="D29" s="27">
        <f t="shared" si="3"/>
        <v>-299999.9999999936</v>
      </c>
      <c r="E29" s="27">
        <f t="shared" si="3"/>
        <v>0</v>
      </c>
      <c r="F29" s="27">
        <f t="shared" si="3"/>
        <v>0</v>
      </c>
      <c r="G29" s="27">
        <f t="shared" si="3"/>
        <v>0</v>
      </c>
      <c r="H29" s="24">
        <f t="shared" si="1"/>
        <v>-299999.9999999936</v>
      </c>
      <c r="I29" s="3"/>
      <c r="J29" s="11"/>
      <c r="K29" s="11"/>
      <c r="L29" s="3"/>
    </row>
    <row r="30" spans="2:12" x14ac:dyDescent="0.25">
      <c r="B30" s="20">
        <f t="shared" si="2"/>
        <v>6.3999999999999932</v>
      </c>
      <c r="C30" s="27">
        <f t="shared" si="3"/>
        <v>0</v>
      </c>
      <c r="D30" s="27">
        <f t="shared" si="3"/>
        <v>-399999.99999999325</v>
      </c>
      <c r="E30" s="27">
        <f t="shared" si="3"/>
        <v>0</v>
      </c>
      <c r="F30" s="27">
        <f t="shared" si="3"/>
        <v>0</v>
      </c>
      <c r="G30" s="27">
        <f t="shared" si="3"/>
        <v>0</v>
      </c>
      <c r="H30" s="24">
        <f t="shared" si="1"/>
        <v>-399999.99999999325</v>
      </c>
      <c r="I30" s="3"/>
      <c r="J30" s="11"/>
      <c r="K30" s="11"/>
      <c r="L30" s="3"/>
    </row>
    <row r="31" spans="2:12" x14ac:dyDescent="0.25">
      <c r="B31" s="21">
        <f t="shared" si="2"/>
        <v>6.4999999999999929</v>
      </c>
      <c r="C31" s="34">
        <f t="shared" ref="C31:G36" si="4">IF(C$7="F",$B31-C$4,MAX(IF(C$7="C",1,-1)*($B31-C$4),0))*C$3</f>
        <v>0</v>
      </c>
      <c r="D31" s="34">
        <f t="shared" si="4"/>
        <v>-499999.9999999929</v>
      </c>
      <c r="E31" s="34">
        <f t="shared" si="4"/>
        <v>0</v>
      </c>
      <c r="F31" s="34">
        <f t="shared" si="4"/>
        <v>0</v>
      </c>
      <c r="G31" s="34">
        <f t="shared" si="4"/>
        <v>0</v>
      </c>
      <c r="H31" s="33">
        <f t="shared" si="1"/>
        <v>-499999.9999999929</v>
      </c>
      <c r="I31" s="3"/>
      <c r="J31" s="11"/>
      <c r="K31" s="11"/>
      <c r="L31" s="3"/>
    </row>
    <row r="32" spans="2:12" x14ac:dyDescent="0.25">
      <c r="B32" s="20">
        <f t="shared" si="2"/>
        <v>6.5999999999999925</v>
      </c>
      <c r="C32" s="27">
        <f t="shared" si="4"/>
        <v>0</v>
      </c>
      <c r="D32" s="27">
        <f t="shared" si="4"/>
        <v>-599999.99999999255</v>
      </c>
      <c r="E32" s="27">
        <f t="shared" si="4"/>
        <v>0</v>
      </c>
      <c r="F32" s="27">
        <f t="shared" si="4"/>
        <v>0</v>
      </c>
      <c r="G32" s="27">
        <f t="shared" si="4"/>
        <v>0</v>
      </c>
      <c r="H32" s="24">
        <f t="shared" si="1"/>
        <v>-599999.99999999255</v>
      </c>
      <c r="I32" s="3"/>
      <c r="J32" s="11"/>
      <c r="K32" s="11"/>
      <c r="L32" s="3"/>
    </row>
    <row r="33" spans="2:12" x14ac:dyDescent="0.25">
      <c r="B33" s="20">
        <f t="shared" si="2"/>
        <v>6.6999999999999922</v>
      </c>
      <c r="C33" s="27">
        <f t="shared" si="4"/>
        <v>0</v>
      </c>
      <c r="D33" s="27">
        <f t="shared" si="4"/>
        <v>-699999.9999999922</v>
      </c>
      <c r="E33" s="27">
        <f t="shared" si="4"/>
        <v>0</v>
      </c>
      <c r="F33" s="27">
        <f t="shared" si="4"/>
        <v>0</v>
      </c>
      <c r="G33" s="27">
        <f t="shared" si="4"/>
        <v>0</v>
      </c>
      <c r="H33" s="24">
        <f t="shared" si="1"/>
        <v>-699999.9999999922</v>
      </c>
      <c r="I33" s="3"/>
      <c r="J33" s="11"/>
      <c r="K33" s="11"/>
      <c r="L33" s="3"/>
    </row>
    <row r="34" spans="2:12" x14ac:dyDescent="0.25">
      <c r="B34" s="20">
        <f t="shared" si="2"/>
        <v>6.7999999999999918</v>
      </c>
      <c r="C34" s="27">
        <f t="shared" si="4"/>
        <v>0</v>
      </c>
      <c r="D34" s="27">
        <f t="shared" si="4"/>
        <v>-799999.99999999185</v>
      </c>
      <c r="E34" s="27">
        <f t="shared" si="4"/>
        <v>0</v>
      </c>
      <c r="F34" s="27">
        <f t="shared" si="4"/>
        <v>0</v>
      </c>
      <c r="G34" s="27">
        <f t="shared" si="4"/>
        <v>0</v>
      </c>
      <c r="H34" s="24">
        <f t="shared" si="1"/>
        <v>-799999.99999999185</v>
      </c>
      <c r="I34" s="3"/>
      <c r="J34" s="11"/>
      <c r="K34" s="11"/>
      <c r="L34" s="3"/>
    </row>
    <row r="35" spans="2:12" x14ac:dyDescent="0.25">
      <c r="B35" s="20">
        <f t="shared" si="2"/>
        <v>6.8999999999999915</v>
      </c>
      <c r="C35" s="27">
        <f t="shared" si="4"/>
        <v>0</v>
      </c>
      <c r="D35" s="27">
        <f t="shared" si="4"/>
        <v>-899999.9999999915</v>
      </c>
      <c r="E35" s="27">
        <f t="shared" si="4"/>
        <v>0</v>
      </c>
      <c r="F35" s="27">
        <f t="shared" si="4"/>
        <v>0</v>
      </c>
      <c r="G35" s="27">
        <f t="shared" si="4"/>
        <v>0</v>
      </c>
      <c r="H35" s="24">
        <f t="shared" si="1"/>
        <v>-899999.9999999915</v>
      </c>
      <c r="I35" s="3"/>
      <c r="J35" s="11"/>
      <c r="K35" s="11"/>
      <c r="L35" s="3"/>
    </row>
    <row r="36" spans="2:12" x14ac:dyDescent="0.25">
      <c r="B36" s="21">
        <f t="shared" si="2"/>
        <v>6.9999999999999911</v>
      </c>
      <c r="C36" s="34">
        <f t="shared" si="4"/>
        <v>0</v>
      </c>
      <c r="D36" s="34">
        <f t="shared" si="4"/>
        <v>-999999.99999999115</v>
      </c>
      <c r="E36" s="34">
        <f t="shared" si="4"/>
        <v>0</v>
      </c>
      <c r="F36" s="34">
        <f t="shared" si="4"/>
        <v>0</v>
      </c>
      <c r="G36" s="34">
        <f t="shared" si="4"/>
        <v>0</v>
      </c>
      <c r="H36" s="33">
        <f t="shared" si="1"/>
        <v>-999999.99999999115</v>
      </c>
    </row>
    <row r="37" spans="2:12" x14ac:dyDescent="0.25">
      <c r="C37" s="27"/>
      <c r="D37" s="27"/>
      <c r="E37" s="27"/>
      <c r="F37" s="27"/>
    </row>
    <row r="38" spans="2:12" x14ac:dyDescent="0.25">
      <c r="C38" s="27"/>
      <c r="D38" s="27"/>
      <c r="E38" s="27"/>
      <c r="F38" s="27"/>
    </row>
    <row r="39" spans="2:12" x14ac:dyDescent="0.25">
      <c r="C39" s="27"/>
      <c r="D39" s="27"/>
      <c r="E39" s="27"/>
      <c r="F39" s="27"/>
    </row>
    <row r="40" spans="2:12" x14ac:dyDescent="0.25">
      <c r="C40" s="27"/>
      <c r="D40" s="27"/>
      <c r="E40" s="27"/>
      <c r="F40" s="27"/>
    </row>
    <row r="41" spans="2:12" x14ac:dyDescent="0.25">
      <c r="C41" s="27"/>
      <c r="D41" s="27"/>
      <c r="E41" s="27"/>
      <c r="F41" s="27"/>
    </row>
    <row r="42" spans="2:12" x14ac:dyDescent="0.25">
      <c r="C42" s="27"/>
      <c r="D42" s="27"/>
      <c r="E42" s="27"/>
      <c r="F42" s="27"/>
    </row>
    <row r="43" spans="2:12" x14ac:dyDescent="0.25">
      <c r="C43" s="27"/>
      <c r="D43" s="27"/>
      <c r="E43" s="27"/>
      <c r="F43" s="27"/>
    </row>
    <row r="44" spans="2:12" x14ac:dyDescent="0.25">
      <c r="C44" s="27"/>
      <c r="D44" s="27"/>
      <c r="E44" s="27"/>
      <c r="F44" s="27"/>
    </row>
    <row r="45" spans="2:12" x14ac:dyDescent="0.25">
      <c r="C45" s="27"/>
      <c r="D45" s="27"/>
      <c r="E45" s="27"/>
      <c r="F45" s="27"/>
    </row>
    <row r="46" spans="2:12" x14ac:dyDescent="0.25">
      <c r="C46" s="27"/>
      <c r="D46" s="27"/>
      <c r="E46" s="27"/>
      <c r="F46" s="27"/>
    </row>
    <row r="47" spans="2:12" x14ac:dyDescent="0.25">
      <c r="C47" s="27"/>
      <c r="D47" s="27"/>
      <c r="E47" s="27"/>
      <c r="F47" s="27"/>
    </row>
    <row r="48" spans="2:12" x14ac:dyDescent="0.25">
      <c r="C48" s="27"/>
      <c r="D48" s="27"/>
      <c r="E48" s="27"/>
      <c r="F48" s="27"/>
    </row>
    <row r="49" spans="3:6" x14ac:dyDescent="0.25">
      <c r="C49" s="27"/>
      <c r="D49" s="27"/>
      <c r="E49" s="27"/>
      <c r="F49" s="27"/>
    </row>
    <row r="50" spans="3:6" x14ac:dyDescent="0.25">
      <c r="C50" s="27"/>
      <c r="D50" s="27"/>
      <c r="E50" s="27"/>
      <c r="F50" s="27"/>
    </row>
    <row r="51" spans="3:6" x14ac:dyDescent="0.25">
      <c r="C51" s="27"/>
      <c r="D51" s="27"/>
      <c r="E51" s="27"/>
      <c r="F51" s="27"/>
    </row>
    <row r="52" spans="3:6" x14ac:dyDescent="0.25">
      <c r="C52" s="27"/>
      <c r="D52" s="27"/>
      <c r="E52" s="27"/>
      <c r="F52" s="27"/>
    </row>
    <row r="53" spans="3:6" x14ac:dyDescent="0.25">
      <c r="C53" s="27"/>
      <c r="D53" s="27"/>
      <c r="E53" s="27"/>
      <c r="F53" s="27"/>
    </row>
    <row r="54" spans="3:6" x14ac:dyDescent="0.25">
      <c r="C54" s="27"/>
      <c r="D54" s="27"/>
      <c r="E54" s="27"/>
      <c r="F54" s="27"/>
    </row>
    <row r="55" spans="3:6" x14ac:dyDescent="0.25">
      <c r="C55" s="27"/>
      <c r="D55" s="27"/>
      <c r="E55" s="27"/>
      <c r="F55" s="27"/>
    </row>
    <row r="56" spans="3:6" x14ac:dyDescent="0.25">
      <c r="C56" s="27"/>
      <c r="D56" s="27"/>
      <c r="E56" s="27"/>
      <c r="F56" s="27"/>
    </row>
    <row r="57" spans="3:6" x14ac:dyDescent="0.25">
      <c r="C57" s="27"/>
      <c r="D57" s="27"/>
      <c r="E57" s="27"/>
      <c r="F57" s="27"/>
    </row>
    <row r="58" spans="3:6" x14ac:dyDescent="0.25">
      <c r="C58" s="27"/>
      <c r="D58" s="27"/>
      <c r="E58" s="27"/>
      <c r="F58" s="27"/>
    </row>
    <row r="59" spans="3:6" x14ac:dyDescent="0.25">
      <c r="C59" s="27"/>
      <c r="D59" s="27"/>
      <c r="E59" s="27"/>
      <c r="F59" s="27"/>
    </row>
    <row r="60" spans="3:6" x14ac:dyDescent="0.25">
      <c r="C60" s="27"/>
      <c r="D60" s="27"/>
      <c r="E60" s="27"/>
      <c r="F60" s="27"/>
    </row>
    <row r="61" spans="3:6" x14ac:dyDescent="0.25">
      <c r="C61" s="27"/>
      <c r="D61" s="27"/>
      <c r="E61" s="27"/>
      <c r="F61" s="27"/>
    </row>
    <row r="62" spans="3:6" x14ac:dyDescent="0.25">
      <c r="C62" s="27"/>
      <c r="D62" s="27"/>
      <c r="E62" s="27"/>
      <c r="F62" s="27"/>
    </row>
    <row r="63" spans="3:6" x14ac:dyDescent="0.25">
      <c r="C63" s="27"/>
      <c r="D63" s="27"/>
      <c r="E63" s="27"/>
      <c r="F63" s="27"/>
    </row>
    <row r="64" spans="3:6" x14ac:dyDescent="0.25">
      <c r="C64" s="27"/>
      <c r="D64" s="27"/>
      <c r="E64" s="27"/>
      <c r="F64" s="27"/>
    </row>
    <row r="65" spans="3:6" x14ac:dyDescent="0.25">
      <c r="C65" s="27"/>
      <c r="D65" s="27"/>
      <c r="E65" s="27"/>
      <c r="F65" s="27"/>
    </row>
    <row r="66" spans="3:6" x14ac:dyDescent="0.25">
      <c r="C66" s="27"/>
      <c r="D66" s="27"/>
      <c r="E66" s="27"/>
      <c r="F66" s="27"/>
    </row>
    <row r="67" spans="3:6" x14ac:dyDescent="0.25">
      <c r="C67" s="27"/>
      <c r="D67" s="27"/>
      <c r="E67" s="27"/>
      <c r="F67" s="27"/>
    </row>
    <row r="68" spans="3:6" x14ac:dyDescent="0.25">
      <c r="C68" s="27"/>
      <c r="D68" s="27"/>
      <c r="E68" s="27"/>
      <c r="F68" s="27"/>
    </row>
    <row r="69" spans="3:6" x14ac:dyDescent="0.25">
      <c r="C69" s="27"/>
      <c r="D69" s="27"/>
      <c r="E69" s="27"/>
      <c r="F69" s="27"/>
    </row>
    <row r="70" spans="3:6" x14ac:dyDescent="0.25">
      <c r="C70" s="27"/>
      <c r="D70" s="27"/>
      <c r="E70" s="27"/>
      <c r="F70" s="27"/>
    </row>
    <row r="71" spans="3:6" x14ac:dyDescent="0.25">
      <c r="C71" s="27"/>
      <c r="D71" s="27"/>
      <c r="E71" s="27"/>
      <c r="F71" s="27"/>
    </row>
    <row r="72" spans="3:6" x14ac:dyDescent="0.25">
      <c r="C72" s="27"/>
      <c r="D72" s="27"/>
      <c r="E72" s="27"/>
      <c r="F72" s="27"/>
    </row>
    <row r="73" spans="3:6" x14ac:dyDescent="0.25">
      <c r="C73" s="27"/>
      <c r="D73" s="27"/>
      <c r="E73" s="27"/>
      <c r="F73" s="27"/>
    </row>
    <row r="74" spans="3:6" x14ac:dyDescent="0.25">
      <c r="C74" s="27"/>
      <c r="D74" s="27"/>
      <c r="E74" s="27"/>
      <c r="F74" s="27"/>
    </row>
    <row r="75" spans="3:6" x14ac:dyDescent="0.25">
      <c r="C75" s="27"/>
      <c r="D75" s="27"/>
      <c r="E75" s="27"/>
      <c r="F75" s="27"/>
    </row>
    <row r="76" spans="3:6" x14ac:dyDescent="0.25">
      <c r="C76" s="27"/>
      <c r="D76" s="27"/>
      <c r="E76" s="27"/>
      <c r="F76" s="27"/>
    </row>
    <row r="77" spans="3:6" x14ac:dyDescent="0.25">
      <c r="C77" s="27"/>
      <c r="D77" s="27"/>
      <c r="E77" s="27"/>
      <c r="F77" s="27"/>
    </row>
    <row r="78" spans="3:6" x14ac:dyDescent="0.25">
      <c r="C78" s="27"/>
      <c r="D78" s="27"/>
      <c r="E78" s="27"/>
      <c r="F78" s="27"/>
    </row>
    <row r="79" spans="3:6" x14ac:dyDescent="0.25">
      <c r="C79" s="27"/>
      <c r="D79" s="27"/>
      <c r="E79" s="27"/>
      <c r="F79" s="27"/>
    </row>
    <row r="80" spans="3:6" x14ac:dyDescent="0.25">
      <c r="C80" s="27"/>
      <c r="D80" s="27"/>
      <c r="E80" s="27"/>
      <c r="F80" s="27"/>
    </row>
    <row r="81" spans="3:6" x14ac:dyDescent="0.25">
      <c r="C81" s="27"/>
      <c r="D81" s="27"/>
      <c r="E81" s="27"/>
      <c r="F81" s="27"/>
    </row>
    <row r="82" spans="3:6" x14ac:dyDescent="0.25">
      <c r="C82" s="27"/>
      <c r="D82" s="27"/>
      <c r="E82" s="27"/>
      <c r="F82" s="27"/>
    </row>
    <row r="83" spans="3:6" x14ac:dyDescent="0.25">
      <c r="C83" s="27"/>
      <c r="D83" s="27"/>
      <c r="E83" s="27"/>
      <c r="F83" s="27"/>
    </row>
    <row r="84" spans="3:6" x14ac:dyDescent="0.25">
      <c r="C84" s="27"/>
      <c r="D84" s="27"/>
      <c r="E84" s="27"/>
      <c r="F84" s="27"/>
    </row>
    <row r="85" spans="3:6" x14ac:dyDescent="0.25">
      <c r="C85" s="27"/>
      <c r="D85" s="27"/>
      <c r="E85" s="27"/>
      <c r="F85" s="27"/>
    </row>
    <row r="86" spans="3:6" x14ac:dyDescent="0.25">
      <c r="C86" s="27"/>
      <c r="D86" s="27"/>
      <c r="E86" s="27"/>
      <c r="F86" s="27"/>
    </row>
    <row r="87" spans="3:6" x14ac:dyDescent="0.25">
      <c r="C87" s="27"/>
      <c r="D87" s="27"/>
      <c r="E87" s="27"/>
      <c r="F87" s="27"/>
    </row>
    <row r="88" spans="3:6" x14ac:dyDescent="0.25">
      <c r="C88" s="27"/>
      <c r="D88" s="27"/>
      <c r="E88" s="27"/>
      <c r="F88" s="27"/>
    </row>
    <row r="89" spans="3:6" x14ac:dyDescent="0.25">
      <c r="C89" s="27"/>
      <c r="D89" s="27"/>
      <c r="E89" s="27"/>
      <c r="F89" s="27"/>
    </row>
    <row r="90" spans="3:6" x14ac:dyDescent="0.25">
      <c r="C90" s="27"/>
      <c r="D90" s="27"/>
      <c r="E90" s="27"/>
      <c r="F90" s="27"/>
    </row>
    <row r="91" spans="3:6" x14ac:dyDescent="0.25">
      <c r="C91" s="27"/>
      <c r="D91" s="27"/>
      <c r="E91" s="27"/>
      <c r="F91" s="27"/>
    </row>
    <row r="92" spans="3:6" x14ac:dyDescent="0.25">
      <c r="C92" s="27"/>
      <c r="D92" s="27"/>
      <c r="E92" s="27"/>
      <c r="F92" s="27"/>
    </row>
    <row r="93" spans="3:6" x14ac:dyDescent="0.25">
      <c r="C93" s="27"/>
      <c r="D93" s="27"/>
      <c r="E93" s="27"/>
      <c r="F93" s="27"/>
    </row>
    <row r="94" spans="3:6" x14ac:dyDescent="0.25">
      <c r="C94" s="27"/>
      <c r="D94" s="27"/>
      <c r="E94" s="27"/>
      <c r="F94" s="27"/>
    </row>
    <row r="95" spans="3:6" x14ac:dyDescent="0.25">
      <c r="C95" s="27"/>
      <c r="D95" s="27"/>
      <c r="E95" s="27"/>
      <c r="F95" s="27"/>
    </row>
    <row r="96" spans="3:6" x14ac:dyDescent="0.25">
      <c r="C96" s="27"/>
      <c r="D96" s="27"/>
      <c r="E96" s="27"/>
      <c r="F96" s="27"/>
    </row>
    <row r="97" spans="3:6" x14ac:dyDescent="0.25">
      <c r="C97" s="27"/>
      <c r="D97" s="27"/>
      <c r="E97" s="27"/>
      <c r="F97" s="27"/>
    </row>
    <row r="98" spans="3:6" x14ac:dyDescent="0.25">
      <c r="C98" s="27"/>
      <c r="D98" s="27"/>
      <c r="E98" s="27"/>
      <c r="F98" s="27"/>
    </row>
    <row r="99" spans="3:6" x14ac:dyDescent="0.25">
      <c r="C99" s="27"/>
      <c r="D99" s="27"/>
      <c r="E99" s="27"/>
      <c r="F99" s="27"/>
    </row>
    <row r="100" spans="3:6" x14ac:dyDescent="0.25">
      <c r="C100" s="27"/>
      <c r="D100" s="27"/>
      <c r="E100" s="27"/>
      <c r="F100" s="27"/>
    </row>
    <row r="101" spans="3:6" x14ac:dyDescent="0.25">
      <c r="C101" s="27"/>
      <c r="D101" s="27"/>
      <c r="E101" s="27"/>
      <c r="F101" s="27"/>
    </row>
    <row r="102" spans="3:6" x14ac:dyDescent="0.25">
      <c r="C102" s="27"/>
      <c r="D102" s="27"/>
      <c r="E102" s="27"/>
      <c r="F102" s="27"/>
    </row>
    <row r="103" spans="3:6" x14ac:dyDescent="0.25">
      <c r="C103" s="27"/>
      <c r="D103" s="27"/>
      <c r="E103" s="27"/>
      <c r="F103" s="27"/>
    </row>
    <row r="104" spans="3:6" x14ac:dyDescent="0.25">
      <c r="C104" s="27"/>
      <c r="D104" s="27"/>
      <c r="E104" s="27"/>
      <c r="F104" s="27"/>
    </row>
    <row r="105" spans="3:6" x14ac:dyDescent="0.25">
      <c r="C105" s="27"/>
      <c r="D105" s="27"/>
      <c r="E105" s="27"/>
      <c r="F105" s="27"/>
    </row>
    <row r="106" spans="3:6" x14ac:dyDescent="0.25">
      <c r="C106" s="27"/>
      <c r="D106" s="27"/>
      <c r="E106" s="27"/>
      <c r="F106" s="27"/>
    </row>
    <row r="107" spans="3:6" x14ac:dyDescent="0.25">
      <c r="C107" s="27"/>
      <c r="D107" s="27"/>
      <c r="E107" s="27"/>
      <c r="F107" s="27"/>
    </row>
    <row r="108" spans="3:6" x14ac:dyDescent="0.25">
      <c r="C108" s="27"/>
      <c r="D108" s="27"/>
      <c r="E108" s="27"/>
      <c r="F108" s="27"/>
    </row>
    <row r="109" spans="3:6" x14ac:dyDescent="0.25">
      <c r="C109" s="27"/>
      <c r="D109" s="27"/>
      <c r="E109" s="27"/>
      <c r="F109" s="27"/>
    </row>
    <row r="110" spans="3:6" x14ac:dyDescent="0.25">
      <c r="C110" s="27"/>
      <c r="D110" s="27"/>
      <c r="E110" s="27"/>
      <c r="F110" s="27"/>
    </row>
    <row r="111" spans="3:6" x14ac:dyDescent="0.25">
      <c r="C111" s="27"/>
      <c r="D111" s="27"/>
      <c r="E111" s="27"/>
      <c r="F111" s="27"/>
    </row>
    <row r="112" spans="3:6" x14ac:dyDescent="0.25">
      <c r="C112" s="27"/>
      <c r="D112" s="27"/>
      <c r="E112" s="27"/>
      <c r="F112" s="27"/>
    </row>
    <row r="113" spans="3:6" x14ac:dyDescent="0.25">
      <c r="C113" s="27"/>
      <c r="D113" s="27"/>
      <c r="E113" s="27"/>
      <c r="F113" s="27"/>
    </row>
    <row r="114" spans="3:6" x14ac:dyDescent="0.25">
      <c r="C114" s="27"/>
      <c r="D114" s="27"/>
      <c r="E114" s="27"/>
      <c r="F114" s="27"/>
    </row>
    <row r="115" spans="3:6" x14ac:dyDescent="0.25">
      <c r="C115" s="27"/>
      <c r="D115" s="27"/>
      <c r="E115" s="27"/>
      <c r="F115" s="27"/>
    </row>
    <row r="116" spans="3:6" x14ac:dyDescent="0.25">
      <c r="C116" s="27"/>
      <c r="D116" s="27"/>
      <c r="E116" s="27"/>
      <c r="F116" s="27"/>
    </row>
    <row r="117" spans="3:6" x14ac:dyDescent="0.25">
      <c r="C117" s="27"/>
      <c r="D117" s="27"/>
      <c r="E117" s="27"/>
      <c r="F117" s="27"/>
    </row>
    <row r="118" spans="3:6" x14ac:dyDescent="0.25">
      <c r="C118" s="27"/>
      <c r="D118" s="27"/>
      <c r="E118" s="27"/>
      <c r="F118" s="27"/>
    </row>
    <row r="119" spans="3:6" x14ac:dyDescent="0.25">
      <c r="C119" s="27"/>
      <c r="D119" s="27"/>
      <c r="E119" s="27"/>
      <c r="F119" s="27"/>
    </row>
    <row r="120" spans="3:6" x14ac:dyDescent="0.25">
      <c r="C120" s="27"/>
      <c r="D120" s="27"/>
      <c r="E120" s="27"/>
      <c r="F120" s="27"/>
    </row>
    <row r="121" spans="3:6" x14ac:dyDescent="0.25">
      <c r="C121" s="27"/>
      <c r="D121" s="27"/>
      <c r="E121" s="27"/>
      <c r="F121" s="27"/>
    </row>
    <row r="122" spans="3:6" x14ac:dyDescent="0.25">
      <c r="C122" s="27"/>
      <c r="D122" s="27"/>
      <c r="E122" s="27"/>
      <c r="F122" s="27"/>
    </row>
    <row r="123" spans="3:6" x14ac:dyDescent="0.25">
      <c r="C123" s="27"/>
      <c r="D123" s="27"/>
      <c r="E123" s="27"/>
      <c r="F123" s="27"/>
    </row>
    <row r="124" spans="3:6" x14ac:dyDescent="0.25">
      <c r="C124" s="27"/>
      <c r="D124" s="27"/>
      <c r="E124" s="27"/>
      <c r="F124" s="27"/>
    </row>
    <row r="125" spans="3:6" x14ac:dyDescent="0.25">
      <c r="C125" s="27"/>
      <c r="D125" s="27"/>
      <c r="E125" s="27"/>
      <c r="F125" s="27"/>
    </row>
    <row r="126" spans="3:6" x14ac:dyDescent="0.25">
      <c r="C126" s="27"/>
      <c r="D126" s="27"/>
      <c r="E126" s="27"/>
      <c r="F126" s="27"/>
    </row>
    <row r="127" spans="3:6" x14ac:dyDescent="0.25">
      <c r="C127" s="27"/>
      <c r="D127" s="27"/>
      <c r="E127" s="27"/>
      <c r="F127" s="27"/>
    </row>
    <row r="128" spans="3:6" x14ac:dyDescent="0.25">
      <c r="C128" s="27"/>
      <c r="D128" s="27"/>
      <c r="E128" s="27"/>
      <c r="F128" s="27"/>
    </row>
    <row r="129" spans="3:6" x14ac:dyDescent="0.25">
      <c r="C129" s="27"/>
      <c r="D129" s="27"/>
      <c r="E129" s="27"/>
      <c r="F129" s="27"/>
    </row>
    <row r="130" spans="3:6" x14ac:dyDescent="0.25">
      <c r="C130" s="27"/>
      <c r="D130" s="27"/>
      <c r="E130" s="27"/>
      <c r="F130" s="27"/>
    </row>
    <row r="131" spans="3:6" x14ac:dyDescent="0.25">
      <c r="C131" s="27"/>
      <c r="D131" s="27"/>
      <c r="E131" s="27"/>
      <c r="F131" s="27"/>
    </row>
    <row r="132" spans="3:6" x14ac:dyDescent="0.25">
      <c r="C132" s="27"/>
      <c r="D132" s="27"/>
      <c r="E132" s="27"/>
      <c r="F132" s="27"/>
    </row>
    <row r="133" spans="3:6" x14ac:dyDescent="0.25">
      <c r="C133" s="27"/>
      <c r="D133" s="27"/>
      <c r="E133" s="27"/>
      <c r="F133" s="27"/>
    </row>
    <row r="134" spans="3:6" x14ac:dyDescent="0.25">
      <c r="C134" s="27"/>
      <c r="D134" s="27"/>
      <c r="E134" s="27"/>
      <c r="F134" s="27"/>
    </row>
    <row r="135" spans="3:6" x14ac:dyDescent="0.25">
      <c r="C135" s="27"/>
      <c r="D135" s="27"/>
      <c r="E135" s="27"/>
      <c r="F135" s="27"/>
    </row>
    <row r="136" spans="3:6" x14ac:dyDescent="0.25">
      <c r="C136" s="27"/>
      <c r="D136" s="27"/>
      <c r="E136" s="27"/>
      <c r="F136" s="27"/>
    </row>
    <row r="137" spans="3:6" x14ac:dyDescent="0.25">
      <c r="C137" s="27"/>
      <c r="D137" s="27"/>
      <c r="E137" s="27"/>
      <c r="F137" s="27"/>
    </row>
    <row r="138" spans="3:6" x14ac:dyDescent="0.25">
      <c r="C138" s="27"/>
      <c r="D138" s="27"/>
      <c r="E138" s="27"/>
      <c r="F138" s="27"/>
    </row>
    <row r="139" spans="3:6" x14ac:dyDescent="0.25">
      <c r="C139" s="27"/>
      <c r="D139" s="27"/>
      <c r="E139" s="27"/>
      <c r="F139" s="27"/>
    </row>
    <row r="140" spans="3:6" x14ac:dyDescent="0.25">
      <c r="C140" s="27"/>
      <c r="D140" s="27"/>
      <c r="E140" s="27"/>
      <c r="F140" s="27"/>
    </row>
    <row r="141" spans="3:6" x14ac:dyDescent="0.25">
      <c r="C141" s="27"/>
      <c r="D141" s="27"/>
      <c r="E141" s="27"/>
      <c r="F141" s="27"/>
    </row>
    <row r="142" spans="3:6" x14ac:dyDescent="0.25">
      <c r="C142" s="27"/>
      <c r="D142" s="27"/>
      <c r="E142" s="27"/>
      <c r="F142" s="27"/>
    </row>
    <row r="143" spans="3:6" x14ac:dyDescent="0.25">
      <c r="C143" s="27"/>
      <c r="D143" s="27"/>
      <c r="E143" s="27"/>
      <c r="F143" s="27"/>
    </row>
    <row r="144" spans="3:6" x14ac:dyDescent="0.25">
      <c r="C144" s="27"/>
      <c r="D144" s="27"/>
      <c r="E144" s="27"/>
      <c r="F144" s="27"/>
    </row>
    <row r="145" spans="3:6" x14ac:dyDescent="0.25">
      <c r="C145" s="27"/>
      <c r="D145" s="27"/>
      <c r="E145" s="27"/>
      <c r="F145" s="27"/>
    </row>
  </sheetData>
  <mergeCells count="1">
    <mergeCell ref="J9:K9"/>
  </mergeCells>
  <phoneticPr fontId="0" type="noConversion"/>
  <pageMargins left="0.78740157499999996" right="0.78740157499999996" top="0.984251969" bottom="0.984251969" header="0.49212598499999999" footer="0.49212598499999999"/>
  <pageSetup paperSize="9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45"/>
  <sheetViews>
    <sheetView zoomScale="110" zoomScaleNormal="110" workbookViewId="0">
      <selection activeCell="D4" sqref="D4"/>
    </sheetView>
  </sheetViews>
  <sheetFormatPr defaultColWidth="9.109375" defaultRowHeight="13.2" x14ac:dyDescent="0.25"/>
  <cols>
    <col min="1" max="1" width="5" style="5" customWidth="1"/>
    <col min="2" max="2" width="16" style="5" customWidth="1"/>
    <col min="3" max="4" width="15.88671875" style="24" customWidth="1"/>
    <col min="5" max="5" width="14.88671875" style="24" customWidth="1"/>
    <col min="6" max="6" width="12.88671875" style="24" customWidth="1"/>
    <col min="7" max="7" width="14" style="24" customWidth="1"/>
    <col min="8" max="8" width="18.33203125" style="24" customWidth="1"/>
    <col min="9" max="9" width="7.6640625" style="5" customWidth="1"/>
    <col min="10" max="10" width="13.109375" style="5" customWidth="1"/>
    <col min="11" max="11" width="12.88671875" style="5" bestFit="1" customWidth="1"/>
    <col min="12" max="12" width="15" style="5" customWidth="1"/>
    <col min="13" max="13" width="5.109375" style="5" customWidth="1"/>
    <col min="14" max="16384" width="9.109375" style="5"/>
  </cols>
  <sheetData>
    <row r="1" spans="2:13" ht="13.8" x14ac:dyDescent="0.25">
      <c r="B1" s="12" t="s">
        <v>18</v>
      </c>
      <c r="D1" s="25"/>
      <c r="J1" s="13" t="s">
        <v>0</v>
      </c>
      <c r="K1" s="23">
        <v>0.1</v>
      </c>
      <c r="L1" s="13"/>
      <c r="M1" s="13"/>
    </row>
    <row r="2" spans="2:13" ht="13.8" x14ac:dyDescent="0.25">
      <c r="B2" s="12"/>
      <c r="D2" s="25"/>
      <c r="J2" s="13"/>
      <c r="K2" s="14"/>
      <c r="L2" s="13"/>
      <c r="M2" s="13"/>
    </row>
    <row r="3" spans="2:13" x14ac:dyDescent="0.25">
      <c r="B3" s="1" t="s">
        <v>19</v>
      </c>
      <c r="C3" s="26">
        <v>1000000</v>
      </c>
      <c r="D3" s="26">
        <v>-1000000</v>
      </c>
      <c r="E3" s="26"/>
      <c r="F3" s="26"/>
      <c r="G3" s="26"/>
      <c r="J3" s="13"/>
      <c r="K3" s="13" t="s">
        <v>4</v>
      </c>
      <c r="L3" s="13"/>
      <c r="M3" s="13"/>
    </row>
    <row r="4" spans="2:13" x14ac:dyDescent="0.25">
      <c r="B4" s="4" t="s">
        <v>17</v>
      </c>
      <c r="C4" s="36">
        <v>3.87</v>
      </c>
      <c r="D4" s="36">
        <v>4.2</v>
      </c>
      <c r="E4" s="36"/>
      <c r="F4" s="36"/>
      <c r="G4" s="36"/>
      <c r="J4" s="13"/>
      <c r="K4" s="10" t="s">
        <v>5</v>
      </c>
      <c r="L4" s="13"/>
      <c r="M4" s="13"/>
    </row>
    <row r="5" spans="2:13" x14ac:dyDescent="0.25">
      <c r="B5" s="4" t="s">
        <v>20</v>
      </c>
      <c r="C5" s="26">
        <v>0</v>
      </c>
      <c r="D5" s="26">
        <v>0</v>
      </c>
      <c r="E5" s="26"/>
      <c r="F5" s="26"/>
      <c r="G5" s="26"/>
      <c r="H5" s="24" t="s">
        <v>15</v>
      </c>
      <c r="J5" s="13"/>
      <c r="K5" s="13" t="s">
        <v>6</v>
      </c>
      <c r="L5" s="13"/>
      <c r="M5" s="13"/>
    </row>
    <row r="6" spans="2:13" x14ac:dyDescent="0.25">
      <c r="B6" s="4" t="s">
        <v>3</v>
      </c>
      <c r="C6" s="27">
        <f>C3*C5/1000</f>
        <v>0</v>
      </c>
      <c r="D6" s="27">
        <f>D3*D5/1000</f>
        <v>0</v>
      </c>
      <c r="E6" s="27">
        <f>E3*E5/1000</f>
        <v>0</v>
      </c>
      <c r="F6" s="27">
        <f>F3*F5/1000</f>
        <v>0</v>
      </c>
      <c r="G6" s="27">
        <f>G3*G5/1000</f>
        <v>0</v>
      </c>
      <c r="H6" s="24">
        <f>SUM(C6:G6)</f>
        <v>0</v>
      </c>
      <c r="J6" s="13"/>
      <c r="K6" s="13"/>
      <c r="L6" s="13"/>
      <c r="M6" s="13"/>
    </row>
    <row r="7" spans="2:13" ht="13.8" thickBot="1" x14ac:dyDescent="0.3">
      <c r="B7" s="4" t="s">
        <v>1</v>
      </c>
      <c r="C7" s="26" t="s">
        <v>22</v>
      </c>
      <c r="D7" s="26" t="s">
        <v>21</v>
      </c>
      <c r="E7" s="26" t="s">
        <v>21</v>
      </c>
      <c r="F7" s="26" t="s">
        <v>21</v>
      </c>
      <c r="G7" s="26" t="s">
        <v>21</v>
      </c>
    </row>
    <row r="8" spans="2:13" ht="13.8" thickTop="1" x14ac:dyDescent="0.25">
      <c r="B8" s="6" t="s">
        <v>7</v>
      </c>
      <c r="C8" s="28" t="s">
        <v>16</v>
      </c>
      <c r="D8" s="29"/>
      <c r="E8" s="29"/>
      <c r="F8" s="29"/>
      <c r="G8" s="29"/>
      <c r="H8" s="30" t="s">
        <v>14</v>
      </c>
      <c r="I8" s="1"/>
      <c r="J8" s="4"/>
      <c r="K8" s="15"/>
      <c r="L8" s="4"/>
    </row>
    <row r="9" spans="2:13" ht="13.8" thickBot="1" x14ac:dyDescent="0.3">
      <c r="B9" s="7" t="s">
        <v>2</v>
      </c>
      <c r="C9" s="32" t="s">
        <v>9</v>
      </c>
      <c r="D9" s="31" t="s">
        <v>10</v>
      </c>
      <c r="E9" s="32" t="s">
        <v>11</v>
      </c>
      <c r="F9" s="31" t="s">
        <v>12</v>
      </c>
      <c r="G9" s="32" t="s">
        <v>13</v>
      </c>
      <c r="H9" s="32" t="s">
        <v>8</v>
      </c>
      <c r="J9" s="66"/>
      <c r="K9" s="66"/>
    </row>
    <row r="10" spans="2:13" ht="13.8" thickTop="1" x14ac:dyDescent="0.25">
      <c r="B10" s="8"/>
      <c r="C10" s="27"/>
      <c r="D10" s="27"/>
      <c r="E10" s="27"/>
      <c r="F10" s="27"/>
      <c r="G10" s="27"/>
      <c r="H10" s="25"/>
      <c r="I10" s="3"/>
      <c r="J10" s="11"/>
      <c r="K10" s="16"/>
      <c r="L10" s="3"/>
    </row>
    <row r="11" spans="2:13" x14ac:dyDescent="0.25">
      <c r="B11" s="23">
        <v>3.5</v>
      </c>
      <c r="C11" s="34">
        <f t="shared" ref="C11:G26" si="0">IF(C$7="F",$B11-C$4,MAX(IF(C$7="C",1,-1)*($B11-C$4),0))*C$3</f>
        <v>370000.00000000012</v>
      </c>
      <c r="D11" s="34">
        <f t="shared" si="0"/>
        <v>0</v>
      </c>
      <c r="E11" s="34">
        <f t="shared" si="0"/>
        <v>0</v>
      </c>
      <c r="F11" s="34">
        <f t="shared" si="0"/>
        <v>0</v>
      </c>
      <c r="G11" s="34">
        <f t="shared" si="0"/>
        <v>0</v>
      </c>
      <c r="H11" s="33">
        <f t="shared" ref="H11:H36" si="1">SUM(C11:G11)-H$6</f>
        <v>370000.00000000012</v>
      </c>
      <c r="I11" s="3"/>
      <c r="J11" s="11"/>
      <c r="K11" s="16"/>
      <c r="L11" s="3"/>
    </row>
    <row r="12" spans="2:13" x14ac:dyDescent="0.25">
      <c r="B12" s="20">
        <f t="shared" ref="B12:B36" si="2">B11+$K$1</f>
        <v>3.6</v>
      </c>
      <c r="C12" s="27">
        <f t="shared" si="0"/>
        <v>270000</v>
      </c>
      <c r="D12" s="27">
        <f t="shared" si="0"/>
        <v>0</v>
      </c>
      <c r="E12" s="27">
        <f t="shared" si="0"/>
        <v>0</v>
      </c>
      <c r="F12" s="27">
        <f t="shared" si="0"/>
        <v>0</v>
      </c>
      <c r="G12" s="27">
        <f t="shared" si="0"/>
        <v>0</v>
      </c>
      <c r="H12" s="24">
        <f t="shared" si="1"/>
        <v>270000</v>
      </c>
      <c r="I12" s="3"/>
      <c r="J12" s="11"/>
      <c r="K12" s="17"/>
      <c r="L12" s="3"/>
    </row>
    <row r="13" spans="2:13" x14ac:dyDescent="0.25">
      <c r="B13" s="20">
        <f t="shared" si="2"/>
        <v>3.7</v>
      </c>
      <c r="C13" s="27">
        <f t="shared" si="0"/>
        <v>169999.99999999994</v>
      </c>
      <c r="D13" s="27">
        <f t="shared" si="0"/>
        <v>0</v>
      </c>
      <c r="E13" s="27">
        <f t="shared" si="0"/>
        <v>0</v>
      </c>
      <c r="F13" s="27">
        <f t="shared" si="0"/>
        <v>0</v>
      </c>
      <c r="G13" s="27">
        <f t="shared" si="0"/>
        <v>0</v>
      </c>
      <c r="H13" s="24">
        <f t="shared" si="1"/>
        <v>169999.99999999994</v>
      </c>
      <c r="I13" s="3"/>
      <c r="J13" s="11"/>
      <c r="K13" s="18"/>
      <c r="L13" s="3"/>
    </row>
    <row r="14" spans="2:13" x14ac:dyDescent="0.25">
      <c r="B14" s="20">
        <f t="shared" si="2"/>
        <v>3.8000000000000003</v>
      </c>
      <c r="C14" s="27">
        <f t="shared" si="0"/>
        <v>69999.99999999984</v>
      </c>
      <c r="D14" s="27">
        <f t="shared" si="0"/>
        <v>0</v>
      </c>
      <c r="E14" s="27">
        <f t="shared" si="0"/>
        <v>0</v>
      </c>
      <c r="F14" s="27">
        <f t="shared" si="0"/>
        <v>0</v>
      </c>
      <c r="G14" s="27">
        <f t="shared" si="0"/>
        <v>0</v>
      </c>
      <c r="H14" s="24">
        <f t="shared" si="1"/>
        <v>69999.99999999984</v>
      </c>
      <c r="I14" s="3"/>
      <c r="J14" s="11"/>
      <c r="K14" s="17"/>
      <c r="L14" s="3"/>
    </row>
    <row r="15" spans="2:13" x14ac:dyDescent="0.25">
      <c r="B15" s="20">
        <f t="shared" si="2"/>
        <v>3.9000000000000004</v>
      </c>
      <c r="C15" s="27">
        <f t="shared" si="0"/>
        <v>0</v>
      </c>
      <c r="D15" s="27">
        <f t="shared" si="0"/>
        <v>0</v>
      </c>
      <c r="E15" s="27">
        <f t="shared" si="0"/>
        <v>0</v>
      </c>
      <c r="F15" s="27">
        <f t="shared" si="0"/>
        <v>0</v>
      </c>
      <c r="G15" s="27">
        <f t="shared" si="0"/>
        <v>0</v>
      </c>
      <c r="H15" s="24">
        <f t="shared" si="1"/>
        <v>0</v>
      </c>
      <c r="I15" s="3"/>
      <c r="J15" s="11"/>
      <c r="K15" s="11"/>
      <c r="L15" s="3"/>
    </row>
    <row r="16" spans="2:13" x14ac:dyDescent="0.25">
      <c r="B16" s="21">
        <f t="shared" si="2"/>
        <v>4</v>
      </c>
      <c r="C16" s="34">
        <f t="shared" si="0"/>
        <v>0</v>
      </c>
      <c r="D16" s="34">
        <f t="shared" si="0"/>
        <v>0</v>
      </c>
      <c r="E16" s="34">
        <f t="shared" si="0"/>
        <v>0</v>
      </c>
      <c r="F16" s="34">
        <f t="shared" si="0"/>
        <v>0</v>
      </c>
      <c r="G16" s="34">
        <f t="shared" si="0"/>
        <v>0</v>
      </c>
      <c r="H16" s="33">
        <f t="shared" si="1"/>
        <v>0</v>
      </c>
      <c r="I16" s="2"/>
      <c r="J16" s="11"/>
      <c r="K16" s="11"/>
      <c r="L16" s="3"/>
    </row>
    <row r="17" spans="2:12" x14ac:dyDescent="0.25">
      <c r="B17" s="20">
        <f t="shared" si="2"/>
        <v>4.0999999999999996</v>
      </c>
      <c r="C17" s="27">
        <f t="shared" si="0"/>
        <v>0</v>
      </c>
      <c r="D17" s="27">
        <f t="shared" si="0"/>
        <v>0</v>
      </c>
      <c r="E17" s="27">
        <f t="shared" si="0"/>
        <v>0</v>
      </c>
      <c r="F17" s="27">
        <f t="shared" si="0"/>
        <v>0</v>
      </c>
      <c r="G17" s="27">
        <f t="shared" si="0"/>
        <v>0</v>
      </c>
      <c r="H17" s="24">
        <f t="shared" si="1"/>
        <v>0</v>
      </c>
      <c r="I17" s="2"/>
      <c r="J17" s="11"/>
      <c r="K17" s="11"/>
      <c r="L17" s="3"/>
    </row>
    <row r="18" spans="2:12" x14ac:dyDescent="0.25">
      <c r="B18" s="20">
        <f t="shared" si="2"/>
        <v>4.1999999999999993</v>
      </c>
      <c r="C18" s="27">
        <f t="shared" si="0"/>
        <v>0</v>
      </c>
      <c r="D18" s="27">
        <f t="shared" si="0"/>
        <v>0</v>
      </c>
      <c r="E18" s="27">
        <f t="shared" si="0"/>
        <v>0</v>
      </c>
      <c r="F18" s="27">
        <f t="shared" si="0"/>
        <v>0</v>
      </c>
      <c r="G18" s="27">
        <f t="shared" si="0"/>
        <v>0</v>
      </c>
      <c r="H18" s="24">
        <f t="shared" si="1"/>
        <v>0</v>
      </c>
      <c r="I18" s="2"/>
      <c r="J18" s="11"/>
      <c r="K18" s="11"/>
      <c r="L18" s="3"/>
    </row>
    <row r="19" spans="2:12" x14ac:dyDescent="0.25">
      <c r="B19" s="20">
        <f t="shared" si="2"/>
        <v>4.2999999999999989</v>
      </c>
      <c r="C19" s="27">
        <f t="shared" si="0"/>
        <v>0</v>
      </c>
      <c r="D19" s="27">
        <f t="shared" si="0"/>
        <v>-99999.999999998763</v>
      </c>
      <c r="E19" s="27">
        <f t="shared" si="0"/>
        <v>0</v>
      </c>
      <c r="F19" s="27">
        <f t="shared" si="0"/>
        <v>0</v>
      </c>
      <c r="G19" s="27">
        <f t="shared" si="0"/>
        <v>0</v>
      </c>
      <c r="H19" s="24">
        <f t="shared" si="1"/>
        <v>-99999.999999998763</v>
      </c>
      <c r="I19" s="3"/>
      <c r="J19" s="11"/>
      <c r="K19" s="11"/>
      <c r="L19" s="3"/>
    </row>
    <row r="20" spans="2:12" x14ac:dyDescent="0.25">
      <c r="B20" s="20">
        <f t="shared" si="2"/>
        <v>4.3999999999999986</v>
      </c>
      <c r="C20" s="27">
        <f t="shared" si="0"/>
        <v>0</v>
      </c>
      <c r="D20" s="27">
        <f t="shared" si="0"/>
        <v>-199999.9999999984</v>
      </c>
      <c r="E20" s="27">
        <f t="shared" si="0"/>
        <v>0</v>
      </c>
      <c r="F20" s="27">
        <f t="shared" si="0"/>
        <v>0</v>
      </c>
      <c r="G20" s="27">
        <f t="shared" si="0"/>
        <v>0</v>
      </c>
      <c r="H20" s="24">
        <f t="shared" si="1"/>
        <v>-199999.9999999984</v>
      </c>
      <c r="I20" s="9"/>
      <c r="J20" s="11"/>
      <c r="K20" s="11"/>
      <c r="L20" s="3"/>
    </row>
    <row r="21" spans="2:12" x14ac:dyDescent="0.25">
      <c r="B21" s="21">
        <f t="shared" si="2"/>
        <v>4.4999999999999982</v>
      </c>
      <c r="C21" s="34">
        <f t="shared" si="0"/>
        <v>0</v>
      </c>
      <c r="D21" s="34">
        <f t="shared" si="0"/>
        <v>-299999.99999999802</v>
      </c>
      <c r="E21" s="34">
        <f t="shared" si="0"/>
        <v>0</v>
      </c>
      <c r="F21" s="34">
        <f t="shared" si="0"/>
        <v>0</v>
      </c>
      <c r="G21" s="34">
        <f t="shared" si="0"/>
        <v>0</v>
      </c>
      <c r="H21" s="33">
        <f t="shared" si="1"/>
        <v>-299999.99999999802</v>
      </c>
      <c r="I21" s="19"/>
      <c r="J21" s="37"/>
      <c r="K21" s="11"/>
      <c r="L21" s="3"/>
    </row>
    <row r="22" spans="2:12" x14ac:dyDescent="0.25">
      <c r="B22" s="22">
        <f t="shared" si="2"/>
        <v>4.5999999999999979</v>
      </c>
      <c r="C22" s="35">
        <f t="shared" si="0"/>
        <v>0</v>
      </c>
      <c r="D22" s="35">
        <f t="shared" si="0"/>
        <v>-399999.99999999767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24">
        <f t="shared" si="1"/>
        <v>-399999.99999999767</v>
      </c>
      <c r="I22" s="19"/>
      <c r="J22" s="11"/>
      <c r="K22" s="11"/>
      <c r="L22" s="3"/>
    </row>
    <row r="23" spans="2:12" x14ac:dyDescent="0.25">
      <c r="B23" s="22">
        <f t="shared" si="2"/>
        <v>4.6999999999999975</v>
      </c>
      <c r="C23" s="35">
        <f t="shared" si="0"/>
        <v>0</v>
      </c>
      <c r="D23" s="35">
        <f t="shared" si="0"/>
        <v>-499999.99999999732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24">
        <f t="shared" si="1"/>
        <v>-499999.99999999732</v>
      </c>
      <c r="I23" s="19"/>
      <c r="J23" s="11"/>
      <c r="K23" s="11"/>
      <c r="L23" s="3"/>
    </row>
    <row r="24" spans="2:12" x14ac:dyDescent="0.25">
      <c r="B24" s="22">
        <f t="shared" si="2"/>
        <v>4.7999999999999972</v>
      </c>
      <c r="C24" s="35">
        <f t="shared" si="0"/>
        <v>0</v>
      </c>
      <c r="D24" s="35">
        <f t="shared" si="0"/>
        <v>-599999.99999999697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24">
        <f t="shared" si="1"/>
        <v>-599999.99999999697</v>
      </c>
      <c r="I24" s="19"/>
      <c r="J24" s="11"/>
      <c r="K24" s="11"/>
      <c r="L24" s="3"/>
    </row>
    <row r="25" spans="2:12" x14ac:dyDescent="0.25">
      <c r="B25" s="22">
        <f t="shared" si="2"/>
        <v>4.8999999999999968</v>
      </c>
      <c r="C25" s="35">
        <f t="shared" si="0"/>
        <v>0</v>
      </c>
      <c r="D25" s="35">
        <f t="shared" si="0"/>
        <v>-699999.99999999662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24">
        <f t="shared" si="1"/>
        <v>-699999.99999999662</v>
      </c>
      <c r="I25" s="3"/>
      <c r="J25" s="11"/>
      <c r="K25" s="11"/>
      <c r="L25" s="3"/>
    </row>
    <row r="26" spans="2:12" x14ac:dyDescent="0.25">
      <c r="B26" s="21">
        <f t="shared" si="2"/>
        <v>4.9999999999999964</v>
      </c>
      <c r="C26" s="34">
        <f t="shared" si="0"/>
        <v>0</v>
      </c>
      <c r="D26" s="34">
        <f t="shared" si="0"/>
        <v>-799999.99999999627</v>
      </c>
      <c r="E26" s="34">
        <f t="shared" si="0"/>
        <v>0</v>
      </c>
      <c r="F26" s="34">
        <f t="shared" si="0"/>
        <v>0</v>
      </c>
      <c r="G26" s="34">
        <f t="shared" si="0"/>
        <v>0</v>
      </c>
      <c r="H26" s="33">
        <f t="shared" si="1"/>
        <v>-799999.99999999627</v>
      </c>
      <c r="I26" s="3"/>
      <c r="J26" s="11"/>
      <c r="K26" s="11"/>
      <c r="L26" s="3"/>
    </row>
    <row r="27" spans="2:12" x14ac:dyDescent="0.25">
      <c r="B27" s="20">
        <f t="shared" si="2"/>
        <v>5.0999999999999961</v>
      </c>
      <c r="C27" s="27">
        <f t="shared" ref="C27:G36" si="3">IF(C$7="F",$B27-C$4,MAX(IF(C$7="C",1,-1)*($B27-C$4),0))*C$3</f>
        <v>0</v>
      </c>
      <c r="D27" s="27">
        <f t="shared" si="3"/>
        <v>-899999.99999999593</v>
      </c>
      <c r="E27" s="27">
        <f t="shared" si="3"/>
        <v>0</v>
      </c>
      <c r="F27" s="27">
        <f t="shared" si="3"/>
        <v>0</v>
      </c>
      <c r="G27" s="27">
        <f t="shared" si="3"/>
        <v>0</v>
      </c>
      <c r="H27" s="24">
        <f t="shared" si="1"/>
        <v>-899999.99999999593</v>
      </c>
      <c r="I27" s="3"/>
      <c r="J27" s="11"/>
      <c r="K27" s="11"/>
      <c r="L27" s="3"/>
    </row>
    <row r="28" spans="2:12" x14ac:dyDescent="0.25">
      <c r="B28" s="20">
        <f t="shared" si="2"/>
        <v>5.1999999999999957</v>
      </c>
      <c r="C28" s="27">
        <f t="shared" si="3"/>
        <v>0</v>
      </c>
      <c r="D28" s="27">
        <f t="shared" si="3"/>
        <v>-999999.99999999558</v>
      </c>
      <c r="E28" s="27">
        <f t="shared" si="3"/>
        <v>0</v>
      </c>
      <c r="F28" s="27">
        <f t="shared" si="3"/>
        <v>0</v>
      </c>
      <c r="G28" s="27">
        <f t="shared" si="3"/>
        <v>0</v>
      </c>
      <c r="H28" s="24">
        <f t="shared" si="1"/>
        <v>-999999.99999999558</v>
      </c>
      <c r="I28" s="3"/>
      <c r="J28" s="11"/>
      <c r="K28" s="11"/>
      <c r="L28" s="3"/>
    </row>
    <row r="29" spans="2:12" x14ac:dyDescent="0.25">
      <c r="B29" s="20">
        <f t="shared" si="2"/>
        <v>5.2999999999999954</v>
      </c>
      <c r="C29" s="27">
        <f t="shared" si="3"/>
        <v>0</v>
      </c>
      <c r="D29" s="27">
        <f t="shared" si="3"/>
        <v>-1099999.9999999951</v>
      </c>
      <c r="E29" s="27">
        <f t="shared" si="3"/>
        <v>0</v>
      </c>
      <c r="F29" s="27">
        <f t="shared" si="3"/>
        <v>0</v>
      </c>
      <c r="G29" s="27">
        <f t="shared" si="3"/>
        <v>0</v>
      </c>
      <c r="H29" s="24">
        <f t="shared" si="1"/>
        <v>-1099999.9999999951</v>
      </c>
      <c r="I29" s="3"/>
      <c r="J29" s="11"/>
      <c r="K29" s="11"/>
      <c r="L29" s="3"/>
    </row>
    <row r="30" spans="2:12" x14ac:dyDescent="0.25">
      <c r="B30" s="20">
        <f t="shared" si="2"/>
        <v>5.399999999999995</v>
      </c>
      <c r="C30" s="27">
        <f t="shared" si="3"/>
        <v>0</v>
      </c>
      <c r="D30" s="27">
        <f t="shared" si="3"/>
        <v>-1199999.9999999949</v>
      </c>
      <c r="E30" s="27">
        <f t="shared" si="3"/>
        <v>0</v>
      </c>
      <c r="F30" s="27">
        <f t="shared" si="3"/>
        <v>0</v>
      </c>
      <c r="G30" s="27">
        <f t="shared" si="3"/>
        <v>0</v>
      </c>
      <c r="H30" s="24">
        <f t="shared" si="1"/>
        <v>-1199999.9999999949</v>
      </c>
      <c r="I30" s="3"/>
      <c r="J30" s="11"/>
      <c r="K30" s="11"/>
      <c r="L30" s="3"/>
    </row>
    <row r="31" spans="2:12" x14ac:dyDescent="0.25">
      <c r="B31" s="21">
        <f t="shared" si="2"/>
        <v>5.4999999999999947</v>
      </c>
      <c r="C31" s="34">
        <f t="shared" si="3"/>
        <v>0</v>
      </c>
      <c r="D31" s="34">
        <f t="shared" si="3"/>
        <v>-1299999.9999999944</v>
      </c>
      <c r="E31" s="34">
        <f t="shared" si="3"/>
        <v>0</v>
      </c>
      <c r="F31" s="34">
        <f t="shared" si="3"/>
        <v>0</v>
      </c>
      <c r="G31" s="34">
        <f t="shared" si="3"/>
        <v>0</v>
      </c>
      <c r="H31" s="33">
        <f t="shared" si="1"/>
        <v>-1299999.9999999944</v>
      </c>
      <c r="I31" s="3"/>
      <c r="J31" s="11"/>
      <c r="K31" s="11"/>
      <c r="L31" s="3"/>
    </row>
    <row r="32" spans="2:12" x14ac:dyDescent="0.25">
      <c r="B32" s="20">
        <f t="shared" si="2"/>
        <v>5.5999999999999943</v>
      </c>
      <c r="C32" s="27">
        <f t="shared" si="3"/>
        <v>0</v>
      </c>
      <c r="D32" s="27">
        <f t="shared" si="3"/>
        <v>-1399999.9999999942</v>
      </c>
      <c r="E32" s="27">
        <f t="shared" si="3"/>
        <v>0</v>
      </c>
      <c r="F32" s="27">
        <f t="shared" si="3"/>
        <v>0</v>
      </c>
      <c r="G32" s="27">
        <f t="shared" si="3"/>
        <v>0</v>
      </c>
      <c r="H32" s="24">
        <f t="shared" si="1"/>
        <v>-1399999.9999999942</v>
      </c>
      <c r="I32" s="3"/>
      <c r="J32" s="11"/>
      <c r="K32" s="11"/>
      <c r="L32" s="3"/>
    </row>
    <row r="33" spans="2:13" x14ac:dyDescent="0.25">
      <c r="B33" s="20">
        <f t="shared" si="2"/>
        <v>5.699999999999994</v>
      </c>
      <c r="C33" s="27">
        <f t="shared" si="3"/>
        <v>0</v>
      </c>
      <c r="D33" s="27">
        <f t="shared" si="3"/>
        <v>-1499999.9999999937</v>
      </c>
      <c r="E33" s="27">
        <f t="shared" si="3"/>
        <v>0</v>
      </c>
      <c r="F33" s="27">
        <f t="shared" si="3"/>
        <v>0</v>
      </c>
      <c r="G33" s="27">
        <f t="shared" si="3"/>
        <v>0</v>
      </c>
      <c r="H33" s="24">
        <f t="shared" si="1"/>
        <v>-1499999.9999999937</v>
      </c>
      <c r="I33" s="3"/>
      <c r="J33" s="11"/>
      <c r="K33" s="11"/>
      <c r="L33" s="3"/>
    </row>
    <row r="34" spans="2:13" x14ac:dyDescent="0.25">
      <c r="B34" s="20">
        <f t="shared" si="2"/>
        <v>5.7999999999999936</v>
      </c>
      <c r="C34" s="27">
        <f t="shared" si="3"/>
        <v>0</v>
      </c>
      <c r="D34" s="27">
        <f t="shared" si="3"/>
        <v>-1599999.9999999935</v>
      </c>
      <c r="E34" s="27">
        <f t="shared" si="3"/>
        <v>0</v>
      </c>
      <c r="F34" s="27">
        <f t="shared" si="3"/>
        <v>0</v>
      </c>
      <c r="G34" s="27">
        <f t="shared" si="3"/>
        <v>0</v>
      </c>
      <c r="H34" s="24">
        <f t="shared" si="1"/>
        <v>-1599999.9999999935</v>
      </c>
      <c r="I34" s="3"/>
      <c r="J34" s="11"/>
      <c r="K34" s="11"/>
      <c r="L34" s="3"/>
    </row>
    <row r="35" spans="2:13" x14ac:dyDescent="0.25">
      <c r="B35" s="20">
        <f t="shared" si="2"/>
        <v>5.8999999999999932</v>
      </c>
      <c r="C35" s="27">
        <f t="shared" si="3"/>
        <v>0</v>
      </c>
      <c r="D35" s="27">
        <f t="shared" si="3"/>
        <v>-1699999.999999993</v>
      </c>
      <c r="E35" s="27">
        <f t="shared" si="3"/>
        <v>0</v>
      </c>
      <c r="F35" s="27">
        <f t="shared" si="3"/>
        <v>0</v>
      </c>
      <c r="G35" s="27">
        <f t="shared" si="3"/>
        <v>0</v>
      </c>
      <c r="H35" s="24">
        <f t="shared" si="1"/>
        <v>-1699999.999999993</v>
      </c>
      <c r="I35" s="3"/>
      <c r="J35" s="11"/>
      <c r="K35" s="11"/>
      <c r="L35" s="3"/>
    </row>
    <row r="36" spans="2:13" x14ac:dyDescent="0.25">
      <c r="B36" s="21">
        <f t="shared" si="2"/>
        <v>5.9999999999999929</v>
      </c>
      <c r="C36" s="34">
        <f t="shared" si="3"/>
        <v>0</v>
      </c>
      <c r="D36" s="34">
        <f t="shared" si="3"/>
        <v>-1799999.9999999928</v>
      </c>
      <c r="E36" s="34">
        <f t="shared" si="3"/>
        <v>0</v>
      </c>
      <c r="F36" s="34">
        <f t="shared" si="3"/>
        <v>0</v>
      </c>
      <c r="G36" s="34">
        <f t="shared" si="3"/>
        <v>0</v>
      </c>
      <c r="H36" s="33">
        <f t="shared" si="1"/>
        <v>-1799999.9999999928</v>
      </c>
    </row>
    <row r="37" spans="2:13" x14ac:dyDescent="0.25">
      <c r="C37" s="27"/>
      <c r="D37" s="27"/>
      <c r="E37" s="27"/>
      <c r="F37" s="27"/>
    </row>
    <row r="38" spans="2:13" x14ac:dyDescent="0.25">
      <c r="C38" s="27"/>
      <c r="D38" s="27"/>
      <c r="E38" s="27"/>
      <c r="F38" s="27"/>
    </row>
    <row r="39" spans="2:13" x14ac:dyDescent="0.25">
      <c r="C39" s="27"/>
      <c r="D39" s="27"/>
      <c r="E39" s="27"/>
      <c r="F39" s="27"/>
    </row>
    <row r="40" spans="2:13" x14ac:dyDescent="0.25">
      <c r="C40" s="27"/>
      <c r="D40" s="27"/>
      <c r="E40" s="27"/>
      <c r="F40" s="27"/>
    </row>
    <row r="41" spans="2:13" x14ac:dyDescent="0.25">
      <c r="C41" s="27"/>
      <c r="D41" s="27"/>
      <c r="E41" s="27"/>
      <c r="F41" s="27"/>
    </row>
    <row r="42" spans="2:13" x14ac:dyDescent="0.25">
      <c r="C42" s="27"/>
      <c r="D42" s="27"/>
      <c r="E42" s="27"/>
      <c r="F42" s="27"/>
    </row>
    <row r="43" spans="2:13" x14ac:dyDescent="0.25">
      <c r="C43" s="27"/>
      <c r="D43" s="27"/>
      <c r="E43" s="27"/>
      <c r="F43" s="27"/>
    </row>
    <row r="44" spans="2:13" x14ac:dyDescent="0.25">
      <c r="C44" s="27"/>
      <c r="D44" s="27"/>
      <c r="E44" s="27"/>
      <c r="F44" s="27"/>
    </row>
    <row r="45" spans="2:13" x14ac:dyDescent="0.25">
      <c r="C45" s="27"/>
      <c r="D45" s="27"/>
      <c r="E45" s="27"/>
      <c r="F45" s="27"/>
    </row>
    <row r="46" spans="2:13" x14ac:dyDescent="0.25">
      <c r="C46" s="27"/>
      <c r="D46" s="27"/>
      <c r="E46" s="27"/>
      <c r="F46" s="27"/>
    </row>
    <row r="47" spans="2:13" x14ac:dyDescent="0.25">
      <c r="C47" s="27"/>
      <c r="D47" s="27"/>
      <c r="E47" s="27"/>
      <c r="F47" s="27"/>
    </row>
    <row r="48" spans="2:13" s="24" customFormat="1" x14ac:dyDescent="0.25">
      <c r="B48" s="5"/>
      <c r="C48" s="27"/>
      <c r="D48" s="27"/>
      <c r="E48" s="27"/>
      <c r="F48" s="27"/>
      <c r="I48" s="5"/>
      <c r="J48" s="5"/>
      <c r="K48" s="5"/>
      <c r="L48" s="5"/>
      <c r="M48" s="5"/>
    </row>
    <row r="49" spans="2:13" s="24" customFormat="1" x14ac:dyDescent="0.25">
      <c r="B49" s="5"/>
      <c r="C49" s="27"/>
      <c r="D49" s="27"/>
      <c r="E49" s="27"/>
      <c r="F49" s="27"/>
      <c r="I49" s="5"/>
      <c r="J49" s="5"/>
      <c r="K49" s="5"/>
      <c r="L49" s="5"/>
      <c r="M49" s="5"/>
    </row>
    <row r="50" spans="2:13" s="24" customFormat="1" x14ac:dyDescent="0.25">
      <c r="B50" s="5"/>
      <c r="C50" s="27"/>
      <c r="D50" s="27"/>
      <c r="E50" s="27"/>
      <c r="F50" s="27"/>
      <c r="I50" s="5"/>
      <c r="J50" s="5"/>
      <c r="K50" s="5"/>
      <c r="L50" s="5"/>
      <c r="M50" s="5"/>
    </row>
    <row r="51" spans="2:13" s="24" customFormat="1" x14ac:dyDescent="0.25">
      <c r="B51" s="5"/>
      <c r="C51" s="27"/>
      <c r="D51" s="27"/>
      <c r="E51" s="27"/>
      <c r="F51" s="27"/>
      <c r="I51" s="5"/>
      <c r="J51" s="5"/>
      <c r="K51" s="5"/>
      <c r="L51" s="5"/>
      <c r="M51" s="5"/>
    </row>
    <row r="52" spans="2:13" s="24" customFormat="1" x14ac:dyDescent="0.25">
      <c r="B52" s="5"/>
      <c r="C52" s="27"/>
      <c r="D52" s="27"/>
      <c r="E52" s="27"/>
      <c r="F52" s="27"/>
      <c r="I52" s="5"/>
      <c r="J52" s="5"/>
      <c r="K52" s="5"/>
      <c r="L52" s="5"/>
      <c r="M52" s="5"/>
    </row>
    <row r="53" spans="2:13" s="24" customFormat="1" x14ac:dyDescent="0.25">
      <c r="B53" s="5"/>
      <c r="C53" s="27"/>
      <c r="D53" s="27"/>
      <c r="E53" s="27"/>
      <c r="F53" s="27"/>
      <c r="I53" s="5"/>
      <c r="J53" s="5"/>
      <c r="K53" s="5"/>
      <c r="L53" s="5"/>
      <c r="M53" s="5"/>
    </row>
    <row r="54" spans="2:13" s="24" customFormat="1" x14ac:dyDescent="0.25">
      <c r="B54" s="5"/>
      <c r="C54" s="27"/>
      <c r="D54" s="27"/>
      <c r="E54" s="27"/>
      <c r="F54" s="27"/>
      <c r="I54" s="5"/>
      <c r="J54" s="5"/>
      <c r="K54" s="5"/>
      <c r="L54" s="5"/>
      <c r="M54" s="5"/>
    </row>
    <row r="55" spans="2:13" s="24" customFormat="1" x14ac:dyDescent="0.25">
      <c r="B55" s="5"/>
      <c r="C55" s="27"/>
      <c r="D55" s="27"/>
      <c r="E55" s="27"/>
      <c r="F55" s="27"/>
      <c r="I55" s="5"/>
      <c r="J55" s="5"/>
      <c r="K55" s="5"/>
      <c r="L55" s="5"/>
      <c r="M55" s="5"/>
    </row>
    <row r="56" spans="2:13" s="24" customFormat="1" x14ac:dyDescent="0.25">
      <c r="B56" s="5"/>
      <c r="C56" s="27"/>
      <c r="D56" s="27"/>
      <c r="E56" s="27"/>
      <c r="F56" s="27"/>
      <c r="I56" s="5"/>
      <c r="J56" s="5"/>
      <c r="K56" s="5"/>
      <c r="L56" s="5"/>
      <c r="M56" s="5"/>
    </row>
    <row r="57" spans="2:13" s="24" customFormat="1" x14ac:dyDescent="0.25">
      <c r="B57" s="5"/>
      <c r="C57" s="27"/>
      <c r="D57" s="27"/>
      <c r="E57" s="27"/>
      <c r="F57" s="27"/>
      <c r="I57" s="5"/>
      <c r="J57" s="5"/>
      <c r="K57" s="5"/>
      <c r="L57" s="5"/>
      <c r="M57" s="5"/>
    </row>
    <row r="58" spans="2:13" s="24" customFormat="1" x14ac:dyDescent="0.25">
      <c r="B58" s="5"/>
      <c r="C58" s="27"/>
      <c r="D58" s="27"/>
      <c r="E58" s="27"/>
      <c r="F58" s="27"/>
      <c r="I58" s="5"/>
      <c r="J58" s="5"/>
      <c r="K58" s="5"/>
      <c r="L58" s="5"/>
      <c r="M58" s="5"/>
    </row>
    <row r="59" spans="2:13" s="24" customFormat="1" x14ac:dyDescent="0.25">
      <c r="B59" s="5"/>
      <c r="C59" s="27"/>
      <c r="D59" s="27"/>
      <c r="E59" s="27"/>
      <c r="F59" s="27"/>
      <c r="I59" s="5"/>
      <c r="J59" s="5"/>
      <c r="K59" s="5"/>
      <c r="L59" s="5"/>
      <c r="M59" s="5"/>
    </row>
    <row r="60" spans="2:13" s="24" customFormat="1" x14ac:dyDescent="0.25">
      <c r="B60" s="5"/>
      <c r="C60" s="27"/>
      <c r="D60" s="27"/>
      <c r="E60" s="27"/>
      <c r="F60" s="27"/>
      <c r="I60" s="5"/>
      <c r="J60" s="5"/>
      <c r="K60" s="5"/>
      <c r="L60" s="5"/>
      <c r="M60" s="5"/>
    </row>
    <row r="61" spans="2:13" s="24" customFormat="1" x14ac:dyDescent="0.25">
      <c r="B61" s="5"/>
      <c r="C61" s="27"/>
      <c r="D61" s="27"/>
      <c r="E61" s="27"/>
      <c r="F61" s="27"/>
      <c r="I61" s="5"/>
      <c r="J61" s="5"/>
      <c r="K61" s="5"/>
      <c r="L61" s="5"/>
      <c r="M61" s="5"/>
    </row>
    <row r="62" spans="2:13" s="24" customFormat="1" x14ac:dyDescent="0.25">
      <c r="B62" s="5"/>
      <c r="C62" s="27"/>
      <c r="D62" s="27"/>
      <c r="E62" s="27"/>
      <c r="F62" s="27"/>
      <c r="I62" s="5"/>
      <c r="J62" s="5"/>
      <c r="K62" s="5"/>
      <c r="L62" s="5"/>
      <c r="M62" s="5"/>
    </row>
    <row r="63" spans="2:13" s="24" customFormat="1" x14ac:dyDescent="0.25">
      <c r="B63" s="5"/>
      <c r="C63" s="27"/>
      <c r="D63" s="27"/>
      <c r="E63" s="27"/>
      <c r="F63" s="27"/>
      <c r="I63" s="5"/>
      <c r="J63" s="5"/>
      <c r="K63" s="5"/>
      <c r="L63" s="5"/>
      <c r="M63" s="5"/>
    </row>
    <row r="64" spans="2:13" s="24" customFormat="1" x14ac:dyDescent="0.25">
      <c r="B64" s="5"/>
      <c r="C64" s="27"/>
      <c r="D64" s="27"/>
      <c r="E64" s="27"/>
      <c r="F64" s="27"/>
      <c r="I64" s="5"/>
      <c r="J64" s="5"/>
      <c r="K64" s="5"/>
      <c r="L64" s="5"/>
      <c r="M64" s="5"/>
    </row>
    <row r="65" spans="2:13" s="24" customFormat="1" x14ac:dyDescent="0.25">
      <c r="B65" s="5"/>
      <c r="C65" s="27"/>
      <c r="D65" s="27"/>
      <c r="E65" s="27"/>
      <c r="F65" s="27"/>
      <c r="I65" s="5"/>
      <c r="J65" s="5"/>
      <c r="K65" s="5"/>
      <c r="L65" s="5"/>
      <c r="M65" s="5"/>
    </row>
    <row r="66" spans="2:13" s="24" customFormat="1" x14ac:dyDescent="0.25">
      <c r="B66" s="5"/>
      <c r="C66" s="27"/>
      <c r="D66" s="27"/>
      <c r="E66" s="27"/>
      <c r="F66" s="27"/>
      <c r="I66" s="5"/>
      <c r="J66" s="5"/>
      <c r="K66" s="5"/>
      <c r="L66" s="5"/>
      <c r="M66" s="5"/>
    </row>
    <row r="67" spans="2:13" s="24" customFormat="1" x14ac:dyDescent="0.25">
      <c r="B67" s="5"/>
      <c r="C67" s="27"/>
      <c r="D67" s="27"/>
      <c r="E67" s="27"/>
      <c r="F67" s="27"/>
      <c r="I67" s="5"/>
      <c r="J67" s="5"/>
      <c r="K67" s="5"/>
      <c r="L67" s="5"/>
      <c r="M67" s="5"/>
    </row>
    <row r="68" spans="2:13" s="24" customFormat="1" x14ac:dyDescent="0.25">
      <c r="B68" s="5"/>
      <c r="C68" s="27"/>
      <c r="D68" s="27"/>
      <c r="E68" s="27"/>
      <c r="F68" s="27"/>
      <c r="I68" s="5"/>
      <c r="J68" s="5"/>
      <c r="K68" s="5"/>
      <c r="L68" s="5"/>
      <c r="M68" s="5"/>
    </row>
    <row r="69" spans="2:13" s="24" customFormat="1" x14ac:dyDescent="0.25">
      <c r="B69" s="5"/>
      <c r="C69" s="27"/>
      <c r="D69" s="27"/>
      <c r="E69" s="27"/>
      <c r="F69" s="27"/>
      <c r="I69" s="5"/>
      <c r="J69" s="5"/>
      <c r="K69" s="5"/>
      <c r="L69" s="5"/>
      <c r="M69" s="5"/>
    </row>
    <row r="70" spans="2:13" s="24" customFormat="1" x14ac:dyDescent="0.25">
      <c r="B70" s="5"/>
      <c r="C70" s="27"/>
      <c r="D70" s="27"/>
      <c r="E70" s="27"/>
      <c r="F70" s="27"/>
      <c r="I70" s="5"/>
      <c r="J70" s="5"/>
      <c r="K70" s="5"/>
      <c r="L70" s="5"/>
      <c r="M70" s="5"/>
    </row>
    <row r="71" spans="2:13" s="24" customFormat="1" x14ac:dyDescent="0.25">
      <c r="B71" s="5"/>
      <c r="C71" s="27"/>
      <c r="D71" s="27"/>
      <c r="E71" s="27"/>
      <c r="F71" s="27"/>
      <c r="I71" s="5"/>
      <c r="J71" s="5"/>
      <c r="K71" s="5"/>
      <c r="L71" s="5"/>
      <c r="M71" s="5"/>
    </row>
    <row r="72" spans="2:13" s="24" customFormat="1" x14ac:dyDescent="0.25">
      <c r="B72" s="5"/>
      <c r="C72" s="27"/>
      <c r="D72" s="27"/>
      <c r="E72" s="27"/>
      <c r="F72" s="27"/>
      <c r="I72" s="5"/>
      <c r="J72" s="5"/>
      <c r="K72" s="5"/>
      <c r="L72" s="5"/>
      <c r="M72" s="5"/>
    </row>
    <row r="73" spans="2:13" s="24" customFormat="1" x14ac:dyDescent="0.25">
      <c r="B73" s="5"/>
      <c r="C73" s="27"/>
      <c r="D73" s="27"/>
      <c r="E73" s="27"/>
      <c r="F73" s="27"/>
      <c r="I73" s="5"/>
      <c r="J73" s="5"/>
      <c r="K73" s="5"/>
      <c r="L73" s="5"/>
      <c r="M73" s="5"/>
    </row>
    <row r="74" spans="2:13" s="24" customFormat="1" x14ac:dyDescent="0.25">
      <c r="B74" s="5"/>
      <c r="C74" s="27"/>
      <c r="D74" s="27"/>
      <c r="E74" s="27"/>
      <c r="F74" s="27"/>
      <c r="I74" s="5"/>
      <c r="J74" s="5"/>
      <c r="K74" s="5"/>
      <c r="L74" s="5"/>
      <c r="M74" s="5"/>
    </row>
    <row r="75" spans="2:13" s="24" customFormat="1" x14ac:dyDescent="0.25">
      <c r="B75" s="5"/>
      <c r="C75" s="27"/>
      <c r="D75" s="27"/>
      <c r="E75" s="27"/>
      <c r="F75" s="27"/>
      <c r="I75" s="5"/>
      <c r="J75" s="5"/>
      <c r="K75" s="5"/>
      <c r="L75" s="5"/>
      <c r="M75" s="5"/>
    </row>
    <row r="76" spans="2:13" s="24" customFormat="1" x14ac:dyDescent="0.25">
      <c r="B76" s="5"/>
      <c r="C76" s="27"/>
      <c r="D76" s="27"/>
      <c r="E76" s="27"/>
      <c r="F76" s="27"/>
      <c r="I76" s="5"/>
      <c r="J76" s="5"/>
      <c r="K76" s="5"/>
      <c r="L76" s="5"/>
      <c r="M76" s="5"/>
    </row>
    <row r="77" spans="2:13" s="24" customFormat="1" x14ac:dyDescent="0.25">
      <c r="B77" s="5"/>
      <c r="C77" s="27"/>
      <c r="D77" s="27"/>
      <c r="E77" s="27"/>
      <c r="F77" s="27"/>
      <c r="I77" s="5"/>
      <c r="J77" s="5"/>
      <c r="K77" s="5"/>
      <c r="L77" s="5"/>
      <c r="M77" s="5"/>
    </row>
    <row r="78" spans="2:13" s="24" customFormat="1" x14ac:dyDescent="0.25">
      <c r="B78" s="5"/>
      <c r="C78" s="27"/>
      <c r="D78" s="27"/>
      <c r="E78" s="27"/>
      <c r="F78" s="27"/>
      <c r="I78" s="5"/>
      <c r="J78" s="5"/>
      <c r="K78" s="5"/>
      <c r="L78" s="5"/>
      <c r="M78" s="5"/>
    </row>
    <row r="79" spans="2:13" s="24" customFormat="1" x14ac:dyDescent="0.25">
      <c r="B79" s="5"/>
      <c r="C79" s="27"/>
      <c r="D79" s="27"/>
      <c r="E79" s="27"/>
      <c r="F79" s="27"/>
      <c r="I79" s="5"/>
      <c r="J79" s="5"/>
      <c r="K79" s="5"/>
      <c r="L79" s="5"/>
      <c r="M79" s="5"/>
    </row>
    <row r="80" spans="2:13" s="24" customFormat="1" x14ac:dyDescent="0.25">
      <c r="B80" s="5"/>
      <c r="C80" s="27"/>
      <c r="D80" s="27"/>
      <c r="E80" s="27"/>
      <c r="F80" s="27"/>
      <c r="I80" s="5"/>
      <c r="J80" s="5"/>
      <c r="K80" s="5"/>
      <c r="L80" s="5"/>
      <c r="M80" s="5"/>
    </row>
    <row r="81" spans="2:13" s="24" customFormat="1" x14ac:dyDescent="0.25">
      <c r="B81" s="5"/>
      <c r="C81" s="27"/>
      <c r="D81" s="27"/>
      <c r="E81" s="27"/>
      <c r="F81" s="27"/>
      <c r="I81" s="5"/>
      <c r="J81" s="5"/>
      <c r="K81" s="5"/>
      <c r="L81" s="5"/>
      <c r="M81" s="5"/>
    </row>
    <row r="82" spans="2:13" s="24" customFormat="1" x14ac:dyDescent="0.25">
      <c r="B82" s="5"/>
      <c r="C82" s="27"/>
      <c r="D82" s="27"/>
      <c r="E82" s="27"/>
      <c r="F82" s="27"/>
      <c r="I82" s="5"/>
      <c r="J82" s="5"/>
      <c r="K82" s="5"/>
      <c r="L82" s="5"/>
      <c r="M82" s="5"/>
    </row>
    <row r="83" spans="2:13" s="24" customFormat="1" x14ac:dyDescent="0.25">
      <c r="B83" s="5"/>
      <c r="C83" s="27"/>
      <c r="D83" s="27"/>
      <c r="E83" s="27"/>
      <c r="F83" s="27"/>
      <c r="I83" s="5"/>
      <c r="J83" s="5"/>
      <c r="K83" s="5"/>
      <c r="L83" s="5"/>
      <c r="M83" s="5"/>
    </row>
    <row r="84" spans="2:13" s="24" customFormat="1" x14ac:dyDescent="0.25">
      <c r="B84" s="5"/>
      <c r="C84" s="27"/>
      <c r="D84" s="27"/>
      <c r="E84" s="27"/>
      <c r="F84" s="27"/>
      <c r="I84" s="5"/>
      <c r="J84" s="5"/>
      <c r="K84" s="5"/>
      <c r="L84" s="5"/>
      <c r="M84" s="5"/>
    </row>
    <row r="85" spans="2:13" s="24" customFormat="1" x14ac:dyDescent="0.25">
      <c r="B85" s="5"/>
      <c r="C85" s="27"/>
      <c r="D85" s="27"/>
      <c r="E85" s="27"/>
      <c r="F85" s="27"/>
      <c r="I85" s="5"/>
      <c r="J85" s="5"/>
      <c r="K85" s="5"/>
      <c r="L85" s="5"/>
      <c r="M85" s="5"/>
    </row>
    <row r="86" spans="2:13" s="24" customFormat="1" x14ac:dyDescent="0.25">
      <c r="B86" s="5"/>
      <c r="C86" s="27"/>
      <c r="D86" s="27"/>
      <c r="E86" s="27"/>
      <c r="F86" s="27"/>
      <c r="I86" s="5"/>
      <c r="J86" s="5"/>
      <c r="K86" s="5"/>
      <c r="L86" s="5"/>
      <c r="M86" s="5"/>
    </row>
    <row r="87" spans="2:13" s="24" customFormat="1" x14ac:dyDescent="0.25">
      <c r="B87" s="5"/>
      <c r="C87" s="27"/>
      <c r="D87" s="27"/>
      <c r="E87" s="27"/>
      <c r="F87" s="27"/>
      <c r="I87" s="5"/>
      <c r="J87" s="5"/>
      <c r="K87" s="5"/>
      <c r="L87" s="5"/>
      <c r="M87" s="5"/>
    </row>
    <row r="88" spans="2:13" s="24" customFormat="1" x14ac:dyDescent="0.25">
      <c r="B88" s="5"/>
      <c r="C88" s="27"/>
      <c r="D88" s="27"/>
      <c r="E88" s="27"/>
      <c r="F88" s="27"/>
      <c r="I88" s="5"/>
      <c r="J88" s="5"/>
      <c r="K88" s="5"/>
      <c r="L88" s="5"/>
      <c r="M88" s="5"/>
    </row>
    <row r="89" spans="2:13" s="24" customFormat="1" x14ac:dyDescent="0.25">
      <c r="B89" s="5"/>
      <c r="C89" s="27"/>
      <c r="D89" s="27"/>
      <c r="E89" s="27"/>
      <c r="F89" s="27"/>
      <c r="I89" s="5"/>
      <c r="J89" s="5"/>
      <c r="K89" s="5"/>
      <c r="L89" s="5"/>
      <c r="M89" s="5"/>
    </row>
    <row r="90" spans="2:13" s="24" customFormat="1" x14ac:dyDescent="0.25">
      <c r="B90" s="5"/>
      <c r="C90" s="27"/>
      <c r="D90" s="27"/>
      <c r="E90" s="27"/>
      <c r="F90" s="27"/>
      <c r="I90" s="5"/>
      <c r="J90" s="5"/>
      <c r="K90" s="5"/>
      <c r="L90" s="5"/>
      <c r="M90" s="5"/>
    </row>
    <row r="91" spans="2:13" s="24" customFormat="1" x14ac:dyDescent="0.25">
      <c r="B91" s="5"/>
      <c r="C91" s="27"/>
      <c r="D91" s="27"/>
      <c r="E91" s="27"/>
      <c r="F91" s="27"/>
      <c r="I91" s="5"/>
      <c r="J91" s="5"/>
      <c r="K91" s="5"/>
      <c r="L91" s="5"/>
      <c r="M91" s="5"/>
    </row>
    <row r="92" spans="2:13" s="24" customFormat="1" x14ac:dyDescent="0.25">
      <c r="B92" s="5"/>
      <c r="C92" s="27"/>
      <c r="D92" s="27"/>
      <c r="E92" s="27"/>
      <c r="F92" s="27"/>
      <c r="I92" s="5"/>
      <c r="J92" s="5"/>
      <c r="K92" s="5"/>
      <c r="L92" s="5"/>
      <c r="M92" s="5"/>
    </row>
    <row r="93" spans="2:13" s="24" customFormat="1" x14ac:dyDescent="0.25">
      <c r="B93" s="5"/>
      <c r="C93" s="27"/>
      <c r="D93" s="27"/>
      <c r="E93" s="27"/>
      <c r="F93" s="27"/>
      <c r="I93" s="5"/>
      <c r="J93" s="5"/>
      <c r="K93" s="5"/>
      <c r="L93" s="5"/>
      <c r="M93" s="5"/>
    </row>
    <row r="94" spans="2:13" s="24" customFormat="1" x14ac:dyDescent="0.25">
      <c r="B94" s="5"/>
      <c r="C94" s="27"/>
      <c r="D94" s="27"/>
      <c r="E94" s="27"/>
      <c r="F94" s="27"/>
      <c r="I94" s="5"/>
      <c r="J94" s="5"/>
      <c r="K94" s="5"/>
      <c r="L94" s="5"/>
      <c r="M94" s="5"/>
    </row>
    <row r="95" spans="2:13" s="24" customFormat="1" x14ac:dyDescent="0.25">
      <c r="B95" s="5"/>
      <c r="C95" s="27"/>
      <c r="D95" s="27"/>
      <c r="E95" s="27"/>
      <c r="F95" s="27"/>
      <c r="I95" s="5"/>
      <c r="J95" s="5"/>
      <c r="K95" s="5"/>
      <c r="L95" s="5"/>
      <c r="M95" s="5"/>
    </row>
    <row r="96" spans="2:13" s="24" customFormat="1" x14ac:dyDescent="0.25">
      <c r="B96" s="5"/>
      <c r="C96" s="27"/>
      <c r="D96" s="27"/>
      <c r="E96" s="27"/>
      <c r="F96" s="27"/>
      <c r="I96" s="5"/>
      <c r="J96" s="5"/>
      <c r="K96" s="5"/>
      <c r="L96" s="5"/>
      <c r="M96" s="5"/>
    </row>
    <row r="97" spans="2:13" s="24" customFormat="1" x14ac:dyDescent="0.25">
      <c r="B97" s="5"/>
      <c r="C97" s="27"/>
      <c r="D97" s="27"/>
      <c r="E97" s="27"/>
      <c r="F97" s="27"/>
      <c r="I97" s="5"/>
      <c r="J97" s="5"/>
      <c r="K97" s="5"/>
      <c r="L97" s="5"/>
      <c r="M97" s="5"/>
    </row>
    <row r="98" spans="2:13" s="24" customFormat="1" x14ac:dyDescent="0.25">
      <c r="B98" s="5"/>
      <c r="C98" s="27"/>
      <c r="D98" s="27"/>
      <c r="E98" s="27"/>
      <c r="F98" s="27"/>
      <c r="I98" s="5"/>
      <c r="J98" s="5"/>
      <c r="K98" s="5"/>
      <c r="L98" s="5"/>
      <c r="M98" s="5"/>
    </row>
    <row r="99" spans="2:13" s="24" customFormat="1" x14ac:dyDescent="0.25">
      <c r="B99" s="5"/>
      <c r="C99" s="27"/>
      <c r="D99" s="27"/>
      <c r="E99" s="27"/>
      <c r="F99" s="27"/>
      <c r="I99" s="5"/>
      <c r="J99" s="5"/>
      <c r="K99" s="5"/>
      <c r="L99" s="5"/>
      <c r="M99" s="5"/>
    </row>
    <row r="100" spans="2:13" s="24" customFormat="1" x14ac:dyDescent="0.25">
      <c r="B100" s="5"/>
      <c r="C100" s="27"/>
      <c r="D100" s="27"/>
      <c r="E100" s="27"/>
      <c r="F100" s="27"/>
      <c r="I100" s="5"/>
      <c r="J100" s="5"/>
      <c r="K100" s="5"/>
      <c r="L100" s="5"/>
      <c r="M100" s="5"/>
    </row>
    <row r="101" spans="2:13" s="24" customFormat="1" x14ac:dyDescent="0.25">
      <c r="B101" s="5"/>
      <c r="C101" s="27"/>
      <c r="D101" s="27"/>
      <c r="E101" s="27"/>
      <c r="F101" s="27"/>
      <c r="I101" s="5"/>
      <c r="J101" s="5"/>
      <c r="K101" s="5"/>
      <c r="L101" s="5"/>
      <c r="M101" s="5"/>
    </row>
    <row r="102" spans="2:13" s="24" customFormat="1" x14ac:dyDescent="0.25">
      <c r="B102" s="5"/>
      <c r="C102" s="27"/>
      <c r="D102" s="27"/>
      <c r="E102" s="27"/>
      <c r="F102" s="27"/>
      <c r="I102" s="5"/>
      <c r="J102" s="5"/>
      <c r="K102" s="5"/>
      <c r="L102" s="5"/>
      <c r="M102" s="5"/>
    </row>
    <row r="103" spans="2:13" s="24" customFormat="1" x14ac:dyDescent="0.25">
      <c r="B103" s="5"/>
      <c r="C103" s="27"/>
      <c r="D103" s="27"/>
      <c r="E103" s="27"/>
      <c r="F103" s="27"/>
      <c r="I103" s="5"/>
      <c r="J103" s="5"/>
      <c r="K103" s="5"/>
      <c r="L103" s="5"/>
      <c r="M103" s="5"/>
    </row>
    <row r="104" spans="2:13" s="24" customFormat="1" x14ac:dyDescent="0.25">
      <c r="B104" s="5"/>
      <c r="C104" s="27"/>
      <c r="D104" s="27"/>
      <c r="E104" s="27"/>
      <c r="F104" s="27"/>
      <c r="I104" s="5"/>
      <c r="J104" s="5"/>
      <c r="K104" s="5"/>
      <c r="L104" s="5"/>
      <c r="M104" s="5"/>
    </row>
    <row r="105" spans="2:13" s="24" customFormat="1" x14ac:dyDescent="0.25">
      <c r="B105" s="5"/>
      <c r="C105" s="27"/>
      <c r="D105" s="27"/>
      <c r="E105" s="27"/>
      <c r="F105" s="27"/>
      <c r="I105" s="5"/>
      <c r="J105" s="5"/>
      <c r="K105" s="5"/>
      <c r="L105" s="5"/>
      <c r="M105" s="5"/>
    </row>
    <row r="106" spans="2:13" s="24" customFormat="1" x14ac:dyDescent="0.25">
      <c r="B106" s="5"/>
      <c r="C106" s="27"/>
      <c r="D106" s="27"/>
      <c r="E106" s="27"/>
      <c r="F106" s="27"/>
      <c r="I106" s="5"/>
      <c r="J106" s="5"/>
      <c r="K106" s="5"/>
      <c r="L106" s="5"/>
      <c r="M106" s="5"/>
    </row>
    <row r="107" spans="2:13" s="24" customFormat="1" x14ac:dyDescent="0.25">
      <c r="B107" s="5"/>
      <c r="C107" s="27"/>
      <c r="D107" s="27"/>
      <c r="E107" s="27"/>
      <c r="F107" s="27"/>
      <c r="I107" s="5"/>
      <c r="J107" s="5"/>
      <c r="K107" s="5"/>
      <c r="L107" s="5"/>
      <c r="M107" s="5"/>
    </row>
    <row r="108" spans="2:13" s="24" customFormat="1" x14ac:dyDescent="0.25">
      <c r="B108" s="5"/>
      <c r="C108" s="27"/>
      <c r="D108" s="27"/>
      <c r="E108" s="27"/>
      <c r="F108" s="27"/>
      <c r="I108" s="5"/>
      <c r="J108" s="5"/>
      <c r="K108" s="5"/>
      <c r="L108" s="5"/>
      <c r="M108" s="5"/>
    </row>
    <row r="109" spans="2:13" s="24" customFormat="1" x14ac:dyDescent="0.25">
      <c r="B109" s="5"/>
      <c r="C109" s="27"/>
      <c r="D109" s="27"/>
      <c r="E109" s="27"/>
      <c r="F109" s="27"/>
      <c r="I109" s="5"/>
      <c r="J109" s="5"/>
      <c r="K109" s="5"/>
      <c r="L109" s="5"/>
      <c r="M109" s="5"/>
    </row>
    <row r="110" spans="2:13" s="24" customFormat="1" x14ac:dyDescent="0.25">
      <c r="B110" s="5"/>
      <c r="C110" s="27"/>
      <c r="D110" s="27"/>
      <c r="E110" s="27"/>
      <c r="F110" s="27"/>
      <c r="I110" s="5"/>
      <c r="J110" s="5"/>
      <c r="K110" s="5"/>
      <c r="L110" s="5"/>
      <c r="M110" s="5"/>
    </row>
    <row r="111" spans="2:13" s="24" customFormat="1" x14ac:dyDescent="0.25">
      <c r="B111" s="5"/>
      <c r="C111" s="27"/>
      <c r="D111" s="27"/>
      <c r="E111" s="27"/>
      <c r="F111" s="27"/>
      <c r="I111" s="5"/>
      <c r="J111" s="5"/>
      <c r="K111" s="5"/>
      <c r="L111" s="5"/>
      <c r="M111" s="5"/>
    </row>
    <row r="112" spans="2:13" s="24" customFormat="1" x14ac:dyDescent="0.25">
      <c r="B112" s="5"/>
      <c r="C112" s="27"/>
      <c r="D112" s="27"/>
      <c r="E112" s="27"/>
      <c r="F112" s="27"/>
      <c r="I112" s="5"/>
      <c r="J112" s="5"/>
      <c r="K112" s="5"/>
      <c r="L112" s="5"/>
      <c r="M112" s="5"/>
    </row>
    <row r="113" spans="2:13" s="24" customFormat="1" x14ac:dyDescent="0.25">
      <c r="B113" s="5"/>
      <c r="C113" s="27"/>
      <c r="D113" s="27"/>
      <c r="E113" s="27"/>
      <c r="F113" s="27"/>
      <c r="I113" s="5"/>
      <c r="J113" s="5"/>
      <c r="K113" s="5"/>
      <c r="L113" s="5"/>
      <c r="M113" s="5"/>
    </row>
    <row r="114" spans="2:13" s="24" customFormat="1" x14ac:dyDescent="0.25">
      <c r="B114" s="5"/>
      <c r="C114" s="27"/>
      <c r="D114" s="27"/>
      <c r="E114" s="27"/>
      <c r="F114" s="27"/>
      <c r="I114" s="5"/>
      <c r="J114" s="5"/>
      <c r="K114" s="5"/>
      <c r="L114" s="5"/>
      <c r="M114" s="5"/>
    </row>
    <row r="115" spans="2:13" s="24" customFormat="1" x14ac:dyDescent="0.25">
      <c r="B115" s="5"/>
      <c r="C115" s="27"/>
      <c r="D115" s="27"/>
      <c r="E115" s="27"/>
      <c r="F115" s="27"/>
      <c r="I115" s="5"/>
      <c r="J115" s="5"/>
      <c r="K115" s="5"/>
      <c r="L115" s="5"/>
      <c r="M115" s="5"/>
    </row>
    <row r="116" spans="2:13" s="24" customFormat="1" x14ac:dyDescent="0.25">
      <c r="B116" s="5"/>
      <c r="C116" s="27"/>
      <c r="D116" s="27"/>
      <c r="E116" s="27"/>
      <c r="F116" s="27"/>
      <c r="I116" s="5"/>
      <c r="J116" s="5"/>
      <c r="K116" s="5"/>
      <c r="L116" s="5"/>
      <c r="M116" s="5"/>
    </row>
    <row r="117" spans="2:13" s="24" customFormat="1" x14ac:dyDescent="0.25">
      <c r="B117" s="5"/>
      <c r="C117" s="27"/>
      <c r="D117" s="27"/>
      <c r="E117" s="27"/>
      <c r="F117" s="27"/>
      <c r="I117" s="5"/>
      <c r="J117" s="5"/>
      <c r="K117" s="5"/>
      <c r="L117" s="5"/>
      <c r="M117" s="5"/>
    </row>
    <row r="118" spans="2:13" s="24" customFormat="1" x14ac:dyDescent="0.25">
      <c r="B118" s="5"/>
      <c r="C118" s="27"/>
      <c r="D118" s="27"/>
      <c r="E118" s="27"/>
      <c r="F118" s="27"/>
      <c r="I118" s="5"/>
      <c r="J118" s="5"/>
      <c r="K118" s="5"/>
      <c r="L118" s="5"/>
      <c r="M118" s="5"/>
    </row>
    <row r="119" spans="2:13" s="24" customFormat="1" x14ac:dyDescent="0.25">
      <c r="B119" s="5"/>
      <c r="C119" s="27"/>
      <c r="D119" s="27"/>
      <c r="E119" s="27"/>
      <c r="F119" s="27"/>
      <c r="I119" s="5"/>
      <c r="J119" s="5"/>
      <c r="K119" s="5"/>
      <c r="L119" s="5"/>
      <c r="M119" s="5"/>
    </row>
    <row r="120" spans="2:13" s="24" customFormat="1" x14ac:dyDescent="0.25">
      <c r="B120" s="5"/>
      <c r="C120" s="27"/>
      <c r="D120" s="27"/>
      <c r="E120" s="27"/>
      <c r="F120" s="27"/>
      <c r="I120" s="5"/>
      <c r="J120" s="5"/>
      <c r="K120" s="5"/>
      <c r="L120" s="5"/>
      <c r="M120" s="5"/>
    </row>
    <row r="121" spans="2:13" s="24" customFormat="1" x14ac:dyDescent="0.25">
      <c r="B121" s="5"/>
      <c r="C121" s="27"/>
      <c r="D121" s="27"/>
      <c r="E121" s="27"/>
      <c r="F121" s="27"/>
      <c r="I121" s="5"/>
      <c r="J121" s="5"/>
      <c r="K121" s="5"/>
      <c r="L121" s="5"/>
      <c r="M121" s="5"/>
    </row>
    <row r="122" spans="2:13" s="24" customFormat="1" x14ac:dyDescent="0.25">
      <c r="B122" s="5"/>
      <c r="C122" s="27"/>
      <c r="D122" s="27"/>
      <c r="E122" s="27"/>
      <c r="F122" s="27"/>
      <c r="I122" s="5"/>
      <c r="J122" s="5"/>
      <c r="K122" s="5"/>
      <c r="L122" s="5"/>
      <c r="M122" s="5"/>
    </row>
    <row r="123" spans="2:13" s="24" customFormat="1" x14ac:dyDescent="0.25">
      <c r="B123" s="5"/>
      <c r="C123" s="27"/>
      <c r="D123" s="27"/>
      <c r="E123" s="27"/>
      <c r="F123" s="27"/>
      <c r="I123" s="5"/>
      <c r="J123" s="5"/>
      <c r="K123" s="5"/>
      <c r="L123" s="5"/>
      <c r="M123" s="5"/>
    </row>
    <row r="124" spans="2:13" s="24" customFormat="1" x14ac:dyDescent="0.25">
      <c r="B124" s="5"/>
      <c r="C124" s="27"/>
      <c r="D124" s="27"/>
      <c r="E124" s="27"/>
      <c r="F124" s="27"/>
      <c r="I124" s="5"/>
      <c r="J124" s="5"/>
      <c r="K124" s="5"/>
      <c r="L124" s="5"/>
      <c r="M124" s="5"/>
    </row>
    <row r="125" spans="2:13" s="24" customFormat="1" x14ac:dyDescent="0.25">
      <c r="B125" s="5"/>
      <c r="C125" s="27"/>
      <c r="D125" s="27"/>
      <c r="E125" s="27"/>
      <c r="F125" s="27"/>
      <c r="I125" s="5"/>
      <c r="J125" s="5"/>
      <c r="K125" s="5"/>
      <c r="L125" s="5"/>
      <c r="M125" s="5"/>
    </row>
    <row r="126" spans="2:13" s="24" customFormat="1" x14ac:dyDescent="0.25">
      <c r="B126" s="5"/>
      <c r="C126" s="27"/>
      <c r="D126" s="27"/>
      <c r="E126" s="27"/>
      <c r="F126" s="27"/>
      <c r="I126" s="5"/>
      <c r="J126" s="5"/>
      <c r="K126" s="5"/>
      <c r="L126" s="5"/>
      <c r="M126" s="5"/>
    </row>
    <row r="127" spans="2:13" s="24" customFormat="1" x14ac:dyDescent="0.25">
      <c r="B127" s="5"/>
      <c r="C127" s="27"/>
      <c r="D127" s="27"/>
      <c r="E127" s="27"/>
      <c r="F127" s="27"/>
      <c r="I127" s="5"/>
      <c r="J127" s="5"/>
      <c r="K127" s="5"/>
      <c r="L127" s="5"/>
      <c r="M127" s="5"/>
    </row>
    <row r="128" spans="2:13" s="24" customFormat="1" x14ac:dyDescent="0.25">
      <c r="B128" s="5"/>
      <c r="C128" s="27"/>
      <c r="D128" s="27"/>
      <c r="E128" s="27"/>
      <c r="F128" s="27"/>
      <c r="I128" s="5"/>
      <c r="J128" s="5"/>
      <c r="K128" s="5"/>
      <c r="L128" s="5"/>
      <c r="M128" s="5"/>
    </row>
    <row r="129" spans="2:13" s="24" customFormat="1" x14ac:dyDescent="0.25">
      <c r="B129" s="5"/>
      <c r="C129" s="27"/>
      <c r="D129" s="27"/>
      <c r="E129" s="27"/>
      <c r="F129" s="27"/>
      <c r="I129" s="5"/>
      <c r="J129" s="5"/>
      <c r="K129" s="5"/>
      <c r="L129" s="5"/>
      <c r="M129" s="5"/>
    </row>
    <row r="130" spans="2:13" s="24" customFormat="1" x14ac:dyDescent="0.25">
      <c r="B130" s="5"/>
      <c r="C130" s="27"/>
      <c r="D130" s="27"/>
      <c r="E130" s="27"/>
      <c r="F130" s="27"/>
      <c r="I130" s="5"/>
      <c r="J130" s="5"/>
      <c r="K130" s="5"/>
      <c r="L130" s="5"/>
      <c r="M130" s="5"/>
    </row>
    <row r="131" spans="2:13" s="24" customFormat="1" x14ac:dyDescent="0.25">
      <c r="B131" s="5"/>
      <c r="C131" s="27"/>
      <c r="D131" s="27"/>
      <c r="E131" s="27"/>
      <c r="F131" s="27"/>
      <c r="I131" s="5"/>
      <c r="J131" s="5"/>
      <c r="K131" s="5"/>
      <c r="L131" s="5"/>
      <c r="M131" s="5"/>
    </row>
    <row r="132" spans="2:13" s="24" customFormat="1" x14ac:dyDescent="0.25">
      <c r="B132" s="5"/>
      <c r="C132" s="27"/>
      <c r="D132" s="27"/>
      <c r="E132" s="27"/>
      <c r="F132" s="27"/>
      <c r="I132" s="5"/>
      <c r="J132" s="5"/>
      <c r="K132" s="5"/>
      <c r="L132" s="5"/>
      <c r="M132" s="5"/>
    </row>
    <row r="133" spans="2:13" s="24" customFormat="1" x14ac:dyDescent="0.25">
      <c r="B133" s="5"/>
      <c r="C133" s="27"/>
      <c r="D133" s="27"/>
      <c r="E133" s="27"/>
      <c r="F133" s="27"/>
      <c r="I133" s="5"/>
      <c r="J133" s="5"/>
      <c r="K133" s="5"/>
      <c r="L133" s="5"/>
      <c r="M133" s="5"/>
    </row>
    <row r="134" spans="2:13" s="24" customFormat="1" x14ac:dyDescent="0.25">
      <c r="B134" s="5"/>
      <c r="C134" s="27"/>
      <c r="D134" s="27"/>
      <c r="E134" s="27"/>
      <c r="F134" s="27"/>
      <c r="I134" s="5"/>
      <c r="J134" s="5"/>
      <c r="K134" s="5"/>
      <c r="L134" s="5"/>
      <c r="M134" s="5"/>
    </row>
    <row r="135" spans="2:13" s="24" customFormat="1" x14ac:dyDescent="0.25">
      <c r="B135" s="5"/>
      <c r="C135" s="27"/>
      <c r="D135" s="27"/>
      <c r="E135" s="27"/>
      <c r="F135" s="27"/>
      <c r="I135" s="5"/>
      <c r="J135" s="5"/>
      <c r="K135" s="5"/>
      <c r="L135" s="5"/>
      <c r="M135" s="5"/>
    </row>
    <row r="136" spans="2:13" s="24" customFormat="1" x14ac:dyDescent="0.25">
      <c r="B136" s="5"/>
      <c r="C136" s="27"/>
      <c r="D136" s="27"/>
      <c r="E136" s="27"/>
      <c r="F136" s="27"/>
      <c r="I136" s="5"/>
      <c r="J136" s="5"/>
      <c r="K136" s="5"/>
      <c r="L136" s="5"/>
      <c r="M136" s="5"/>
    </row>
    <row r="137" spans="2:13" s="24" customFormat="1" x14ac:dyDescent="0.25">
      <c r="B137" s="5"/>
      <c r="C137" s="27"/>
      <c r="D137" s="27"/>
      <c r="E137" s="27"/>
      <c r="F137" s="27"/>
      <c r="I137" s="5"/>
      <c r="J137" s="5"/>
      <c r="K137" s="5"/>
      <c r="L137" s="5"/>
      <c r="M137" s="5"/>
    </row>
    <row r="138" spans="2:13" s="24" customFormat="1" x14ac:dyDescent="0.25">
      <c r="B138" s="5"/>
      <c r="C138" s="27"/>
      <c r="D138" s="27"/>
      <c r="E138" s="27"/>
      <c r="F138" s="27"/>
      <c r="I138" s="5"/>
      <c r="J138" s="5"/>
      <c r="K138" s="5"/>
      <c r="L138" s="5"/>
      <c r="M138" s="5"/>
    </row>
    <row r="139" spans="2:13" s="24" customFormat="1" x14ac:dyDescent="0.25">
      <c r="B139" s="5"/>
      <c r="C139" s="27"/>
      <c r="D139" s="27"/>
      <c r="E139" s="27"/>
      <c r="F139" s="27"/>
      <c r="I139" s="5"/>
      <c r="J139" s="5"/>
      <c r="K139" s="5"/>
      <c r="L139" s="5"/>
      <c r="M139" s="5"/>
    </row>
    <row r="140" spans="2:13" s="24" customFormat="1" x14ac:dyDescent="0.25">
      <c r="B140" s="5"/>
      <c r="C140" s="27"/>
      <c r="D140" s="27"/>
      <c r="E140" s="27"/>
      <c r="F140" s="27"/>
      <c r="I140" s="5"/>
      <c r="J140" s="5"/>
      <c r="K140" s="5"/>
      <c r="L140" s="5"/>
      <c r="M140" s="5"/>
    </row>
    <row r="141" spans="2:13" s="24" customFormat="1" x14ac:dyDescent="0.25">
      <c r="B141" s="5"/>
      <c r="C141" s="27"/>
      <c r="D141" s="27"/>
      <c r="E141" s="27"/>
      <c r="F141" s="27"/>
      <c r="I141" s="5"/>
      <c r="J141" s="5"/>
      <c r="K141" s="5"/>
      <c r="L141" s="5"/>
      <c r="M141" s="5"/>
    </row>
    <row r="142" spans="2:13" s="24" customFormat="1" x14ac:dyDescent="0.25">
      <c r="B142" s="5"/>
      <c r="C142" s="27"/>
      <c r="D142" s="27"/>
      <c r="E142" s="27"/>
      <c r="F142" s="27"/>
      <c r="I142" s="5"/>
      <c r="J142" s="5"/>
      <c r="K142" s="5"/>
      <c r="L142" s="5"/>
      <c r="M142" s="5"/>
    </row>
    <row r="143" spans="2:13" s="24" customFormat="1" x14ac:dyDescent="0.25">
      <c r="B143" s="5"/>
      <c r="C143" s="27"/>
      <c r="D143" s="27"/>
      <c r="E143" s="27"/>
      <c r="F143" s="27"/>
      <c r="I143" s="5"/>
      <c r="J143" s="5"/>
      <c r="K143" s="5"/>
      <c r="L143" s="5"/>
      <c r="M143" s="5"/>
    </row>
    <row r="144" spans="2:13" s="24" customFormat="1" x14ac:dyDescent="0.25">
      <c r="B144" s="5"/>
      <c r="C144" s="27"/>
      <c r="D144" s="27"/>
      <c r="E144" s="27"/>
      <c r="F144" s="27"/>
      <c r="I144" s="5"/>
      <c r="J144" s="5"/>
      <c r="K144" s="5"/>
      <c r="L144" s="5"/>
      <c r="M144" s="5"/>
    </row>
    <row r="145" spans="2:13" s="24" customFormat="1" x14ac:dyDescent="0.25">
      <c r="B145" s="5"/>
      <c r="C145" s="27"/>
      <c r="D145" s="27"/>
      <c r="E145" s="27"/>
      <c r="F145" s="27"/>
      <c r="I145" s="5"/>
      <c r="J145" s="5"/>
      <c r="K145" s="5"/>
      <c r="L145" s="5"/>
      <c r="M145" s="5"/>
    </row>
  </sheetData>
  <mergeCells count="1">
    <mergeCell ref="J9:K9"/>
  </mergeCells>
  <pageMargins left="0.78740157499999996" right="0.78740157499999996" top="0.984251969" bottom="0.984251969" header="0.49212598499999999" footer="0.49212598499999999"/>
  <pageSetup paperSize="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Gráficos</vt:lpstr>
      </vt:variant>
      <vt:variant>
        <vt:i4>2</vt:i4>
      </vt:variant>
    </vt:vector>
  </HeadingPairs>
  <TitlesOfParts>
    <vt:vector size="5" baseType="lpstr">
      <vt:lpstr>ExercPut</vt:lpstr>
      <vt:lpstr>PayOff</vt:lpstr>
      <vt:lpstr>PayOff_ZCC</vt:lpstr>
      <vt:lpstr>Grafico</vt:lpstr>
      <vt:lpstr>Grafico_ZCC</vt:lpstr>
    </vt:vector>
  </TitlesOfParts>
  <Company>WHSilva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Henrique</dc:creator>
  <cp:lastModifiedBy>beren</cp:lastModifiedBy>
  <cp:lastPrinted>2007-09-13T20:24:05Z</cp:lastPrinted>
  <dcterms:created xsi:type="dcterms:W3CDTF">2003-12-11T14:52:15Z</dcterms:created>
  <dcterms:modified xsi:type="dcterms:W3CDTF">2023-03-13T23:13:08Z</dcterms:modified>
</cp:coreProperties>
</file>