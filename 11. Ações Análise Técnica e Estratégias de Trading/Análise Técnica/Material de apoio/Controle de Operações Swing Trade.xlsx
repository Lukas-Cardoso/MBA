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SAMSUNG\Videos\Aulas MBA\"/>
    </mc:Choice>
  </mc:AlternateContent>
  <xr:revisionPtr revIDLastSave="0" documentId="8_{2B585E5D-76CE-49DE-AA25-3F09DE6C6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ções" sheetId="1" r:id="rId1"/>
    <sheet name="Resultados" sheetId="2" r:id="rId2"/>
    <sheet name="Metas" sheetId="3" r:id="rId3"/>
    <sheet name="Dados" sheetId="4" r:id="rId4"/>
  </sheets>
  <definedNames>
    <definedName name="_1_2">#REF!</definedName>
    <definedName name="_2">#REF!</definedName>
    <definedName name="_xlnm._FilterDatabase" localSheetId="3" hidden="1">Dados!$A$3:$B$365</definedName>
    <definedName name="a">#REF!</definedName>
    <definedName name="CotacoesTodosAtivos_3">#REF!</definedName>
    <definedName name="default_2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/QPieMSZiMK4EHIzd5uz1o4kpZA=="/>
    </ext>
  </extLst>
</workbook>
</file>

<file path=xl/calcChain.xml><?xml version="1.0" encoding="utf-8"?>
<calcChain xmlns="http://schemas.openxmlformats.org/spreadsheetml/2006/main">
  <c r="E13" i="1" l="1"/>
  <c r="E65" i="3"/>
  <c r="D65" i="3"/>
  <c r="G65" i="3" s="1"/>
  <c r="G64" i="3"/>
  <c r="E64" i="3"/>
  <c r="D64" i="3"/>
  <c r="F64" i="3" s="1"/>
  <c r="G63" i="3"/>
  <c r="E63" i="3"/>
  <c r="D63" i="3"/>
  <c r="F63" i="3" s="1"/>
  <c r="E62" i="3"/>
  <c r="F62" i="3" s="1"/>
  <c r="D62" i="3"/>
  <c r="G62" i="3" s="1"/>
  <c r="G61" i="3"/>
  <c r="E61" i="3"/>
  <c r="F61" i="3" s="1"/>
  <c r="D61" i="3"/>
  <c r="E60" i="3"/>
  <c r="D60" i="3"/>
  <c r="G60" i="3" s="1"/>
  <c r="G59" i="3"/>
  <c r="F59" i="3"/>
  <c r="E59" i="3"/>
  <c r="D59" i="3"/>
  <c r="E58" i="3"/>
  <c r="D58" i="3"/>
  <c r="F58" i="3" s="1"/>
  <c r="E57" i="3"/>
  <c r="D57" i="3"/>
  <c r="G56" i="3"/>
  <c r="F56" i="3"/>
  <c r="E56" i="3"/>
  <c r="D56" i="3"/>
  <c r="E55" i="3"/>
  <c r="D55" i="3"/>
  <c r="G55" i="3" s="1"/>
  <c r="E54" i="3"/>
  <c r="D54" i="3"/>
  <c r="G53" i="3"/>
  <c r="E53" i="3"/>
  <c r="F53" i="3" s="1"/>
  <c r="D53" i="3"/>
  <c r="E52" i="3"/>
  <c r="D52" i="3"/>
  <c r="G52" i="3" s="1"/>
  <c r="F51" i="3"/>
  <c r="E51" i="3"/>
  <c r="G51" i="3" s="1"/>
  <c r="D51" i="3"/>
  <c r="E50" i="3"/>
  <c r="D50" i="3"/>
  <c r="F50" i="3" s="1"/>
  <c r="E49" i="3"/>
  <c r="D49" i="3"/>
  <c r="I943" i="2"/>
  <c r="H943" i="2"/>
  <c r="I942" i="2"/>
  <c r="H942" i="2"/>
  <c r="I941" i="2"/>
  <c r="H941" i="2"/>
  <c r="I940" i="2"/>
  <c r="H940" i="2"/>
  <c r="I939" i="2"/>
  <c r="H939" i="2"/>
  <c r="I938" i="2"/>
  <c r="H938" i="2"/>
  <c r="I937" i="2"/>
  <c r="H937" i="2"/>
  <c r="I936" i="2"/>
  <c r="H936" i="2"/>
  <c r="I935" i="2"/>
  <c r="H935" i="2"/>
  <c r="I934" i="2"/>
  <c r="H934" i="2"/>
  <c r="I933" i="2"/>
  <c r="H933" i="2"/>
  <c r="I932" i="2"/>
  <c r="H932" i="2"/>
  <c r="I931" i="2"/>
  <c r="H931" i="2"/>
  <c r="I930" i="2"/>
  <c r="H930" i="2"/>
  <c r="I929" i="2"/>
  <c r="H929" i="2"/>
  <c r="I928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J447" i="2"/>
  <c r="H447" i="2"/>
  <c r="J446" i="2"/>
  <c r="H446" i="2"/>
  <c r="J445" i="2"/>
  <c r="H445" i="2"/>
  <c r="J444" i="2"/>
  <c r="H444" i="2"/>
  <c r="J443" i="2"/>
  <c r="H443" i="2"/>
  <c r="J442" i="2"/>
  <c r="H442" i="2"/>
  <c r="J441" i="2"/>
  <c r="H441" i="2"/>
  <c r="J440" i="2"/>
  <c r="H440" i="2"/>
  <c r="J439" i="2"/>
  <c r="H439" i="2"/>
  <c r="J438" i="2"/>
  <c r="H438" i="2"/>
  <c r="J437" i="2"/>
  <c r="H437" i="2"/>
  <c r="J436" i="2"/>
  <c r="H436" i="2"/>
  <c r="J435" i="2"/>
  <c r="H435" i="2"/>
  <c r="J434" i="2"/>
  <c r="H434" i="2"/>
  <c r="J433" i="2"/>
  <c r="H433" i="2"/>
  <c r="J432" i="2"/>
  <c r="H432" i="2"/>
  <c r="J431" i="2"/>
  <c r="H431" i="2"/>
  <c r="J430" i="2"/>
  <c r="H430" i="2"/>
  <c r="J429" i="2"/>
  <c r="H429" i="2"/>
  <c r="J428" i="2"/>
  <c r="H428" i="2"/>
  <c r="J427" i="2"/>
  <c r="H427" i="2"/>
  <c r="J426" i="2"/>
  <c r="H426" i="2"/>
  <c r="J425" i="2"/>
  <c r="H425" i="2"/>
  <c r="J424" i="2"/>
  <c r="H424" i="2"/>
  <c r="J423" i="2"/>
  <c r="H423" i="2"/>
  <c r="J422" i="2"/>
  <c r="H422" i="2"/>
  <c r="J421" i="2"/>
  <c r="H421" i="2"/>
  <c r="J420" i="2"/>
  <c r="H420" i="2"/>
  <c r="J419" i="2"/>
  <c r="H419" i="2"/>
  <c r="J418" i="2"/>
  <c r="H418" i="2"/>
  <c r="J417" i="2"/>
  <c r="H417" i="2"/>
  <c r="J416" i="2"/>
  <c r="H416" i="2"/>
  <c r="J415" i="2"/>
  <c r="H415" i="2"/>
  <c r="J414" i="2"/>
  <c r="H414" i="2"/>
  <c r="J413" i="2"/>
  <c r="H413" i="2"/>
  <c r="J412" i="2"/>
  <c r="H412" i="2"/>
  <c r="J411" i="2"/>
  <c r="H411" i="2"/>
  <c r="J410" i="2"/>
  <c r="H410" i="2"/>
  <c r="J409" i="2"/>
  <c r="H409" i="2"/>
  <c r="J408" i="2"/>
  <c r="H408" i="2"/>
  <c r="J407" i="2"/>
  <c r="H407" i="2"/>
  <c r="J406" i="2"/>
  <c r="H406" i="2"/>
  <c r="J405" i="2"/>
  <c r="H405" i="2"/>
  <c r="J404" i="2"/>
  <c r="H404" i="2"/>
  <c r="J403" i="2"/>
  <c r="H403" i="2"/>
  <c r="J402" i="2"/>
  <c r="H402" i="2"/>
  <c r="J401" i="2"/>
  <c r="H401" i="2"/>
  <c r="J400" i="2"/>
  <c r="H400" i="2"/>
  <c r="J399" i="2"/>
  <c r="H399" i="2"/>
  <c r="J398" i="2"/>
  <c r="H398" i="2"/>
  <c r="J397" i="2"/>
  <c r="H397" i="2"/>
  <c r="J396" i="2"/>
  <c r="H396" i="2"/>
  <c r="J395" i="2"/>
  <c r="H395" i="2"/>
  <c r="J394" i="2"/>
  <c r="H394" i="2"/>
  <c r="J393" i="2"/>
  <c r="H393" i="2"/>
  <c r="J392" i="2"/>
  <c r="H392" i="2"/>
  <c r="J391" i="2"/>
  <c r="H391" i="2"/>
  <c r="J390" i="2"/>
  <c r="H390" i="2"/>
  <c r="J389" i="2"/>
  <c r="H389" i="2"/>
  <c r="J388" i="2"/>
  <c r="H388" i="2"/>
  <c r="J387" i="2"/>
  <c r="H387" i="2"/>
  <c r="J386" i="2"/>
  <c r="H386" i="2"/>
  <c r="J385" i="2"/>
  <c r="H385" i="2"/>
  <c r="J384" i="2"/>
  <c r="H384" i="2"/>
  <c r="J383" i="2"/>
  <c r="H383" i="2"/>
  <c r="J382" i="2"/>
  <c r="H382" i="2"/>
  <c r="J381" i="2"/>
  <c r="H381" i="2"/>
  <c r="J380" i="2"/>
  <c r="H380" i="2"/>
  <c r="J379" i="2"/>
  <c r="H379" i="2"/>
  <c r="J378" i="2"/>
  <c r="H378" i="2"/>
  <c r="J377" i="2"/>
  <c r="H377" i="2"/>
  <c r="J376" i="2"/>
  <c r="H376" i="2"/>
  <c r="J375" i="2"/>
  <c r="H375" i="2"/>
  <c r="J374" i="2"/>
  <c r="H374" i="2"/>
  <c r="J373" i="2"/>
  <c r="H373" i="2"/>
  <c r="J372" i="2"/>
  <c r="H372" i="2"/>
  <c r="J371" i="2"/>
  <c r="H371" i="2"/>
  <c r="J370" i="2"/>
  <c r="H370" i="2"/>
  <c r="J369" i="2"/>
  <c r="H369" i="2"/>
  <c r="J368" i="2"/>
  <c r="H368" i="2"/>
  <c r="J367" i="2"/>
  <c r="H367" i="2"/>
  <c r="J366" i="2"/>
  <c r="H366" i="2"/>
  <c r="J365" i="2"/>
  <c r="H365" i="2"/>
  <c r="J364" i="2"/>
  <c r="H364" i="2"/>
  <c r="J363" i="2"/>
  <c r="H363" i="2"/>
  <c r="J362" i="2"/>
  <c r="H362" i="2"/>
  <c r="J361" i="2"/>
  <c r="H361" i="2"/>
  <c r="J360" i="2"/>
  <c r="H360" i="2"/>
  <c r="J359" i="2"/>
  <c r="H359" i="2"/>
  <c r="J358" i="2"/>
  <c r="H358" i="2"/>
  <c r="J357" i="2"/>
  <c r="H357" i="2"/>
  <c r="J356" i="2"/>
  <c r="H356" i="2"/>
  <c r="J355" i="2"/>
  <c r="H355" i="2"/>
  <c r="J354" i="2"/>
  <c r="H354" i="2"/>
  <c r="J353" i="2"/>
  <c r="H353" i="2"/>
  <c r="J352" i="2"/>
  <c r="H352" i="2"/>
  <c r="J351" i="2"/>
  <c r="H351" i="2"/>
  <c r="J350" i="2"/>
  <c r="H350" i="2"/>
  <c r="J349" i="2"/>
  <c r="H349" i="2"/>
  <c r="J348" i="2"/>
  <c r="H348" i="2"/>
  <c r="J347" i="2"/>
  <c r="H347" i="2"/>
  <c r="J346" i="2"/>
  <c r="H346" i="2"/>
  <c r="J345" i="2"/>
  <c r="H345" i="2"/>
  <c r="J344" i="2"/>
  <c r="H344" i="2"/>
  <c r="J343" i="2"/>
  <c r="H343" i="2"/>
  <c r="J342" i="2"/>
  <c r="H342" i="2"/>
  <c r="J341" i="2"/>
  <c r="H341" i="2"/>
  <c r="J340" i="2"/>
  <c r="H340" i="2"/>
  <c r="J339" i="2"/>
  <c r="H339" i="2"/>
  <c r="J338" i="2"/>
  <c r="H338" i="2"/>
  <c r="J337" i="2"/>
  <c r="H337" i="2"/>
  <c r="J336" i="2"/>
  <c r="H336" i="2"/>
  <c r="J335" i="2"/>
  <c r="H335" i="2"/>
  <c r="J334" i="2"/>
  <c r="H334" i="2"/>
  <c r="J333" i="2"/>
  <c r="H333" i="2"/>
  <c r="J332" i="2"/>
  <c r="H332" i="2"/>
  <c r="J331" i="2"/>
  <c r="H331" i="2"/>
  <c r="J330" i="2"/>
  <c r="H330" i="2"/>
  <c r="J329" i="2"/>
  <c r="H329" i="2"/>
  <c r="J328" i="2"/>
  <c r="H328" i="2"/>
  <c r="J327" i="2"/>
  <c r="H327" i="2"/>
  <c r="J326" i="2"/>
  <c r="H326" i="2"/>
  <c r="J325" i="2"/>
  <c r="H325" i="2"/>
  <c r="J324" i="2"/>
  <c r="H324" i="2"/>
  <c r="J323" i="2"/>
  <c r="H323" i="2"/>
  <c r="J322" i="2"/>
  <c r="H322" i="2"/>
  <c r="J321" i="2"/>
  <c r="H321" i="2"/>
  <c r="J320" i="2"/>
  <c r="H320" i="2"/>
  <c r="J319" i="2"/>
  <c r="H319" i="2"/>
  <c r="J318" i="2"/>
  <c r="H318" i="2"/>
  <c r="J317" i="2"/>
  <c r="H317" i="2"/>
  <c r="J316" i="2"/>
  <c r="H316" i="2"/>
  <c r="J315" i="2"/>
  <c r="H315" i="2"/>
  <c r="J314" i="2"/>
  <c r="H314" i="2"/>
  <c r="J313" i="2"/>
  <c r="H313" i="2"/>
  <c r="J312" i="2"/>
  <c r="H312" i="2"/>
  <c r="J311" i="2"/>
  <c r="H311" i="2"/>
  <c r="J310" i="2"/>
  <c r="H310" i="2"/>
  <c r="J309" i="2"/>
  <c r="H309" i="2"/>
  <c r="J308" i="2"/>
  <c r="H308" i="2"/>
  <c r="J307" i="2"/>
  <c r="H307" i="2"/>
  <c r="J306" i="2"/>
  <c r="H306" i="2"/>
  <c r="J305" i="2"/>
  <c r="H305" i="2"/>
  <c r="J304" i="2"/>
  <c r="H304" i="2"/>
  <c r="J303" i="2"/>
  <c r="H303" i="2"/>
  <c r="J302" i="2"/>
  <c r="H302" i="2"/>
  <c r="J301" i="2"/>
  <c r="H301" i="2"/>
  <c r="J300" i="2"/>
  <c r="H300" i="2"/>
  <c r="J299" i="2"/>
  <c r="H299" i="2"/>
  <c r="J298" i="2"/>
  <c r="H298" i="2"/>
  <c r="J297" i="2"/>
  <c r="H297" i="2"/>
  <c r="J296" i="2"/>
  <c r="H296" i="2"/>
  <c r="J295" i="2"/>
  <c r="H295" i="2"/>
  <c r="J294" i="2"/>
  <c r="H294" i="2"/>
  <c r="J293" i="2"/>
  <c r="H293" i="2"/>
  <c r="J292" i="2"/>
  <c r="H292" i="2"/>
  <c r="J291" i="2"/>
  <c r="H291" i="2"/>
  <c r="J290" i="2"/>
  <c r="H290" i="2"/>
  <c r="J289" i="2"/>
  <c r="H289" i="2"/>
  <c r="J288" i="2"/>
  <c r="H288" i="2"/>
  <c r="J287" i="2"/>
  <c r="H287" i="2"/>
  <c r="J286" i="2"/>
  <c r="H286" i="2"/>
  <c r="J285" i="2"/>
  <c r="H285" i="2"/>
  <c r="J284" i="2"/>
  <c r="H284" i="2"/>
  <c r="J283" i="2"/>
  <c r="H283" i="2"/>
  <c r="J282" i="2"/>
  <c r="H282" i="2"/>
  <c r="J281" i="2"/>
  <c r="H281" i="2"/>
  <c r="J280" i="2"/>
  <c r="H280" i="2"/>
  <c r="J279" i="2"/>
  <c r="H279" i="2"/>
  <c r="J278" i="2"/>
  <c r="H278" i="2"/>
  <c r="J277" i="2"/>
  <c r="H277" i="2"/>
  <c r="J276" i="2"/>
  <c r="H276" i="2"/>
  <c r="J275" i="2"/>
  <c r="H275" i="2"/>
  <c r="J274" i="2"/>
  <c r="H274" i="2"/>
  <c r="J273" i="2"/>
  <c r="H273" i="2"/>
  <c r="J272" i="2"/>
  <c r="H272" i="2"/>
  <c r="J271" i="2"/>
  <c r="H271" i="2"/>
  <c r="J270" i="2"/>
  <c r="H270" i="2"/>
  <c r="J269" i="2"/>
  <c r="H269" i="2"/>
  <c r="J268" i="2"/>
  <c r="H268" i="2"/>
  <c r="J267" i="2"/>
  <c r="H267" i="2"/>
  <c r="J266" i="2"/>
  <c r="H266" i="2"/>
  <c r="J265" i="2"/>
  <c r="H265" i="2"/>
  <c r="J264" i="2"/>
  <c r="H264" i="2"/>
  <c r="J263" i="2"/>
  <c r="H263" i="2"/>
  <c r="J262" i="2"/>
  <c r="H262" i="2"/>
  <c r="J261" i="2"/>
  <c r="H261" i="2"/>
  <c r="J260" i="2"/>
  <c r="H260" i="2"/>
  <c r="J259" i="2"/>
  <c r="H259" i="2"/>
  <c r="J258" i="2"/>
  <c r="H258" i="2"/>
  <c r="J257" i="2"/>
  <c r="H257" i="2"/>
  <c r="J256" i="2"/>
  <c r="H256" i="2"/>
  <c r="J255" i="2"/>
  <c r="H255" i="2"/>
  <c r="J254" i="2"/>
  <c r="H254" i="2"/>
  <c r="J253" i="2"/>
  <c r="H253" i="2"/>
  <c r="J252" i="2"/>
  <c r="H252" i="2"/>
  <c r="J251" i="2"/>
  <c r="H251" i="2"/>
  <c r="J250" i="2"/>
  <c r="H250" i="2"/>
  <c r="J249" i="2"/>
  <c r="H249" i="2"/>
  <c r="J248" i="2"/>
  <c r="H248" i="2"/>
  <c r="J247" i="2"/>
  <c r="H247" i="2"/>
  <c r="J246" i="2"/>
  <c r="H246" i="2"/>
  <c r="J245" i="2"/>
  <c r="H245" i="2"/>
  <c r="J244" i="2"/>
  <c r="H244" i="2"/>
  <c r="J243" i="2"/>
  <c r="H243" i="2"/>
  <c r="J242" i="2"/>
  <c r="H242" i="2"/>
  <c r="J241" i="2"/>
  <c r="H241" i="2"/>
  <c r="J240" i="2"/>
  <c r="H240" i="2"/>
  <c r="J239" i="2"/>
  <c r="H239" i="2"/>
  <c r="J238" i="2"/>
  <c r="H238" i="2"/>
  <c r="J237" i="2"/>
  <c r="H237" i="2"/>
  <c r="J236" i="2"/>
  <c r="H236" i="2"/>
  <c r="J235" i="2"/>
  <c r="H235" i="2"/>
  <c r="J234" i="2"/>
  <c r="H234" i="2"/>
  <c r="J233" i="2"/>
  <c r="H233" i="2"/>
  <c r="J232" i="2"/>
  <c r="H232" i="2"/>
  <c r="J231" i="2"/>
  <c r="H231" i="2"/>
  <c r="J230" i="2"/>
  <c r="H230" i="2"/>
  <c r="J229" i="2"/>
  <c r="H229" i="2"/>
  <c r="J228" i="2"/>
  <c r="H228" i="2"/>
  <c r="J227" i="2"/>
  <c r="H227" i="2"/>
  <c r="J226" i="2"/>
  <c r="H226" i="2"/>
  <c r="J225" i="2"/>
  <c r="H225" i="2"/>
  <c r="J224" i="2"/>
  <c r="H224" i="2"/>
  <c r="J223" i="2"/>
  <c r="H223" i="2"/>
  <c r="J222" i="2"/>
  <c r="H222" i="2"/>
  <c r="J221" i="2"/>
  <c r="H221" i="2"/>
  <c r="J220" i="2"/>
  <c r="H220" i="2"/>
  <c r="J219" i="2"/>
  <c r="H219" i="2"/>
  <c r="J218" i="2"/>
  <c r="H218" i="2"/>
  <c r="J217" i="2"/>
  <c r="H217" i="2"/>
  <c r="J216" i="2"/>
  <c r="H216" i="2"/>
  <c r="J215" i="2"/>
  <c r="H215" i="2"/>
  <c r="J214" i="2"/>
  <c r="H214" i="2"/>
  <c r="J213" i="2"/>
  <c r="H213" i="2"/>
  <c r="J212" i="2"/>
  <c r="H212" i="2"/>
  <c r="J211" i="2"/>
  <c r="H211" i="2"/>
  <c r="J210" i="2"/>
  <c r="H210" i="2"/>
  <c r="J209" i="2"/>
  <c r="H209" i="2"/>
  <c r="J208" i="2"/>
  <c r="H208" i="2"/>
  <c r="J207" i="2"/>
  <c r="H207" i="2"/>
  <c r="J206" i="2"/>
  <c r="H206" i="2"/>
  <c r="J205" i="2"/>
  <c r="H205" i="2"/>
  <c r="J204" i="2"/>
  <c r="H204" i="2"/>
  <c r="J203" i="2"/>
  <c r="H203" i="2"/>
  <c r="J202" i="2"/>
  <c r="H202" i="2"/>
  <c r="J201" i="2"/>
  <c r="H201" i="2"/>
  <c r="J200" i="2"/>
  <c r="H200" i="2"/>
  <c r="J199" i="2"/>
  <c r="H199" i="2"/>
  <c r="J198" i="2"/>
  <c r="H198" i="2"/>
  <c r="J197" i="2"/>
  <c r="H197" i="2"/>
  <c r="J196" i="2"/>
  <c r="H196" i="2"/>
  <c r="J195" i="2"/>
  <c r="H195" i="2"/>
  <c r="J194" i="2"/>
  <c r="H194" i="2"/>
  <c r="J193" i="2"/>
  <c r="H193" i="2"/>
  <c r="J192" i="2"/>
  <c r="H192" i="2"/>
  <c r="J191" i="2"/>
  <c r="H191" i="2"/>
  <c r="J190" i="2"/>
  <c r="H190" i="2"/>
  <c r="J189" i="2"/>
  <c r="H189" i="2"/>
  <c r="J188" i="2"/>
  <c r="H188" i="2"/>
  <c r="J187" i="2"/>
  <c r="H187" i="2"/>
  <c r="J186" i="2"/>
  <c r="H186" i="2"/>
  <c r="J185" i="2"/>
  <c r="H185" i="2"/>
  <c r="J184" i="2"/>
  <c r="H184" i="2"/>
  <c r="J183" i="2"/>
  <c r="H183" i="2"/>
  <c r="J182" i="2"/>
  <c r="H182" i="2"/>
  <c r="J181" i="2"/>
  <c r="H181" i="2"/>
  <c r="J180" i="2"/>
  <c r="H180" i="2"/>
  <c r="J179" i="2"/>
  <c r="H179" i="2"/>
  <c r="J178" i="2"/>
  <c r="H178" i="2"/>
  <c r="J177" i="2"/>
  <c r="H177" i="2"/>
  <c r="J176" i="2"/>
  <c r="H176" i="2"/>
  <c r="J175" i="2"/>
  <c r="H175" i="2"/>
  <c r="J174" i="2"/>
  <c r="H174" i="2"/>
  <c r="J173" i="2"/>
  <c r="H173" i="2"/>
  <c r="J172" i="2"/>
  <c r="H172" i="2"/>
  <c r="J171" i="2"/>
  <c r="H171" i="2"/>
  <c r="J170" i="2"/>
  <c r="H170" i="2"/>
  <c r="J169" i="2"/>
  <c r="H169" i="2"/>
  <c r="J168" i="2"/>
  <c r="H168" i="2"/>
  <c r="J167" i="2"/>
  <c r="H167" i="2"/>
  <c r="J166" i="2"/>
  <c r="H166" i="2"/>
  <c r="J165" i="2"/>
  <c r="H165" i="2"/>
  <c r="J164" i="2"/>
  <c r="H164" i="2"/>
  <c r="J163" i="2"/>
  <c r="H163" i="2"/>
  <c r="J162" i="2"/>
  <c r="H162" i="2"/>
  <c r="J161" i="2"/>
  <c r="H161" i="2"/>
  <c r="J160" i="2"/>
  <c r="H160" i="2"/>
  <c r="J159" i="2"/>
  <c r="H159" i="2"/>
  <c r="J158" i="2"/>
  <c r="H158" i="2"/>
  <c r="J157" i="2"/>
  <c r="H157" i="2"/>
  <c r="J156" i="2"/>
  <c r="H156" i="2"/>
  <c r="J155" i="2"/>
  <c r="H155" i="2"/>
  <c r="J154" i="2"/>
  <c r="H154" i="2"/>
  <c r="J153" i="2"/>
  <c r="H153" i="2"/>
  <c r="J152" i="2"/>
  <c r="H152" i="2"/>
  <c r="J151" i="2"/>
  <c r="H151" i="2"/>
  <c r="J150" i="2"/>
  <c r="H150" i="2"/>
  <c r="J149" i="2"/>
  <c r="H149" i="2"/>
  <c r="J148" i="2"/>
  <c r="H148" i="2"/>
  <c r="J147" i="2"/>
  <c r="H147" i="2"/>
  <c r="J146" i="2"/>
  <c r="H146" i="2"/>
  <c r="J145" i="2"/>
  <c r="H145" i="2"/>
  <c r="J144" i="2"/>
  <c r="H144" i="2"/>
  <c r="J143" i="2"/>
  <c r="H143" i="2"/>
  <c r="J142" i="2"/>
  <c r="H142" i="2"/>
  <c r="J141" i="2"/>
  <c r="H141" i="2"/>
  <c r="J140" i="2"/>
  <c r="H140" i="2"/>
  <c r="J139" i="2"/>
  <c r="H139" i="2"/>
  <c r="J138" i="2"/>
  <c r="H138" i="2"/>
  <c r="J137" i="2"/>
  <c r="H137" i="2"/>
  <c r="J136" i="2"/>
  <c r="H136" i="2"/>
  <c r="J135" i="2"/>
  <c r="H135" i="2"/>
  <c r="J134" i="2"/>
  <c r="H134" i="2"/>
  <c r="J133" i="2"/>
  <c r="H133" i="2"/>
  <c r="J132" i="2"/>
  <c r="H132" i="2"/>
  <c r="J131" i="2"/>
  <c r="H131" i="2"/>
  <c r="J130" i="2"/>
  <c r="H130" i="2"/>
  <c r="J129" i="2"/>
  <c r="H129" i="2"/>
  <c r="J128" i="2"/>
  <c r="H128" i="2"/>
  <c r="J127" i="2"/>
  <c r="H127" i="2"/>
  <c r="J126" i="2"/>
  <c r="H126" i="2"/>
  <c r="J125" i="2"/>
  <c r="H125" i="2"/>
  <c r="J124" i="2"/>
  <c r="H124" i="2"/>
  <c r="J123" i="2"/>
  <c r="H123" i="2"/>
  <c r="J122" i="2"/>
  <c r="H122" i="2"/>
  <c r="J121" i="2"/>
  <c r="H121" i="2"/>
  <c r="J120" i="2"/>
  <c r="H120" i="2"/>
  <c r="J119" i="2"/>
  <c r="H119" i="2"/>
  <c r="J118" i="2"/>
  <c r="H118" i="2"/>
  <c r="J117" i="2"/>
  <c r="H117" i="2"/>
  <c r="J116" i="2"/>
  <c r="H116" i="2"/>
  <c r="J115" i="2"/>
  <c r="H115" i="2"/>
  <c r="J114" i="2"/>
  <c r="H114" i="2"/>
  <c r="J113" i="2"/>
  <c r="H113" i="2"/>
  <c r="J112" i="2"/>
  <c r="H112" i="2"/>
  <c r="J111" i="2"/>
  <c r="H111" i="2"/>
  <c r="J110" i="2"/>
  <c r="H110" i="2"/>
  <c r="J109" i="2"/>
  <c r="H109" i="2"/>
  <c r="J108" i="2"/>
  <c r="H108" i="2"/>
  <c r="J107" i="2"/>
  <c r="H107" i="2"/>
  <c r="J106" i="2"/>
  <c r="H106" i="2"/>
  <c r="J105" i="2"/>
  <c r="H105" i="2"/>
  <c r="J104" i="2"/>
  <c r="H104" i="2"/>
  <c r="J103" i="2"/>
  <c r="H103" i="2"/>
  <c r="J102" i="2"/>
  <c r="H102" i="2"/>
  <c r="J101" i="2"/>
  <c r="H101" i="2"/>
  <c r="J100" i="2"/>
  <c r="H100" i="2"/>
  <c r="J99" i="2"/>
  <c r="H99" i="2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J72" i="2"/>
  <c r="H72" i="2"/>
  <c r="J71" i="2"/>
  <c r="H71" i="2"/>
  <c r="J70" i="2"/>
  <c r="H70" i="2"/>
  <c r="J69" i="2"/>
  <c r="H69" i="2"/>
  <c r="J68" i="2"/>
  <c r="H68" i="2"/>
  <c r="J67" i="2"/>
  <c r="H67" i="2"/>
  <c r="J66" i="2"/>
  <c r="H66" i="2"/>
  <c r="J65" i="2"/>
  <c r="H65" i="2"/>
  <c r="J64" i="2"/>
  <c r="H64" i="2"/>
  <c r="J63" i="2"/>
  <c r="H63" i="2"/>
  <c r="J62" i="2"/>
  <c r="H62" i="2"/>
  <c r="J61" i="2"/>
  <c r="H61" i="2"/>
  <c r="J60" i="2"/>
  <c r="H60" i="2"/>
  <c r="J59" i="2"/>
  <c r="H59" i="2"/>
  <c r="J58" i="2"/>
  <c r="H58" i="2"/>
  <c r="J57" i="2"/>
  <c r="H57" i="2"/>
  <c r="J56" i="2"/>
  <c r="H56" i="2"/>
  <c r="J55" i="2"/>
  <c r="H55" i="2"/>
  <c r="J54" i="2"/>
  <c r="H54" i="2"/>
  <c r="J53" i="2"/>
  <c r="H53" i="2"/>
  <c r="J52" i="2"/>
  <c r="H52" i="2"/>
  <c r="J51" i="2"/>
  <c r="H51" i="2"/>
  <c r="J50" i="2"/>
  <c r="H50" i="2"/>
  <c r="J49" i="2"/>
  <c r="H49" i="2"/>
  <c r="J48" i="2"/>
  <c r="H48" i="2"/>
  <c r="J47" i="2"/>
  <c r="H47" i="2"/>
  <c r="J46" i="2"/>
  <c r="H46" i="2"/>
  <c r="J45" i="2"/>
  <c r="H45" i="2"/>
  <c r="J44" i="2"/>
  <c r="H44" i="2"/>
  <c r="J43" i="2"/>
  <c r="H43" i="2"/>
  <c r="J42" i="2"/>
  <c r="H42" i="2"/>
  <c r="J41" i="2"/>
  <c r="H41" i="2"/>
  <c r="J40" i="2"/>
  <c r="H40" i="2"/>
  <c r="J39" i="2"/>
  <c r="H39" i="2"/>
  <c r="J38" i="2"/>
  <c r="H38" i="2"/>
  <c r="J37" i="2"/>
  <c r="H37" i="2"/>
  <c r="J36" i="2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I4" i="2"/>
  <c r="H4" i="2"/>
  <c r="P49" i="1"/>
  <c r="O49" i="1"/>
  <c r="M49" i="1"/>
  <c r="L49" i="1"/>
  <c r="K49" i="1"/>
  <c r="P47" i="1"/>
  <c r="O47" i="1"/>
  <c r="M47" i="1"/>
  <c r="L47" i="1"/>
  <c r="K47" i="1"/>
  <c r="P45" i="1"/>
  <c r="O45" i="1"/>
  <c r="M45" i="1"/>
  <c r="L45" i="1"/>
  <c r="K45" i="1"/>
  <c r="P43" i="1"/>
  <c r="O43" i="1"/>
  <c r="M43" i="1"/>
  <c r="L43" i="1"/>
  <c r="K43" i="1"/>
  <c r="P41" i="1"/>
  <c r="O41" i="1"/>
  <c r="M41" i="1"/>
  <c r="L41" i="1"/>
  <c r="K41" i="1"/>
  <c r="P39" i="1"/>
  <c r="O39" i="1"/>
  <c r="M39" i="1"/>
  <c r="L39" i="1"/>
  <c r="K39" i="1"/>
  <c r="P37" i="1"/>
  <c r="O37" i="1"/>
  <c r="M37" i="1"/>
  <c r="L37" i="1"/>
  <c r="K37" i="1"/>
  <c r="P35" i="1"/>
  <c r="O35" i="1"/>
  <c r="M35" i="1"/>
  <c r="L35" i="1"/>
  <c r="K35" i="1"/>
  <c r="P33" i="1"/>
  <c r="O33" i="1"/>
  <c r="M33" i="1"/>
  <c r="L33" i="1" s="1"/>
  <c r="K33" i="1"/>
  <c r="P32" i="1"/>
  <c r="O32" i="1"/>
  <c r="M32" i="1"/>
  <c r="L32" i="1" s="1"/>
  <c r="K32" i="1"/>
  <c r="P31" i="1"/>
  <c r="O31" i="1"/>
  <c r="M31" i="1"/>
  <c r="L31" i="1"/>
  <c r="K31" i="1"/>
  <c r="P30" i="1"/>
  <c r="O30" i="1"/>
  <c r="M30" i="1"/>
  <c r="L30" i="1"/>
  <c r="K30" i="1"/>
  <c r="P29" i="1"/>
  <c r="O29" i="1"/>
  <c r="M29" i="1"/>
  <c r="L29" i="1" s="1"/>
  <c r="K29" i="1"/>
  <c r="P28" i="1"/>
  <c r="O28" i="1"/>
  <c r="M28" i="1"/>
  <c r="L28" i="1" s="1"/>
  <c r="K28" i="1"/>
  <c r="P27" i="1"/>
  <c r="O27" i="1"/>
  <c r="M27" i="1"/>
  <c r="L27" i="1"/>
  <c r="K27" i="1"/>
  <c r="P26" i="1"/>
  <c r="O26" i="1"/>
  <c r="M26" i="1"/>
  <c r="L26" i="1"/>
  <c r="K26" i="1"/>
  <c r="P25" i="1"/>
  <c r="O25" i="1"/>
  <c r="M25" i="1"/>
  <c r="L25" i="1" s="1"/>
  <c r="K25" i="1"/>
  <c r="P24" i="1"/>
  <c r="O24" i="1"/>
  <c r="M24" i="1"/>
  <c r="L24" i="1" s="1"/>
  <c r="K24" i="1"/>
  <c r="P23" i="1"/>
  <c r="O23" i="1"/>
  <c r="M23" i="1"/>
  <c r="L23" i="1"/>
  <c r="K23" i="1"/>
  <c r="P22" i="1"/>
  <c r="O22" i="1"/>
  <c r="M22" i="1"/>
  <c r="L22" i="1"/>
  <c r="K22" i="1"/>
  <c r="P21" i="1"/>
  <c r="O21" i="1"/>
  <c r="M21" i="1"/>
  <c r="L21" i="1" s="1"/>
  <c r="K21" i="1"/>
  <c r="P20" i="1"/>
  <c r="O20" i="1"/>
  <c r="M20" i="1"/>
  <c r="H4" i="1" s="1"/>
  <c r="K20" i="1"/>
  <c r="P19" i="1"/>
  <c r="O19" i="1"/>
  <c r="M19" i="1"/>
  <c r="L19" i="1"/>
  <c r="K19" i="1"/>
  <c r="P18" i="1"/>
  <c r="O18" i="1"/>
  <c r="M18" i="1"/>
  <c r="L18" i="1"/>
  <c r="K18" i="1"/>
  <c r="P17" i="1"/>
  <c r="H9" i="1" s="1"/>
  <c r="O17" i="1"/>
  <c r="H8" i="1" s="1"/>
  <c r="M17" i="1"/>
  <c r="L17" i="1" s="1"/>
  <c r="K17" i="1"/>
  <c r="F13" i="1"/>
  <c r="H3" i="1"/>
  <c r="N23" i="1" s="1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N24" i="1" l="1"/>
  <c r="N32" i="1"/>
  <c r="H5" i="1"/>
  <c r="N27" i="1"/>
  <c r="N31" i="1"/>
  <c r="E39" i="3"/>
  <c r="D39" i="3"/>
  <c r="E37" i="3"/>
  <c r="D37" i="3"/>
  <c r="E38" i="3"/>
  <c r="D38" i="3"/>
  <c r="N39" i="1"/>
  <c r="N47" i="1"/>
  <c r="D40" i="3"/>
  <c r="E40" i="3"/>
  <c r="N17" i="1"/>
  <c r="L20" i="1"/>
  <c r="N21" i="1"/>
  <c r="N25" i="1"/>
  <c r="N29" i="1"/>
  <c r="N33" i="1"/>
  <c r="N41" i="1"/>
  <c r="N49" i="1"/>
  <c r="D43" i="3"/>
  <c r="E43" i="3"/>
  <c r="N20" i="1"/>
  <c r="E36" i="3"/>
  <c r="D36" i="3"/>
  <c r="E46" i="3"/>
  <c r="N28" i="1"/>
  <c r="N19" i="1"/>
  <c r="E41" i="3"/>
  <c r="D41" i="3"/>
  <c r="E42" i="3"/>
  <c r="D42" i="3"/>
  <c r="M6" i="4"/>
  <c r="L6" i="4"/>
  <c r="M5" i="4"/>
  <c r="L5" i="4"/>
  <c r="N37" i="1"/>
  <c r="N45" i="1"/>
  <c r="H6" i="1"/>
  <c r="N18" i="1"/>
  <c r="N22" i="1"/>
  <c r="N26" i="1"/>
  <c r="H7" i="1" s="1"/>
  <c r="N30" i="1"/>
  <c r="N35" i="1"/>
  <c r="N43" i="1"/>
  <c r="D48" i="3"/>
  <c r="E48" i="3"/>
  <c r="D46" i="3"/>
  <c r="G49" i="3"/>
  <c r="F49" i="3"/>
  <c r="E44" i="3"/>
  <c r="D44" i="3"/>
  <c r="E45" i="3"/>
  <c r="D45" i="3"/>
  <c r="E47" i="3"/>
  <c r="D47" i="3"/>
  <c r="G54" i="3"/>
  <c r="G57" i="3"/>
  <c r="F57" i="3"/>
  <c r="G50" i="3"/>
  <c r="G58" i="3"/>
  <c r="F54" i="3"/>
  <c r="F65" i="3"/>
  <c r="F52" i="3"/>
  <c r="F60" i="3"/>
  <c r="F55" i="3"/>
  <c r="I13" i="1" l="1"/>
  <c r="G13" i="1" s="1"/>
  <c r="H13" i="1" s="1"/>
  <c r="G43" i="3"/>
  <c r="F43" i="3"/>
  <c r="G39" i="3"/>
  <c r="F39" i="3"/>
  <c r="G46" i="3"/>
  <c r="F46" i="3"/>
  <c r="G44" i="3"/>
  <c r="F44" i="3"/>
  <c r="G40" i="3"/>
  <c r="F40" i="3"/>
  <c r="F48" i="3"/>
  <c r="G48" i="3"/>
  <c r="I65" i="3"/>
  <c r="I57" i="3"/>
  <c r="I49" i="3"/>
  <c r="I41" i="3"/>
  <c r="I62" i="3"/>
  <c r="I54" i="3"/>
  <c r="K54" i="3" s="1"/>
  <c r="I46" i="3"/>
  <c r="I38" i="3"/>
  <c r="G36" i="3"/>
  <c r="I59" i="3"/>
  <c r="I51" i="3"/>
  <c r="I43" i="3"/>
  <c r="F36" i="3"/>
  <c r="I64" i="3"/>
  <c r="K64" i="3" s="1"/>
  <c r="I56" i="3"/>
  <c r="I48" i="3"/>
  <c r="I40" i="3"/>
  <c r="I61" i="3"/>
  <c r="I53" i="3"/>
  <c r="I45" i="3"/>
  <c r="I63" i="3"/>
  <c r="I55" i="3"/>
  <c r="K55" i="3" s="1"/>
  <c r="I60" i="3"/>
  <c r="I52" i="3"/>
  <c r="I44" i="3"/>
  <c r="I36" i="3"/>
  <c r="I42" i="3"/>
  <c r="I47" i="3"/>
  <c r="I58" i="3"/>
  <c r="K58" i="3" s="1"/>
  <c r="I37" i="3"/>
  <c r="K37" i="3" s="1"/>
  <c r="I50" i="3"/>
  <c r="K50" i="3" s="1"/>
  <c r="I39" i="3"/>
  <c r="F45" i="3"/>
  <c r="G45" i="3"/>
  <c r="J62" i="3"/>
  <c r="J54" i="3"/>
  <c r="J46" i="3"/>
  <c r="J38" i="3"/>
  <c r="J59" i="3"/>
  <c r="J51" i="3"/>
  <c r="J43" i="3"/>
  <c r="J64" i="3"/>
  <c r="J56" i="3"/>
  <c r="J48" i="3"/>
  <c r="J40" i="3"/>
  <c r="J61" i="3"/>
  <c r="J53" i="3"/>
  <c r="J45" i="3"/>
  <c r="J37" i="3"/>
  <c r="J58" i="3"/>
  <c r="J50" i="3"/>
  <c r="J63" i="3"/>
  <c r="J60" i="3"/>
  <c r="J52" i="3"/>
  <c r="J65" i="3"/>
  <c r="J57" i="3"/>
  <c r="J49" i="3"/>
  <c r="J41" i="3"/>
  <c r="J42" i="3"/>
  <c r="J47" i="3"/>
  <c r="J44" i="3"/>
  <c r="J36" i="3"/>
  <c r="J55" i="3"/>
  <c r="J39" i="3"/>
  <c r="G38" i="3"/>
  <c r="F38" i="3"/>
  <c r="F42" i="3"/>
  <c r="G42" i="3"/>
  <c r="G47" i="3"/>
  <c r="F47" i="3"/>
  <c r="G41" i="3"/>
  <c r="F41" i="3"/>
  <c r="F37" i="3"/>
  <c r="G37" i="3"/>
  <c r="K44" i="3" l="1"/>
  <c r="K40" i="3"/>
  <c r="L64" i="3"/>
  <c r="L56" i="3"/>
  <c r="L48" i="3"/>
  <c r="L40" i="3"/>
  <c r="H36" i="3"/>
  <c r="L61" i="3"/>
  <c r="L53" i="3"/>
  <c r="L45" i="3"/>
  <c r="L37" i="3"/>
  <c r="L58" i="3"/>
  <c r="L50" i="3"/>
  <c r="L42" i="3"/>
  <c r="C37" i="3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L63" i="3"/>
  <c r="L55" i="3"/>
  <c r="L47" i="3"/>
  <c r="L39" i="3"/>
  <c r="L60" i="3"/>
  <c r="L52" i="3"/>
  <c r="L44" i="3"/>
  <c r="L65" i="3"/>
  <c r="L62" i="3"/>
  <c r="L54" i="3"/>
  <c r="L59" i="3"/>
  <c r="L51" i="3"/>
  <c r="L43" i="3"/>
  <c r="L36" i="3"/>
  <c r="M36" i="3" s="1"/>
  <c r="L38" i="3"/>
  <c r="L49" i="3"/>
  <c r="L46" i="3"/>
  <c r="L41" i="3"/>
  <c r="L57" i="3"/>
  <c r="K65" i="3"/>
  <c r="K39" i="3"/>
  <c r="K52" i="3"/>
  <c r="K48" i="3"/>
  <c r="K38" i="3"/>
  <c r="K60" i="3"/>
  <c r="K56" i="3"/>
  <c r="K46" i="3"/>
  <c r="H39" i="3"/>
  <c r="K63" i="3"/>
  <c r="K62" i="3"/>
  <c r="K47" i="3"/>
  <c r="K45" i="3"/>
  <c r="K43" i="3"/>
  <c r="K41" i="3"/>
  <c r="K42" i="3"/>
  <c r="K53" i="3"/>
  <c r="K51" i="3"/>
  <c r="K49" i="3"/>
  <c r="H42" i="3"/>
  <c r="K36" i="3"/>
  <c r="K61" i="3"/>
  <c r="K59" i="3"/>
  <c r="K57" i="3"/>
  <c r="C50" i="3" l="1"/>
  <c r="H49" i="3"/>
  <c r="M49" i="3"/>
  <c r="H38" i="3"/>
  <c r="H41" i="3"/>
  <c r="H37" i="3"/>
  <c r="M38" i="3"/>
  <c r="M44" i="3"/>
  <c r="M42" i="3"/>
  <c r="M40" i="3"/>
  <c r="M50" i="3"/>
  <c r="M48" i="3"/>
  <c r="H45" i="3"/>
  <c r="M43" i="3"/>
  <c r="M39" i="3"/>
  <c r="M37" i="3"/>
  <c r="H44" i="3"/>
  <c r="M47" i="3"/>
  <c r="M45" i="3"/>
  <c r="H43" i="3"/>
  <c r="H46" i="3"/>
  <c r="H40" i="3"/>
  <c r="H48" i="3"/>
  <c r="M41" i="3"/>
  <c r="M46" i="3"/>
  <c r="H47" i="3"/>
  <c r="C51" i="3" l="1"/>
  <c r="H50" i="3"/>
  <c r="C52" i="3" l="1"/>
  <c r="H51" i="3"/>
  <c r="M51" i="3"/>
  <c r="C53" i="3" l="1"/>
  <c r="H52" i="3"/>
  <c r="M52" i="3"/>
  <c r="C54" i="3" l="1"/>
  <c r="H53" i="3"/>
  <c r="M53" i="3"/>
  <c r="C55" i="3" l="1"/>
  <c r="H54" i="3"/>
  <c r="M54" i="3"/>
  <c r="C56" i="3" l="1"/>
  <c r="H55" i="3"/>
  <c r="M55" i="3"/>
  <c r="C57" i="3" l="1"/>
  <c r="H56" i="3"/>
  <c r="M56" i="3"/>
  <c r="C58" i="3" l="1"/>
  <c r="H57" i="3"/>
  <c r="M57" i="3"/>
  <c r="C59" i="3" l="1"/>
  <c r="H58" i="3"/>
  <c r="M58" i="3"/>
  <c r="C60" i="3" l="1"/>
  <c r="H59" i="3"/>
  <c r="M59" i="3"/>
  <c r="C61" i="3" l="1"/>
  <c r="H60" i="3"/>
  <c r="M60" i="3"/>
  <c r="H61" i="3" l="1"/>
  <c r="C62" i="3"/>
  <c r="M61" i="3"/>
  <c r="C63" i="3" l="1"/>
  <c r="H62" i="3"/>
  <c r="M62" i="3"/>
  <c r="C64" i="3" l="1"/>
  <c r="H63" i="3"/>
  <c r="M63" i="3"/>
  <c r="C65" i="3" l="1"/>
  <c r="H64" i="3"/>
  <c r="M64" i="3"/>
  <c r="H65" i="3" l="1"/>
  <c r="M65" i="3"/>
</calcChain>
</file>

<file path=xl/sharedStrings.xml><?xml version="1.0" encoding="utf-8"?>
<sst xmlns="http://schemas.openxmlformats.org/spreadsheetml/2006/main" count="1771" uniqueCount="426">
  <si>
    <t>Controle de Operações Swing Trade - Posições</t>
  </si>
  <si>
    <t>Gerenciamento de Risco</t>
  </si>
  <si>
    <t>Gerenciamento de Capital</t>
  </si>
  <si>
    <t>Campo</t>
  </si>
  <si>
    <t>Valor</t>
  </si>
  <si>
    <t>Capital Total</t>
  </si>
  <si>
    <t>Relação RxG (Parcial)</t>
  </si>
  <si>
    <t>Ordens Inseridas</t>
  </si>
  <si>
    <t>Saída Parcial (Qtde.)</t>
  </si>
  <si>
    <t>Ordens Executadas</t>
  </si>
  <si>
    <t>Relação RxG (Final)</t>
  </si>
  <si>
    <t>Poder de Compra/Venda</t>
  </si>
  <si>
    <t>Capital por Operação</t>
  </si>
  <si>
    <t>Exposição Total</t>
  </si>
  <si>
    <t>Risco Carteira (%)</t>
  </si>
  <si>
    <t>Stop Gain Projetado Total</t>
  </si>
  <si>
    <t>Stop Loss Projetado Total</t>
  </si>
  <si>
    <t>Calculadora de Saídas &amp; Tamanho de Lote</t>
  </si>
  <si>
    <t>Tipo</t>
  </si>
  <si>
    <t>Entrada</t>
  </si>
  <si>
    <t>Stop Loss</t>
  </si>
  <si>
    <t>Saída Parcial</t>
  </si>
  <si>
    <t>Saída Final</t>
  </si>
  <si>
    <t>Qtde. Parcial</t>
  </si>
  <si>
    <t>Qtde. Final</t>
  </si>
  <si>
    <t>Qtde. Total</t>
  </si>
  <si>
    <t>Ação</t>
  </si>
  <si>
    <t>Operações Ativas</t>
  </si>
  <si>
    <t>Compra
ou Venda</t>
  </si>
  <si>
    <t>Ativo</t>
  </si>
  <si>
    <t>Qtde.</t>
  </si>
  <si>
    <t>Preço
Entrada</t>
  </si>
  <si>
    <t>Stop
Loss</t>
  </si>
  <si>
    <t>Saída
Parcial</t>
  </si>
  <si>
    <t>Saída
Final</t>
  </si>
  <si>
    <t>Data
Execução</t>
  </si>
  <si>
    <t>Preço
Atual</t>
  </si>
  <si>
    <t>Resultado
%</t>
  </si>
  <si>
    <t>Resultado
R$</t>
  </si>
  <si>
    <t>Total da
Operação</t>
  </si>
  <si>
    <t>Risco
Carteira</t>
  </si>
  <si>
    <t>Stop Gain
Projetado</t>
  </si>
  <si>
    <t>Stop Loss
Projetado</t>
  </si>
  <si>
    <t>Compra</t>
  </si>
  <si>
    <t>CIEL3</t>
  </si>
  <si>
    <t>ALUP11</t>
  </si>
  <si>
    <t>ABCB4</t>
  </si>
  <si>
    <t>ABEV3</t>
  </si>
  <si>
    <t>KLBN11</t>
  </si>
  <si>
    <t>RADL3</t>
  </si>
  <si>
    <t>ODPV3</t>
  </si>
  <si>
    <t>Venda</t>
  </si>
  <si>
    <t>VALE3</t>
  </si>
  <si>
    <t>ARZZ3</t>
  </si>
  <si>
    <t>MODL11</t>
  </si>
  <si>
    <t>ONCO3</t>
  </si>
  <si>
    <t xml:space="preserve"> </t>
  </si>
  <si>
    <t>Controle de Operações Swing Trade - Resultados</t>
  </si>
  <si>
    <t>Operações Concluídas</t>
  </si>
  <si>
    <t>Data de
Entrada</t>
  </si>
  <si>
    <t>Data de
Saída</t>
  </si>
  <si>
    <t>Preço de
Compra</t>
  </si>
  <si>
    <t>Preço de
Venda</t>
  </si>
  <si>
    <t>Resultado
Final</t>
  </si>
  <si>
    <t>Acumulado</t>
  </si>
  <si>
    <t>Mês de Saída</t>
  </si>
  <si>
    <t>BTOW3</t>
  </si>
  <si>
    <t>CNTO3</t>
  </si>
  <si>
    <t>CSAN3</t>
  </si>
  <si>
    <t>ITUB4</t>
  </si>
  <si>
    <t>B3SA3</t>
  </si>
  <si>
    <t>GNDI3</t>
  </si>
  <si>
    <t>ANIM3</t>
  </si>
  <si>
    <t>GGBR4</t>
  </si>
  <si>
    <t>BRML3</t>
  </si>
  <si>
    <t>SUZB3</t>
  </si>
  <si>
    <t>JSLG3</t>
  </si>
  <si>
    <t>PETR4</t>
  </si>
  <si>
    <t>ENGI11</t>
  </si>
  <si>
    <t>FLRY3</t>
  </si>
  <si>
    <t>BVMF3</t>
  </si>
  <si>
    <t>BRDT3</t>
  </si>
  <si>
    <t>CCRO3</t>
  </si>
  <si>
    <t>TRIS3</t>
  </si>
  <si>
    <t>HYPE3</t>
  </si>
  <si>
    <t>MRFG3</t>
  </si>
  <si>
    <t>EVEN3</t>
  </si>
  <si>
    <t>BRFS3</t>
  </si>
  <si>
    <t>ALPA4</t>
  </si>
  <si>
    <t>OMGE3</t>
  </si>
  <si>
    <t>LREN3</t>
  </si>
  <si>
    <t>TIET11</t>
  </si>
  <si>
    <t>GFSA3</t>
  </si>
  <si>
    <t>BBSE3</t>
  </si>
  <si>
    <t>MGLU3</t>
  </si>
  <si>
    <t>BRKM5</t>
  </si>
  <si>
    <t>YDUQ3</t>
  </si>
  <si>
    <t>SLCE3</t>
  </si>
  <si>
    <t>RENT3</t>
  </si>
  <si>
    <t>HAPV3</t>
  </si>
  <si>
    <t>NEOE3</t>
  </si>
  <si>
    <t>UGPA3</t>
  </si>
  <si>
    <t>RAIL3</t>
  </si>
  <si>
    <t>SULA11</t>
  </si>
  <si>
    <t>VVAR3</t>
  </si>
  <si>
    <t>ALSO3</t>
  </si>
  <si>
    <t>BEEF3</t>
  </si>
  <si>
    <t>IGTA3</t>
  </si>
  <si>
    <t>MILS3</t>
  </si>
  <si>
    <t>QUAL3</t>
  </si>
  <si>
    <t>PRIO3</t>
  </si>
  <si>
    <t>WIZS3</t>
  </si>
  <si>
    <t>VULC3</t>
  </si>
  <si>
    <t>ECOR3</t>
  </si>
  <si>
    <t>CRFB3</t>
  </si>
  <si>
    <t>LAME4</t>
  </si>
  <si>
    <t>LIGT3</t>
  </si>
  <si>
    <t>GOLL4</t>
  </si>
  <si>
    <t>CEAB3</t>
  </si>
  <si>
    <t>VLID3</t>
  </si>
  <si>
    <t>COGN3</t>
  </si>
  <si>
    <t>BOVAM104</t>
  </si>
  <si>
    <t>TCSA3</t>
  </si>
  <si>
    <t>CSNA3</t>
  </si>
  <si>
    <t>PCAR4</t>
  </si>
  <si>
    <t>BMGB4</t>
  </si>
  <si>
    <t>CYRE3</t>
  </si>
  <si>
    <t>PSSA3</t>
  </si>
  <si>
    <t>BOVAN8</t>
  </si>
  <si>
    <t>CESP6</t>
  </si>
  <si>
    <t>TEND3</t>
  </si>
  <si>
    <t>MULT3</t>
  </si>
  <si>
    <t>SBSP3</t>
  </si>
  <si>
    <t>ROMI3</t>
  </si>
  <si>
    <t>SLCE4</t>
  </si>
  <si>
    <t>VLID4</t>
  </si>
  <si>
    <t>MULT4</t>
  </si>
  <si>
    <t>VVAR4</t>
  </si>
  <si>
    <t>SBSP4</t>
  </si>
  <si>
    <t>IGTA4</t>
  </si>
  <si>
    <t>LOGN3</t>
  </si>
  <si>
    <t>BBDC4</t>
  </si>
  <si>
    <t>ENAT3</t>
  </si>
  <si>
    <t>RLOG3</t>
  </si>
  <si>
    <t>BBAS3</t>
  </si>
  <si>
    <t>CPLE6</t>
  </si>
  <si>
    <t>ENEV3</t>
  </si>
  <si>
    <t>MOVI3</t>
  </si>
  <si>
    <t>HBOR3</t>
  </si>
  <si>
    <t>LOGG3</t>
  </si>
  <si>
    <t>CPFE3</t>
  </si>
  <si>
    <t>USIM5</t>
  </si>
  <si>
    <t>BIDI4</t>
  </si>
  <si>
    <t>PTBL3</t>
  </si>
  <si>
    <t>POSI3</t>
  </si>
  <si>
    <t>SQIA3</t>
  </si>
  <si>
    <t>BRAP4</t>
  </si>
  <si>
    <t>SAPR11</t>
  </si>
  <si>
    <t>NTCO3</t>
  </si>
  <si>
    <t>AALR3</t>
  </si>
  <si>
    <t>POMO4</t>
  </si>
  <si>
    <t>TOTS3</t>
  </si>
  <si>
    <t>EZTC3</t>
  </si>
  <si>
    <t>JHSF3</t>
  </si>
  <si>
    <t>GRND3</t>
  </si>
  <si>
    <t>SMTO3</t>
  </si>
  <si>
    <t>BPAN4</t>
  </si>
  <si>
    <t>ENBR3</t>
  </si>
  <si>
    <t>BOVAF77</t>
  </si>
  <si>
    <t>LCAM3</t>
  </si>
  <si>
    <t>MDIA3</t>
  </si>
  <si>
    <t>MEAL3</t>
  </si>
  <si>
    <t>BOVAR76</t>
  </si>
  <si>
    <t>BKBR3</t>
  </si>
  <si>
    <t>EMBR3</t>
  </si>
  <si>
    <t>AMAR3</t>
  </si>
  <si>
    <t>BTOW3F</t>
  </si>
  <si>
    <t>BRPR3</t>
  </si>
  <si>
    <t>BOVAR82</t>
  </si>
  <si>
    <t>SEER3</t>
  </si>
  <si>
    <t>ELET6</t>
  </si>
  <si>
    <t>KLNB11</t>
  </si>
  <si>
    <t>BOVAR86</t>
  </si>
  <si>
    <t>BOVAS90</t>
  </si>
  <si>
    <t>PCAR3</t>
  </si>
  <si>
    <t>CSMG3</t>
  </si>
  <si>
    <t>PARD3</t>
  </si>
  <si>
    <t>CMIG4</t>
  </si>
  <si>
    <t>BPCA11</t>
  </si>
  <si>
    <t>STBP3</t>
  </si>
  <si>
    <t>BPAC11</t>
  </si>
  <si>
    <t>LEVE3</t>
  </si>
  <si>
    <t>ITSA4</t>
  </si>
  <si>
    <t>SMLS3</t>
  </si>
  <si>
    <t>GOAU4</t>
  </si>
  <si>
    <t>CPLE3</t>
  </si>
  <si>
    <t>WEGE3</t>
  </si>
  <si>
    <t>MRVE3</t>
  </si>
  <si>
    <t>TAEE11</t>
  </si>
  <si>
    <t>BOVA11</t>
  </si>
  <si>
    <t>BOVAU950</t>
  </si>
  <si>
    <t>RAPT4</t>
  </si>
  <si>
    <t>TRPL4</t>
  </si>
  <si>
    <t>VIVA3</t>
  </si>
  <si>
    <t>EGIE3</t>
  </si>
  <si>
    <t>PETZ3</t>
  </si>
  <si>
    <t>DIRR3</t>
  </si>
  <si>
    <t>IVVB11</t>
  </si>
  <si>
    <t>GMAT3</t>
  </si>
  <si>
    <t>LPSB3</t>
  </si>
  <si>
    <t>GOGL34</t>
  </si>
  <si>
    <t>SMALL11</t>
  </si>
  <si>
    <t>AZUL4</t>
  </si>
  <si>
    <t>SMAL11</t>
  </si>
  <si>
    <t>HGTX3</t>
  </si>
  <si>
    <t>JBSS3</t>
  </si>
  <si>
    <t>TSLA34</t>
  </si>
  <si>
    <t>JPSA3</t>
  </si>
  <si>
    <t>LWSA3</t>
  </si>
  <si>
    <t>SBFG3</t>
  </si>
  <si>
    <t>VAMO3</t>
  </si>
  <si>
    <t>MYPK3</t>
  </si>
  <si>
    <t>RDOR3</t>
  </si>
  <si>
    <t>BPCA11F</t>
  </si>
  <si>
    <t>TUPY3</t>
  </si>
  <si>
    <t>BPAC11F</t>
  </si>
  <si>
    <t>LAVV3</t>
  </si>
  <si>
    <t>ALLD3</t>
  </si>
  <si>
    <t>SANB11</t>
  </si>
  <si>
    <t>BOVAU114</t>
  </si>
  <si>
    <t>ASAI3</t>
  </si>
  <si>
    <t>INTB3</t>
  </si>
  <si>
    <t>EQTL3</t>
  </si>
  <si>
    <t>IRBR3</t>
  </si>
  <si>
    <t>UNIP6</t>
  </si>
  <si>
    <t>AGRO3</t>
  </si>
  <si>
    <t>BOVAO107</t>
  </si>
  <si>
    <t>BRSR6</t>
  </si>
  <si>
    <t>RRRP3</t>
  </si>
  <si>
    <t>CASH3</t>
  </si>
  <si>
    <t>NGRD3</t>
  </si>
  <si>
    <t>CVCB3</t>
  </si>
  <si>
    <t>AMZO34</t>
  </si>
  <si>
    <t>APPL34</t>
  </si>
  <si>
    <t>VIVT3</t>
  </si>
  <si>
    <t>VIIA3</t>
  </si>
  <si>
    <t>CSXSE3</t>
  </si>
  <si>
    <t>BLAU3</t>
  </si>
  <si>
    <t>CXSE3</t>
  </si>
  <si>
    <t>Controle de Operações Swing Trade - Desempenho</t>
  </si>
  <si>
    <t>Base de Dados</t>
  </si>
  <si>
    <t>Mês de
Apuração</t>
  </si>
  <si>
    <t>Saldo
Inicial</t>
  </si>
  <si>
    <t>Ganho
Mensal (R$)</t>
  </si>
  <si>
    <t>Perda
Mensal (R$)</t>
  </si>
  <si>
    <t>Fator de Lucro Mensal</t>
  </si>
  <si>
    <t>Resultado
Alcançado
Mensal (R$)</t>
  </si>
  <si>
    <t>Rendimento
Alcançado
Mensal (%)</t>
  </si>
  <si>
    <t>Ganho Acumulado (R$)</t>
  </si>
  <si>
    <t>Perda Acumulada (R$)</t>
  </si>
  <si>
    <t>Fator de Lucro Acumulado</t>
  </si>
  <si>
    <t>Resultado
Alcançado
Acumulado (R$)</t>
  </si>
  <si>
    <t>Rendimento
Alcançado
Acumulado (%)</t>
  </si>
  <si>
    <t>Informações de Apoio</t>
  </si>
  <si>
    <t>Cotação</t>
  </si>
  <si>
    <t>Início</t>
  </si>
  <si>
    <t>Fim</t>
  </si>
  <si>
    <t>C/V</t>
  </si>
  <si>
    <t>Calculadora de Tamanho de Lote</t>
  </si>
  <si>
    <t>Critério</t>
  </si>
  <si>
    <t>ETF</t>
  </si>
  <si>
    <t>VIVT4</t>
  </si>
  <si>
    <t>Capital por operação</t>
  </si>
  <si>
    <t>TESA3</t>
  </si>
  <si>
    <t>CARD3</t>
  </si>
  <si>
    <t>SDIL11</t>
  </si>
  <si>
    <t>WINFUT</t>
  </si>
  <si>
    <t>TIMP3</t>
  </si>
  <si>
    <t>ESTC3</t>
  </si>
  <si>
    <t>SAPR4</t>
  </si>
  <si>
    <t>XPML11</t>
  </si>
  <si>
    <t>WDOFUT</t>
  </si>
  <si>
    <t>WSPFUTV</t>
  </si>
  <si>
    <t>BRKM3</t>
  </si>
  <si>
    <t>BIOM3</t>
  </si>
  <si>
    <t>GSHP3</t>
  </si>
  <si>
    <t>BBRK3</t>
  </si>
  <si>
    <t>FFCI11</t>
  </si>
  <si>
    <t>FHER3</t>
  </si>
  <si>
    <t>DOLFUT</t>
  </si>
  <si>
    <t>LIQO3</t>
  </si>
  <si>
    <t>INDFUT</t>
  </si>
  <si>
    <t>PMAM3</t>
  </si>
  <si>
    <t>BBDC3</t>
  </si>
  <si>
    <t>MAPT4</t>
  </si>
  <si>
    <t>RDNI3</t>
  </si>
  <si>
    <t>CCMFUT</t>
  </si>
  <si>
    <t>IBXL</t>
  </si>
  <si>
    <t>ITSA3</t>
  </si>
  <si>
    <t>IBXX</t>
  </si>
  <si>
    <t>OIBR3</t>
  </si>
  <si>
    <t>DMMO3</t>
  </si>
  <si>
    <t>PETR3</t>
  </si>
  <si>
    <t>RPMG3</t>
  </si>
  <si>
    <t>ICFU19</t>
  </si>
  <si>
    <t>PATC11</t>
  </si>
  <si>
    <t>OIBR4</t>
  </si>
  <si>
    <t>TPIS3</t>
  </si>
  <si>
    <t>CGAS5</t>
  </si>
  <si>
    <t>IAACFSA</t>
  </si>
  <si>
    <t>IBOV</t>
  </si>
  <si>
    <t>DOLPT</t>
  </si>
  <si>
    <t>FRAS3</t>
  </si>
  <si>
    <t>CAML3</t>
  </si>
  <si>
    <t>CMIG3</t>
  </si>
  <si>
    <t>CTSA3</t>
  </si>
  <si>
    <t>CTSA4</t>
  </si>
  <si>
    <t>DASA3</t>
  </si>
  <si>
    <t>DOHL3</t>
  </si>
  <si>
    <t>DOHL4</t>
  </si>
  <si>
    <t>DTCY3</t>
  </si>
  <si>
    <t>DTEX3</t>
  </si>
  <si>
    <t>EALT3</t>
  </si>
  <si>
    <t>EALT4</t>
  </si>
  <si>
    <t>ECPR3</t>
  </si>
  <si>
    <t>ECPR4</t>
  </si>
  <si>
    <t>EEEL3</t>
  </si>
  <si>
    <t>EEEL4</t>
  </si>
  <si>
    <t>EKTR3</t>
  </si>
  <si>
    <t>EKTR4</t>
  </si>
  <si>
    <t>ELEK4</t>
  </si>
  <si>
    <t>ELET3</t>
  </si>
  <si>
    <t>ELET5</t>
  </si>
  <si>
    <t>EMAE3</t>
  </si>
  <si>
    <t>EMAE4</t>
  </si>
  <si>
    <t>ENGI3</t>
  </si>
  <si>
    <t>ENGI4</t>
  </si>
  <si>
    <t>ENMT3</t>
  </si>
  <si>
    <t>ENMT4</t>
  </si>
  <si>
    <t>EQPA3</t>
  </si>
  <si>
    <t>EQPA5</t>
  </si>
  <si>
    <t>EQPA6</t>
  </si>
  <si>
    <t>EQPA7</t>
  </si>
  <si>
    <t>ESTR3</t>
  </si>
  <si>
    <t>ESTR4</t>
  </si>
  <si>
    <t>ETER3</t>
  </si>
  <si>
    <t>EUCA3</t>
  </si>
  <si>
    <t>EUCA4</t>
  </si>
  <si>
    <t>FESA3</t>
  </si>
  <si>
    <t>FESA4</t>
  </si>
  <si>
    <t>FIGE3</t>
  </si>
  <si>
    <t>FIGE4</t>
  </si>
  <si>
    <t>FRIO3</t>
  </si>
  <si>
    <t>FRTA3</t>
  </si>
  <si>
    <t>GEPA3</t>
  </si>
  <si>
    <t>GEPA4</t>
  </si>
  <si>
    <t>GGBR3</t>
  </si>
  <si>
    <t>GOAU3</t>
  </si>
  <si>
    <t>GPAR3</t>
  </si>
  <si>
    <t>GPCP3</t>
  </si>
  <si>
    <t>GUAR3</t>
  </si>
  <si>
    <t>HAGA3</t>
  </si>
  <si>
    <t>HAGA4</t>
  </si>
  <si>
    <t>HBTS5</t>
  </si>
  <si>
    <t>HETA3</t>
  </si>
  <si>
    <t>HETA4</t>
  </si>
  <si>
    <t>HOOT4</t>
  </si>
  <si>
    <t>IDNT3</t>
  </si>
  <si>
    <t>IDVL3</t>
  </si>
  <si>
    <t>IDVL4</t>
  </si>
  <si>
    <t>IGBR3</t>
  </si>
  <si>
    <t>INEP3</t>
  </si>
  <si>
    <t>INEP4</t>
  </si>
  <si>
    <t>ITUB3</t>
  </si>
  <si>
    <t>JBDU3</t>
  </si>
  <si>
    <t>JBDU4</t>
  </si>
  <si>
    <t>JFEN3</t>
  </si>
  <si>
    <t>JOPA3</t>
  </si>
  <si>
    <t>JOPA4</t>
  </si>
  <si>
    <t>KEPL3</t>
  </si>
  <si>
    <t>KLBN3</t>
  </si>
  <si>
    <t>KLBN4</t>
  </si>
  <si>
    <t>LAME3</t>
  </si>
  <si>
    <t>LINX3</t>
  </si>
  <si>
    <t>LIPR3</t>
  </si>
  <si>
    <t>LLIS3</t>
  </si>
  <si>
    <t>LUPA3</t>
  </si>
  <si>
    <t>LUXM3</t>
  </si>
  <si>
    <t>LUXM4</t>
  </si>
  <si>
    <t>MAPT3</t>
  </si>
  <si>
    <t>MDNE3</t>
  </si>
  <si>
    <t>MERC3</t>
  </si>
  <si>
    <t>MERC4</t>
  </si>
  <si>
    <t>MGEL3</t>
  </si>
  <si>
    <t>MGEL4</t>
  </si>
  <si>
    <t>MMXM3</t>
  </si>
  <si>
    <t>MNDL3</t>
  </si>
  <si>
    <t>MNPR3</t>
  </si>
  <si>
    <t>MOAR3</t>
  </si>
  <si>
    <t>MSPA3</t>
  </si>
  <si>
    <t>MSPA4</t>
  </si>
  <si>
    <t>MTIG3</t>
  </si>
  <si>
    <t>MTIG4</t>
  </si>
  <si>
    <t>MTRE3</t>
  </si>
  <si>
    <t>MTSA3</t>
  </si>
  <si>
    <t>MTSA4</t>
  </si>
  <si>
    <t>MWET3</t>
  </si>
  <si>
    <t>MWET4</t>
  </si>
  <si>
    <t>NAFG3</t>
  </si>
  <si>
    <t>NAFG4</t>
  </si>
  <si>
    <t>NORD3</t>
  </si>
  <si>
    <t>RSID3</t>
  </si>
  <si>
    <t>TASA4</t>
  </si>
  <si>
    <t>TGMA3</t>
  </si>
  <si>
    <t>VIVR3</t>
  </si>
  <si>
    <t>WDOJ20</t>
  </si>
  <si>
    <t>WDOQ20</t>
  </si>
  <si>
    <t>WDOU20</t>
  </si>
  <si>
    <t>WDOV20</t>
  </si>
  <si>
    <t>WDOX20</t>
  </si>
  <si>
    <t>WDOZ20</t>
  </si>
  <si>
    <t>WINJ20</t>
  </si>
  <si>
    <t>WINQ20</t>
  </si>
  <si>
    <t>WINV20</t>
  </si>
  <si>
    <t>WINZ20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</si>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</sst>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;[Red]#,##0"/>
    <numFmt numFmtId="165" formatCode="0.0"/>
    <numFmt numFmtId="166" formatCode="0.0%"/>
    <numFmt numFmtId="167" formatCode="#,##0.00;[Red]#,##0.00"/>
    <numFmt numFmtId="168" formatCode="dd/mm"/>
    <numFmt numFmtId="169" formatCode="0.0%;[Red]0.0%"/>
    <numFmt numFmtId="170" formatCode="dd/mm/yy"/>
    <numFmt numFmtId="171" formatCode="mmm"/>
    <numFmt numFmtId="172" formatCode="mm/yy"/>
    <numFmt numFmtId="173" formatCode="#,##0.0_ ;[Red]\-#,##0.0\ "/>
    <numFmt numFmtId="174" formatCode="#,##0.0;[Red]#,##0.0"/>
    <numFmt numFmtId="175" formatCode="#,##0_ ;[Red]\-#,##0\ "/>
  </numFmts>
  <fonts count="8">
    <font>
      <sz val="11"/>
      <color rgb="FF000000"/>
      <name val="Calibri"/>
      <scheme val="minor"/>
    </font>
    <font>
      <sz val="11"/>
      <color rgb="FF000000"/>
      <name val="Calibri"/>
    </font>
    <font>
      <b/>
      <sz val="28"/>
      <color rgb="FF953734"/>
      <name val="Arial Black"/>
    </font>
    <font>
      <b/>
      <sz val="14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24"/>
      <color rgb="FFFFFFFF"/>
      <name val="Calibri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32423"/>
        <bgColor rgb="FF632423"/>
      </patternFill>
    </fill>
    <fill>
      <patternFill patternType="solid">
        <fgColor rgb="FF953734"/>
        <bgColor rgb="FF953734"/>
      </patternFill>
    </fill>
    <fill>
      <patternFill patternType="solid">
        <fgColor rgb="FFD99594"/>
        <bgColor rgb="FFD99594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E36C09"/>
      </left>
      <right/>
      <top style="thin">
        <color rgb="FFE36C09"/>
      </top>
      <bottom style="thin">
        <color rgb="FFE36C09"/>
      </bottom>
      <diagonal/>
    </border>
    <border>
      <left/>
      <right/>
      <top style="thin">
        <color rgb="FFE36C09"/>
      </top>
      <bottom style="thin">
        <color rgb="FFE36C09"/>
      </bottom>
      <diagonal/>
    </border>
    <border>
      <left/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/>
      <bottom style="thin">
        <color rgb="FFE36C09"/>
      </bottom>
      <diagonal/>
    </border>
    <border>
      <left style="thin">
        <color rgb="FFE36C09"/>
      </left>
      <right/>
      <top/>
      <bottom style="thin">
        <color rgb="FFE36C09"/>
      </bottom>
      <diagonal/>
    </border>
    <border>
      <left style="thin">
        <color rgb="FFE36C09"/>
      </left>
      <right style="thin">
        <color rgb="FFE36C09"/>
      </right>
      <top/>
      <bottom style="thin">
        <color rgb="FFE36C09"/>
      </bottom>
      <diagonal/>
    </border>
    <border>
      <left/>
      <right style="thin">
        <color rgb="FFE36C09"/>
      </right>
      <top/>
      <bottom style="thin">
        <color rgb="FFE36C09"/>
      </bottom>
      <diagonal/>
    </border>
    <border>
      <left style="thin">
        <color rgb="FFE36C09"/>
      </left>
      <right style="thin">
        <color rgb="FFE36C09"/>
      </right>
      <top/>
      <bottom/>
      <diagonal/>
    </border>
    <border>
      <left style="thin">
        <color rgb="FFE36C09"/>
      </left>
      <right style="thin">
        <color rgb="FFE36C09"/>
      </right>
      <top style="thin">
        <color rgb="FFE36C09"/>
      </top>
      <bottom/>
      <diagonal/>
    </border>
    <border>
      <left style="thin">
        <color rgb="FFE36C09"/>
      </left>
      <right/>
      <top style="thin">
        <color rgb="FFE36C09"/>
      </top>
      <bottom/>
      <diagonal/>
    </border>
    <border>
      <left style="thin">
        <color rgb="FFE36C09"/>
      </left>
      <right/>
      <top style="thin">
        <color rgb="FFE36C09"/>
      </top>
      <bottom style="thin">
        <color rgb="FFE36C09"/>
      </bottom>
      <diagonal/>
    </border>
    <border>
      <left style="thin">
        <color rgb="FFE36C09"/>
      </left>
      <right style="thin">
        <color rgb="FFE36C09"/>
      </right>
      <top/>
      <bottom/>
      <diagonal/>
    </border>
    <border>
      <left/>
      <right style="thin">
        <color rgb="FFE36C0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64" fontId="1" fillId="6" borderId="5" xfId="0" applyNumberFormat="1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166" fontId="1" fillId="6" borderId="5" xfId="0" applyNumberFormat="1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6" borderId="5" xfId="0" applyNumberFormat="1" applyFont="1" applyFill="1" applyBorder="1" applyAlignment="1">
      <alignment horizontal="center" vertical="center"/>
    </xf>
    <xf numFmtId="167" fontId="1" fillId="6" borderId="5" xfId="0" applyNumberFormat="1" applyFont="1" applyFill="1" applyBorder="1" applyAlignment="1">
      <alignment horizontal="center" vertical="center"/>
    </xf>
    <xf numFmtId="3" fontId="1" fillId="6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3" fontId="1" fillId="7" borderId="9" xfId="0" applyNumberFormat="1" applyFont="1" applyFill="1" applyBorder="1" applyAlignment="1">
      <alignment horizontal="center"/>
    </xf>
    <xf numFmtId="2" fontId="1" fillId="7" borderId="9" xfId="0" applyNumberFormat="1" applyFont="1" applyFill="1" applyBorder="1" applyAlignment="1">
      <alignment horizontal="center"/>
    </xf>
    <xf numFmtId="168" fontId="1" fillId="7" borderId="9" xfId="0" applyNumberFormat="1" applyFont="1" applyFill="1" applyBorder="1" applyAlignment="1">
      <alignment horizontal="center"/>
    </xf>
    <xf numFmtId="2" fontId="1" fillId="6" borderId="10" xfId="0" applyNumberFormat="1" applyFont="1" applyFill="1" applyBorder="1" applyAlignment="1">
      <alignment horizontal="center" vertical="center"/>
    </xf>
    <xf numFmtId="169" fontId="1" fillId="6" borderId="11" xfId="0" applyNumberFormat="1" applyFont="1" applyFill="1" applyBorder="1" applyAlignment="1">
      <alignment horizontal="center" vertical="center"/>
    </xf>
    <xf numFmtId="164" fontId="1" fillId="6" borderId="11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3" fontId="1" fillId="7" borderId="9" xfId="0" applyNumberFormat="1" applyFont="1" applyFill="1" applyBorder="1" applyAlignment="1">
      <alignment horizontal="center"/>
    </xf>
    <xf numFmtId="2" fontId="1" fillId="7" borderId="9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3" fontId="1" fillId="6" borderId="9" xfId="0" applyNumberFormat="1" applyFont="1" applyFill="1" applyBorder="1" applyAlignment="1">
      <alignment horizontal="center"/>
    </xf>
    <xf numFmtId="2" fontId="1" fillId="6" borderId="9" xfId="0" applyNumberFormat="1" applyFont="1" applyFill="1" applyBorder="1" applyAlignment="1">
      <alignment horizontal="center"/>
    </xf>
    <xf numFmtId="168" fontId="1" fillId="6" borderId="9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2" fontId="1" fillId="7" borderId="9" xfId="0" applyNumberFormat="1" applyFont="1" applyFill="1" applyBorder="1" applyAlignment="1">
      <alignment horizontal="center"/>
    </xf>
    <xf numFmtId="2" fontId="1" fillId="7" borderId="9" xfId="0" applyNumberFormat="1" applyFont="1" applyFill="1" applyBorder="1" applyAlignment="1">
      <alignment horizontal="center"/>
    </xf>
    <xf numFmtId="168" fontId="1" fillId="7" borderId="9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2" fontId="1" fillId="6" borderId="9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170" fontId="1" fillId="8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3" fontId="1" fillId="8" borderId="5" xfId="0" applyNumberFormat="1" applyFont="1" applyFill="1" applyBorder="1" applyAlignment="1">
      <alignment horizontal="center" vertical="center"/>
    </xf>
    <xf numFmtId="167" fontId="1" fillId="8" borderId="5" xfId="0" applyNumberFormat="1" applyFont="1" applyFill="1" applyBorder="1" applyAlignment="1">
      <alignment horizontal="center" vertical="center"/>
    </xf>
    <xf numFmtId="164" fontId="1" fillId="6" borderId="5" xfId="0" applyNumberFormat="1" applyFont="1" applyFill="1" applyBorder="1" applyAlignment="1">
      <alignment horizontal="center" vertical="center"/>
    </xf>
    <xf numFmtId="171" fontId="1" fillId="8" borderId="13" xfId="0" applyNumberFormat="1" applyFont="1" applyFill="1" applyBorder="1" applyAlignment="1">
      <alignment horizontal="center" vertical="center"/>
    </xf>
    <xf numFmtId="170" fontId="1" fillId="8" borderId="11" xfId="0" applyNumberFormat="1" applyFont="1" applyFill="1" applyBorder="1" applyAlignment="1">
      <alignment horizontal="center" vertical="center"/>
    </xf>
    <xf numFmtId="171" fontId="1" fillId="8" borderId="12" xfId="0" applyNumberFormat="1" applyFont="1" applyFill="1" applyBorder="1" applyAlignment="1">
      <alignment horizontal="center" vertical="center"/>
    </xf>
    <xf numFmtId="172" fontId="1" fillId="6" borderId="13" xfId="0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3" fontId="1" fillId="8" borderId="11" xfId="0" applyNumberFormat="1" applyFont="1" applyFill="1" applyBorder="1" applyAlignment="1">
      <alignment horizontal="center" vertical="center"/>
    </xf>
    <xf numFmtId="167" fontId="1" fillId="8" borderId="1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0" fontId="1" fillId="9" borderId="11" xfId="0" applyNumberFormat="1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3" fontId="1" fillId="9" borderId="11" xfId="0" applyNumberFormat="1" applyFont="1" applyFill="1" applyBorder="1" applyAlignment="1">
      <alignment horizontal="center" vertical="center"/>
    </xf>
    <xf numFmtId="167" fontId="1" fillId="9" borderId="11" xfId="0" applyNumberFormat="1" applyFont="1" applyFill="1" applyBorder="1" applyAlignment="1">
      <alignment horizontal="center" vertical="center"/>
    </xf>
    <xf numFmtId="164" fontId="1" fillId="9" borderId="11" xfId="0" applyNumberFormat="1" applyFont="1" applyFill="1" applyBorder="1" applyAlignment="1">
      <alignment horizontal="center" vertical="center"/>
    </xf>
    <xf numFmtId="170" fontId="1" fillId="7" borderId="11" xfId="0" applyNumberFormat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3" fontId="1" fillId="7" borderId="11" xfId="0" applyNumberFormat="1" applyFont="1" applyFill="1" applyBorder="1" applyAlignment="1">
      <alignment horizontal="center" vertical="center"/>
    </xf>
    <xf numFmtId="167" fontId="1" fillId="7" borderId="11" xfId="0" applyNumberFormat="1" applyFont="1" applyFill="1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70" fontId="1" fillId="7" borderId="5" xfId="0" applyNumberFormat="1" applyFont="1" applyFill="1" applyBorder="1" applyAlignment="1">
      <alignment horizontal="center"/>
    </xf>
    <xf numFmtId="170" fontId="1" fillId="7" borderId="4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167" fontId="1" fillId="7" borderId="4" xfId="0" applyNumberFormat="1" applyFont="1" applyFill="1" applyBorder="1" applyAlignment="1">
      <alignment horizontal="center"/>
    </xf>
    <xf numFmtId="170" fontId="1" fillId="9" borderId="14" xfId="0" applyNumberFormat="1" applyFont="1" applyFill="1" applyBorder="1" applyAlignment="1">
      <alignment horizontal="center"/>
    </xf>
    <xf numFmtId="170" fontId="1" fillId="9" borderId="15" xfId="0" applyNumberFormat="1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3" fontId="1" fillId="9" borderId="15" xfId="0" applyNumberFormat="1" applyFont="1" applyFill="1" applyBorder="1" applyAlignment="1">
      <alignment horizontal="center"/>
    </xf>
    <xf numFmtId="167" fontId="1" fillId="9" borderId="15" xfId="0" applyNumberFormat="1" applyFont="1" applyFill="1" applyBorder="1" applyAlignment="1">
      <alignment horizontal="center"/>
    </xf>
    <xf numFmtId="170" fontId="1" fillId="9" borderId="5" xfId="0" applyNumberFormat="1" applyFont="1" applyFill="1" applyBorder="1" applyAlignment="1">
      <alignment horizontal="center"/>
    </xf>
    <xf numFmtId="170" fontId="1" fillId="9" borderId="4" xfId="0" applyNumberFormat="1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3" fontId="1" fillId="9" borderId="4" xfId="0" applyNumberFormat="1" applyFont="1" applyFill="1" applyBorder="1" applyAlignment="1">
      <alignment horizontal="center"/>
    </xf>
    <xf numFmtId="167" fontId="1" fillId="9" borderId="4" xfId="0" applyNumberFormat="1" applyFont="1" applyFill="1" applyBorder="1" applyAlignment="1">
      <alignment horizontal="center"/>
    </xf>
    <xf numFmtId="170" fontId="1" fillId="7" borderId="14" xfId="0" applyNumberFormat="1" applyFont="1" applyFill="1" applyBorder="1" applyAlignment="1">
      <alignment horizontal="center"/>
    </xf>
    <xf numFmtId="170" fontId="1" fillId="7" borderId="15" xfId="0" applyNumberFormat="1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3" fontId="1" fillId="7" borderId="15" xfId="0" applyNumberFormat="1" applyFont="1" applyFill="1" applyBorder="1" applyAlignment="1">
      <alignment horizontal="center"/>
    </xf>
    <xf numFmtId="167" fontId="1" fillId="7" borderId="15" xfId="0" applyNumberFormat="1" applyFont="1" applyFill="1" applyBorder="1" applyAlignment="1">
      <alignment horizontal="center"/>
    </xf>
    <xf numFmtId="170" fontId="1" fillId="9" borderId="5" xfId="0" applyNumberFormat="1" applyFont="1" applyFill="1" applyBorder="1" applyAlignment="1">
      <alignment horizontal="center"/>
    </xf>
    <xf numFmtId="170" fontId="1" fillId="9" borderId="4" xfId="0" applyNumberFormat="1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3" fontId="1" fillId="9" borderId="4" xfId="0" applyNumberFormat="1" applyFont="1" applyFill="1" applyBorder="1" applyAlignment="1">
      <alignment horizontal="center"/>
    </xf>
    <xf numFmtId="167" fontId="1" fillId="9" borderId="4" xfId="0" applyNumberFormat="1" applyFont="1" applyFill="1" applyBorder="1" applyAlignment="1">
      <alignment horizontal="center"/>
    </xf>
    <xf numFmtId="170" fontId="1" fillId="7" borderId="5" xfId="0" applyNumberFormat="1" applyFont="1" applyFill="1" applyBorder="1" applyAlignment="1">
      <alignment horizontal="center"/>
    </xf>
    <xf numFmtId="170" fontId="1" fillId="7" borderId="4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167" fontId="1" fillId="7" borderId="4" xfId="0" applyNumberFormat="1" applyFont="1" applyFill="1" applyBorder="1" applyAlignment="1">
      <alignment horizontal="center"/>
    </xf>
    <xf numFmtId="168" fontId="1" fillId="7" borderId="4" xfId="0" applyNumberFormat="1" applyFont="1" applyFill="1" applyBorder="1" applyAlignment="1">
      <alignment horizontal="center"/>
    </xf>
    <xf numFmtId="172" fontId="1" fillId="6" borderId="5" xfId="0" applyNumberFormat="1" applyFont="1" applyFill="1" applyBorder="1" applyAlignment="1">
      <alignment horizontal="center" vertical="center"/>
    </xf>
    <xf numFmtId="164" fontId="1" fillId="8" borderId="5" xfId="0" applyNumberFormat="1" applyFont="1" applyFill="1" applyBorder="1" applyAlignment="1">
      <alignment horizontal="center" vertical="center"/>
    </xf>
    <xf numFmtId="173" fontId="1" fillId="6" borderId="5" xfId="0" applyNumberFormat="1" applyFont="1" applyFill="1" applyBorder="1" applyAlignment="1">
      <alignment horizontal="center" vertical="center"/>
    </xf>
    <xf numFmtId="169" fontId="1" fillId="6" borderId="5" xfId="0" applyNumberFormat="1" applyFont="1" applyFill="1" applyBorder="1" applyAlignment="1">
      <alignment horizontal="center" vertical="center"/>
    </xf>
    <xf numFmtId="174" fontId="1" fillId="6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4" fontId="1" fillId="6" borderId="18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0" fontId="1" fillId="6" borderId="18" xfId="0" applyNumberFormat="1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175" fontId="1" fillId="6" borderId="18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6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5" fillId="4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</cellXfs>
  <cellStyles count="1">
    <cellStyle name="Normal" xfId="0" builtinId="0"/>
  </cellStyles>
  <dxfs count="14"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C0504D"/>
          <bgColor rgb="FFC0504D"/>
        </patternFill>
      </fill>
    </dxf>
  </dxfs>
  <tableStyles count="4">
    <tableStyle name="Posições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Posições-style 2" pivot="0" count="2" xr9:uid="{00000000-0011-0000-FFFF-FFFF01000000}">
      <tableStyleElement type="firstRowStripe" dxfId="10"/>
      <tableStyleElement type="secondRowStripe" dxfId="9"/>
    </tableStyle>
    <tableStyle name="Resultados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Metas-style" pivot="0" count="3" xr9:uid="{00000000-0011-0000-FFFF-FFFF03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8.3675480293127352E-2"/>
          <c:y val="7.9469669232972703E-2"/>
          <c:w val="0.89326714861028589"/>
          <c:h val="0.80375821240059953"/>
        </c:manualLayout>
      </c:layout>
      <c:lineChart>
        <c:grouping val="standard"/>
        <c:varyColors val="0"/>
        <c:ser>
          <c:idx val="0"/>
          <c:order val="0"/>
          <c:spPr>
            <a:ln w="9525" cmpd="sng">
              <a:solidFill>
                <a:srgbClr val="4F81B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Metas!$C$36:$C$48</c:f>
              <c:numCache>
                <c:formatCode>#,##0;[Red]#,##0</c:formatCode>
                <c:ptCount val="13"/>
                <c:pt idx="0">
                  <c:v>200000</c:v>
                </c:pt>
                <c:pt idx="1">
                  <c:v>202238</c:v>
                </c:pt>
                <c:pt idx="2">
                  <c:v>205586</c:v>
                </c:pt>
                <c:pt idx="3">
                  <c:v>211339</c:v>
                </c:pt>
                <c:pt idx="4">
                  <c:v>214173</c:v>
                </c:pt>
                <c:pt idx="5">
                  <c:v>220218</c:v>
                </c:pt>
                <c:pt idx="6">
                  <c:v>229926</c:v>
                </c:pt>
                <c:pt idx="7">
                  <c:v>237705</c:v>
                </c:pt>
                <c:pt idx="8">
                  <c:v>224481.71428571438</c:v>
                </c:pt>
                <c:pt idx="9">
                  <c:v>231221.71428571438</c:v>
                </c:pt>
                <c:pt idx="10">
                  <c:v>231925.71428571438</c:v>
                </c:pt>
                <c:pt idx="11">
                  <c:v>234182.21428571438</c:v>
                </c:pt>
                <c:pt idx="12">
                  <c:v>238407.71428571438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E-4D93-B24A-F16E73FA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550623"/>
        <c:axId val="1312442118"/>
      </c:lineChart>
      <c:dateAx>
        <c:axId val="28255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12442118"/>
        <c:crosses val="autoZero"/>
        <c:auto val="1"/>
        <c:lblOffset val="100"/>
        <c:baseTimeUnit val="months"/>
      </c:dateAx>
      <c:valAx>
        <c:axId val="1312442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[Red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8255062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5.9800620584934308E-2"/>
          <c:y val="7.9159913051466954E-2"/>
          <c:w val="0.91714200831847892"/>
          <c:h val="0.80406796858210527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Metas!$D$35</c:f>
              <c:strCache>
                <c:ptCount val="1"/>
                <c:pt idx="0">
                  <c:v>Ganho
Mensal (R$)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Metas!$D$36:$D$48</c:f>
              <c:numCache>
                <c:formatCode>#,##0;[Red]#,##0</c:formatCode>
                <c:ptCount val="13"/>
                <c:pt idx="0">
                  <c:v>2238.0000000000009</c:v>
                </c:pt>
                <c:pt idx="1">
                  <c:v>10436.999999999993</c:v>
                </c:pt>
                <c:pt idx="2">
                  <c:v>12276.000000000002</c:v>
                </c:pt>
                <c:pt idx="3">
                  <c:v>9960</c:v>
                </c:pt>
                <c:pt idx="4">
                  <c:v>10325.000000000002</c:v>
                </c:pt>
                <c:pt idx="5">
                  <c:v>13631.999999999998</c:v>
                </c:pt>
                <c:pt idx="6">
                  <c:v>17657.000000000004</c:v>
                </c:pt>
                <c:pt idx="7">
                  <c:v>5888</c:v>
                </c:pt>
                <c:pt idx="8">
                  <c:v>6969.9999999999982</c:v>
                </c:pt>
                <c:pt idx="9">
                  <c:v>12227.999999999998</c:v>
                </c:pt>
                <c:pt idx="10">
                  <c:v>17832.900000000001</c:v>
                </c:pt>
                <c:pt idx="11">
                  <c:v>18161.999999999993</c:v>
                </c:pt>
                <c:pt idx="12">
                  <c:v>15668.000000000004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0-46D9-8E96-E72E939DC6A3}"/>
            </c:ext>
          </c:extLst>
        </c:ser>
        <c:ser>
          <c:idx val="1"/>
          <c:order val="1"/>
          <c:tx>
            <c:strRef>
              <c:f>Metas!$E$35</c:f>
              <c:strCache>
                <c:ptCount val="1"/>
                <c:pt idx="0">
                  <c:v>Perda
Mensal (R$)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Metas!$E$36:$E$48</c:f>
              <c:numCache>
                <c:formatCode>#,##0;[Red]#,##0</c:formatCode>
                <c:ptCount val="13"/>
                <c:pt idx="0">
                  <c:v>0</c:v>
                </c:pt>
                <c:pt idx="1">
                  <c:v>-7089.0000000000027</c:v>
                </c:pt>
                <c:pt idx="2">
                  <c:v>-6522.9999999999991</c:v>
                </c:pt>
                <c:pt idx="3">
                  <c:v>-7126.0000000000045</c:v>
                </c:pt>
                <c:pt idx="4">
                  <c:v>-4279.9999999999991</c:v>
                </c:pt>
                <c:pt idx="5">
                  <c:v>-3924.0000000000032</c:v>
                </c:pt>
                <c:pt idx="6">
                  <c:v>-9877.9999999999982</c:v>
                </c:pt>
                <c:pt idx="7">
                  <c:v>-19111.28571428563</c:v>
                </c:pt>
                <c:pt idx="8">
                  <c:v>-229.99999999999955</c:v>
                </c:pt>
                <c:pt idx="9">
                  <c:v>-11523.999999999995</c:v>
                </c:pt>
                <c:pt idx="10">
                  <c:v>-15576.399999999998</c:v>
                </c:pt>
                <c:pt idx="11">
                  <c:v>-13936.500000000005</c:v>
                </c:pt>
                <c:pt idx="12">
                  <c:v>-10722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80-46D9-8E96-E72E939D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080396"/>
        <c:axId val="600834343"/>
      </c:barChart>
      <c:dateAx>
        <c:axId val="1971080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0834343"/>
        <c:crosses val="autoZero"/>
        <c:auto val="1"/>
        <c:lblOffset val="100"/>
        <c:baseTimeUnit val="months"/>
      </c:dateAx>
      <c:valAx>
        <c:axId val="600834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[Red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710803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7.4117151911269552E-2"/>
          <c:y val="7.9159891598915982E-2"/>
          <c:w val="0.84220736779560312"/>
          <c:h val="0.72533794037940402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Metas!$I$35</c:f>
              <c:strCache>
                <c:ptCount val="1"/>
                <c:pt idx="0">
                  <c:v>Ganho Acumulado (R$)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Metas!$I$36:$I$65</c:f>
              <c:numCache>
                <c:formatCode>#,##0;[Red]#,##0</c:formatCode>
                <c:ptCount val="30"/>
                <c:pt idx="0">
                  <c:v>2238.0000000000009</c:v>
                </c:pt>
                <c:pt idx="1">
                  <c:v>12674.999999999993</c:v>
                </c:pt>
                <c:pt idx="2">
                  <c:v>24950.999999999993</c:v>
                </c:pt>
                <c:pt idx="3">
                  <c:v>34910.999999999993</c:v>
                </c:pt>
                <c:pt idx="4">
                  <c:v>45235.999999999993</c:v>
                </c:pt>
                <c:pt idx="5">
                  <c:v>58867.999999999993</c:v>
                </c:pt>
                <c:pt idx="6">
                  <c:v>76525</c:v>
                </c:pt>
                <c:pt idx="7">
                  <c:v>82413</c:v>
                </c:pt>
                <c:pt idx="8">
                  <c:v>89383</c:v>
                </c:pt>
                <c:pt idx="9">
                  <c:v>101611</c:v>
                </c:pt>
                <c:pt idx="10">
                  <c:v>119443.9</c:v>
                </c:pt>
                <c:pt idx="11">
                  <c:v>137605.9</c:v>
                </c:pt>
                <c:pt idx="12">
                  <c:v>153273.9</c:v>
                </c:pt>
                <c:pt idx="13">
                  <c:v>153273.9</c:v>
                </c:pt>
                <c:pt idx="14">
                  <c:v>153273.9</c:v>
                </c:pt>
                <c:pt idx="15">
                  <c:v>153273.9</c:v>
                </c:pt>
                <c:pt idx="16">
                  <c:v>153273.9</c:v>
                </c:pt>
                <c:pt idx="17">
                  <c:v>153273.9</c:v>
                </c:pt>
                <c:pt idx="18">
                  <c:v>153273.9</c:v>
                </c:pt>
                <c:pt idx="19">
                  <c:v>153273.9</c:v>
                </c:pt>
                <c:pt idx="20">
                  <c:v>153273.9</c:v>
                </c:pt>
                <c:pt idx="21">
                  <c:v>153273.9</c:v>
                </c:pt>
                <c:pt idx="22">
                  <c:v>153273.9</c:v>
                </c:pt>
                <c:pt idx="23">
                  <c:v>153273.9</c:v>
                </c:pt>
                <c:pt idx="24">
                  <c:v>153273.9</c:v>
                </c:pt>
                <c:pt idx="25">
                  <c:v>153273.9</c:v>
                </c:pt>
                <c:pt idx="26">
                  <c:v>153273.9</c:v>
                </c:pt>
                <c:pt idx="27">
                  <c:v>153273.9</c:v>
                </c:pt>
                <c:pt idx="28">
                  <c:v>153273.9</c:v>
                </c:pt>
                <c:pt idx="29">
                  <c:v>153273.9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26-4FBD-9D1E-3FB4D9BB3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7262083"/>
        <c:axId val="68389880"/>
      </c:barChart>
      <c:lineChart>
        <c:grouping val="standard"/>
        <c:varyColors val="0"/>
        <c:ser>
          <c:idx val="1"/>
          <c:order val="1"/>
          <c:tx>
            <c:strRef>
              <c:f>Metas!$J$35</c:f>
              <c:strCache>
                <c:ptCount val="1"/>
                <c:pt idx="0">
                  <c:v>Perda Acumulada (R$)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Metas!$J$36:$J$48</c:f>
              <c:numCache>
                <c:formatCode>#,##0;[Red]#,##0</c:formatCode>
                <c:ptCount val="13"/>
                <c:pt idx="0">
                  <c:v>0</c:v>
                </c:pt>
                <c:pt idx="1">
                  <c:v>-7089.0000000000027</c:v>
                </c:pt>
                <c:pt idx="2">
                  <c:v>-13612.000000000002</c:v>
                </c:pt>
                <c:pt idx="3">
                  <c:v>-20738.000000000007</c:v>
                </c:pt>
                <c:pt idx="4">
                  <c:v>-25018.000000000007</c:v>
                </c:pt>
                <c:pt idx="5">
                  <c:v>-28942.000000000011</c:v>
                </c:pt>
                <c:pt idx="6">
                  <c:v>-38820.000000000007</c:v>
                </c:pt>
                <c:pt idx="7">
                  <c:v>-57931.285714285637</c:v>
                </c:pt>
                <c:pt idx="8">
                  <c:v>-58161.285714285637</c:v>
                </c:pt>
                <c:pt idx="9">
                  <c:v>-69685.285714285637</c:v>
                </c:pt>
                <c:pt idx="10">
                  <c:v>-85261.685714285632</c:v>
                </c:pt>
                <c:pt idx="11">
                  <c:v>-99198.185714285632</c:v>
                </c:pt>
                <c:pt idx="12">
                  <c:v>-109920.18571428563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6-4FBD-9D1E-3FB4D9BB3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262083"/>
        <c:axId val="68389880"/>
      </c:lineChart>
      <c:dateAx>
        <c:axId val="447262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389880"/>
        <c:crosses val="autoZero"/>
        <c:auto val="1"/>
        <c:lblOffset val="100"/>
        <c:baseTimeUnit val="months"/>
      </c:dateAx>
      <c:valAx>
        <c:axId val="68389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[Red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4726208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5.9213870733478578E-2"/>
          <c:y val="7.9159891598915982E-2"/>
          <c:w val="0.88583795471050386"/>
          <c:h val="0.72533794037940402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Metas!$F$35</c:f>
              <c:strCache>
                <c:ptCount val="1"/>
                <c:pt idx="0">
                  <c:v>Fator de Lucro Mensal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Metas!$F$36:$F$48</c:f>
              <c:numCache>
                <c:formatCode>#,##0.0_ ;[Red]\-#,##0.0\ </c:formatCode>
                <c:ptCount val="13"/>
                <c:pt idx="0">
                  <c:v>0</c:v>
                </c:pt>
                <c:pt idx="1">
                  <c:v>1.4722809987304257</c:v>
                </c:pt>
                <c:pt idx="2">
                  <c:v>1.8819561551433395</c:v>
                </c:pt>
                <c:pt idx="3">
                  <c:v>1.397698568621947</c:v>
                </c:pt>
                <c:pt idx="4">
                  <c:v>2.4123831775700944</c:v>
                </c:pt>
                <c:pt idx="5">
                  <c:v>3.4740061162079479</c:v>
                </c:pt>
                <c:pt idx="6">
                  <c:v>1.7875075926300878</c:v>
                </c:pt>
                <c:pt idx="7">
                  <c:v>0.3080902084781631</c:v>
                </c:pt>
                <c:pt idx="8">
                  <c:v>30.30434782608701</c:v>
                </c:pt>
                <c:pt idx="9">
                  <c:v>1.0610898993405071</c:v>
                </c:pt>
                <c:pt idx="10">
                  <c:v>1.1448665930510262</c:v>
                </c:pt>
                <c:pt idx="11">
                  <c:v>1.3031966419115262</c:v>
                </c:pt>
                <c:pt idx="12">
                  <c:v>1.4612945346017538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04-4CCE-90A2-5F81C5975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0008670"/>
        <c:axId val="2007481524"/>
      </c:barChart>
      <c:lineChart>
        <c:grouping val="standard"/>
        <c:varyColors val="0"/>
        <c:ser>
          <c:idx val="1"/>
          <c:order val="1"/>
          <c:tx>
            <c:strRef>
              <c:f>Metas!$K$35</c:f>
              <c:strCache>
                <c:ptCount val="1"/>
                <c:pt idx="0">
                  <c:v>Fator de Lucro Acumulado</c:v>
                </c:pt>
              </c:strCache>
            </c:strRef>
          </c:tx>
          <c:spPr>
            <a:ln w="9525" cmpd="sng">
              <a:solidFill>
                <a:srgbClr val="C0504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Metas!$B$36:$B$48</c:f>
              <c:numCache>
                <c:formatCode>mm/yy</c:formatCode>
                <c:ptCount val="13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</c:numCache>
            </c:numRef>
          </c:cat>
          <c:val>
            <c:numRef>
              <c:f>Metas!$K$36:$K$48</c:f>
              <c:numCache>
                <c:formatCode>#,##0.0;[Red]#,##0.0</c:formatCode>
                <c:ptCount val="13"/>
                <c:pt idx="0">
                  <c:v>0</c:v>
                </c:pt>
                <c:pt idx="1">
                  <c:v>1.7879813796021988</c:v>
                </c:pt>
                <c:pt idx="2">
                  <c:v>1.833014986776373</c:v>
                </c:pt>
                <c:pt idx="3">
                  <c:v>1.6834313820040496</c:v>
                </c:pt>
                <c:pt idx="4">
                  <c:v>1.8081381405388113</c:v>
                </c:pt>
                <c:pt idx="5">
                  <c:v>2.0339990325478534</c:v>
                </c:pt>
                <c:pt idx="6">
                  <c:v>1.9712776919113855</c:v>
                </c:pt>
                <c:pt idx="7">
                  <c:v>1.4225991877076063</c:v>
                </c:pt>
                <c:pt idx="8">
                  <c:v>1.5368126564307647</c:v>
                </c:pt>
                <c:pt idx="9">
                  <c:v>1.4581413989835952</c:v>
                </c:pt>
                <c:pt idx="10">
                  <c:v>1.4009094354556857</c:v>
                </c:pt>
                <c:pt idx="11">
                  <c:v>1.3871816204011806</c:v>
                </c:pt>
                <c:pt idx="12">
                  <c:v>1.3944108536934536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4-4CCE-90A2-5F81C5975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008670"/>
        <c:axId val="2007481524"/>
      </c:lineChart>
      <c:dateAx>
        <c:axId val="870008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07481524"/>
        <c:crosses val="autoZero"/>
        <c:auto val="1"/>
        <c:lblOffset val="100"/>
        <c:baseTimeUnit val="months"/>
      </c:dateAx>
      <c:valAx>
        <c:axId val="2007481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_ ;[Red]\-#,##0.0\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000867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0</xdr:rowOff>
    </xdr:from>
    <xdr:ext cx="6067425" cy="3686175"/>
    <xdr:graphicFrame macro="">
      <xdr:nvGraphicFramePr>
        <xdr:cNvPr id="107775751" name="Chart 1">
          <a:extLst>
            <a:ext uri="{FF2B5EF4-FFF2-40B4-BE49-F238E27FC236}">
              <a16:creationId xmlns:a16="http://schemas.microsoft.com/office/drawing/2014/main" id="{00000000-0008-0000-0200-000007876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</xdr:row>
      <xdr:rowOff>0</xdr:rowOff>
    </xdr:from>
    <xdr:ext cx="6057900" cy="3686175"/>
    <xdr:graphicFrame macro="">
      <xdr:nvGraphicFramePr>
        <xdr:cNvPr id="1052032259" name="Chart 2">
          <a:extLst>
            <a:ext uri="{FF2B5EF4-FFF2-40B4-BE49-F238E27FC236}">
              <a16:creationId xmlns:a16="http://schemas.microsoft.com/office/drawing/2014/main" id="{00000000-0008-0000-0200-000003BDB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0</xdr:colOff>
      <xdr:row>16</xdr:row>
      <xdr:rowOff>114300</xdr:rowOff>
    </xdr:from>
    <xdr:ext cx="6057900" cy="3686175"/>
    <xdr:graphicFrame macro="">
      <xdr:nvGraphicFramePr>
        <xdr:cNvPr id="1787411756" name="Chart 3">
          <a:extLst>
            <a:ext uri="{FF2B5EF4-FFF2-40B4-BE49-F238E27FC236}">
              <a16:creationId xmlns:a16="http://schemas.microsoft.com/office/drawing/2014/main" id="{00000000-0008-0000-0200-00002CBD8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228600</xdr:colOff>
      <xdr:row>16</xdr:row>
      <xdr:rowOff>114300</xdr:rowOff>
    </xdr:from>
    <xdr:ext cx="6067425" cy="3686175"/>
    <xdr:graphicFrame macro="">
      <xdr:nvGraphicFramePr>
        <xdr:cNvPr id="1625698471" name="Chart 4">
          <a:extLst>
            <a:ext uri="{FF2B5EF4-FFF2-40B4-BE49-F238E27FC236}">
              <a16:creationId xmlns:a16="http://schemas.microsoft.com/office/drawing/2014/main" id="{00000000-0008-0000-0200-0000A730E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0</xdr:colOff>
      <xdr:row>33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914400</xdr:colOff>
      <xdr:row>7</xdr:row>
      <xdr:rowOff>209550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6:P16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Posiçõ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7:J33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Posiçõ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J449">
  <tableColumns count="9">
    <tableColumn id="1" xr3:uid="{00000000-0010-0000-0200-000001000000}" name="Data de_x000a_Entrada"/>
    <tableColumn id="2" xr3:uid="{00000000-0010-0000-0200-000002000000}" name="Data de_x000a_Saída"/>
    <tableColumn id="3" xr3:uid="{00000000-0010-0000-0200-000003000000}" name="Ativo"/>
    <tableColumn id="4" xr3:uid="{00000000-0010-0000-0200-000004000000}" name="Qtde."/>
    <tableColumn id="5" xr3:uid="{00000000-0010-0000-0200-000005000000}" name="Preço de_x000a_Compra"/>
    <tableColumn id="6" xr3:uid="{00000000-0010-0000-0200-000006000000}" name="Preço de_x000a_Venda"/>
    <tableColumn id="7" xr3:uid="{00000000-0010-0000-0200-000007000000}" name="Resultado_x000a_Final"/>
    <tableColumn id="8" xr3:uid="{00000000-0010-0000-0200-000008000000}" name="Acumulado"/>
    <tableColumn id="9" xr3:uid="{00000000-0010-0000-0200-000009000000}" name="Mês de Saída"/>
  </tableColumns>
  <tableStyleInfo name="Resultad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5:M65">
  <tableColumns count="12">
    <tableColumn id="1" xr3:uid="{00000000-0010-0000-0300-000001000000}" name="Mês de_x000a_Apuração"/>
    <tableColumn id="2" xr3:uid="{00000000-0010-0000-0300-000002000000}" name="Saldo_x000a_Inicial"/>
    <tableColumn id="3" xr3:uid="{00000000-0010-0000-0300-000003000000}" name="Ganho_x000a_Mensal (R$)"/>
    <tableColumn id="4" xr3:uid="{00000000-0010-0000-0300-000004000000}" name="Perda_x000a_Mensal (R$)"/>
    <tableColumn id="5" xr3:uid="{00000000-0010-0000-0300-000005000000}" name="Fator de Lucro Mensal"/>
    <tableColumn id="6" xr3:uid="{00000000-0010-0000-0300-000006000000}" name="Resultado_x000a_Alcançado_x000a_Mensal (R$)"/>
    <tableColumn id="7" xr3:uid="{00000000-0010-0000-0300-000007000000}" name="Rendimento_x000a_Alcançado_x000a_Mensal (%)"/>
    <tableColumn id="8" xr3:uid="{00000000-0010-0000-0300-000008000000}" name="Ganho Acumulado (R$)"/>
    <tableColumn id="9" xr3:uid="{00000000-0010-0000-0300-000009000000}" name="Perda Acumulada (R$)"/>
    <tableColumn id="10" xr3:uid="{00000000-0010-0000-0300-00000A000000}" name="Fator de Lucro Acumulado"/>
    <tableColumn id="11" xr3:uid="{00000000-0010-0000-0300-00000B000000}" name="Resultado_x000a_Alcançado_x000a_Acumulado (R$)"/>
    <tableColumn id="12" xr3:uid="{00000000-0010-0000-0300-00000C000000}" name="Rendimento_x000a_Alcançado_x000a_Acumulado (%)"/>
  </tableColumns>
  <tableStyleInfo name="Me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E9D9"/>
  </sheetPr>
  <dimension ref="A1:AB972"/>
  <sheetViews>
    <sheetView showGridLines="0" tabSelected="1" workbookViewId="0">
      <selection activeCell="M9" sqref="M9"/>
    </sheetView>
  </sheetViews>
  <sheetFormatPr defaultColWidth="14.42578125" defaultRowHeight="15" customHeight="1"/>
  <cols>
    <col min="1" max="1" width="3.5703125" customWidth="1"/>
    <col min="2" max="16" width="13" customWidth="1"/>
    <col min="17" max="28" width="9.140625" customWidth="1"/>
  </cols>
  <sheetData>
    <row r="1" spans="1:28" ht="52.5" customHeight="1">
      <c r="A1" s="1">
        <v>4.5999999999999996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3"/>
      <c r="X1" s="3"/>
      <c r="Y1" s="3"/>
      <c r="Z1" s="3"/>
      <c r="AA1" s="3"/>
      <c r="AB1" s="3"/>
    </row>
    <row r="2" spans="1:28" ht="18.75" customHeight="1">
      <c r="A2" s="3"/>
      <c r="B2" s="118" t="s">
        <v>1</v>
      </c>
      <c r="C2" s="119"/>
      <c r="D2" s="117"/>
      <c r="E2" s="4"/>
      <c r="F2" s="118" t="s">
        <v>2</v>
      </c>
      <c r="G2" s="119"/>
      <c r="H2" s="11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  <c r="AB2" s="3"/>
    </row>
    <row r="3" spans="1:28" ht="18.75" customHeight="1">
      <c r="A3" s="3"/>
      <c r="B3" s="121" t="s">
        <v>3</v>
      </c>
      <c r="C3" s="117"/>
      <c r="D3" s="5" t="s">
        <v>4</v>
      </c>
      <c r="E3" s="4"/>
      <c r="F3" s="116" t="s">
        <v>5</v>
      </c>
      <c r="G3" s="117"/>
      <c r="H3" s="6">
        <f>SUM(Metas!C36,Resultados!$H$4:$H$951)</f>
        <v>271996.18428571429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8.75" customHeight="1">
      <c r="A4" s="3"/>
      <c r="B4" s="116" t="s">
        <v>6</v>
      </c>
      <c r="C4" s="117"/>
      <c r="D4" s="7"/>
      <c r="E4" s="4"/>
      <c r="F4" s="116" t="s">
        <v>7</v>
      </c>
      <c r="G4" s="117"/>
      <c r="H4" s="6">
        <f>IF(SUM(Posições!$M$17:$M$162)=0,"0",SUM(Posições!$M$17:$M$162))</f>
        <v>182536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.75" customHeight="1">
      <c r="A5" s="3"/>
      <c r="B5" s="116" t="s">
        <v>8</v>
      </c>
      <c r="C5" s="117"/>
      <c r="D5" s="8"/>
      <c r="E5" s="4"/>
      <c r="F5" s="116" t="s">
        <v>9</v>
      </c>
      <c r="G5" s="117"/>
      <c r="H5" s="6">
        <f>SUMIFS(Posições!$O$17:$O$47,Posições!$K$17:$K$47,"&lt;&gt;")</f>
        <v>29165.999999999993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8.75" customHeight="1">
      <c r="A6" s="3"/>
      <c r="B6" s="116" t="s">
        <v>10</v>
      </c>
      <c r="C6" s="117"/>
      <c r="D6" s="7"/>
      <c r="E6" s="4"/>
      <c r="F6" s="116" t="s">
        <v>11</v>
      </c>
      <c r="G6" s="117"/>
      <c r="H6" s="6">
        <f>H3-H4</f>
        <v>89460.184285714291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8.75" customHeight="1">
      <c r="A7" s="3"/>
      <c r="B7" s="116" t="s">
        <v>12</v>
      </c>
      <c r="C7" s="117"/>
      <c r="D7" s="9"/>
      <c r="E7" s="4"/>
      <c r="F7" s="116" t="s">
        <v>13</v>
      </c>
      <c r="G7" s="117"/>
      <c r="H7" s="10">
        <f>IF(ISBLANK(H3),"",IF(SUM(Posições!$N$17:$N$47)=0,"0,0%",SUM(Posições!$N$17:$N$47)))</f>
        <v>1.2356790992587938E-2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8.75" customHeight="1">
      <c r="A8" s="3"/>
      <c r="B8" s="116" t="s">
        <v>14</v>
      </c>
      <c r="C8" s="117"/>
      <c r="D8" s="11"/>
      <c r="E8" s="4"/>
      <c r="F8" s="116" t="s">
        <v>15</v>
      </c>
      <c r="G8" s="117"/>
      <c r="H8" s="6">
        <f>SUMIFS(Posições!$O$17:$O$47,Posições!$K$17:$K$47,"&lt;&gt;")</f>
        <v>29165.999999999993</v>
      </c>
      <c r="I8" s="4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8.75" customHeight="1">
      <c r="A9" s="3"/>
      <c r="B9" s="116" t="s">
        <v>13</v>
      </c>
      <c r="C9" s="117"/>
      <c r="D9" s="9"/>
      <c r="E9" s="4"/>
      <c r="F9" s="116" t="s">
        <v>16</v>
      </c>
      <c r="G9" s="117"/>
      <c r="H9" s="6">
        <f>SUMIFS(Posições!$P$17:$P$36,Posições!$K$17:$K$36,"&lt;&gt;")</f>
        <v>-3361.0000000000014</v>
      </c>
      <c r="I9" s="4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8.7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8.75" customHeight="1">
      <c r="A11" s="3"/>
      <c r="B11" s="118" t="s">
        <v>17</v>
      </c>
      <c r="C11" s="119"/>
      <c r="D11" s="119"/>
      <c r="E11" s="119"/>
      <c r="F11" s="119"/>
      <c r="G11" s="119"/>
      <c r="H11" s="119"/>
      <c r="I11" s="117"/>
      <c r="J11" s="3"/>
      <c r="K11" s="3"/>
      <c r="L11" s="3"/>
      <c r="M11" s="3"/>
      <c r="N11" s="3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8.75" customHeight="1">
      <c r="A12" s="3"/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  <c r="J12" s="3"/>
      <c r="K12" s="3"/>
      <c r="L12" s="3"/>
      <c r="M12" s="3"/>
      <c r="N12" s="3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8.75" customHeight="1">
      <c r="A13" s="3"/>
      <c r="B13" s="12" t="s">
        <v>26</v>
      </c>
      <c r="C13" s="13"/>
      <c r="D13" s="13"/>
      <c r="E13" s="14" t="str">
        <f>IF(OR(ISBLANK(C13),ISBLANK(D13)),"",IF(AND(D4&lt;&gt;"",D5&lt;&gt;""),((C13-D13)*D4)+C13,""))</f>
        <v/>
      </c>
      <c r="F13" s="15" t="str">
        <f>IF(OR(ISBLANK(C13),ISBLANK(D13)),"",IF(D6&lt;&gt;"",((C13-D13)*D6)+C13,""))</f>
        <v/>
      </c>
      <c r="G13" s="16" t="str">
        <f>IFERROR(IF(OR(I13=10,I13=100),0,
IF(AND(B13="Ação",C13&lt;&gt;"",D13&lt;&gt;""),MROUND(I13*D5,100),
IF(AND(B13="ETF",C13&lt;&gt;"",D13&lt;&gt;""),MROUND(I13*D5,10),""))),"")</f>
        <v/>
      </c>
      <c r="H13" s="16" t="str">
        <f>IFERROR(I13-G13,"")</f>
        <v/>
      </c>
      <c r="I13" s="16" t="str">
        <f>IFERROR(IF(B13="Ação",IF(OR(Dados!L5=0,Dados!L6=0),"LIMITE",SMALL(Dados!L5:L6,1)),IF(B13="ETF",IF(OR(Dados!M5=0,Dados!M6=0),"LIMITE",SMALL(Dados!M5:M6,1)),)),"")</f>
        <v/>
      </c>
      <c r="J13" s="3"/>
      <c r="K13" s="3"/>
      <c r="L13" s="3"/>
      <c r="M13" s="3"/>
      <c r="N13" s="3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46.5" customHeight="1">
      <c r="A15" s="3"/>
      <c r="B15" s="120" t="s">
        <v>27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7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30" customHeight="1">
      <c r="A16" s="3"/>
      <c r="B16" s="17" t="s">
        <v>28</v>
      </c>
      <c r="C16" s="18" t="s">
        <v>29</v>
      </c>
      <c r="D16" s="18" t="s">
        <v>30</v>
      </c>
      <c r="E16" s="17" t="s">
        <v>31</v>
      </c>
      <c r="F16" s="17" t="s">
        <v>32</v>
      </c>
      <c r="G16" s="17" t="s">
        <v>33</v>
      </c>
      <c r="H16" s="17" t="s">
        <v>34</v>
      </c>
      <c r="I16" s="17" t="s">
        <v>35</v>
      </c>
      <c r="J16" s="17" t="s">
        <v>36</v>
      </c>
      <c r="K16" s="17" t="s">
        <v>37</v>
      </c>
      <c r="L16" s="17" t="s">
        <v>38</v>
      </c>
      <c r="M16" s="17" t="s">
        <v>39</v>
      </c>
      <c r="N16" s="17" t="s">
        <v>40</v>
      </c>
      <c r="O16" s="17" t="s">
        <v>41</v>
      </c>
      <c r="P16" s="19" t="s">
        <v>42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8.75" customHeight="1">
      <c r="A17" s="3"/>
      <c r="B17" s="20" t="s">
        <v>43</v>
      </c>
      <c r="C17" s="21" t="s">
        <v>44</v>
      </c>
      <c r="D17" s="22">
        <v>2500</v>
      </c>
      <c r="E17" s="23">
        <v>4.03</v>
      </c>
      <c r="F17" s="23">
        <v>5.24</v>
      </c>
      <c r="G17" s="23"/>
      <c r="H17" s="23">
        <v>6.89</v>
      </c>
      <c r="I17" s="24">
        <v>44750</v>
      </c>
      <c r="J17" s="25"/>
      <c r="K17" s="26">
        <f>IFERROR(IF(ISBLANK(Posições!$I17),"",IF(Posições!$B17="Compra",Posições!$J17/Posições!$E17-1,IF(Posições!$B17="Venda",Posições!$J17/Posições!$E17-1,""))),"")</f>
        <v>-1</v>
      </c>
      <c r="L17" s="27">
        <f>IFERROR(IF(ISBLANK(Posições!$I17),"",IF(Posições!$B17="Compra",Posições!$J17*Posições!$D17-Posições!$M17,IF(Posições!$B17="Venda",Posições!$M17-Posições!$J17*Posições!$D17,""))),"")</f>
        <v>-10075</v>
      </c>
      <c r="M17" s="27">
        <f>IF(OR(ISBLANK(Posições!$D17),ISBLANK(Posições!$E17)),"",Posições!$D17*Posições!$E17)</f>
        <v>10075</v>
      </c>
      <c r="N17" s="26">
        <f>IF(OR(ISBLANK($H$3),ISBLANK(Posições!$B17),ISBLANK(Posições!$D17),ISBLANK(Posições!$E17),ISBLANK(Posições!$F17)),"",IF(Posições!$B17="Compra",(Posições!$E17-Posições!$F17)*Posições!$D17/$H$3,(Posições!$F17-Posições!$E17)*Posições!$D17/$H$3))</f>
        <v>-1.1121479545545515E-2</v>
      </c>
      <c r="O17" s="27">
        <f>IF(AND(Posições!$G17&lt;&gt;"",Posições!$I17&lt;&gt;""),ABS(Posições!$G17-Posições!$E17)*Posições!$D17,0)+IF(AND(Posições!$H17&lt;&gt;"",Posições!$I17&lt;&gt;""),ABS(Posições!$H17-Posições!$E17)*Posições!$D17,0)</f>
        <v>7149.9999999999982</v>
      </c>
      <c r="P17" s="28">
        <f>IF(AND(Posições!$B17="Compra",Posições!$I17&lt;&gt;""),(Posições!$F17-Posições!$E17)*Posições!$D17,IF(AND(Posições!$B17="Venda",Posições!$I17&lt;&gt;""),(Posições!$E17-Posições!$F17)*Posições!$D17,""))</f>
        <v>3025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8.75" customHeight="1">
      <c r="A18" s="3"/>
      <c r="B18" s="29" t="s">
        <v>43</v>
      </c>
      <c r="C18" s="30" t="s">
        <v>45</v>
      </c>
      <c r="D18" s="31">
        <v>500</v>
      </c>
      <c r="E18" s="32">
        <v>27.27</v>
      </c>
      <c r="F18" s="23">
        <v>27.99</v>
      </c>
      <c r="G18" s="23"/>
      <c r="H18" s="23">
        <v>30.72</v>
      </c>
      <c r="I18" s="24">
        <v>44767</v>
      </c>
      <c r="J18" s="25"/>
      <c r="K18" s="26">
        <f>IFERROR(IF(ISBLANK(Posições!$I18),"",IF(Posições!$B18="Compra",Posições!$J18/Posições!$E18-1,IF(Posições!$B18="Venda",Posições!$J18/Posições!$E18-1,""))),"")</f>
        <v>-1</v>
      </c>
      <c r="L18" s="27">
        <f>IFERROR(IF(ISBLANK(Posições!$I18),"",IF(Posições!$B18="Compra",Posições!$J18*Posições!$D18-Posições!$M18,IF(Posições!$B18="Venda",Posições!$M18-Posições!$J18*Posições!$D18,""))),"")</f>
        <v>-13635</v>
      </c>
      <c r="M18" s="27">
        <f>IF(OR(ISBLANK(Posições!$D18),ISBLANK(Posições!$E18)),"",Posições!$D18*Posições!$E18)</f>
        <v>13635</v>
      </c>
      <c r="N18" s="26">
        <f>IF(OR(ISBLANK($H$3),ISBLANK(Posições!$B18),ISBLANK(Posições!$D18),ISBLANK(Posições!$E18),ISBLANK(Posições!$F18)),"",IF(Posições!$B18="Compra",(Posições!$E18-Posições!$F18)*Posições!$D18/$H$3,(Posições!$F18-Posições!$E18)*Posições!$D18/$H$3))</f>
        <v>-1.3235479789740097E-3</v>
      </c>
      <c r="O18" s="27">
        <f>IF(AND(Posições!$G18&lt;&gt;"",Posições!$I18&lt;&gt;""),ABS(Posições!$G18-Posições!$E18)*Posições!$D18,0)+IF(AND(Posições!$H18&lt;&gt;"",Posições!$I18&lt;&gt;""),ABS(Posições!$H18-Posições!$E18)*Posições!$D18,0)</f>
        <v>1724.9999999999995</v>
      </c>
      <c r="P18" s="28">
        <f>IF(AND(Posições!$B18="Compra",Posições!$I18&lt;&gt;""),(Posições!$F18-Posições!$E18)*Posições!$D18,IF(AND(Posições!$B18="Venda",Posições!$I18&lt;&gt;""),(Posições!$E18-Posições!$F18)*Posições!$D18,""))</f>
        <v>359.99999999999943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8.75" customHeight="1">
      <c r="A19" s="3"/>
      <c r="B19" s="33" t="s">
        <v>43</v>
      </c>
      <c r="C19" s="34" t="s">
        <v>46</v>
      </c>
      <c r="D19" s="35">
        <v>700</v>
      </c>
      <c r="E19" s="36">
        <v>17.18</v>
      </c>
      <c r="F19" s="36">
        <v>18.59</v>
      </c>
      <c r="G19" s="36"/>
      <c r="H19" s="36">
        <v>20.149999999999999</v>
      </c>
      <c r="I19" s="37">
        <v>44770</v>
      </c>
      <c r="J19" s="25"/>
      <c r="K19" s="26">
        <f>IFERROR(IF(ISBLANK(Posições!$I19),"",IF(Posições!$B19="Compra",Posições!$J19/Posições!$E19-1,IF(Posições!$B19="Venda",Posições!$J19/Posições!$E19-1,""))),"")</f>
        <v>-1</v>
      </c>
      <c r="L19" s="27">
        <f>IFERROR(IF(ISBLANK(Posições!$I19),"",IF(Posições!$B19="Compra",Posições!$J19*Posições!$D19-Posições!$M19,IF(Posições!$B19="Venda",Posições!$M19-Posições!$J19*Posições!$D19,""))),"")</f>
        <v>-12026</v>
      </c>
      <c r="M19" s="27">
        <f>IF(OR(ISBLANK(Posições!$D19),ISBLANK(Posições!$E19)),"",Posições!$D19*Posições!$E19)</f>
        <v>12026</v>
      </c>
      <c r="N19" s="26">
        <f>IF(OR(ISBLANK($H$3),ISBLANK(Posições!$B19),ISBLANK(Posições!$D19),ISBLANK(Posições!$E19),ISBLANK(Posições!$F19)),"",IF(Posições!$B19="Compra",(Posições!$E19-Posições!$F19)*Posições!$D19/$H$3,(Posições!$F19-Posições!$E19)*Posições!$D19/$H$3))</f>
        <v>-3.6287273756870826E-3</v>
      </c>
      <c r="O19" s="27">
        <f>IF(AND(Posições!$G19&lt;&gt;"",Posições!$I19&lt;&gt;""),ABS(Posições!$G19-Posições!$E19)*Posições!$D19,0)+IF(AND(Posições!$H19&lt;&gt;"",Posições!$I19&lt;&gt;""),ABS(Posições!$H19-Posições!$E19)*Posições!$D19,0)</f>
        <v>2078.9999999999991</v>
      </c>
      <c r="P19" s="28">
        <f>IF(AND(Posições!$B19="Compra",Posições!$I19&lt;&gt;""),(Posições!$F19-Posições!$E19)*Posições!$D19,IF(AND(Posições!$B19="Venda",Posições!$I19&lt;&gt;""),(Posições!$E19-Posições!$F19)*Posições!$D19,""))</f>
        <v>987.00000000000011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8.75" customHeight="1">
      <c r="A20" s="3"/>
      <c r="B20" s="20" t="s">
        <v>43</v>
      </c>
      <c r="C20" s="21" t="s">
        <v>47</v>
      </c>
      <c r="D20" s="22">
        <v>800</v>
      </c>
      <c r="E20" s="23">
        <v>15.06</v>
      </c>
      <c r="F20" s="23">
        <v>15.19</v>
      </c>
      <c r="G20" s="23"/>
      <c r="H20" s="23">
        <v>17.22</v>
      </c>
      <c r="I20" s="24">
        <v>44783</v>
      </c>
      <c r="J20" s="25"/>
      <c r="K20" s="26">
        <f>IFERROR(IF(ISBLANK(Posições!$I20),"",IF(Posições!$B20="Compra",Posições!$J20/Posições!$E20-1,IF(Posições!$B20="Venda",Posições!$J20/Posições!$E20-1,""))),"")</f>
        <v>-1</v>
      </c>
      <c r="L20" s="27">
        <f>IFERROR(IF(ISBLANK(Posições!$I20),"",IF(Posições!$B20="Compra",Posições!$J20*Posições!$D20-Posições!$M20,IF(Posições!$B20="Venda",Posições!$M20-Posições!$J20*Posições!$D20,""))),"")</f>
        <v>-12048</v>
      </c>
      <c r="M20" s="27">
        <f>IF(OR(ISBLANK(Posições!$D20),ISBLANK(Posições!$E20)),"",Posições!$D20*Posições!$E20)</f>
        <v>12048</v>
      </c>
      <c r="N20" s="26">
        <f>IF(OR(ISBLANK($H$3),ISBLANK(Posições!$B20),ISBLANK(Posições!$D20),ISBLANK(Posições!$E20),ISBLANK(Posições!$F20)),"",IF(Posições!$B20="Compra",(Posições!$E20-Posições!$F20)*Posições!$D20/$H$3,(Posições!$F20-Posições!$E20)*Posições!$D20/$H$3))</f>
        <v>-3.8235830503693382E-4</v>
      </c>
      <c r="O20" s="27">
        <f>IF(AND(Posições!$G20&lt;&gt;"",Posições!$I20&lt;&gt;""),ABS(Posições!$G20-Posições!$E20)*Posições!$D20,0)+IF(AND(Posições!$H20&lt;&gt;"",Posições!$I20&lt;&gt;""),ABS(Posições!$H20-Posições!$E20)*Posições!$D20,0)</f>
        <v>1727.9999999999986</v>
      </c>
      <c r="P20" s="28">
        <f>IF(AND(Posições!$B20="Compra",Posições!$I20&lt;&gt;""),(Posições!$F20-Posições!$E20)*Posições!$D20,IF(AND(Posições!$B20="Venda",Posições!$I20&lt;&gt;""),(Posições!$E20-Posições!$F20)*Posições!$D20,""))</f>
        <v>103.9999999999992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8.75" customHeight="1">
      <c r="A21" s="3"/>
      <c r="B21" s="33" t="s">
        <v>43</v>
      </c>
      <c r="C21" s="34" t="s">
        <v>48</v>
      </c>
      <c r="D21" s="35">
        <v>500</v>
      </c>
      <c r="E21" s="36">
        <v>20.07</v>
      </c>
      <c r="F21" s="36">
        <v>19.690000000000001</v>
      </c>
      <c r="G21" s="36"/>
      <c r="H21" s="36">
        <v>23.03</v>
      </c>
      <c r="I21" s="37">
        <v>44785</v>
      </c>
      <c r="J21" s="25"/>
      <c r="K21" s="26">
        <f>IFERROR(IF(ISBLANK(Posições!$I21),"",IF(Posições!$B21="Compra",Posições!$J21/Posições!$E21-1,IF(Posições!$B21="Venda",Posições!$J21/Posições!$E21-1,""))),"")</f>
        <v>-1</v>
      </c>
      <c r="L21" s="27">
        <f>IFERROR(IF(ISBLANK(Posições!$I21),"",IF(Posições!$B21="Compra",Posições!$J21*Posições!$D21-Posições!$M21,IF(Posições!$B21="Venda",Posições!$M21-Posições!$J21*Posições!$D21,""))),"")</f>
        <v>-10035</v>
      </c>
      <c r="M21" s="27">
        <f>IF(OR(ISBLANK(Posições!$D21),ISBLANK(Posições!$E21)),"",Posições!$D21*Posições!$E21)</f>
        <v>10035</v>
      </c>
      <c r="N21" s="26">
        <f>IF(OR(ISBLANK($H$3),ISBLANK(Posições!$B21),ISBLANK(Posições!$D21),ISBLANK(Posições!$E21),ISBLANK(Posições!$F21)),"",IF(Posições!$B21="Compra",(Posições!$E21-Posições!$F21)*Posições!$D21/$H$3,(Posições!$F21-Posições!$E21)*Posições!$D21/$H$3))</f>
        <v>6.9853921112517103E-4</v>
      </c>
      <c r="O21" s="27">
        <f>IF(AND(Posições!$G21&lt;&gt;"",Posições!$I21&lt;&gt;""),ABS(Posições!$G21-Posições!$E21)*Posições!$D21,0)+IF(AND(Posições!$H21&lt;&gt;"",Posições!$I21&lt;&gt;""),ABS(Posições!$H21-Posições!$E21)*Posições!$D21,0)</f>
        <v>1480.0000000000005</v>
      </c>
      <c r="P21" s="28">
        <f>IF(AND(Posições!$B21="Compra",Posições!$I21&lt;&gt;""),(Posições!$F21-Posições!$E21)*Posições!$D21,IF(AND(Posições!$B21="Venda",Posições!$I21&lt;&gt;""),(Posições!$E21-Posições!$F21)*Posições!$D21,""))</f>
        <v>-189.99999999999949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8.75" customHeight="1">
      <c r="A22" s="3"/>
      <c r="B22" s="38" t="s">
        <v>43</v>
      </c>
      <c r="C22" s="21" t="s">
        <v>49</v>
      </c>
      <c r="D22" s="22">
        <v>500</v>
      </c>
      <c r="E22" s="23">
        <v>23.02</v>
      </c>
      <c r="F22" s="23">
        <v>22.18</v>
      </c>
      <c r="G22" s="23">
        <v>24.31</v>
      </c>
      <c r="H22" s="39"/>
      <c r="I22" s="24">
        <v>44790</v>
      </c>
      <c r="J22" s="25"/>
      <c r="K22" s="26">
        <f>IFERROR(IF(ISBLANK(Posições!$I22),"",IF(Posições!$B22="Compra",Posições!$J22/Posições!$E22-1,IF(Posições!$B22="Venda",Posições!$J22/Posições!$E22-1,""))),"")</f>
        <v>-1</v>
      </c>
      <c r="L22" s="27">
        <f>IFERROR(IF(ISBLANK(Posições!$I22),"",IF(Posições!$B22="Compra",Posições!$J22*Posições!$D22-Posições!$M22,IF(Posições!$B22="Venda",Posições!$M22-Posições!$J22*Posições!$D22,""))),"")</f>
        <v>-11510</v>
      </c>
      <c r="M22" s="27">
        <f>IF(OR(ISBLANK(Posições!$D22),ISBLANK(Posições!$E22)),"",Posições!$D22*Posições!$E22)</f>
        <v>11510</v>
      </c>
      <c r="N22" s="26">
        <f>IF(OR(ISBLANK($H$3),ISBLANK(Posições!$B22),ISBLANK(Posições!$D22),ISBLANK(Posições!$E22),ISBLANK(Posições!$F22)),"",IF(Posições!$B22="Compra",(Posições!$E22-Posições!$F22)*Posições!$D22/$H$3,(Posições!$F22-Posições!$E22)*Posições!$D22/$H$3))</f>
        <v>1.5441393088030135E-3</v>
      </c>
      <c r="O22" s="27">
        <f>IF(AND(Posições!$G22&lt;&gt;"",Posições!$I22&lt;&gt;""),ABS(Posições!$G22-Posições!$E22)*Posições!$D22,0)+IF(AND(Posições!$H22&lt;&gt;"",Posições!$I22&lt;&gt;""),ABS(Posições!$H22-Posições!$E22)*Posições!$D22,0)</f>
        <v>644.99999999999955</v>
      </c>
      <c r="P22" s="28">
        <f>IF(AND(Posições!$B22="Compra",Posições!$I22&lt;&gt;""),(Posições!$F22-Posições!$E22)*Posições!$D22,IF(AND(Posições!$B22="Venda",Posições!$I22&lt;&gt;""),(Posições!$E22-Posições!$F22)*Posições!$D22,""))</f>
        <v>-419.99999999999994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8.75" customHeight="1">
      <c r="A23" s="3"/>
      <c r="B23" s="38" t="s">
        <v>43</v>
      </c>
      <c r="C23" s="21" t="s">
        <v>49</v>
      </c>
      <c r="D23" s="22">
        <v>400</v>
      </c>
      <c r="E23" s="23">
        <v>23.02</v>
      </c>
      <c r="F23" s="32">
        <v>22.18</v>
      </c>
      <c r="G23" s="40"/>
      <c r="H23" s="32">
        <v>26.89</v>
      </c>
      <c r="I23" s="41">
        <v>44790</v>
      </c>
      <c r="J23" s="25"/>
      <c r="K23" s="26">
        <f>IFERROR(IF(ISBLANK(Posições!$I23),"",IF(Posições!$B23="Compra",Posições!$J23/Posições!$E23-1,IF(Posições!$B23="Venda",Posições!$J23/Posições!$E23-1,""))),"")</f>
        <v>-1</v>
      </c>
      <c r="L23" s="27">
        <f>IFERROR(IF(ISBLANK(Posições!$I23),"",IF(Posições!$B23="Compra",Posições!$J23*Posições!$D23-Posições!$M23,IF(Posições!$B23="Venda",Posições!$M23-Posições!$J23*Posições!$D23,""))),"")</f>
        <v>-9208</v>
      </c>
      <c r="M23" s="27">
        <f>IF(OR(ISBLANK(Posições!$D23),ISBLANK(Posições!$E23)),"",Posições!$D23*Posições!$E23)</f>
        <v>9208</v>
      </c>
      <c r="N23" s="26">
        <f>IF(OR(ISBLANK($H$3),ISBLANK(Posições!$B23),ISBLANK(Posições!$D23),ISBLANK(Posições!$E23),ISBLANK(Posições!$F23)),"",IF(Posições!$B23="Compra",(Posições!$E23-Posições!$F23)*Posições!$D23/$H$3,(Posições!$F23-Posições!$E23)*Posições!$D23/$H$3))</f>
        <v>1.2353114470424107E-3</v>
      </c>
      <c r="O23" s="27">
        <f>IF(AND(Posições!$G23&lt;&gt;"",Posições!$I23&lt;&gt;""),ABS(Posições!$G23-Posições!$E23)*Posições!$D23,0)+IF(AND(Posições!$H23&lt;&gt;"",Posições!$I23&lt;&gt;""),ABS(Posições!$H23-Posições!$E23)*Posições!$D23,0)</f>
        <v>1548.0000000000005</v>
      </c>
      <c r="P23" s="28">
        <f>IF(AND(Posições!$B23="Compra",Posições!$I23&lt;&gt;""),(Posições!$F23-Posições!$E23)*Posições!$D23,IF(AND(Posições!$B23="Venda",Posições!$I23&lt;&gt;""),(Posições!$E23-Posições!$F23)*Posições!$D23,""))</f>
        <v>-335.99999999999994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8.75" customHeight="1">
      <c r="A24" s="3"/>
      <c r="B24" s="33" t="s">
        <v>43</v>
      </c>
      <c r="C24" s="34" t="s">
        <v>50</v>
      </c>
      <c r="D24" s="35">
        <v>900</v>
      </c>
      <c r="E24" s="36">
        <v>10.220000000000001</v>
      </c>
      <c r="F24" s="32">
        <v>9.69</v>
      </c>
      <c r="G24" s="32">
        <v>10.75</v>
      </c>
      <c r="H24" s="40"/>
      <c r="I24" s="41">
        <v>44795</v>
      </c>
      <c r="J24" s="25"/>
      <c r="K24" s="26">
        <f>IFERROR(IF(ISBLANK(Posições!$I24),"",IF(Posições!$B24="Compra",Posições!$J24/Posições!$E24-1,IF(Posições!$B24="Venda",Posições!$J24/Posições!$E24-1,""))),"")</f>
        <v>-1</v>
      </c>
      <c r="L24" s="27">
        <f>IFERROR(IF(ISBLANK(Posições!$I24),"",IF(Posições!$B24="Compra",Posições!$J24*Posições!$D24-Posições!$M24,IF(Posições!$B24="Venda",Posições!$M24-Posições!$J24*Posições!$D24,""))),"")</f>
        <v>-9198</v>
      </c>
      <c r="M24" s="27">
        <f>IF(OR(ISBLANK(Posições!$D24),ISBLANK(Posições!$E24)),"",Posições!$D24*Posições!$E24)</f>
        <v>9198</v>
      </c>
      <c r="N24" s="26">
        <f>IF(OR(ISBLANK($H$3),ISBLANK(Posições!$B24),ISBLANK(Posições!$D24),ISBLANK(Posições!$E24),ISBLANK(Posições!$F24)),"",IF(Posições!$B24="Compra",(Posições!$E24-Posições!$F24)*Posições!$D24/$H$3,(Posições!$F24-Posições!$E24)*Posições!$D24/$H$3))</f>
        <v>1.7537010721405692E-3</v>
      </c>
      <c r="O24" s="27">
        <f>IF(AND(Posições!$G24&lt;&gt;"",Posições!$I24&lt;&gt;""),ABS(Posições!$G24-Posições!$E24)*Posições!$D24,0)+IF(AND(Posições!$H24&lt;&gt;"",Posições!$I24&lt;&gt;""),ABS(Posições!$H24-Posições!$E24)*Posições!$D24,0)</f>
        <v>476.99999999999943</v>
      </c>
      <c r="P24" s="28">
        <f>IF(AND(Posições!$B24="Compra",Posições!$I24&lt;&gt;""),(Posições!$F24-Posições!$E24)*Posições!$D24,IF(AND(Posições!$B24="Venda",Posições!$I24&lt;&gt;""),(Posições!$E24-Posições!$F24)*Posições!$D24,""))</f>
        <v>-477.00000000000102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8.75" customHeight="1">
      <c r="A25" s="3"/>
      <c r="B25" s="20" t="s">
        <v>43</v>
      </c>
      <c r="C25" s="21" t="s">
        <v>50</v>
      </c>
      <c r="D25" s="22">
        <v>900</v>
      </c>
      <c r="E25" s="23">
        <v>10.220000000000001</v>
      </c>
      <c r="F25" s="32">
        <v>9.69</v>
      </c>
      <c r="G25" s="40"/>
      <c r="H25" s="32">
        <v>11.81</v>
      </c>
      <c r="I25" s="41">
        <v>44795</v>
      </c>
      <c r="J25" s="25"/>
      <c r="K25" s="26">
        <f>IFERROR(IF(ISBLANK(Posições!$I25),"",IF(Posições!$B25="Compra",Posições!$J25/Posições!$E25-1,IF(Posições!$B25="Venda",Posições!$J25/Posições!$E25-1,""))),"")</f>
        <v>-1</v>
      </c>
      <c r="L25" s="27">
        <f>IFERROR(IF(ISBLANK(Posições!$I25),"",IF(Posições!$B25="Compra",Posições!$J25*Posições!$D25-Posições!$M25,IF(Posições!$B25="Venda",Posições!$M25-Posições!$J25*Posições!$D25,""))),"")</f>
        <v>-9198</v>
      </c>
      <c r="M25" s="27">
        <f>IF(OR(ISBLANK(Posições!$D25),ISBLANK(Posições!$E25)),"",Posições!$D25*Posições!$E25)</f>
        <v>9198</v>
      </c>
      <c r="N25" s="26">
        <f>IF(OR(ISBLANK($H$3),ISBLANK(Posições!$B25),ISBLANK(Posições!$D25),ISBLANK(Posições!$E25),ISBLANK(Posições!$F25)),"",IF(Posições!$B25="Compra",(Posições!$E25-Posições!$F25)*Posições!$D25/$H$3,(Posições!$F25-Posições!$E25)*Posições!$D25/$H$3))</f>
        <v>1.7537010721405692E-3</v>
      </c>
      <c r="O25" s="27">
        <f>IF(AND(Posições!$G25&lt;&gt;"",Posições!$I25&lt;&gt;""),ABS(Posições!$G25-Posições!$E25)*Posições!$D25,0)+IF(AND(Posições!$H25&lt;&gt;"",Posições!$I25&lt;&gt;""),ABS(Posições!$H25-Posições!$E25)*Posições!$D25,0)</f>
        <v>1430.9999999999998</v>
      </c>
      <c r="P25" s="28">
        <f>IF(AND(Posições!$B25="Compra",Posições!$I25&lt;&gt;""),(Posições!$F25-Posições!$E25)*Posições!$D25,IF(AND(Posições!$B25="Venda",Posições!$I25&lt;&gt;""),(Posições!$E25-Posições!$F25)*Posições!$D25,""))</f>
        <v>-477.00000000000102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8.75" customHeight="1">
      <c r="A26" s="3"/>
      <c r="B26" s="33" t="s">
        <v>51</v>
      </c>
      <c r="C26" s="34" t="s">
        <v>52</v>
      </c>
      <c r="D26" s="35">
        <v>200</v>
      </c>
      <c r="E26" s="36">
        <v>66.349999999999994</v>
      </c>
      <c r="F26" s="32">
        <v>70.55</v>
      </c>
      <c r="G26" s="32">
        <v>62.15</v>
      </c>
      <c r="H26" s="32"/>
      <c r="I26" s="41">
        <v>44795</v>
      </c>
      <c r="J26" s="25"/>
      <c r="K26" s="26">
        <f>IFERROR(IF(ISBLANK(Posições!$I26),"",IF(Posições!$B26="Compra",Posições!$J26/Posições!$E26-1,IF(Posições!$B26="Venda",Posições!$J26/Posições!$E26-1,""))),"")</f>
        <v>-1</v>
      </c>
      <c r="L26" s="27">
        <f>IFERROR(IF(ISBLANK(Posições!$I26),"",IF(Posições!$B26="Compra",Posições!$J26*Posições!$D26-Posições!$M26,IF(Posições!$B26="Venda",Posições!$M26-Posições!$J26*Posições!$D26,""))),"")</f>
        <v>13269.999999999998</v>
      </c>
      <c r="M26" s="27">
        <f>IF(OR(ISBLANK(Posições!$D26),ISBLANK(Posições!$E26)),"",Posições!$D26*Posições!$E26)</f>
        <v>13269.999999999998</v>
      </c>
      <c r="N26" s="26">
        <f>IF(OR(ISBLANK($H$3),ISBLANK(Posições!$B26),ISBLANK(Posições!$D26),ISBLANK(Posições!$E26),ISBLANK(Posições!$F26)),"",IF(Posições!$B26="Compra",(Posições!$E26-Posições!$F26)*Posições!$D26/$H$3,(Posições!$F26-Posições!$E26)*Posições!$D26/$H$3))</f>
        <v>3.0882786176060295E-3</v>
      </c>
      <c r="O26" s="27">
        <f>IF(AND(Posições!$G26&lt;&gt;"",Posições!$I26&lt;&gt;""),ABS(Posições!$G26-Posições!$E26)*Posições!$D26,0)+IF(AND(Posições!$H26&lt;&gt;"",Posições!$I26&lt;&gt;""),ABS(Posições!$H26-Posições!$E26)*Posições!$D26,0)</f>
        <v>839.99999999999909</v>
      </c>
      <c r="P26" s="28">
        <f>IF(AND(Posições!$B26="Compra",Posições!$I26&lt;&gt;""),(Posições!$F26-Posições!$E26)*Posições!$D26,IF(AND(Posições!$B26="Venda",Posições!$I26&lt;&gt;""),(Posições!$E26-Posições!$F26)*Posições!$D26,""))</f>
        <v>-840.00000000000057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8.75" customHeight="1">
      <c r="A27" s="3"/>
      <c r="B27" s="29" t="s">
        <v>51</v>
      </c>
      <c r="C27" s="30" t="s">
        <v>52</v>
      </c>
      <c r="D27" s="31">
        <v>200</v>
      </c>
      <c r="E27" s="32">
        <v>66.349999999999994</v>
      </c>
      <c r="F27" s="32">
        <v>70.55</v>
      </c>
      <c r="G27" s="32"/>
      <c r="H27" s="32">
        <v>53.75</v>
      </c>
      <c r="I27" s="41">
        <v>44795</v>
      </c>
      <c r="J27" s="25"/>
      <c r="K27" s="26">
        <f>IFERROR(IF(ISBLANK(Posições!$I27),"",IF(Posições!$B27="Compra",Posições!$J27/Posições!$E27-1,IF(Posições!$B27="Venda",Posições!$J27/Posições!$E27-1,""))),"")</f>
        <v>-1</v>
      </c>
      <c r="L27" s="27">
        <f>IFERROR(IF(ISBLANK(Posições!$I27),"",IF(Posições!$B27="Compra",Posições!$J27*Posições!$D27-Posições!$M27,IF(Posições!$B27="Venda",Posições!$M27-Posições!$J27*Posições!$D27,""))),"")</f>
        <v>13269.999999999998</v>
      </c>
      <c r="M27" s="27">
        <f>IF(OR(ISBLANK(Posições!$D27),ISBLANK(Posições!$E27)),"",Posições!$D27*Posições!$E27)</f>
        <v>13269.999999999998</v>
      </c>
      <c r="N27" s="26">
        <f>IF(OR(ISBLANK($H$3),ISBLANK(Posições!$B27),ISBLANK(Posições!$D27),ISBLANK(Posições!$E27),ISBLANK(Posições!$F27)),"",IF(Posições!$B27="Compra",(Posições!$E27-Posições!$F27)*Posições!$D27/$H$3,(Posições!$F27-Posições!$E27)*Posições!$D27/$H$3))</f>
        <v>3.0882786176060295E-3</v>
      </c>
      <c r="O27" s="27">
        <f>IF(AND(Posições!$G27&lt;&gt;"",Posições!$I27&lt;&gt;""),ABS(Posições!$G27-Posições!$E27)*Posições!$D27,0)+IF(AND(Posições!$H27&lt;&gt;"",Posições!$I27&lt;&gt;""),ABS(Posições!$H27-Posições!$E27)*Posições!$D27,0)</f>
        <v>2519.9999999999991</v>
      </c>
      <c r="P27" s="28">
        <f>IF(AND(Posições!$B27="Compra",Posições!$I27&lt;&gt;""),(Posições!$F27-Posições!$E27)*Posições!$D27,IF(AND(Posições!$B27="Venda",Posições!$I27&lt;&gt;""),(Posições!$E27-Posições!$F27)*Posições!$D27,""))</f>
        <v>-840.00000000000057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8.75" customHeight="1">
      <c r="A28" s="3"/>
      <c r="B28" s="33" t="s">
        <v>43</v>
      </c>
      <c r="C28" s="34" t="s">
        <v>53</v>
      </c>
      <c r="D28" s="35">
        <v>200</v>
      </c>
      <c r="E28" s="36">
        <v>91.02</v>
      </c>
      <c r="F28" s="32">
        <v>85.99</v>
      </c>
      <c r="G28" s="32">
        <v>96.05</v>
      </c>
      <c r="H28" s="32"/>
      <c r="I28" s="41">
        <v>44797</v>
      </c>
      <c r="J28" s="25"/>
      <c r="K28" s="26">
        <f>IFERROR(IF(ISBLANK(Posições!$I28),"",IF(Posições!$B28="Compra",Posições!$J28/Posições!$E28-1,IF(Posições!$B28="Venda",Posições!$J28/Posições!$E28-1,""))),"")</f>
        <v>-1</v>
      </c>
      <c r="L28" s="27">
        <f>IFERROR(IF(ISBLANK(Posições!$I28),"",IF(Posições!$B28="Compra",Posições!$J28*Posições!$D28-Posições!$M28,IF(Posições!$B28="Venda",Posições!$M28-Posições!$J28*Posições!$D28,""))),"")</f>
        <v>-18204</v>
      </c>
      <c r="M28" s="27">
        <f>IF(OR(ISBLANK(Posições!$D28),ISBLANK(Posições!$E28)),"",Posições!$D28*Posições!$E28)</f>
        <v>18204</v>
      </c>
      <c r="N28" s="26">
        <f>IF(OR(ISBLANK($H$3),ISBLANK(Posições!$B28),ISBLANK(Posições!$D28),ISBLANK(Posições!$E28),ISBLANK(Posições!$F28)),"",IF(Posições!$B28="Compra",(Posições!$E28-Posições!$F28)*Posições!$D28/$H$3,(Posições!$F28-Posições!$E28)*Posições!$D28/$H$3))</f>
        <v>3.6985812967996004E-3</v>
      </c>
      <c r="O28" s="27">
        <f>IF(AND(Posições!$G28&lt;&gt;"",Posições!$I28&lt;&gt;""),ABS(Posições!$G28-Posições!$E28)*Posições!$D28,0)+IF(AND(Posições!$H28&lt;&gt;"",Posições!$I28&lt;&gt;""),ABS(Posições!$H28-Posições!$E28)*Posições!$D28,0)</f>
        <v>1006.0000000000002</v>
      </c>
      <c r="P28" s="28">
        <f>IF(AND(Posições!$B28="Compra",Posições!$I28&lt;&gt;""),(Posições!$F28-Posições!$E28)*Posições!$D28,IF(AND(Posições!$B28="Venda",Posições!$I28&lt;&gt;""),(Posições!$E28-Posições!$F28)*Posições!$D28,""))</f>
        <v>-1006.0000000000002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8.75" customHeight="1">
      <c r="A29" s="3"/>
      <c r="B29" s="29" t="s">
        <v>43</v>
      </c>
      <c r="C29" s="30" t="s">
        <v>53</v>
      </c>
      <c r="D29" s="31">
        <v>100</v>
      </c>
      <c r="E29" s="32">
        <v>91.02</v>
      </c>
      <c r="F29" s="32">
        <v>85.99</v>
      </c>
      <c r="G29" s="32"/>
      <c r="H29" s="32">
        <v>106.11</v>
      </c>
      <c r="I29" s="41">
        <v>44797</v>
      </c>
      <c r="J29" s="25"/>
      <c r="K29" s="26">
        <f>IFERROR(IF(ISBLANK(Posições!$I29),"",IF(Posições!$B29="Compra",Posições!$J29/Posições!$E29-1,IF(Posições!$B29="Venda",Posições!$J29/Posições!$E29-1,""))),"")</f>
        <v>-1</v>
      </c>
      <c r="L29" s="27">
        <f>IFERROR(IF(ISBLANK(Posições!$I29),"",IF(Posições!$B29="Compra",Posições!$J29*Posições!$D29-Posições!$M29,IF(Posições!$B29="Venda",Posições!$M29-Posições!$J29*Posições!$D29,""))),"")</f>
        <v>-9102</v>
      </c>
      <c r="M29" s="27">
        <f>IF(OR(ISBLANK(Posições!$D29),ISBLANK(Posições!$E29)),"",Posições!$D29*Posições!$E29)</f>
        <v>9102</v>
      </c>
      <c r="N29" s="26">
        <f>IF(OR(ISBLANK($H$3),ISBLANK(Posições!$B29),ISBLANK(Posições!$D29),ISBLANK(Posições!$E29),ISBLANK(Posições!$F29)),"",IF(Posições!$B29="Compra",(Posições!$E29-Posições!$F29)*Posições!$D29/$H$3,(Posições!$F29-Posições!$E29)*Posições!$D29/$H$3))</f>
        <v>1.8492906483998002E-3</v>
      </c>
      <c r="O29" s="27">
        <f>IF(AND(Posições!$G29&lt;&gt;"",Posições!$I29&lt;&gt;""),ABS(Posições!$G29-Posições!$E29)*Posições!$D29,0)+IF(AND(Posições!$H29&lt;&gt;"",Posições!$I29&lt;&gt;""),ABS(Posições!$H29-Posições!$E29)*Posições!$D29,0)</f>
        <v>1509.0000000000005</v>
      </c>
      <c r="P29" s="28">
        <f>IF(AND(Posições!$B29="Compra",Posições!$I29&lt;&gt;""),(Posições!$F29-Posições!$E29)*Posições!$D29,IF(AND(Posições!$B29="Venda",Posições!$I29&lt;&gt;""),(Posições!$E29-Posições!$F29)*Posições!$D29,""))</f>
        <v>-503.00000000000011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8.75" customHeight="1">
      <c r="A30" s="3"/>
      <c r="B30" s="42" t="s">
        <v>43</v>
      </c>
      <c r="C30" s="34" t="s">
        <v>54</v>
      </c>
      <c r="D30" s="35">
        <v>600</v>
      </c>
      <c r="E30" s="36">
        <v>9.27</v>
      </c>
      <c r="F30" s="32">
        <v>8.14</v>
      </c>
      <c r="G30" s="32">
        <v>10.4</v>
      </c>
      <c r="H30" s="32"/>
      <c r="I30" s="41">
        <v>44797</v>
      </c>
      <c r="J30" s="25"/>
      <c r="K30" s="26">
        <f>IFERROR(IF(ISBLANK(Posições!$I30),"",IF(Posições!$B30="Compra",Posições!$J30/Posições!$E30-1,IF(Posições!$B30="Venda",Posições!$J30/Posições!$E30-1,""))),"")</f>
        <v>-1</v>
      </c>
      <c r="L30" s="27">
        <f>IFERROR(IF(ISBLANK(Posições!$I30),"",IF(Posições!$B30="Compra",Posições!$J30*Posições!$D30-Posições!$M30,IF(Posições!$B30="Venda",Posições!$M30-Posições!$J30*Posições!$D30,""))),"")</f>
        <v>-5562</v>
      </c>
      <c r="M30" s="27">
        <f>IF(OR(ISBLANK(Posições!$D30),ISBLANK(Posições!$E30)),"",Posições!$D30*Posições!$E30)</f>
        <v>5562</v>
      </c>
      <c r="N30" s="26">
        <f>IF(OR(ISBLANK($H$3),ISBLANK(Posições!$B30),ISBLANK(Posições!$D30),ISBLANK(Posições!$E30),ISBLANK(Posições!$F30)),"",IF(Posições!$B30="Compra",(Posições!$E30-Posições!$F30)*Posições!$D30/$H$3,(Posições!$F30-Posições!$E30)*Posições!$D30/$H$3))</f>
        <v>2.49268202706772E-3</v>
      </c>
      <c r="O30" s="27">
        <f>IF(AND(Posições!$G30&lt;&gt;"",Posições!$I30&lt;&gt;""),ABS(Posições!$G30-Posições!$E30)*Posições!$D30,0)+IF(AND(Posições!$H30&lt;&gt;"",Posições!$I30&lt;&gt;""),ABS(Posições!$H30-Posições!$E30)*Posições!$D30,0)</f>
        <v>678.00000000000045</v>
      </c>
      <c r="P30" s="28">
        <f>IF(AND(Posições!$B30="Compra",Posições!$I30&lt;&gt;""),(Posições!$F30-Posições!$E30)*Posições!$D30,IF(AND(Posições!$B30="Venda",Posições!$I30&lt;&gt;""),(Posições!$E30-Posições!$F30)*Posições!$D30,""))</f>
        <v>-677.99999999999943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8.75" customHeight="1">
      <c r="A31" s="3"/>
      <c r="B31" s="43" t="s">
        <v>43</v>
      </c>
      <c r="C31" s="30" t="s">
        <v>54</v>
      </c>
      <c r="D31" s="31">
        <v>500</v>
      </c>
      <c r="E31" s="32">
        <v>9.27</v>
      </c>
      <c r="F31" s="32">
        <v>8.14</v>
      </c>
      <c r="G31" s="32"/>
      <c r="H31" s="32">
        <v>12.66</v>
      </c>
      <c r="I31" s="41">
        <v>44797</v>
      </c>
      <c r="J31" s="25"/>
      <c r="K31" s="26">
        <f>IFERROR(IF(ISBLANK(Posições!$I31),"",IF(Posições!$B31="Compra",Posições!$J31/Posições!$E31-1,IF(Posições!$B31="Venda",Posições!$J31/Posições!$E31-1,""))),"")</f>
        <v>-1</v>
      </c>
      <c r="L31" s="27">
        <f>IFERROR(IF(ISBLANK(Posições!$I31),"",IF(Posições!$B31="Compra",Posições!$J31*Posições!$D31-Posições!$M31,IF(Posições!$B31="Venda",Posições!$M31-Posições!$J31*Posições!$D31,""))),"")</f>
        <v>-4635</v>
      </c>
      <c r="M31" s="27">
        <f>IF(OR(ISBLANK(Posições!$D31),ISBLANK(Posições!$E31)),"",Posições!$D31*Posições!$E31)</f>
        <v>4635</v>
      </c>
      <c r="N31" s="26">
        <f>IF(OR(ISBLANK($H$3),ISBLANK(Posições!$B31),ISBLANK(Posições!$D31),ISBLANK(Posições!$E31),ISBLANK(Posições!$F31)),"",IF(Posições!$B31="Compra",(Posições!$E31-Posições!$F31)*Posições!$D31/$H$3,(Posições!$F31-Posições!$E31)*Posições!$D31/$H$3))</f>
        <v>2.0772350225564335E-3</v>
      </c>
      <c r="O31" s="27">
        <f>IF(AND(Posições!$G31&lt;&gt;"",Posições!$I31&lt;&gt;""),ABS(Posições!$G31-Posições!$E31)*Posições!$D31,0)+IF(AND(Posições!$H31&lt;&gt;"",Posições!$I31&lt;&gt;""),ABS(Posições!$H31-Posições!$E31)*Posições!$D31,0)</f>
        <v>1695.0000000000002</v>
      </c>
      <c r="P31" s="28">
        <f>IF(AND(Posições!$B31="Compra",Posições!$I31&lt;&gt;""),(Posições!$F31-Posições!$E31)*Posições!$D31,IF(AND(Posições!$B31="Venda",Posições!$I31&lt;&gt;""),(Posições!$E31-Posições!$F31)*Posições!$D31,""))</f>
        <v>-564.99999999999955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8.75" customHeight="1">
      <c r="A32" s="3"/>
      <c r="B32" s="42" t="s">
        <v>43</v>
      </c>
      <c r="C32" s="34" t="s">
        <v>55</v>
      </c>
      <c r="D32" s="35">
        <v>1800</v>
      </c>
      <c r="E32" s="36">
        <v>6.16</v>
      </c>
      <c r="F32" s="32">
        <v>5.73</v>
      </c>
      <c r="G32" s="32">
        <v>6.53</v>
      </c>
      <c r="H32" s="32"/>
      <c r="I32" s="41">
        <v>44797</v>
      </c>
      <c r="J32" s="25"/>
      <c r="K32" s="26">
        <f>IFERROR(IF(ISBLANK(Posições!$I32),"",IF(Posições!$B32="Compra",Posições!$J32/Posições!$E32-1,IF(Posições!$B32="Venda",Posições!$J32/Posições!$E32-1,""))),"")</f>
        <v>-1</v>
      </c>
      <c r="L32" s="27">
        <f>IFERROR(IF(ISBLANK(Posições!$I32),"",IF(Posições!$B32="Compra",Posições!$J32*Posições!$D32-Posições!$M32,IF(Posições!$B32="Venda",Posições!$M32-Posições!$J32*Posições!$D32,""))),"")</f>
        <v>-11088</v>
      </c>
      <c r="M32" s="27">
        <f>IF(OR(ISBLANK(Posições!$D32),ISBLANK(Posições!$E32)),"",Posições!$D32*Posições!$E32)</f>
        <v>11088</v>
      </c>
      <c r="N32" s="26">
        <f>IF(OR(ISBLANK($H$3),ISBLANK(Posições!$B32),ISBLANK(Posições!$D32),ISBLANK(Posições!$E32),ISBLANK(Posições!$F32)),"",IF(Posições!$B32="Compra",(Posições!$E32-Posições!$F32)*Posições!$D32/$H$3,(Posições!$F32-Posições!$E32)*Posições!$D32/$H$3))</f>
        <v>2.8456281547941235E-3</v>
      </c>
      <c r="O32" s="27">
        <f>IF(AND(Posições!$G32&lt;&gt;"",Posições!$I32&lt;&gt;""),ABS(Posições!$G32-Posições!$E32)*Posições!$D32,0)+IF(AND(Posições!$H32&lt;&gt;"",Posições!$I32&lt;&gt;""),ABS(Posições!$H32-Posições!$E32)*Posições!$D32,0)</f>
        <v>666.00000000000023</v>
      </c>
      <c r="P32" s="28">
        <f>IF(AND(Posições!$B32="Compra",Posições!$I32&lt;&gt;""),(Posições!$F32-Posições!$E32)*Posições!$D32,IF(AND(Posições!$B32="Venda",Posições!$I32&lt;&gt;""),(Posições!$E32-Posições!$F32)*Posições!$D32,""))</f>
        <v>-773.99999999999955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8.75" customHeight="1">
      <c r="A33" s="3"/>
      <c r="B33" s="43" t="s">
        <v>43</v>
      </c>
      <c r="C33" s="30" t="s">
        <v>55</v>
      </c>
      <c r="D33" s="31">
        <v>1700</v>
      </c>
      <c r="E33" s="32">
        <v>6.16</v>
      </c>
      <c r="F33" s="32">
        <v>5.73</v>
      </c>
      <c r="G33" s="32"/>
      <c r="H33" s="32">
        <v>7.33</v>
      </c>
      <c r="I33" s="41">
        <v>44797</v>
      </c>
      <c r="J33" s="25"/>
      <c r="K33" s="26">
        <f>IFERROR(IF(ISBLANK(Posições!$I33),"",IF(Posições!$B33="Compra",Posições!$J33/Posições!$E33-1,IF(Posições!$B33="Venda",Posições!$J33/Posições!$E33-1,""))),"")</f>
        <v>-1</v>
      </c>
      <c r="L33" s="27">
        <f>IFERROR(IF(ISBLANK(Posições!$I33),"",IF(Posições!$B33="Compra",Posições!$J33*Posições!$D33-Posições!$M33,IF(Posições!$B33="Venda",Posições!$M33-Posições!$J33*Posições!$D33,""))),"")</f>
        <v>-10472</v>
      </c>
      <c r="M33" s="27">
        <f>IF(OR(ISBLANK(Posições!$D33),ISBLANK(Posições!$E33)),"",Posições!$D33*Posições!$E33)</f>
        <v>10472</v>
      </c>
      <c r="N33" s="26">
        <f>IF(OR(ISBLANK($H$3),ISBLANK(Posições!$B33),ISBLANK(Posições!$D33),ISBLANK(Posições!$E33),ISBLANK(Posições!$F33)),"",IF(Posições!$B33="Compra",(Posições!$E33-Posições!$F33)*Posições!$D33/$H$3,(Posições!$F33-Posições!$E33)*Posições!$D33/$H$3))</f>
        <v>2.6875377017500056E-3</v>
      </c>
      <c r="O33" s="27">
        <f>IF(AND(Posições!$G33&lt;&gt;"",Posições!$I33&lt;&gt;""),ABS(Posições!$G33-Posições!$E33)*Posições!$D33,0)+IF(AND(Posições!$H33&lt;&gt;"",Posições!$I33&lt;&gt;""),ABS(Posições!$H33-Posições!$E33)*Posições!$D33,0)</f>
        <v>1988.9999999999998</v>
      </c>
      <c r="P33" s="28">
        <f>IF(AND(Posições!$B33="Compra",Posições!$I33&lt;&gt;""),(Posições!$F33-Posições!$E33)*Posições!$D33,IF(AND(Posições!$B33="Venda",Posições!$I33&lt;&gt;""),(Posições!$E33-Posições!$F33)*Posições!$D33,""))</f>
        <v>-730.99999999999955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8.75" customHeight="1">
      <c r="A34" s="3"/>
      <c r="B34" s="42"/>
      <c r="C34" s="34"/>
      <c r="D34" s="35"/>
      <c r="E34" s="36"/>
      <c r="F34" s="36"/>
      <c r="G34" s="44"/>
      <c r="H34" s="36"/>
      <c r="I34" s="37"/>
      <c r="J34" s="25"/>
      <c r="K34" s="26"/>
      <c r="L34" s="27"/>
      <c r="M34" s="27"/>
      <c r="N34" s="26"/>
      <c r="O34" s="27"/>
      <c r="P34" s="28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8.75" customHeight="1">
      <c r="A35" s="3"/>
      <c r="B35" s="43"/>
      <c r="C35" s="30"/>
      <c r="D35" s="31"/>
      <c r="E35" s="32"/>
      <c r="F35" s="32"/>
      <c r="G35" s="32"/>
      <c r="H35" s="40"/>
      <c r="I35" s="41"/>
      <c r="J35" s="25"/>
      <c r="K35" s="26" t="str">
        <f>IFERROR(IF(ISBLANK(Posições!$I35),"",IF(Posições!$B35="Compra",Posições!$J35/Posições!$E35-1,IF(Posições!$B35="Venda",Posições!$J35/Posições!$E35-1,""))),"")</f>
        <v/>
      </c>
      <c r="L35" s="27" t="str">
        <f>IFERROR(IF(ISBLANK(Posições!$I35),"",IF(Posições!$B35="Compra",Posições!$J35*Posições!$D35-Posições!$M35,IF(Posições!$B35="Venda",Posições!$M35-Posições!$J35*Posições!$D35,""))),"")</f>
        <v/>
      </c>
      <c r="M35" s="27" t="str">
        <f>IF(OR(ISBLANK(Posições!$D35),ISBLANK(Posições!$E35)),"",Posições!$D35*Posições!$E35)</f>
        <v/>
      </c>
      <c r="N35" s="26" t="str">
        <f>IF(OR(ISBLANK($H$3),ISBLANK(Posições!$B35),ISBLANK(Posições!$D35),ISBLANK(Posições!$E35),ISBLANK(Posições!$F35)),"",IF(Posições!$B35="Compra",(Posições!$E35-Posições!$F35)*Posições!$D35/$H$3,(Posições!$F35-Posições!$E35)*Posições!$D35/$H$3))</f>
        <v/>
      </c>
      <c r="O35" s="27">
        <f>IF(AND(Posições!$G35&lt;&gt;"",Posições!$I35&lt;&gt;""),ABS(Posições!$G35-Posições!$E35)*Posições!$D35,0)+IF(AND(Posições!$H35&lt;&gt;"",Posições!$I35&lt;&gt;""),ABS(Posições!$H35-Posições!$E35)*Posições!$D35,0)</f>
        <v>0</v>
      </c>
      <c r="P35" s="28" t="str">
        <f>IF(AND(Posições!$B35="Compra",Posições!$I35&lt;&gt;""),(Posições!$F35-Posições!$E35)*Posições!$D35,IF(AND(Posições!$B35="Venda",Posições!$I35&lt;&gt;""),(Posições!$E35-Posições!$F35)*Posições!$D35,""))</f>
        <v/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8.75" customHeight="1">
      <c r="A36" s="3"/>
      <c r="B36" s="42"/>
      <c r="C36" s="34"/>
      <c r="D36" s="35"/>
      <c r="E36" s="36"/>
      <c r="F36" s="36"/>
      <c r="G36" s="44"/>
      <c r="H36" s="36"/>
      <c r="I36" s="37"/>
      <c r="J36" s="25"/>
      <c r="K36" s="26"/>
      <c r="L36" s="27"/>
      <c r="M36" s="27"/>
      <c r="N36" s="26"/>
      <c r="O36" s="27"/>
      <c r="P36" s="28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8.75" customHeight="1">
      <c r="A37" s="3"/>
      <c r="B37" s="43"/>
      <c r="C37" s="30"/>
      <c r="D37" s="31"/>
      <c r="E37" s="32"/>
      <c r="F37" s="32"/>
      <c r="G37" s="32"/>
      <c r="H37" s="40"/>
      <c r="I37" s="41"/>
      <c r="J37" s="25"/>
      <c r="K37" s="26" t="str">
        <f>IFERROR(IF(ISBLANK(Posições!$I37),"",IF(Posições!$B37="Compra",Posições!$J37/Posições!$E37-1,IF(Posições!$B37="Venda",Posições!$J37/Posições!$E37-1,""))),"")</f>
        <v/>
      </c>
      <c r="L37" s="27" t="str">
        <f>IFERROR(IF(ISBLANK(Posições!$I37),"",IF(Posições!$B37="Compra",Posições!$J37*Posições!$D37-Posições!$M37,IF(Posições!$B37="Venda",Posições!$M37-Posições!$J37*Posições!$D37,""))),"")</f>
        <v/>
      </c>
      <c r="M37" s="27" t="str">
        <f>IF(OR(ISBLANK(Posições!$D37),ISBLANK(Posições!$E37)),"",Posições!$D37*Posições!$E37)</f>
        <v/>
      </c>
      <c r="N37" s="26" t="str">
        <f>IF(OR(ISBLANK($H$3),ISBLANK(Posições!$B37),ISBLANK(Posições!$D37),ISBLANK(Posições!$E37),ISBLANK(Posições!$F37)),"",IF(Posições!$B37="Compra",(Posições!$E37-Posições!$F37)*Posições!$D37/$H$3,(Posições!$F37-Posições!$E37)*Posições!$D37/$H$3))</f>
        <v/>
      </c>
      <c r="O37" s="27">
        <f>IF(AND(Posições!$G37&lt;&gt;"",Posições!$I37&lt;&gt;""),ABS(Posições!$G37-Posições!$E37)*Posições!$D37,0)+IF(AND(Posições!$H37&lt;&gt;"",Posições!$I37&lt;&gt;""),ABS(Posições!$H37-Posições!$E37)*Posições!$D37,0)</f>
        <v>0</v>
      </c>
      <c r="P37" s="28" t="str">
        <f>IF(AND(Posições!$B37="Compra",Posições!$I37&lt;&gt;""),(Posições!$F37-Posições!$E37)*Posições!$D37,IF(AND(Posições!$B37="Venda",Posições!$I37&lt;&gt;""),(Posições!$E37-Posições!$F37)*Posições!$D37,""))</f>
        <v/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8.75" customHeight="1">
      <c r="A38" s="3"/>
      <c r="B38" s="42"/>
      <c r="C38" s="34"/>
      <c r="D38" s="35"/>
      <c r="E38" s="36"/>
      <c r="F38" s="36"/>
      <c r="G38" s="44"/>
      <c r="H38" s="36"/>
      <c r="I38" s="37"/>
      <c r="J38" s="25"/>
      <c r="K38" s="26"/>
      <c r="L38" s="27"/>
      <c r="M38" s="27"/>
      <c r="N38" s="26"/>
      <c r="O38" s="27"/>
      <c r="P38" s="28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8.75" customHeight="1">
      <c r="A39" s="3"/>
      <c r="B39" s="43"/>
      <c r="C39" s="30"/>
      <c r="D39" s="31"/>
      <c r="E39" s="32"/>
      <c r="F39" s="32"/>
      <c r="G39" s="32"/>
      <c r="H39" s="40"/>
      <c r="I39" s="41"/>
      <c r="J39" s="25"/>
      <c r="K39" s="26" t="str">
        <f>IFERROR(IF(ISBLANK(Posições!$I39),"",IF(Posições!$B39="Compra",Posições!$J39/Posições!$E39-1,IF(Posições!$B39="Venda",Posições!$J39/Posições!$E39-1,""))),"")</f>
        <v/>
      </c>
      <c r="L39" s="27" t="str">
        <f>IFERROR(IF(ISBLANK(Posições!$I39),"",IF(Posições!$B39="Compra",Posições!$J39*Posições!$D39-Posições!$M39,IF(Posições!$B39="Venda",Posições!$M39-Posições!$J39*Posições!$D39,""))),"")</f>
        <v/>
      </c>
      <c r="M39" s="27" t="str">
        <f>IF(OR(ISBLANK(Posições!$D39),ISBLANK(Posições!$E39)),"",Posições!$D39*Posições!$E39)</f>
        <v/>
      </c>
      <c r="N39" s="26" t="str">
        <f>IF(OR(ISBLANK($H$3),ISBLANK(Posições!$B39),ISBLANK(Posições!$D39),ISBLANK(Posições!$E39),ISBLANK(Posições!$F39)),"",IF(Posições!$B39="Compra",(Posições!$E39-Posições!$F39)*Posições!$D39/$H$3,(Posições!$F39-Posições!$E39)*Posições!$D39/$H$3))</f>
        <v/>
      </c>
      <c r="O39" s="27">
        <f>IF(AND(Posições!$G39&lt;&gt;"",Posições!$I39&lt;&gt;""),ABS(Posições!$G39-Posições!$E39)*Posições!$D39,0)+IF(AND(Posições!$H39&lt;&gt;"",Posições!$I39&lt;&gt;""),ABS(Posições!$H39-Posições!$E39)*Posições!$D39,0)</f>
        <v>0</v>
      </c>
      <c r="P39" s="28" t="str">
        <f>IF(AND(Posições!$B39="Compra",Posições!$I39&lt;&gt;""),(Posições!$F39-Posições!$E39)*Posições!$D39,IF(AND(Posições!$B39="Venda",Posições!$I39&lt;&gt;""),(Posições!$E39-Posições!$F39)*Posições!$D39,""))</f>
        <v/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8.75" customHeight="1">
      <c r="A40" s="3"/>
      <c r="B40" s="42"/>
      <c r="C40" s="34"/>
      <c r="D40" s="35"/>
      <c r="E40" s="36"/>
      <c r="F40" s="36"/>
      <c r="G40" s="44"/>
      <c r="H40" s="36"/>
      <c r="I40" s="37"/>
      <c r="J40" s="25"/>
      <c r="K40" s="26"/>
      <c r="L40" s="27"/>
      <c r="M40" s="27"/>
      <c r="N40" s="26"/>
      <c r="O40" s="27"/>
      <c r="P40" s="28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8.75" customHeight="1">
      <c r="A41" s="3"/>
      <c r="B41" s="43"/>
      <c r="C41" s="30"/>
      <c r="D41" s="31"/>
      <c r="E41" s="32"/>
      <c r="F41" s="32"/>
      <c r="G41" s="32"/>
      <c r="H41" s="40"/>
      <c r="I41" s="41"/>
      <c r="J41" s="25"/>
      <c r="K41" s="26" t="str">
        <f>IFERROR(IF(ISBLANK(Posições!$I41),"",IF(Posições!$B41="Compra",Posições!$J41/Posições!$E41-1,IF(Posições!$B41="Venda",Posições!$J41/Posições!$E41-1,""))),"")</f>
        <v/>
      </c>
      <c r="L41" s="27" t="str">
        <f>IFERROR(IF(ISBLANK(Posições!$I41),"",IF(Posições!$B41="Compra",Posições!$J41*Posições!$D41-Posições!$M41,IF(Posições!$B41="Venda",Posições!$M41-Posições!$J41*Posições!$D41,""))),"")</f>
        <v/>
      </c>
      <c r="M41" s="27" t="str">
        <f>IF(OR(ISBLANK(Posições!$D41),ISBLANK(Posições!$E41)),"",Posições!$D41*Posições!$E41)</f>
        <v/>
      </c>
      <c r="N41" s="26" t="str">
        <f>IF(OR(ISBLANK($H$3),ISBLANK(Posições!$B41),ISBLANK(Posições!$D41),ISBLANK(Posições!$E41),ISBLANK(Posições!$F41)),"",IF(Posições!$B41="Compra",(Posições!$E41-Posições!$F41)*Posições!$D41/$H$3,(Posições!$F41-Posições!$E41)*Posições!$D41/$H$3))</f>
        <v/>
      </c>
      <c r="O41" s="27">
        <f>IF(AND(Posições!$G41&lt;&gt;"",Posições!$I41&lt;&gt;""),ABS(Posições!$G41-Posições!$E41)*Posições!$D41,0)+IF(AND(Posições!$H41&lt;&gt;"",Posições!$I41&lt;&gt;""),ABS(Posições!$H41-Posições!$E41)*Posições!$D41,0)</f>
        <v>0</v>
      </c>
      <c r="P41" s="28" t="str">
        <f>IF(AND(Posições!$B41="Compra",Posições!$I41&lt;&gt;""),(Posições!$F41-Posições!$E41)*Posições!$D41,IF(AND(Posições!$B41="Venda",Posições!$I41&lt;&gt;""),(Posições!$E41-Posições!$F41)*Posições!$D41,""))</f>
        <v/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8.75" customHeight="1">
      <c r="A42" s="3"/>
      <c r="B42" s="42"/>
      <c r="C42" s="34"/>
      <c r="D42" s="35"/>
      <c r="E42" s="36"/>
      <c r="F42" s="36"/>
      <c r="G42" s="44"/>
      <c r="H42" s="36"/>
      <c r="I42" s="37"/>
      <c r="J42" s="25"/>
      <c r="K42" s="26"/>
      <c r="L42" s="27"/>
      <c r="M42" s="27"/>
      <c r="N42" s="26"/>
      <c r="O42" s="27"/>
      <c r="P42" s="28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8.75" customHeight="1">
      <c r="A43" s="3"/>
      <c r="B43" s="43"/>
      <c r="C43" s="30"/>
      <c r="D43" s="31"/>
      <c r="E43" s="32"/>
      <c r="F43" s="32"/>
      <c r="G43" s="32"/>
      <c r="H43" s="40"/>
      <c r="I43" s="41"/>
      <c r="J43" s="25"/>
      <c r="K43" s="26" t="str">
        <f>IFERROR(IF(ISBLANK(Posições!$I43),"",IF(Posições!$B43="Compra",Posições!$J43/Posições!$E43-1,IF(Posições!$B43="Venda",Posições!$J43/Posições!$E43-1,""))),"")</f>
        <v/>
      </c>
      <c r="L43" s="27" t="str">
        <f>IFERROR(IF(ISBLANK(Posições!$I43),"",IF(Posições!$B43="Compra",Posições!$J43*Posições!$D43-Posições!$M43,IF(Posições!$B43="Venda",Posições!$M43-Posições!$J43*Posições!$D43,""))),"")</f>
        <v/>
      </c>
      <c r="M43" s="27" t="str">
        <f>IF(OR(ISBLANK(Posições!$D43),ISBLANK(Posições!$E43)),"",Posições!$D43*Posições!$E43)</f>
        <v/>
      </c>
      <c r="N43" s="26" t="str">
        <f>IF(OR(ISBLANK($H$3),ISBLANK(Posições!$B43),ISBLANK(Posições!$D43),ISBLANK(Posições!$E43),ISBLANK(Posições!$F43)),"",IF(Posições!$B43="Compra",(Posições!$E43-Posições!$F43)*Posições!$D43/$H$3,(Posições!$F43-Posições!$E43)*Posições!$D43/$H$3))</f>
        <v/>
      </c>
      <c r="O43" s="27">
        <f>IF(AND(Posições!$G43&lt;&gt;"",Posições!$I43&lt;&gt;""),ABS(Posições!$G43-Posições!$E43)*Posições!$D43,0)+IF(AND(Posições!$H43&lt;&gt;"",Posições!$I43&lt;&gt;""),ABS(Posições!$H43-Posições!$E43)*Posições!$D43,0)</f>
        <v>0</v>
      </c>
      <c r="P43" s="28" t="str">
        <f>IF(AND(Posições!$B43="Compra",Posições!$I43&lt;&gt;""),(Posições!$F43-Posições!$E43)*Posições!$D43,IF(AND(Posições!$B43="Venda",Posições!$I43&lt;&gt;""),(Posições!$E43-Posições!$F43)*Posições!$D43,""))</f>
        <v/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8.75" customHeight="1">
      <c r="A44" s="3"/>
      <c r="B44" s="42"/>
      <c r="C44" s="34"/>
      <c r="D44" s="35"/>
      <c r="E44" s="36"/>
      <c r="F44" s="36"/>
      <c r="G44" s="44"/>
      <c r="H44" s="36"/>
      <c r="I44" s="37"/>
      <c r="J44" s="25"/>
      <c r="K44" s="26"/>
      <c r="L44" s="27"/>
      <c r="M44" s="27"/>
      <c r="N44" s="26"/>
      <c r="O44" s="27"/>
      <c r="P44" s="28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8.75" customHeight="1">
      <c r="A45" s="3"/>
      <c r="B45" s="43"/>
      <c r="C45" s="30"/>
      <c r="D45" s="31"/>
      <c r="E45" s="32"/>
      <c r="F45" s="32"/>
      <c r="G45" s="32"/>
      <c r="H45" s="40"/>
      <c r="I45" s="41"/>
      <c r="J45" s="25"/>
      <c r="K45" s="26" t="str">
        <f>IFERROR(IF(ISBLANK(Posições!$I45),"",IF(Posições!$B45="Compra",Posições!$J45/Posições!$E45-1,IF(Posições!$B45="Venda",Posições!$J45/Posições!$E45-1,""))),"")</f>
        <v/>
      </c>
      <c r="L45" s="27" t="str">
        <f>IFERROR(IF(ISBLANK(Posições!$I45),"",IF(Posições!$B45="Compra",Posições!$J45*Posições!$D45-Posições!$M45,IF(Posições!$B45="Venda",Posições!$M45-Posições!$J45*Posições!$D45,""))),"")</f>
        <v/>
      </c>
      <c r="M45" s="27" t="str">
        <f>IF(OR(ISBLANK(Posições!$D45),ISBLANK(Posições!$E45)),"",Posições!$D45*Posições!$E45)</f>
        <v/>
      </c>
      <c r="N45" s="26" t="str">
        <f>IF(OR(ISBLANK($H$3),ISBLANK(Posições!$B45),ISBLANK(Posições!$D45),ISBLANK(Posições!$E45),ISBLANK(Posições!$F45)),"",IF(Posições!$B45="Compra",(Posições!$E45-Posições!$F45)*Posições!$D45/$H$3,(Posições!$F45-Posições!$E45)*Posições!$D45/$H$3))</f>
        <v/>
      </c>
      <c r="O45" s="27">
        <f>IF(AND(Posições!$G45&lt;&gt;"",Posições!$I45&lt;&gt;""),ABS(Posições!$G45-Posições!$E45)*Posições!$D45,0)+IF(AND(Posições!$H45&lt;&gt;"",Posições!$I45&lt;&gt;""),ABS(Posições!$H45-Posições!$E45)*Posições!$D45,0)</f>
        <v>0</v>
      </c>
      <c r="P45" s="28" t="str">
        <f>IF(AND(Posições!$B45="Compra",Posições!$I45&lt;&gt;""),(Posições!$F45-Posições!$E45)*Posições!$D45,IF(AND(Posições!$B45="Venda",Posições!$I45&lt;&gt;""),(Posições!$E45-Posições!$F45)*Posições!$D45,""))</f>
        <v/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8.75" customHeight="1">
      <c r="A46" s="3"/>
      <c r="B46" s="42"/>
      <c r="C46" s="34"/>
      <c r="D46" s="35"/>
      <c r="E46" s="36"/>
      <c r="F46" s="36"/>
      <c r="G46" s="44"/>
      <c r="H46" s="36"/>
      <c r="I46" s="37"/>
      <c r="J46" s="25"/>
      <c r="K46" s="26"/>
      <c r="L46" s="27"/>
      <c r="M46" s="27"/>
      <c r="N46" s="26"/>
      <c r="O46" s="27"/>
      <c r="P46" s="28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.75" customHeight="1">
      <c r="A47" s="3"/>
      <c r="B47" s="43"/>
      <c r="C47" s="30"/>
      <c r="D47" s="31"/>
      <c r="E47" s="32"/>
      <c r="F47" s="32"/>
      <c r="G47" s="32"/>
      <c r="H47" s="40"/>
      <c r="I47" s="41"/>
      <c r="J47" s="25"/>
      <c r="K47" s="26" t="str">
        <f>IFERROR(IF(ISBLANK(Posições!$I47),"",IF(Posições!$B47="Compra",Posições!$J47/Posições!$E47-1,IF(Posições!$B47="Venda",Posições!$J47/Posições!$E47-1,""))),"")</f>
        <v/>
      </c>
      <c r="L47" s="27" t="str">
        <f>IFERROR(IF(ISBLANK(Posições!$I47),"",IF(Posições!$B47="Compra",Posições!$J47*Posições!$D47-Posições!$M47,IF(Posições!$B47="Venda",Posições!$M47-Posições!$J47*Posições!$D47,""))),"")</f>
        <v/>
      </c>
      <c r="M47" s="27" t="str">
        <f>IF(OR(ISBLANK(Posições!$D47),ISBLANK(Posições!$E47)),"",Posições!$D47*Posições!$E47)</f>
        <v/>
      </c>
      <c r="N47" s="26" t="str">
        <f>IF(OR(ISBLANK($H$3),ISBLANK(Posições!$B47),ISBLANK(Posições!$D47),ISBLANK(Posições!$E47),ISBLANK(Posições!$F47)),"",IF(Posições!$B47="Compra",(Posições!$E47-Posições!$F47)*Posições!$D47/$H$3,(Posições!$F47-Posições!$E47)*Posições!$D47/$H$3))</f>
        <v/>
      </c>
      <c r="O47" s="27">
        <f>IF(AND(Posições!$G47&lt;&gt;"",Posições!$I47&lt;&gt;""),ABS(Posições!$G47-Posições!$E47)*Posições!$D47,0)+IF(AND(Posições!$H47&lt;&gt;"",Posições!$I47&lt;&gt;""),ABS(Posições!$H47-Posições!$E47)*Posições!$D47,0)</f>
        <v>0</v>
      </c>
      <c r="P47" s="28" t="str">
        <f>IF(AND(Posições!$B47="Compra",Posições!$I47&lt;&gt;""),(Posições!$F47-Posições!$E47)*Posições!$D47,IF(AND(Posições!$B47="Venda",Posições!$I47&lt;&gt;""),(Posições!$E47-Posições!$F47)*Posições!$D47,""))</f>
        <v/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.75" customHeight="1">
      <c r="A48" s="3"/>
      <c r="B48" s="42"/>
      <c r="C48" s="34"/>
      <c r="D48" s="35"/>
      <c r="E48" s="36"/>
      <c r="F48" s="36"/>
      <c r="G48" s="44"/>
      <c r="H48" s="36"/>
      <c r="I48" s="37"/>
      <c r="J48" s="25"/>
      <c r="K48" s="26"/>
      <c r="L48" s="27"/>
      <c r="M48" s="27"/>
      <c r="N48" s="26"/>
      <c r="O48" s="27"/>
      <c r="P48" s="28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.75" customHeight="1">
      <c r="A49" s="3"/>
      <c r="B49" s="43"/>
      <c r="C49" s="30"/>
      <c r="D49" s="31"/>
      <c r="E49" s="32"/>
      <c r="F49" s="32"/>
      <c r="G49" s="32"/>
      <c r="H49" s="40"/>
      <c r="I49" s="41"/>
      <c r="J49" s="25"/>
      <c r="K49" s="26" t="str">
        <f>IFERROR(IF(ISBLANK(Posições!$I49),"",IF(Posições!$B49="Compra",Posições!$J49/Posições!$E49-1,IF(Posições!$B49="Venda",Posições!$J49/Posições!$E49-1,""))),"")</f>
        <v/>
      </c>
      <c r="L49" s="27" t="str">
        <f>IFERROR(IF(ISBLANK(Posições!$I49),"",IF(Posições!$B49="Compra",Posições!$J49*Posições!$D49-Posições!$M49,IF(Posições!$B49="Venda",Posições!$M49-Posições!$J49*Posições!$D49,""))),"")</f>
        <v/>
      </c>
      <c r="M49" s="27" t="str">
        <f>IF(OR(ISBLANK(Posições!$D49),ISBLANK(Posições!$E49)),"",Posições!$D49*Posições!$E49)</f>
        <v/>
      </c>
      <c r="N49" s="26" t="str">
        <f>IF(OR(ISBLANK($H$3),ISBLANK(Posições!$B49),ISBLANK(Posições!$D49),ISBLANK(Posições!$E49),ISBLANK(Posições!$F49)),"",IF(Posições!$B49="Compra",(Posições!$E49-Posições!$F49)*Posições!$D49/$H$3,(Posições!$F49-Posições!$E49)*Posições!$D49/$H$3))</f>
        <v/>
      </c>
      <c r="O49" s="27">
        <f>IF(AND(Posições!$G49&lt;&gt;"",Posições!$I49&lt;&gt;""),ABS(Posições!$G49-Posições!$E49)*Posições!$D49,0)+IF(AND(Posições!$H49&lt;&gt;"",Posições!$I49&lt;&gt;""),ABS(Posições!$H49-Posições!$E49)*Posições!$D49,0)</f>
        <v>0</v>
      </c>
      <c r="P49" s="28" t="str">
        <f>IF(AND(Posições!$B49="Compra",Posições!$I49&lt;&gt;""),(Posições!$F49-Posições!$E49)*Posições!$D49,IF(AND(Posições!$B49="Venda",Posições!$I49&lt;&gt;""),(Posições!$E49-Posições!$F49)*Posições!$D49,""))</f>
        <v/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/>
    <row r="205" spans="1:28" ht="15.75" customHeight="1"/>
    <row r="206" spans="1:28" ht="15.75" customHeight="1"/>
    <row r="207" spans="1:28" ht="15.75" customHeight="1"/>
    <row r="208" spans="1:2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8">
    <mergeCell ref="B15:P15"/>
    <mergeCell ref="B2:D2"/>
    <mergeCell ref="F2:H2"/>
    <mergeCell ref="B3:C3"/>
    <mergeCell ref="F3:G3"/>
    <mergeCell ref="B4:C4"/>
    <mergeCell ref="F4:G4"/>
    <mergeCell ref="F5:G5"/>
    <mergeCell ref="F6:G6"/>
    <mergeCell ref="F7:G7"/>
    <mergeCell ref="F8:G8"/>
    <mergeCell ref="F9:G9"/>
    <mergeCell ref="B11:I11"/>
    <mergeCell ref="B5:C5"/>
    <mergeCell ref="B6:C6"/>
    <mergeCell ref="B7:C7"/>
    <mergeCell ref="B8:C8"/>
    <mergeCell ref="B9:C9"/>
  </mergeCells>
  <conditionalFormatting sqref="H7">
    <cfRule type="expression" dxfId="2" priority="1" stopIfTrue="1">
      <formula>$H$7="0,0%"</formula>
    </cfRule>
  </conditionalFormatting>
  <conditionalFormatting sqref="H7">
    <cfRule type="expression" dxfId="1" priority="2">
      <formula>AND(H7&lt;&gt;"",H7&gt;D9)</formula>
    </cfRule>
  </conditionalFormatting>
  <conditionalFormatting sqref="H6">
    <cfRule type="expression" dxfId="0" priority="3">
      <formula>H6&lt;0</formula>
    </cfRule>
  </conditionalFormatting>
  <pageMargins left="0.7" right="0.7" top="0.75" bottom="0.75" header="0" footer="0"/>
  <pageSetup paperSize="9" orientation="portrait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ompra ou Venda - Selecione uma opção da lista ou digite &quot;Compra&quot; ou &quot;Venda&quot;._x000a_" xr:uid="{00000000-0002-0000-0000-000000000000}">
          <x14:formula1>
            <xm:f>Dados!$G$4:$G$5</xm:f>
          </x14:formula1>
          <xm:sqref>B17:B49</xm:sqref>
        </x14:dataValidation>
        <x14:dataValidation type="list" allowBlank="1" showInputMessage="1" showErrorMessage="1" prompt="Tipo - Selecione uma opção da lista._x000a_" xr:uid="{00000000-0002-0000-0000-000001000000}">
          <x14:formula1>
            <xm:f>Dados!$I$4:$I$5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DE9D9"/>
  </sheetPr>
  <dimension ref="A1:Z1006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.5703125" customWidth="1"/>
    <col min="2" max="9" width="21.42578125" customWidth="1"/>
    <col min="10" max="10" width="21.42578125" hidden="1" customWidth="1"/>
    <col min="11" max="26" width="21.42578125" customWidth="1"/>
  </cols>
  <sheetData>
    <row r="1" spans="1:26" ht="52.5" customHeight="1">
      <c r="A1" s="45" t="s">
        <v>56</v>
      </c>
      <c r="B1" s="2" t="s">
        <v>57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.75" customHeight="1">
      <c r="A2" s="4"/>
      <c r="B2" s="120" t="s">
        <v>58</v>
      </c>
      <c r="C2" s="119"/>
      <c r="D2" s="119"/>
      <c r="E2" s="119"/>
      <c r="F2" s="119"/>
      <c r="G2" s="119"/>
      <c r="H2" s="119"/>
      <c r="I2" s="11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6" t="s">
        <v>59</v>
      </c>
      <c r="C3" s="46" t="s">
        <v>60</v>
      </c>
      <c r="D3" s="47" t="s">
        <v>29</v>
      </c>
      <c r="E3" s="47" t="s">
        <v>30</v>
      </c>
      <c r="F3" s="46" t="s">
        <v>61</v>
      </c>
      <c r="G3" s="46" t="s">
        <v>62</v>
      </c>
      <c r="H3" s="46" t="s">
        <v>63</v>
      </c>
      <c r="I3" s="46" t="s">
        <v>64</v>
      </c>
      <c r="J3" s="19" t="s">
        <v>65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>
      <c r="A4" s="4"/>
      <c r="B4" s="48">
        <v>43675</v>
      </c>
      <c r="C4" s="48">
        <v>43655</v>
      </c>
      <c r="D4" s="49" t="s">
        <v>66</v>
      </c>
      <c r="E4" s="50">
        <v>200</v>
      </c>
      <c r="F4" s="51">
        <v>36.659999999999997</v>
      </c>
      <c r="G4" s="51">
        <v>41.5</v>
      </c>
      <c r="H4" s="52">
        <f>IF(OR(Resultados!$F4="",Resultados!$G4=""),"",(Resultados!$G4-Resultados!$F4)*Resultados!$E4)</f>
        <v>968.00000000000068</v>
      </c>
      <c r="I4" s="52">
        <f ca="1">IF(ISBLANK(Resultados!$C4),"",
IF(ROW()-1=3,Resultados!$H4,INDIRECT(ADDRESS(ROW()-1,COLUMN()))+Resultados!$H4))</f>
        <v>968.00000000000068</v>
      </c>
      <c r="J4" s="53">
        <f>IFERROR(EOMONTH((WORKDAY(C4,0,Dados!$C$3:$C$29)),-1)+1,"")</f>
        <v>43647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54">
        <v>43670</v>
      </c>
      <c r="C5" s="54">
        <v>43670</v>
      </c>
      <c r="D5" s="49" t="s">
        <v>44</v>
      </c>
      <c r="E5" s="50">
        <v>1400</v>
      </c>
      <c r="F5" s="51">
        <v>6.92</v>
      </c>
      <c r="G5" s="51">
        <v>7.09</v>
      </c>
      <c r="H5" s="52">
        <f>IF(OR(Resultados!$F5="",Resultados!$G5=""),"",(Resultados!$G5-Resultados!$F5)*Resultados!$E5)</f>
        <v>237.99999999999989</v>
      </c>
      <c r="I5" s="52">
        <f ca="1">IF(ISBLANK(Resultados!$C5),"",
IF(ROW()-1=3,Resultados!$H5,INDIRECT(ADDRESS(ROW()-1,COLUMN()))+Resultados!$H5))</f>
        <v>1206.0000000000005</v>
      </c>
      <c r="J5" s="55">
        <f>IFERROR(EOMONTH((WORKDAY(C5,0,Dados!$C$3:$C$29)),-1)+1,"")</f>
        <v>43647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8">
        <v>43668</v>
      </c>
      <c r="C6" s="48">
        <v>43676</v>
      </c>
      <c r="D6" s="49" t="s">
        <v>67</v>
      </c>
      <c r="E6" s="50">
        <v>600</v>
      </c>
      <c r="F6" s="51">
        <v>15.89</v>
      </c>
      <c r="G6" s="51">
        <v>16.98</v>
      </c>
      <c r="H6" s="52">
        <f>IF(OR(Resultados!$F6="",Resultados!$G6=""),"",(Resultados!$G6-Resultados!$F6)*Resultados!$E6)</f>
        <v>653.99999999999989</v>
      </c>
      <c r="I6" s="52">
        <f ca="1">IF(ISBLANK(Resultados!$C6),"",
IF(ROW()-1=3,Resultados!$H6,INDIRECT(ADDRESS(ROW()-1,COLUMN()))+Resultados!$H6))</f>
        <v>1860.0000000000005</v>
      </c>
      <c r="J6" s="56">
        <f>IFERROR(EOMONTH((WORKDAY(C6,0,Dados!$C$3:$C$29)),-1)+1,"")</f>
        <v>43647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54">
        <v>43670</v>
      </c>
      <c r="C7" s="54">
        <v>43677</v>
      </c>
      <c r="D7" s="49" t="s">
        <v>44</v>
      </c>
      <c r="E7" s="50">
        <v>1400</v>
      </c>
      <c r="F7" s="51">
        <v>6.92</v>
      </c>
      <c r="G7" s="51">
        <v>7.19</v>
      </c>
      <c r="H7" s="52">
        <f>IF(OR(Resultados!$F7="",Resultados!$G7=""),"",(Resultados!$G7-Resultados!$F7)*Resultados!$E7)</f>
        <v>378.00000000000063</v>
      </c>
      <c r="I7" s="52">
        <f ca="1">IF(ISBLANK(Resultados!$C7),"",
IF(ROW()-1=3,Resultados!$H7,INDIRECT(ADDRESS(ROW()-1,COLUMN()))+Resultados!$H7))</f>
        <v>2238.0000000000009</v>
      </c>
      <c r="J7" s="53">
        <f>IFERROR(EOMONTH((WORKDAY(C7,0,Dados!$C$3:$C$29)),-1)+1,"")</f>
        <v>43647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8">
        <v>43675</v>
      </c>
      <c r="C8" s="48">
        <v>43678</v>
      </c>
      <c r="D8" s="49" t="s">
        <v>66</v>
      </c>
      <c r="E8" s="50">
        <v>300</v>
      </c>
      <c r="F8" s="51">
        <v>36.659999999999997</v>
      </c>
      <c r="G8" s="51">
        <v>38.44</v>
      </c>
      <c r="H8" s="52">
        <f>IF(OR(Resultados!$F8="",Resultados!$G8=""),"",(Resultados!$G8-Resultados!$F8)*Resultados!$E8)</f>
        <v>534.00000000000034</v>
      </c>
      <c r="I8" s="52">
        <f ca="1">IF(ISBLANK(Resultados!$C8),"",
IF(ROW()-1=3,Resultados!$H8,INDIRECT(ADDRESS(ROW()-1,COLUMN()))+Resultados!$H8))</f>
        <v>2772.0000000000014</v>
      </c>
      <c r="J8" s="53">
        <f>IFERROR(EOMONTH((WORKDAY(C8,0,Dados!$C$3:$C$29)),-1)+1,"")</f>
        <v>43678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54">
        <v>43676</v>
      </c>
      <c r="C9" s="54">
        <v>43683</v>
      </c>
      <c r="D9" s="49" t="s">
        <v>68</v>
      </c>
      <c r="E9" s="50">
        <v>400</v>
      </c>
      <c r="F9" s="51">
        <v>50.99</v>
      </c>
      <c r="G9" s="51">
        <v>48.9</v>
      </c>
      <c r="H9" s="52">
        <f>IF(OR(Resultados!$F9="",Resultados!$G9=""),"",(Resultados!$G9-Resultados!$F9)*Resultados!$E9)</f>
        <v>-836.00000000000136</v>
      </c>
      <c r="I9" s="52">
        <f ca="1">IF(ISBLANK(Resultados!$C9),"",
IF(ROW()-1=3,Resultados!$H9,INDIRECT(ADDRESS(ROW()-1,COLUMN()))+Resultados!$H9))</f>
        <v>1936</v>
      </c>
      <c r="J9" s="53">
        <f>IFERROR(EOMONTH((WORKDAY(C9,0,Dados!$C$3:$C$29)),-1)+1,"")</f>
        <v>43678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8">
        <v>43684</v>
      </c>
      <c r="C10" s="48">
        <v>43684</v>
      </c>
      <c r="D10" s="49" t="s">
        <v>69</v>
      </c>
      <c r="E10" s="50">
        <v>300</v>
      </c>
      <c r="F10" s="51">
        <v>35.56</v>
      </c>
      <c r="G10" s="51">
        <v>35.79</v>
      </c>
      <c r="H10" s="52">
        <f>IF(OR(Resultados!$F10="",Resultados!$G10=""),"",(Resultados!$G10-Resultados!$F10)*Resultados!$E10)</f>
        <v>68.999999999999062</v>
      </c>
      <c r="I10" s="52">
        <f ca="1">IF(ISBLANK(Resultados!$C10),"",
IF(ROW()-1=3,Resultados!$H10,INDIRECT(ADDRESS(ROW()-1,COLUMN()))+Resultados!$H10))</f>
        <v>2004.9999999999991</v>
      </c>
      <c r="J10" s="53">
        <f>IFERROR(EOMONTH((WORKDAY(C10,0,Dados!$C$3:$C$29)),-1)+1,"")</f>
        <v>43678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54">
        <v>43676</v>
      </c>
      <c r="C11" s="54">
        <v>43685</v>
      </c>
      <c r="D11" s="49" t="s">
        <v>70</v>
      </c>
      <c r="E11" s="50">
        <v>200</v>
      </c>
      <c r="F11" s="51">
        <v>42.83</v>
      </c>
      <c r="G11" s="51">
        <v>45.09</v>
      </c>
      <c r="H11" s="52">
        <f>IF(OR(Resultados!$F11="",Resultados!$G11=""),"",(Resultados!$G11-Resultados!$F11)*Resultados!$E11)</f>
        <v>452.00000000000102</v>
      </c>
      <c r="I11" s="52">
        <f ca="1">IF(ISBLANK(Resultados!$C11),"",
IF(ROW()-1=3,Resultados!$H11,INDIRECT(ADDRESS(ROW()-1,COLUMN()))+Resultados!$H11))</f>
        <v>2457</v>
      </c>
      <c r="J11" s="53">
        <f>IFERROR(EOMONTH((WORKDAY(C11,0,Dados!$C$3:$C$29)),-1)+1,"")</f>
        <v>43678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8">
        <v>43676</v>
      </c>
      <c r="C12" s="48">
        <v>43685</v>
      </c>
      <c r="D12" s="49" t="s">
        <v>71</v>
      </c>
      <c r="E12" s="50">
        <v>200</v>
      </c>
      <c r="F12" s="51">
        <v>44.04</v>
      </c>
      <c r="G12" s="51">
        <v>46.89</v>
      </c>
      <c r="H12" s="52">
        <f>IF(OR(Resultados!$F12="",Resultados!$G12=""),"",(Resultados!$G12-Resultados!$F12)*Resultados!$E12)</f>
        <v>570.00000000000023</v>
      </c>
      <c r="I12" s="52">
        <f ca="1">IF(ISBLANK(Resultados!$C12),"",
IF(ROW()-1=3,Resultados!$H12,INDIRECT(ADDRESS(ROW()-1,COLUMN()))+Resultados!$H12))</f>
        <v>3027</v>
      </c>
      <c r="J12" s="53">
        <f>IFERROR(EOMONTH((WORKDAY(C12,0,Dados!$C$3:$C$29)),-1)+1,"")</f>
        <v>43678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54">
        <v>43683</v>
      </c>
      <c r="C13" s="54">
        <v>43685</v>
      </c>
      <c r="D13" s="49" t="s">
        <v>72</v>
      </c>
      <c r="E13" s="50">
        <v>500</v>
      </c>
      <c r="F13" s="51">
        <v>21.92</v>
      </c>
      <c r="G13" s="51">
        <v>22.88</v>
      </c>
      <c r="H13" s="52">
        <f>IF(OR(Resultados!$F13="",Resultados!$G13=""),"",(Resultados!$G13-Resultados!$F13)*Resultados!$E13)</f>
        <v>479.99999999999864</v>
      </c>
      <c r="I13" s="52">
        <f ca="1">IF(ISBLANK(Resultados!$C13),"",
IF(ROW()-1=3,Resultados!$H13,INDIRECT(ADDRESS(ROW()-1,COLUMN()))+Resultados!$H13))</f>
        <v>3506.9999999999986</v>
      </c>
      <c r="J13" s="53">
        <f>IFERROR(EOMONTH((WORKDAY(C13,0,Dados!$C$3:$C$29)),-1)+1,"")</f>
        <v>43678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8">
        <v>43685</v>
      </c>
      <c r="C14" s="48">
        <v>43685</v>
      </c>
      <c r="D14" s="49" t="s">
        <v>73</v>
      </c>
      <c r="E14" s="50">
        <v>800</v>
      </c>
      <c r="F14" s="51">
        <v>13.31</v>
      </c>
      <c r="G14" s="51">
        <v>13.43</v>
      </c>
      <c r="H14" s="52">
        <f>IF(OR(Resultados!$F14="",Resultados!$G14=""),"",(Resultados!$G14-Resultados!$F14)*Resultados!$E14)</f>
        <v>95.999999999999375</v>
      </c>
      <c r="I14" s="52">
        <f ca="1">IF(ISBLANK(Resultados!$C14),"",
IF(ROW()-1=3,Resultados!$H14,INDIRECT(ADDRESS(ROW()-1,COLUMN()))+Resultados!$H14))</f>
        <v>3602.9999999999982</v>
      </c>
      <c r="J14" s="53">
        <f>IFERROR(EOMONTH((WORKDAY(C14,0,Dados!$C$3:$C$29)),-1)+1,"")</f>
        <v>43678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54">
        <v>43676</v>
      </c>
      <c r="C15" s="54">
        <v>43686</v>
      </c>
      <c r="D15" s="49" t="s">
        <v>74</v>
      </c>
      <c r="E15" s="50">
        <v>700</v>
      </c>
      <c r="F15" s="51">
        <v>14.18</v>
      </c>
      <c r="G15" s="51">
        <v>15.11</v>
      </c>
      <c r="H15" s="52">
        <f>IF(OR(Resultados!$F15="",Resultados!$G15=""),"",(Resultados!$G15-Resultados!$F15)*Resultados!$E15)</f>
        <v>650.99999999999977</v>
      </c>
      <c r="I15" s="52">
        <f ca="1">IF(ISBLANK(Resultados!$C15),"",
IF(ROW()-1=3,Resultados!$H15,INDIRECT(ADDRESS(ROW()-1,COLUMN()))+Resultados!$H15))</f>
        <v>4253.9999999999982</v>
      </c>
      <c r="J15" s="53">
        <f>IFERROR(EOMONTH((WORKDAY(C15,0,Dados!$C$3:$C$29)),-1)+1,"")</f>
        <v>43678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8">
        <v>43684</v>
      </c>
      <c r="C16" s="48">
        <v>43686</v>
      </c>
      <c r="D16" s="49" t="s">
        <v>69</v>
      </c>
      <c r="E16" s="50">
        <v>200</v>
      </c>
      <c r="F16" s="51">
        <v>35.56</v>
      </c>
      <c r="G16" s="51">
        <v>36.479999999999997</v>
      </c>
      <c r="H16" s="52">
        <f>IF(OR(Resultados!$F16="",Resultados!$G16=""),"",(Resultados!$G16-Resultados!$F16)*Resultados!$E16)</f>
        <v>183.99999999999892</v>
      </c>
      <c r="I16" s="52">
        <f ca="1">IF(ISBLANK(Resultados!$C16),"",
IF(ROW()-1=3,Resultados!$H16,INDIRECT(ADDRESS(ROW()-1,COLUMN()))+Resultados!$H16))</f>
        <v>4437.9999999999973</v>
      </c>
      <c r="J16" s="53">
        <f>IFERROR(EOMONTH((WORKDAY(C16,0,Dados!$C$3:$C$29)),-1)+1,"")</f>
        <v>43678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54">
        <v>43685</v>
      </c>
      <c r="C17" s="54">
        <v>43686</v>
      </c>
      <c r="D17" s="49" t="s">
        <v>73</v>
      </c>
      <c r="E17" s="50">
        <v>700</v>
      </c>
      <c r="F17" s="51">
        <v>13.31</v>
      </c>
      <c r="G17" s="51">
        <v>13.14</v>
      </c>
      <c r="H17" s="52">
        <f>IF(OR(Resultados!$F17="",Resultados!$G17=""),"",(Resultados!$G17-Resultados!$F17)*Resultados!$E17)</f>
        <v>-118.99999999999994</v>
      </c>
      <c r="I17" s="52">
        <f ca="1">IF(ISBLANK(Resultados!$C17),"",
IF(ROW()-1=3,Resultados!$H17,INDIRECT(ADDRESS(ROW()-1,COLUMN()))+Resultados!$H17))</f>
        <v>4318.9999999999973</v>
      </c>
      <c r="J17" s="53">
        <f>IFERROR(EOMONTH((WORKDAY(C17,0,Dados!$C$3:$C$29)),-1)+1,"")</f>
        <v>43678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8">
        <v>43689</v>
      </c>
      <c r="C18" s="48">
        <v>43689</v>
      </c>
      <c r="D18" s="49" t="s">
        <v>75</v>
      </c>
      <c r="E18" s="50">
        <v>300</v>
      </c>
      <c r="F18" s="51">
        <v>30.66</v>
      </c>
      <c r="G18" s="51">
        <v>30.89</v>
      </c>
      <c r="H18" s="52">
        <f>IF(OR(Resultados!$F18="",Resultados!$G18=""),"",(Resultados!$G18-Resultados!$F18)*Resultados!$E18)</f>
        <v>69.000000000000128</v>
      </c>
      <c r="I18" s="52">
        <f ca="1">IF(ISBLANK(Resultados!$C18),"",
IF(ROW()-1=3,Resultados!$H18,INDIRECT(ADDRESS(ROW()-1,COLUMN()))+Resultados!$H18))</f>
        <v>4387.9999999999973</v>
      </c>
      <c r="J18" s="53">
        <f>IFERROR(EOMONTH((WORKDAY(C18,0,Dados!$C$3:$C$29)),-1)+1,"")</f>
        <v>43678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54">
        <v>43683</v>
      </c>
      <c r="C19" s="54">
        <v>43690</v>
      </c>
      <c r="D19" s="49" t="s">
        <v>76</v>
      </c>
      <c r="E19" s="50">
        <v>600</v>
      </c>
      <c r="F19" s="51">
        <v>17.82</v>
      </c>
      <c r="G19" s="51">
        <v>18.95</v>
      </c>
      <c r="H19" s="52">
        <f>IF(OR(Resultados!$F19="",Resultados!$G19=""),"",(Resultados!$G19-Resultados!$F19)*Resultados!$E19)</f>
        <v>677.99999999999943</v>
      </c>
      <c r="I19" s="52">
        <f ca="1">IF(ISBLANK(Resultados!$C19),"",
IF(ROW()-1=3,Resultados!$H19,INDIRECT(ADDRESS(ROW()-1,COLUMN()))+Resultados!$H19))</f>
        <v>5065.9999999999964</v>
      </c>
      <c r="J19" s="53">
        <f>IFERROR(EOMONTH((WORKDAY(C19,0,Dados!$C$3:$C$29)),-1)+1,"")</f>
        <v>43678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54">
        <v>43690</v>
      </c>
      <c r="C20" s="54">
        <v>43690</v>
      </c>
      <c r="D20" s="57" t="s">
        <v>77</v>
      </c>
      <c r="E20" s="58">
        <v>700</v>
      </c>
      <c r="F20" s="59">
        <v>26.06</v>
      </c>
      <c r="G20" s="59">
        <v>25.89</v>
      </c>
      <c r="H20" s="52">
        <f>IF(OR(Resultados!$F20="",Resultados!$G20=""),"",(Resultados!$G20-Resultados!$F20)*Resultados!$E20)</f>
        <v>-118.99999999999871</v>
      </c>
      <c r="I20" s="52">
        <f ca="1">IF(ISBLANK(Resultados!$C20),"",
IF(ROW()-1=3,Resultados!$H20,INDIRECT(ADDRESS(ROW()-1,COLUMN()))+Resultados!$H20))</f>
        <v>4946.9999999999973</v>
      </c>
      <c r="J20" s="53">
        <f>IFERROR(EOMONTH((WORKDAY(C20,0,Dados!$C$3:$C$29)),-1)+1,"")</f>
        <v>43678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8">
        <v>43690</v>
      </c>
      <c r="C21" s="48">
        <v>43690</v>
      </c>
      <c r="D21" s="49" t="s">
        <v>73</v>
      </c>
      <c r="E21" s="50">
        <v>800</v>
      </c>
      <c r="F21" s="51">
        <v>12.92</v>
      </c>
      <c r="G21" s="51">
        <v>13.04</v>
      </c>
      <c r="H21" s="52">
        <f>IF(OR(Resultados!$F21="",Resultados!$G21=""),"",(Resultados!$G21-Resultados!$F21)*Resultados!$E21)</f>
        <v>95.999999999999375</v>
      </c>
      <c r="I21" s="52">
        <f ca="1">IF(ISBLANK(Resultados!$C21),"",
IF(ROW()-1=3,Resultados!$H21,INDIRECT(ADDRESS(ROW()-1,COLUMN()))+Resultados!$H21))</f>
        <v>5042.9999999999964</v>
      </c>
      <c r="J21" s="53">
        <f>IFERROR(EOMONTH((WORKDAY(C21,0,Dados!$C$3:$C$29)),-1)+1,"")</f>
        <v>43678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8">
        <v>43676</v>
      </c>
      <c r="C22" s="48">
        <v>43692</v>
      </c>
      <c r="D22" s="49" t="s">
        <v>78</v>
      </c>
      <c r="E22" s="50">
        <v>400</v>
      </c>
      <c r="F22" s="51">
        <v>49.4</v>
      </c>
      <c r="G22" s="51">
        <v>48.51</v>
      </c>
      <c r="H22" s="52">
        <f>IF(OR(Resultados!$F22="",Resultados!$G22=""),"",(Resultados!$G22-Resultados!$F22)*Resultados!$E22)</f>
        <v>-356.00000000000023</v>
      </c>
      <c r="I22" s="52">
        <f ca="1">IF(ISBLANK(Resultados!$C22),"",
IF(ROW()-1=3,Resultados!$H22,INDIRECT(ADDRESS(ROW()-1,COLUMN()))+Resultados!$H22))</f>
        <v>4686.9999999999964</v>
      </c>
      <c r="J22" s="53">
        <f>IFERROR(EOMONTH((WORKDAY(C22,0,Dados!$C$3:$C$29)),-1)+1,"")</f>
        <v>43678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8">
        <v>43683</v>
      </c>
      <c r="C23" s="48">
        <v>43692</v>
      </c>
      <c r="D23" s="49" t="s">
        <v>72</v>
      </c>
      <c r="E23" s="50">
        <v>400</v>
      </c>
      <c r="F23" s="51">
        <v>21.92</v>
      </c>
      <c r="G23" s="51">
        <v>20.83</v>
      </c>
      <c r="H23" s="52">
        <f>IF(OR(Resultados!$F23="",Resultados!$G23=""),"",(Resultados!$G23-Resultados!$F23)*Resultados!$E23)</f>
        <v>-436.00000000000136</v>
      </c>
      <c r="I23" s="52">
        <f ca="1">IF(ISBLANK(Resultados!$C23),"",
IF(ROW()-1=3,Resultados!$H23,INDIRECT(ADDRESS(ROW()-1,COLUMN()))+Resultados!$H23))</f>
        <v>4250.9999999999945</v>
      </c>
      <c r="J23" s="53">
        <f>IFERROR(EOMONTH((WORKDAY(C23,0,Dados!$C$3:$C$29)),-1)+1,"")</f>
        <v>43678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8">
        <v>43683</v>
      </c>
      <c r="C24" s="48">
        <v>43692</v>
      </c>
      <c r="D24" s="49" t="s">
        <v>76</v>
      </c>
      <c r="E24" s="50">
        <v>500</v>
      </c>
      <c r="F24" s="51">
        <v>17.82</v>
      </c>
      <c r="G24" s="51">
        <v>16.66</v>
      </c>
      <c r="H24" s="52">
        <f>IF(OR(Resultados!$F24="",Resultados!$G24=""),"",(Resultados!$G24-Resultados!$F24)*Resultados!$E24)</f>
        <v>-580.00000000000011</v>
      </c>
      <c r="I24" s="52">
        <f ca="1">IF(ISBLANK(Resultados!$C24),"",
IF(ROW()-1=3,Resultados!$H24,INDIRECT(ADDRESS(ROW()-1,COLUMN()))+Resultados!$H24))</f>
        <v>3670.9999999999945</v>
      </c>
      <c r="J24" s="53">
        <f>IFERROR(EOMONTH((WORKDAY(C24,0,Dados!$C$3:$C$29)),-1)+1,"")</f>
        <v>43678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8">
        <v>43686</v>
      </c>
      <c r="C25" s="48">
        <v>43692</v>
      </c>
      <c r="D25" s="49" t="s">
        <v>75</v>
      </c>
      <c r="E25" s="50">
        <v>300</v>
      </c>
      <c r="F25" s="51">
        <v>30.66</v>
      </c>
      <c r="G25" s="51">
        <v>31.49</v>
      </c>
      <c r="H25" s="52">
        <f>IF(OR(Resultados!$F25="",Resultados!$G25=""),"",(Resultados!$G25-Resultados!$F25)*Resultados!$E25)</f>
        <v>248.99999999999949</v>
      </c>
      <c r="I25" s="52">
        <f ca="1">IF(ISBLANK(Resultados!$C25),"",
IF(ROW()-1=3,Resultados!$H25,INDIRECT(ADDRESS(ROW()-1,COLUMN()))+Resultados!$H25))</f>
        <v>3919.9999999999941</v>
      </c>
      <c r="J25" s="53">
        <f>IFERROR(EOMONTH((WORKDAY(C25,0,Dados!$C$3:$C$29)),-1)+1,"")</f>
        <v>43678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8">
        <v>43690</v>
      </c>
      <c r="C26" s="48">
        <v>43692</v>
      </c>
      <c r="D26" s="49" t="s">
        <v>79</v>
      </c>
      <c r="E26" s="50">
        <v>800</v>
      </c>
      <c r="F26" s="51">
        <v>24.14</v>
      </c>
      <c r="G26" s="51">
        <v>22.89</v>
      </c>
      <c r="H26" s="52">
        <f>IF(OR(Resultados!$F26="",Resultados!$G26=""),"",(Resultados!$G26-Resultados!$F26)*Resultados!$E26)</f>
        <v>-1000</v>
      </c>
      <c r="I26" s="52">
        <f ca="1">IF(ISBLANK(Resultados!$C26),"",
IF(ROW()-1=3,Resultados!$H26,INDIRECT(ADDRESS(ROW()-1,COLUMN()))+Resultados!$H26))</f>
        <v>2919.9999999999941</v>
      </c>
      <c r="J26" s="53">
        <f>IFERROR(EOMONTH((WORKDAY(C26,0,Dados!$C$3:$C$29)),-1)+1,"")</f>
        <v>43678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8">
        <v>43691</v>
      </c>
      <c r="C27" s="48">
        <v>43692</v>
      </c>
      <c r="D27" s="49" t="s">
        <v>45</v>
      </c>
      <c r="E27" s="50">
        <v>700</v>
      </c>
      <c r="F27" s="51">
        <v>27.35</v>
      </c>
      <c r="G27" s="51">
        <v>26.1</v>
      </c>
      <c r="H27" s="52">
        <f>IF(OR(Resultados!$F27="",Resultados!$G27=""),"",(Resultados!$G27-Resultados!$F27)*Resultados!$E27)</f>
        <v>-875</v>
      </c>
      <c r="I27" s="52">
        <f ca="1">IF(ISBLANK(Resultados!$C27),"",
IF(ROW()-1=3,Resultados!$H27,INDIRECT(ADDRESS(ROW()-1,COLUMN()))+Resultados!$H27))</f>
        <v>2044.9999999999941</v>
      </c>
      <c r="J27" s="53">
        <f>IFERROR(EOMONTH((WORKDAY(C27,0,Dados!$C$3:$C$29)),-1)+1,"")</f>
        <v>43678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8">
        <v>43707</v>
      </c>
      <c r="C28" s="48">
        <v>43692</v>
      </c>
      <c r="D28" s="49" t="s">
        <v>80</v>
      </c>
      <c r="E28" s="50">
        <v>200</v>
      </c>
      <c r="F28" s="51">
        <v>42.83</v>
      </c>
      <c r="G28" s="51">
        <v>43.49</v>
      </c>
      <c r="H28" s="52">
        <f>IF(OR(Resultados!$F28="",Resultados!$G28=""),"",(Resultados!$G28-Resultados!$F28)*Resultados!$E28)</f>
        <v>132.00000000000074</v>
      </c>
      <c r="I28" s="52">
        <f ca="1">IF(ISBLANK(Resultados!$C28),"",
IF(ROW()-1=3,Resultados!$H28,INDIRECT(ADDRESS(ROW()-1,COLUMN()))+Resultados!$H28))</f>
        <v>2176.999999999995</v>
      </c>
      <c r="J28" s="53">
        <f>IFERROR(EOMONTH((WORKDAY(C28,0,Dados!$C$3:$C$29)),-1)+1,"")</f>
        <v>43678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8">
        <v>43692</v>
      </c>
      <c r="C29" s="48">
        <v>43696</v>
      </c>
      <c r="D29" s="49" t="s">
        <v>81</v>
      </c>
      <c r="E29" s="50">
        <v>300</v>
      </c>
      <c r="F29" s="51">
        <v>27.68</v>
      </c>
      <c r="G29" s="51">
        <v>28.89</v>
      </c>
      <c r="H29" s="52">
        <f>IF(OR(Resultados!$F29="",Resultados!$G29=""),"",(Resultados!$G29-Resultados!$F29)*Resultados!$E29)</f>
        <v>363.00000000000023</v>
      </c>
      <c r="I29" s="52">
        <f ca="1">IF(ISBLANK(Resultados!$C29),"",
IF(ROW()-1=3,Resultados!$H29,INDIRECT(ADDRESS(ROW()-1,COLUMN()))+Resultados!$H29))</f>
        <v>2539.9999999999955</v>
      </c>
      <c r="J29" s="55">
        <f>IFERROR(EOMONTH((WORKDAY(C29,0,Dados!$C$3:$C$29)),-1)+1,"")</f>
        <v>43678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8">
        <v>43676</v>
      </c>
      <c r="C30" s="48">
        <v>43697</v>
      </c>
      <c r="D30" s="49" t="s">
        <v>82</v>
      </c>
      <c r="E30" s="50">
        <v>700</v>
      </c>
      <c r="F30" s="51">
        <v>15.3</v>
      </c>
      <c r="G30" s="51">
        <v>16.2</v>
      </c>
      <c r="H30" s="52">
        <f>IF(OR(Resultados!$F30="",Resultados!$G30=""),"",(Resultados!$G30-Resultados!$F30)*Resultados!$E30)</f>
        <v>629.99999999999898</v>
      </c>
      <c r="I30" s="52">
        <f ca="1">IF(ISBLANK(Resultados!$C30),"",
IF(ROW()-1=3,Resultados!$H30,INDIRECT(ADDRESS(ROW()-1,COLUMN()))+Resultados!$H30))</f>
        <v>3169.9999999999945</v>
      </c>
      <c r="J30" s="55">
        <f>IFERROR(EOMONTH((WORKDAY(C30,0,Dados!$C$3:$C$29)),-1)+1,"")</f>
        <v>43678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8">
        <v>43693</v>
      </c>
      <c r="C31" s="48">
        <v>43698</v>
      </c>
      <c r="D31" s="49" t="s">
        <v>83</v>
      </c>
      <c r="E31" s="50">
        <v>1200</v>
      </c>
      <c r="F31" s="51">
        <v>8.57</v>
      </c>
      <c r="G31" s="51">
        <v>9.24</v>
      </c>
      <c r="H31" s="52">
        <f>IF(OR(Resultados!$F31="",Resultados!$G31=""),"",(Resultados!$G31-Resultados!$F31)*Resultados!$E31)</f>
        <v>803.99999999999989</v>
      </c>
      <c r="I31" s="52">
        <f ca="1">IF(ISBLANK(Resultados!$C31),"",
IF(ROW()-1=3,Resultados!$H31,INDIRECT(ADDRESS(ROW()-1,COLUMN()))+Resultados!$H31))</f>
        <v>3973.9999999999945</v>
      </c>
      <c r="J31" s="55">
        <f>IFERROR(EOMONTH((WORKDAY(C31,0,Dados!$C$3:$C$29)),-1)+1,"")</f>
        <v>43678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8">
        <v>43698</v>
      </c>
      <c r="C32" s="48">
        <v>43698</v>
      </c>
      <c r="D32" s="49" t="s">
        <v>44</v>
      </c>
      <c r="E32" s="50">
        <v>1200</v>
      </c>
      <c r="F32" s="51">
        <v>8.02</v>
      </c>
      <c r="G32" s="51">
        <v>7.89</v>
      </c>
      <c r="H32" s="52">
        <f>IF(OR(Resultados!$F32="",Resultados!$G32=""),"",(Resultados!$G32-Resultados!$F32)*Resultados!$E32)</f>
        <v>-155.99999999999989</v>
      </c>
      <c r="I32" s="52">
        <f ca="1">IF(ISBLANK(Resultados!$C32),"",
IF(ROW()-1=3,Resultados!$H32,INDIRECT(ADDRESS(ROW()-1,COLUMN()))+Resultados!$H32))</f>
        <v>3817.9999999999945</v>
      </c>
      <c r="J32" s="55">
        <f>IFERROR(EOMONTH((WORKDAY(C32,0,Dados!$C$3:$C$29)),-1)+1,"")</f>
        <v>43678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8">
        <v>43698</v>
      </c>
      <c r="C33" s="48">
        <v>43699</v>
      </c>
      <c r="D33" s="49" t="s">
        <v>71</v>
      </c>
      <c r="E33" s="50">
        <v>200</v>
      </c>
      <c r="F33" s="51">
        <v>45.39</v>
      </c>
      <c r="G33" s="51">
        <v>50.99</v>
      </c>
      <c r="H33" s="52">
        <f>IF(OR(Resultados!$F33="",Resultados!$G33=""),"",(Resultados!$G33-Resultados!$F33)*Resultados!$E33)</f>
        <v>1120.0000000000002</v>
      </c>
      <c r="I33" s="52">
        <f ca="1">IF(ISBLANK(Resultados!$C33),"",
IF(ROW()-1=3,Resultados!$H33,INDIRECT(ADDRESS(ROW()-1,COLUMN()))+Resultados!$H33))</f>
        <v>4937.9999999999945</v>
      </c>
      <c r="J33" s="55">
        <f>IFERROR(EOMONTH((WORKDAY(C33,0,Dados!$C$3:$C$29)),-1)+1,"")</f>
        <v>43678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8">
        <v>43668</v>
      </c>
      <c r="C34" s="48">
        <v>43700</v>
      </c>
      <c r="D34" s="49" t="s">
        <v>67</v>
      </c>
      <c r="E34" s="50">
        <v>600</v>
      </c>
      <c r="F34" s="51">
        <v>15.89</v>
      </c>
      <c r="G34" s="51">
        <v>19.16</v>
      </c>
      <c r="H34" s="52">
        <f>IF(OR(Resultados!$F34="",Resultados!$G34=""),"",(Resultados!$G34-Resultados!$F34)*Resultados!$E34)</f>
        <v>1961.9999999999998</v>
      </c>
      <c r="I34" s="52">
        <f ca="1">IF(ISBLANK(Resultados!$C34),"",
IF(ROW()-1=3,Resultados!$H34,INDIRECT(ADDRESS(ROW()-1,COLUMN()))+Resultados!$H34))</f>
        <v>6899.9999999999945</v>
      </c>
      <c r="J34" s="55">
        <f>IFERROR(EOMONTH((WORKDAY(C34,0,Dados!$C$3:$C$29)),-1)+1,"")</f>
        <v>43678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8">
        <v>43676</v>
      </c>
      <c r="C35" s="48">
        <v>43700</v>
      </c>
      <c r="D35" s="49" t="s">
        <v>74</v>
      </c>
      <c r="E35" s="50">
        <v>600</v>
      </c>
      <c r="F35" s="51">
        <v>14.18</v>
      </c>
      <c r="G35" s="51">
        <v>13.78</v>
      </c>
      <c r="H35" s="52">
        <f>IF(OR(Resultados!$F35="",Resultados!$G35=""),"",(Resultados!$G35-Resultados!$F35)*Resultados!$E35)</f>
        <v>-240.00000000000023</v>
      </c>
      <c r="I35" s="52">
        <f ca="1">IF(ISBLANK(Resultados!$C35),"",
IF(ROW()-1=3,Resultados!$H35,INDIRECT(ADDRESS(ROW()-1,COLUMN()))+Resultados!$H35))</f>
        <v>6659.9999999999945</v>
      </c>
      <c r="J35" s="55">
        <f>IFERROR(EOMONTH((WORKDAY(C35,0,Dados!$C$3:$C$29)),-1)+1,"")</f>
        <v>43678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8">
        <v>43693</v>
      </c>
      <c r="C36" s="48">
        <v>43700</v>
      </c>
      <c r="D36" s="49" t="s">
        <v>84</v>
      </c>
      <c r="E36" s="50">
        <v>600</v>
      </c>
      <c r="F36" s="51">
        <v>32.31</v>
      </c>
      <c r="G36" s="51">
        <v>30.44</v>
      </c>
      <c r="H36" s="52">
        <f>IF(OR(Resultados!$F36="",Resultados!$G36=""),"",(Resultados!$G36-Resultados!$F36)*Resultados!$E36)</f>
        <v>-1122.0000000000007</v>
      </c>
      <c r="I36" s="52">
        <f ca="1">IF(ISBLANK(Resultados!$C36),"",
IF(ROW()-1=3,Resultados!$H36,INDIRECT(ADDRESS(ROW()-1,COLUMN()))+Resultados!$H36))</f>
        <v>5537.9999999999936</v>
      </c>
      <c r="J36" s="55">
        <f>IFERROR(EOMONTH((WORKDAY(C36,0,Dados!$C$3:$C$29)),-1)+1,"")</f>
        <v>43678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8">
        <v>43699</v>
      </c>
      <c r="C37" s="48">
        <v>43705</v>
      </c>
      <c r="D37" s="49" t="s">
        <v>85</v>
      </c>
      <c r="E37" s="50">
        <v>2500</v>
      </c>
      <c r="F37" s="51">
        <v>8</v>
      </c>
      <c r="G37" s="51">
        <v>7.5</v>
      </c>
      <c r="H37" s="52">
        <f>IF(OR(Resultados!$F37="",Resultados!$G37=""),"",(Resultados!$G37-Resultados!$F37)*Resultados!$E37)</f>
        <v>-1250</v>
      </c>
      <c r="I37" s="52">
        <f ca="1">IF(ISBLANK(Resultados!$C37),"",
IF(ROW()-1=3,Resultados!$H37,INDIRECT(ADDRESS(ROW()-1,COLUMN()))+Resultados!$H37))</f>
        <v>4287.9999999999936</v>
      </c>
      <c r="J37" s="55">
        <f>IFERROR(EOMONTH((WORKDAY(C37,0,Dados!$C$3:$C$29)),-1)+1,"")</f>
        <v>43678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8">
        <v>43676</v>
      </c>
      <c r="C38" s="48">
        <v>43707</v>
      </c>
      <c r="D38" s="49" t="s">
        <v>82</v>
      </c>
      <c r="E38" s="50">
        <v>600</v>
      </c>
      <c r="F38" s="51">
        <v>15.3</v>
      </c>
      <c r="G38" s="51">
        <v>16.45</v>
      </c>
      <c r="H38" s="52">
        <f>IF(OR(Resultados!$F38="",Resultados!$G38=""),"",(Resultados!$G38-Resultados!$F38)*Resultados!$E38)</f>
        <v>689.99999999999909</v>
      </c>
      <c r="I38" s="52">
        <f ca="1">IF(ISBLANK(Resultados!$C38),"",
IF(ROW()-1=3,Resultados!$H38,INDIRECT(ADDRESS(ROW()-1,COLUMN()))+Resultados!$H38))</f>
        <v>4977.9999999999927</v>
      </c>
      <c r="J38" s="55">
        <f>IFERROR(EOMONTH((WORKDAY(C38,0,Dados!$C$3:$C$29)),-1)+1,"")</f>
        <v>43678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8">
        <v>43692</v>
      </c>
      <c r="C39" s="48">
        <v>43707</v>
      </c>
      <c r="D39" s="49" t="s">
        <v>81</v>
      </c>
      <c r="E39" s="50">
        <v>400</v>
      </c>
      <c r="F39" s="51">
        <v>27.68</v>
      </c>
      <c r="G39" s="51">
        <v>29.2</v>
      </c>
      <c r="H39" s="52">
        <f>IF(OR(Resultados!$F39="",Resultados!$G39=""),"",(Resultados!$G39-Resultados!$F39)*Resultados!$E39)</f>
        <v>607.99999999999977</v>
      </c>
      <c r="I39" s="52">
        <f ca="1">IF(ISBLANK(Resultados!$C39),"",
IF(ROW()-1=3,Resultados!$H39,INDIRECT(ADDRESS(ROW()-1,COLUMN()))+Resultados!$H39))</f>
        <v>5585.9999999999927</v>
      </c>
      <c r="J39" s="55">
        <f>IFERROR(EOMONTH((WORKDAY(C39,0,Dados!$C$3:$C$29)),-1)+1,"")</f>
        <v>43678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8">
        <v>43676</v>
      </c>
      <c r="C40" s="48">
        <v>43710</v>
      </c>
      <c r="D40" s="49" t="s">
        <v>71</v>
      </c>
      <c r="E40" s="50">
        <v>200</v>
      </c>
      <c r="F40" s="51">
        <v>44.04</v>
      </c>
      <c r="G40" s="51">
        <v>55.41</v>
      </c>
      <c r="H40" s="52">
        <f>IF(OR(Resultados!$F40="",Resultados!$G40=""),"",(Resultados!$G40-Resultados!$F40)*Resultados!$E40)</f>
        <v>2273.9999999999995</v>
      </c>
      <c r="I40" s="52">
        <f ca="1">IF(ISBLANK(Resultados!$C40),"",
IF(ROW()-1=3,Resultados!$H40,INDIRECT(ADDRESS(ROW()-1,COLUMN()))+Resultados!$H40))</f>
        <v>7859.9999999999927</v>
      </c>
      <c r="J40" s="55">
        <f>IFERROR(EOMONTH((WORKDAY(C40,0,Dados!$C$3:$C$29)),-1)+1,"")</f>
        <v>43709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8">
        <v>43698</v>
      </c>
      <c r="C41" s="48">
        <v>43710</v>
      </c>
      <c r="D41" s="49" t="s">
        <v>71</v>
      </c>
      <c r="E41" s="50">
        <v>200</v>
      </c>
      <c r="F41" s="51">
        <v>48.19</v>
      </c>
      <c r="G41" s="51">
        <v>56.59</v>
      </c>
      <c r="H41" s="52">
        <f>IF(OR(Resultados!$F41="",Resultados!$G41=""),"",(Resultados!$G41-Resultados!$F41)*Resultados!$E41)</f>
        <v>1680.0000000000011</v>
      </c>
      <c r="I41" s="52">
        <f ca="1">IF(ISBLANK(Resultados!$C41),"",
IF(ROW()-1=3,Resultados!$H41,INDIRECT(ADDRESS(ROW()-1,COLUMN()))+Resultados!$H41))</f>
        <v>9539.9999999999945</v>
      </c>
      <c r="J41" s="55">
        <f>IFERROR(EOMONTH((WORKDAY(C41,0,Dados!$C$3:$C$29)),-1)+1,"")</f>
        <v>43709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8">
        <v>43706</v>
      </c>
      <c r="C42" s="48">
        <v>43710</v>
      </c>
      <c r="D42" s="49" t="s">
        <v>86</v>
      </c>
      <c r="E42" s="50">
        <v>600</v>
      </c>
      <c r="F42" s="51">
        <v>10.86</v>
      </c>
      <c r="G42" s="51">
        <v>11.57</v>
      </c>
      <c r="H42" s="52">
        <f>IF(OR(Resultados!$F42="",Resultados!$G42=""),"",(Resultados!$G42-Resultados!$F42)*Resultados!$E42)</f>
        <v>426.00000000000051</v>
      </c>
      <c r="I42" s="52">
        <f ca="1">IF(ISBLANK(Resultados!$C42),"",
IF(ROW()-1=3,Resultados!$H42,INDIRECT(ADDRESS(ROW()-1,COLUMN()))+Resultados!$H42))</f>
        <v>9965.9999999999945</v>
      </c>
      <c r="J42" s="55">
        <f>IFERROR(EOMONTH((WORKDAY(C42,0,Dados!$C$3:$C$29)),-1)+1,"")</f>
        <v>43709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8">
        <v>43693</v>
      </c>
      <c r="C43" s="48">
        <v>43712</v>
      </c>
      <c r="D43" s="49" t="s">
        <v>83</v>
      </c>
      <c r="E43" s="50">
        <v>1100</v>
      </c>
      <c r="F43" s="51">
        <v>8.57</v>
      </c>
      <c r="G43" s="51">
        <v>10.49</v>
      </c>
      <c r="H43" s="52">
        <f>IF(OR(Resultados!$F43="",Resultados!$G43=""),"",(Resultados!$G43-Resultados!$F43)*Resultados!$E43)</f>
        <v>2112</v>
      </c>
      <c r="I43" s="52">
        <f ca="1">IF(ISBLANK(Resultados!$C43),"",
IF(ROW()-1=3,Resultados!$H43,INDIRECT(ADDRESS(ROW()-1,COLUMN()))+Resultados!$H43))</f>
        <v>12077.999999999995</v>
      </c>
      <c r="J43" s="55">
        <f>IFERROR(EOMONTH((WORKDAY(C43,0,Dados!$C$3:$C$29)),-1)+1,"")</f>
        <v>43709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8">
        <v>43699</v>
      </c>
      <c r="C44" s="48">
        <v>43714</v>
      </c>
      <c r="D44" s="49" t="s">
        <v>87</v>
      </c>
      <c r="E44" s="50">
        <v>500</v>
      </c>
      <c r="F44" s="51">
        <v>40.01</v>
      </c>
      <c r="G44" s="51">
        <v>37.11</v>
      </c>
      <c r="H44" s="52">
        <f>IF(OR(Resultados!$F44="",Resultados!$G44=""),"",(Resultados!$G44-Resultados!$F44)*Resultados!$E44)</f>
        <v>-1449.9999999999993</v>
      </c>
      <c r="I44" s="52">
        <f ca="1">IF(ISBLANK(Resultados!$C44),"",
IF(ROW()-1=3,Resultados!$H44,INDIRECT(ADDRESS(ROW()-1,COLUMN()))+Resultados!$H44))</f>
        <v>10627.999999999995</v>
      </c>
      <c r="J44" s="55">
        <f>IFERROR(EOMONTH((WORKDAY(C44,0,Dados!$C$3:$C$29)),-1)+1,"")</f>
        <v>43709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8">
        <v>43706</v>
      </c>
      <c r="C45" s="48">
        <v>43714</v>
      </c>
      <c r="D45" s="49" t="s">
        <v>88</v>
      </c>
      <c r="E45" s="50">
        <v>800</v>
      </c>
      <c r="F45" s="51">
        <v>24.92</v>
      </c>
      <c r="G45" s="51">
        <v>23.19</v>
      </c>
      <c r="H45" s="52">
        <f>IF(OR(Resultados!$F45="",Resultados!$G45=""),"",(Resultados!$G45-Resultados!$F45)*Resultados!$E45)</f>
        <v>-1384.0000000000005</v>
      </c>
      <c r="I45" s="52">
        <f ca="1">IF(ISBLANK(Resultados!$C45),"",
IF(ROW()-1=3,Resultados!$H45,INDIRECT(ADDRESS(ROW()-1,COLUMN()))+Resultados!$H45))</f>
        <v>9243.9999999999945</v>
      </c>
      <c r="J45" s="55">
        <f>IFERROR(EOMONTH((WORKDAY(C45,0,Dados!$C$3:$C$29)),-1)+1,"")</f>
        <v>43709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8">
        <v>43706</v>
      </c>
      <c r="C46" s="48">
        <v>43717</v>
      </c>
      <c r="D46" s="49" t="s">
        <v>86</v>
      </c>
      <c r="E46" s="50">
        <v>600</v>
      </c>
      <c r="F46" s="51">
        <v>10.86</v>
      </c>
      <c r="G46" s="51">
        <v>9.99</v>
      </c>
      <c r="H46" s="52">
        <f>IF(OR(Resultados!$F46="",Resultados!$G46=""),"",(Resultados!$G46-Resultados!$F46)*Resultados!$E46)</f>
        <v>-521.99999999999955</v>
      </c>
      <c r="I46" s="52">
        <f ca="1">IF(ISBLANK(Resultados!$C46),"",
IF(ROW()-1=3,Resultados!$H46,INDIRECT(ADDRESS(ROW()-1,COLUMN()))+Resultados!$H46))</f>
        <v>8721.9999999999945</v>
      </c>
      <c r="J46" s="55">
        <f>IFERROR(EOMONTH((WORKDAY(C46,0,Dados!$C$3:$C$29)),-1)+1,"")</f>
        <v>43709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8">
        <v>44076</v>
      </c>
      <c r="C47" s="48">
        <v>43717</v>
      </c>
      <c r="D47" s="49" t="s">
        <v>50</v>
      </c>
      <c r="E47" s="50">
        <v>1100</v>
      </c>
      <c r="F47" s="51">
        <v>17.260000000000002</v>
      </c>
      <c r="G47" s="51">
        <v>16.38</v>
      </c>
      <c r="H47" s="52">
        <f>IF(OR(Resultados!$F47="",Resultados!$G47=""),"",(Resultados!$G47-Resultados!$F47)*Resultados!$E47)</f>
        <v>-968.00000000000284</v>
      </c>
      <c r="I47" s="52">
        <f ca="1">IF(ISBLANK(Resultados!$C47),"",
IF(ROW()-1=3,Resultados!$H47,INDIRECT(ADDRESS(ROW()-1,COLUMN()))+Resultados!$H47))</f>
        <v>7753.9999999999918</v>
      </c>
      <c r="J47" s="55">
        <f>IFERROR(EOMONTH((WORKDAY(C47,0,Dados!$C$3:$C$29)),-1)+1,"")</f>
        <v>43709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8">
        <v>43705</v>
      </c>
      <c r="C48" s="48">
        <v>43720</v>
      </c>
      <c r="D48" s="49" t="s">
        <v>49</v>
      </c>
      <c r="E48" s="50">
        <v>100</v>
      </c>
      <c r="F48" s="51">
        <v>91.02</v>
      </c>
      <c r="G48" s="51">
        <v>94.68</v>
      </c>
      <c r="H48" s="52">
        <f>IF(OR(Resultados!$F48="",Resultados!$G48=""),"",(Resultados!$G48-Resultados!$F48)*Resultados!$E48)</f>
        <v>366.00000000000108</v>
      </c>
      <c r="I48" s="52">
        <f ca="1">IF(ISBLANK(Resultados!$C48),"",
IF(ROW()-1=3,Resultados!$H48,INDIRECT(ADDRESS(ROW()-1,COLUMN()))+Resultados!$H48))</f>
        <v>8119.9999999999927</v>
      </c>
      <c r="J48" s="55">
        <f>IFERROR(EOMONTH((WORKDAY(C48,0,Dados!$C$3:$C$29)),-1)+1,"")</f>
        <v>43709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8">
        <v>44078</v>
      </c>
      <c r="C49" s="48">
        <v>43720</v>
      </c>
      <c r="D49" s="49" t="s">
        <v>89</v>
      </c>
      <c r="E49" s="50">
        <v>300</v>
      </c>
      <c r="F49" s="51">
        <v>31.34</v>
      </c>
      <c r="G49" s="51">
        <v>32.96</v>
      </c>
      <c r="H49" s="52">
        <f>IF(OR(Resultados!$F49="",Resultados!$G49=""),"",(Resultados!$G49-Resultados!$F49)*Resultados!$E49)</f>
        <v>486.00000000000028</v>
      </c>
      <c r="I49" s="52">
        <f ca="1">IF(ISBLANK(Resultados!$C49),"",
IF(ROW()-1=3,Resultados!$H49,INDIRECT(ADDRESS(ROW()-1,COLUMN()))+Resultados!$H49))</f>
        <v>8605.9999999999927</v>
      </c>
      <c r="J49" s="55">
        <f>IFERROR(EOMONTH((WORKDAY(C49,0,Dados!$C$3:$C$29)),-1)+1,"")</f>
        <v>43709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8">
        <v>43720</v>
      </c>
      <c r="C50" s="48">
        <v>43721</v>
      </c>
      <c r="D50" s="49" t="s">
        <v>90</v>
      </c>
      <c r="E50" s="50">
        <v>400</v>
      </c>
      <c r="F50" s="51">
        <v>51.48</v>
      </c>
      <c r="G50" s="51">
        <v>49.17</v>
      </c>
      <c r="H50" s="52">
        <f>IF(OR(Resultados!$F50="",Resultados!$G50=""),"",(Resultados!$G50-Resultados!$F50)*Resultados!$E50)</f>
        <v>-923.99999999999807</v>
      </c>
      <c r="I50" s="52">
        <f ca="1">IF(ISBLANK(Resultados!$C50),"",
IF(ROW()-1=3,Resultados!$H50,INDIRECT(ADDRESS(ROW()-1,COLUMN()))+Resultados!$H50))</f>
        <v>7681.9999999999945</v>
      </c>
      <c r="J50" s="55">
        <f>IFERROR(EOMONTH((WORKDAY(C50,0,Dados!$C$3:$C$29)),-1)+1,"")</f>
        <v>43709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8">
        <v>43710</v>
      </c>
      <c r="C51" s="48">
        <v>43725</v>
      </c>
      <c r="D51" s="49" t="s">
        <v>91</v>
      </c>
      <c r="E51" s="50">
        <v>1600</v>
      </c>
      <c r="F51" s="51">
        <v>12.17</v>
      </c>
      <c r="G51" s="51">
        <v>12.17</v>
      </c>
      <c r="H51" s="52">
        <f>IF(OR(Resultados!$F51="",Resultados!$G51=""),"",(Resultados!$G51-Resultados!$F51)*Resultados!$E51)</f>
        <v>0</v>
      </c>
      <c r="I51" s="52">
        <f ca="1">IF(ISBLANK(Resultados!$C51),"",
IF(ROW()-1=3,Resultados!$H51,INDIRECT(ADDRESS(ROW()-1,COLUMN()))+Resultados!$H51))</f>
        <v>7681.9999999999945</v>
      </c>
      <c r="J51" s="55">
        <f>IFERROR(EOMONTH((WORKDAY(C51,0,Dados!$C$3:$C$29)),-1)+1,"")</f>
        <v>43709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8">
        <v>43712</v>
      </c>
      <c r="C52" s="48">
        <v>43725</v>
      </c>
      <c r="D52" s="49" t="s">
        <v>89</v>
      </c>
      <c r="E52" s="50">
        <v>300</v>
      </c>
      <c r="F52" s="51">
        <v>31.34</v>
      </c>
      <c r="G52" s="51">
        <v>35.92</v>
      </c>
      <c r="H52" s="52">
        <f>IF(OR(Resultados!$F52="",Resultados!$G52=""),"",(Resultados!$G52-Resultados!$F52)*Resultados!$E52)</f>
        <v>1374.0000000000005</v>
      </c>
      <c r="I52" s="52">
        <f ca="1">IF(ISBLANK(Resultados!$C52),"",
IF(ROW()-1=3,Resultados!$H52,INDIRECT(ADDRESS(ROW()-1,COLUMN()))+Resultados!$H52))</f>
        <v>9055.9999999999945</v>
      </c>
      <c r="J52" s="55">
        <f>IFERROR(EOMONTH((WORKDAY(C52,0,Dados!$C$3:$C$29)),-1)+1,"")</f>
        <v>43709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8">
        <v>43719</v>
      </c>
      <c r="C53" s="48">
        <v>43726</v>
      </c>
      <c r="D53" s="49" t="s">
        <v>92</v>
      </c>
      <c r="E53" s="50">
        <v>1300</v>
      </c>
      <c r="F53" s="51">
        <v>6.09</v>
      </c>
      <c r="G53" s="51">
        <v>6.52</v>
      </c>
      <c r="H53" s="52">
        <f>IF(OR(Resultados!$F53="",Resultados!$G53=""),"",(Resultados!$G53-Resultados!$F53)*Resultados!$E53)</f>
        <v>558.99999999999966</v>
      </c>
      <c r="I53" s="52">
        <f ca="1">IF(ISBLANK(Resultados!$C53),"",
IF(ROW()-1=3,Resultados!$H53,INDIRECT(ADDRESS(ROW()-1,COLUMN()))+Resultados!$H53))</f>
        <v>9614.9999999999945</v>
      </c>
      <c r="J53" s="55">
        <f>IFERROR(EOMONTH((WORKDAY(C53,0,Dados!$C$3:$C$29)),-1)+1,"")</f>
        <v>43709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8">
        <v>43724</v>
      </c>
      <c r="C54" s="48">
        <v>43726</v>
      </c>
      <c r="D54" s="49" t="s">
        <v>44</v>
      </c>
      <c r="E54" s="50">
        <v>1200</v>
      </c>
      <c r="F54" s="51">
        <v>8.11</v>
      </c>
      <c r="G54" s="51">
        <v>8.73</v>
      </c>
      <c r="H54" s="52">
        <f>IF(OR(Resultados!$F54="",Resultados!$G54=""),"",(Resultados!$G54-Resultados!$F54)*Resultados!$E54)</f>
        <v>744.00000000000114</v>
      </c>
      <c r="I54" s="52">
        <f ca="1">IF(ISBLANK(Resultados!$C54),"",
IF(ROW()-1=3,Resultados!$H54,INDIRECT(ADDRESS(ROW()-1,COLUMN()))+Resultados!$H54))</f>
        <v>10358.999999999996</v>
      </c>
      <c r="J54" s="53">
        <f>IFERROR(EOMONTH((WORKDAY(C54,0,Dados!$C$3:$C$29)),-1)+1,"")</f>
        <v>43709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8">
        <v>43719</v>
      </c>
      <c r="C55" s="48">
        <v>43727</v>
      </c>
      <c r="D55" s="49" t="s">
        <v>93</v>
      </c>
      <c r="E55" s="50">
        <v>300</v>
      </c>
      <c r="F55" s="51">
        <v>33.28</v>
      </c>
      <c r="G55" s="51">
        <v>34.28</v>
      </c>
      <c r="H55" s="52">
        <f>IF(OR(Resultados!$F55="",Resultados!$G55=""),"",(Resultados!$G55-Resultados!$F55)*Resultados!$E55)</f>
        <v>300</v>
      </c>
      <c r="I55" s="52">
        <f ca="1">IF(ISBLANK(Resultados!$C55),"",
IF(ROW()-1=3,Resultados!$H55,INDIRECT(ADDRESS(ROW()-1,COLUMN()))+Resultados!$H55))</f>
        <v>10658.999999999996</v>
      </c>
      <c r="J55" s="53">
        <f>IFERROR(EOMONTH((WORKDAY(C55,0,Dados!$C$3:$C$29)),-1)+1,"")</f>
        <v>43709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8">
        <v>43727</v>
      </c>
      <c r="C56" s="48">
        <v>43727</v>
      </c>
      <c r="D56" s="49" t="s">
        <v>94</v>
      </c>
      <c r="E56" s="50">
        <v>300</v>
      </c>
      <c r="F56" s="51">
        <v>36.06</v>
      </c>
      <c r="G56" s="51">
        <v>36.29</v>
      </c>
      <c r="H56" s="52">
        <f>IF(OR(Resultados!$F56="",Resultados!$G56=""),"",(Resultados!$G56-Resultados!$F56)*Resultados!$E56)</f>
        <v>68.999999999999062</v>
      </c>
      <c r="I56" s="52">
        <f ca="1">IF(ISBLANK(Resultados!$C56),"",
IF(ROW()-1=3,Resultados!$H56,INDIRECT(ADDRESS(ROW()-1,COLUMN()))+Resultados!$H56))</f>
        <v>10727.999999999995</v>
      </c>
      <c r="J56" s="53">
        <f>IFERROR(EOMONTH((WORKDAY(C56,0,Dados!$C$3:$C$29)),-1)+1,"")</f>
        <v>43709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8">
        <v>43726</v>
      </c>
      <c r="C57" s="48">
        <v>43728</v>
      </c>
      <c r="D57" s="49" t="s">
        <v>95</v>
      </c>
      <c r="E57" s="50">
        <v>300</v>
      </c>
      <c r="F57" s="51">
        <v>31.01</v>
      </c>
      <c r="G57" s="51">
        <v>32.97</v>
      </c>
      <c r="H57" s="52">
        <f>IF(OR(Resultados!$F57="",Resultados!$G57=""),"",(Resultados!$G57-Resultados!$F57)*Resultados!$E57)</f>
        <v>587.9999999999992</v>
      </c>
      <c r="I57" s="52">
        <f ca="1">IF(ISBLANK(Resultados!$C57),"",
IF(ROW()-1=3,Resultados!$H57,INDIRECT(ADDRESS(ROW()-1,COLUMN()))+Resultados!$H57))</f>
        <v>11315.999999999995</v>
      </c>
      <c r="J57" s="53">
        <f>IFERROR(EOMONTH((WORKDAY(C57,0,Dados!$C$3:$C$29)),-1)+1,"")</f>
        <v>43709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8">
        <v>43719</v>
      </c>
      <c r="C58" s="48">
        <v>43732</v>
      </c>
      <c r="D58" s="49" t="s">
        <v>92</v>
      </c>
      <c r="E58" s="50">
        <v>1300</v>
      </c>
      <c r="F58" s="51">
        <v>6.09</v>
      </c>
      <c r="G58" s="51">
        <v>5.99</v>
      </c>
      <c r="H58" s="52">
        <f>IF(OR(Resultados!$F58="",Resultados!$G58=""),"",(Resultados!$G58-Resultados!$F58)*Resultados!$E58)</f>
        <v>-129.99999999999955</v>
      </c>
      <c r="I58" s="52">
        <f ca="1">IF(ISBLANK(Resultados!$C58),"",
IF(ROW()-1=3,Resultados!$H58,INDIRECT(ADDRESS(ROW()-1,COLUMN()))+Resultados!$H58))</f>
        <v>11185.999999999995</v>
      </c>
      <c r="J58" s="53">
        <f>IFERROR(EOMONTH((WORKDAY(C58,0,Dados!$C$3:$C$29)),-1)+1,"")</f>
        <v>43709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8">
        <v>43725</v>
      </c>
      <c r="C59" s="48">
        <v>43734</v>
      </c>
      <c r="D59" s="49" t="s">
        <v>88</v>
      </c>
      <c r="E59" s="50">
        <v>400</v>
      </c>
      <c r="F59" s="51">
        <v>23.85</v>
      </c>
      <c r="G59" s="51">
        <v>25.34</v>
      </c>
      <c r="H59" s="52">
        <f>IF(OR(Resultados!$F59="",Resultados!$G59=""),"",(Resultados!$G59-Resultados!$F59)*Resultados!$E59)</f>
        <v>595.99999999999932</v>
      </c>
      <c r="I59" s="52">
        <f ca="1">IF(ISBLANK(Resultados!$C59),"",
IF(ROW()-1=3,Resultados!$H59,INDIRECT(ADDRESS(ROW()-1,COLUMN()))+Resultados!$H59))</f>
        <v>11781.999999999995</v>
      </c>
      <c r="J59" s="53">
        <f>IFERROR(EOMONTH((WORKDAY(C59,0,Dados!$C$3:$C$29)),-1)+1,"")</f>
        <v>43709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8">
        <v>43720</v>
      </c>
      <c r="C60" s="48">
        <v>43735</v>
      </c>
      <c r="D60" s="49" t="s">
        <v>96</v>
      </c>
      <c r="E60" s="50">
        <v>300</v>
      </c>
      <c r="F60" s="51">
        <v>33.78</v>
      </c>
      <c r="G60" s="51">
        <v>36.119999999999997</v>
      </c>
      <c r="H60" s="52">
        <f>IF(OR(Resultados!$F60="",Resultados!$G60=""),"",(Resultados!$G60-Resultados!$F60)*Resultados!$E60)</f>
        <v>701.99999999999886</v>
      </c>
      <c r="I60" s="52">
        <f ca="1">IF(ISBLANK(Resultados!$C60),"",
IF(ROW()-1=3,Resultados!$H60,INDIRECT(ADDRESS(ROW()-1,COLUMN()))+Resultados!$H60))</f>
        <v>12483.999999999993</v>
      </c>
      <c r="J60" s="53">
        <f>IFERROR(EOMONTH((WORKDAY(C60,0,Dados!$C$3:$C$29)),-1)+1,"")</f>
        <v>43709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8">
        <v>43724</v>
      </c>
      <c r="C61" s="48">
        <v>43735</v>
      </c>
      <c r="D61" s="49" t="s">
        <v>44</v>
      </c>
      <c r="E61" s="50">
        <v>1200</v>
      </c>
      <c r="F61" s="51">
        <v>8.11</v>
      </c>
      <c r="G61" s="51">
        <v>7.99</v>
      </c>
      <c r="H61" s="52">
        <f>IF(OR(Resultados!$F61="",Resultados!$G61=""),"",(Resultados!$G61-Resultados!$F61)*Resultados!$E61)</f>
        <v>-143.99999999999906</v>
      </c>
      <c r="I61" s="52">
        <f ca="1">IF(ISBLANK(Resultados!$C61),"",
IF(ROW()-1=3,Resultados!$H61,INDIRECT(ADDRESS(ROW()-1,COLUMN()))+Resultados!$H61))</f>
        <v>12339.999999999995</v>
      </c>
      <c r="J61" s="53">
        <f>IFERROR(EOMONTH((WORKDAY(C61,0,Dados!$C$3:$C$29)),-1)+1,"")</f>
        <v>43709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8">
        <v>43718</v>
      </c>
      <c r="C62" s="48">
        <v>43738</v>
      </c>
      <c r="D62" s="49" t="s">
        <v>97</v>
      </c>
      <c r="E62" s="50">
        <v>1100</v>
      </c>
      <c r="F62" s="51">
        <v>18.600000000000001</v>
      </c>
      <c r="G62" s="51">
        <v>17.690000000000001</v>
      </c>
      <c r="H62" s="52">
        <f>IF(OR(Resultados!$F62="",Resultados!$G62=""),"",(Resultados!$G62-Resultados!$F62)*Resultados!$E62)</f>
        <v>-1001.0000000000001</v>
      </c>
      <c r="I62" s="52">
        <f ca="1">IF(ISBLANK(Resultados!$C62),"",
IF(ROW()-1=3,Resultados!$H62,INDIRECT(ADDRESS(ROW()-1,COLUMN()))+Resultados!$H62))</f>
        <v>11338.999999999995</v>
      </c>
      <c r="J62" s="53">
        <f>IFERROR(EOMONTH((WORKDAY(C62,0,Dados!$C$3:$C$29)),-1)+1,"")</f>
        <v>43709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8">
        <v>43706</v>
      </c>
      <c r="C63" s="48">
        <v>43740</v>
      </c>
      <c r="D63" s="49" t="s">
        <v>98</v>
      </c>
      <c r="E63" s="50">
        <v>400</v>
      </c>
      <c r="F63" s="51">
        <v>45.9</v>
      </c>
      <c r="G63" s="51">
        <v>43.14</v>
      </c>
      <c r="H63" s="52">
        <f>IF(OR(Resultados!$F63="",Resultados!$G63=""),"",(Resultados!$G63-Resultados!$F63)*Resultados!$E63)</f>
        <v>-1103.9999999999991</v>
      </c>
      <c r="I63" s="52">
        <f ca="1">IF(ISBLANK(Resultados!$C63),"",
IF(ROW()-1=3,Resultados!$H63,INDIRECT(ADDRESS(ROW()-1,COLUMN()))+Resultados!$H63))</f>
        <v>10234.999999999996</v>
      </c>
      <c r="J63" s="53">
        <f>IFERROR(EOMONTH((WORKDAY(C63,0,Dados!$C$3:$C$29)),-1)+1,"")</f>
        <v>43739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8">
        <v>43719</v>
      </c>
      <c r="C64" s="48">
        <v>43740</v>
      </c>
      <c r="D64" s="49" t="s">
        <v>93</v>
      </c>
      <c r="E64" s="50">
        <v>200</v>
      </c>
      <c r="F64" s="51">
        <v>33.28</v>
      </c>
      <c r="G64" s="51">
        <v>33.99</v>
      </c>
      <c r="H64" s="52">
        <f>IF(OR(Resultados!$F64="",Resultados!$G64=""),"",(Resultados!$G64-Resultados!$F64)*Resultados!$E64)</f>
        <v>142.00000000000017</v>
      </c>
      <c r="I64" s="52">
        <f ca="1">IF(ISBLANK(Resultados!$C64),"",
IF(ROW()-1=3,Resultados!$H64,INDIRECT(ADDRESS(ROW()-1,COLUMN()))+Resultados!$H64))</f>
        <v>10376.999999999996</v>
      </c>
      <c r="J64" s="53">
        <f>IFERROR(EOMONTH((WORKDAY(C64,0,Dados!$C$3:$C$29)),-1)+1,"")</f>
        <v>43739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8">
        <v>43720</v>
      </c>
      <c r="C65" s="48">
        <v>43740</v>
      </c>
      <c r="D65" s="49" t="s">
        <v>96</v>
      </c>
      <c r="E65" s="50">
        <v>200</v>
      </c>
      <c r="F65" s="51">
        <v>33.78</v>
      </c>
      <c r="G65" s="51">
        <v>34.39</v>
      </c>
      <c r="H65" s="52">
        <f>IF(OR(Resultados!$F65="",Resultados!$G65=""),"",(Resultados!$G65-Resultados!$F65)*Resultados!$E65)</f>
        <v>121.99999999999989</v>
      </c>
      <c r="I65" s="52">
        <f ca="1">IF(ISBLANK(Resultados!$C65),"",
IF(ROW()-1=3,Resultados!$H65,INDIRECT(ADDRESS(ROW()-1,COLUMN()))+Resultados!$H65))</f>
        <v>10498.999999999996</v>
      </c>
      <c r="J65" s="53">
        <f>IFERROR(EOMONTH((WORKDAY(C65,0,Dados!$C$3:$C$29)),-1)+1,"")</f>
        <v>43739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8">
        <v>43735</v>
      </c>
      <c r="C66" s="48">
        <v>43740</v>
      </c>
      <c r="D66" s="49" t="s">
        <v>79</v>
      </c>
      <c r="E66" s="50">
        <v>700</v>
      </c>
      <c r="F66" s="51">
        <v>25.78</v>
      </c>
      <c r="G66" s="51">
        <v>24.9</v>
      </c>
      <c r="H66" s="52">
        <f>IF(OR(Resultados!$F66="",Resultados!$G66=""),"",(Resultados!$G66-Resultados!$F66)*Resultados!$E66)</f>
        <v>-616.00000000000182</v>
      </c>
      <c r="I66" s="52">
        <f ca="1">IF(ISBLANK(Resultados!$C66),"",
IF(ROW()-1=3,Resultados!$H66,INDIRECT(ADDRESS(ROW()-1,COLUMN()))+Resultados!$H66))</f>
        <v>9882.9999999999945</v>
      </c>
      <c r="J66" s="53">
        <f>IFERROR(EOMONTH((WORKDAY(C66,0,Dados!$C$3:$C$29)),-1)+1,"")</f>
        <v>43739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8">
        <v>43726</v>
      </c>
      <c r="C67" s="48">
        <v>43741</v>
      </c>
      <c r="D67" s="49" t="s">
        <v>95</v>
      </c>
      <c r="E67" s="50">
        <v>300</v>
      </c>
      <c r="F67" s="51">
        <v>31.01</v>
      </c>
      <c r="G67" s="51">
        <v>30.48</v>
      </c>
      <c r="H67" s="52">
        <f>IF(OR(Resultados!$F67="",Resultados!$G67=""),"",(Resultados!$G67-Resultados!$F67)*Resultados!$E67)</f>
        <v>-159.00000000000034</v>
      </c>
      <c r="I67" s="52">
        <f ca="1">IF(ISBLANK(Resultados!$C67),"",
IF(ROW()-1=3,Resultados!$H67,INDIRECT(ADDRESS(ROW()-1,COLUMN()))+Resultados!$H67))</f>
        <v>9723.9999999999945</v>
      </c>
      <c r="J67" s="53">
        <f>IFERROR(EOMONTH((WORKDAY(C67,0,Dados!$C$3:$C$29)),-1)+1,"")</f>
        <v>43739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8">
        <v>43705</v>
      </c>
      <c r="C68" s="48">
        <v>43742</v>
      </c>
      <c r="D68" s="49" t="s">
        <v>49</v>
      </c>
      <c r="E68" s="50">
        <v>100</v>
      </c>
      <c r="F68" s="51">
        <v>91.02</v>
      </c>
      <c r="G68" s="51">
        <v>100.5</v>
      </c>
      <c r="H68" s="52">
        <f>IF(OR(Resultados!$F68="",Resultados!$G68=""),"",(Resultados!$G68-Resultados!$F68)*Resultados!$E68)</f>
        <v>948.00000000000045</v>
      </c>
      <c r="I68" s="52">
        <f ca="1">IF(ISBLANK(Resultados!$C68),"",
IF(ROW()-1=3,Resultados!$H68,INDIRECT(ADDRESS(ROW()-1,COLUMN()))+Resultados!$H68))</f>
        <v>10671.999999999995</v>
      </c>
      <c r="J68" s="53">
        <f>IFERROR(EOMONTH((WORKDAY(C68,0,Dados!$C$3:$C$29)),-1)+1,"")</f>
        <v>43739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8">
        <v>43725</v>
      </c>
      <c r="C69" s="48">
        <v>43746</v>
      </c>
      <c r="D69" s="49" t="s">
        <v>88</v>
      </c>
      <c r="E69" s="50">
        <v>400</v>
      </c>
      <c r="F69" s="51">
        <v>23.85</v>
      </c>
      <c r="G69" s="51">
        <v>24.68</v>
      </c>
      <c r="H69" s="52">
        <f>IF(OR(Resultados!$F69="",Resultados!$G69=""),"",(Resultados!$G69-Resultados!$F69)*Resultados!$E69)</f>
        <v>331.99999999999932</v>
      </c>
      <c r="I69" s="52">
        <f ca="1">IF(ISBLANK(Resultados!$C69),"",
IF(ROW()-1=3,Resultados!$H69,INDIRECT(ADDRESS(ROW()-1,COLUMN()))+Resultados!$H69))</f>
        <v>11003.999999999995</v>
      </c>
      <c r="J69" s="53">
        <f>IFERROR(EOMONTH((WORKDAY(C69,0,Dados!$C$3:$C$29)),-1)+1,"")</f>
        <v>43739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8">
        <v>43720</v>
      </c>
      <c r="C70" s="48">
        <v>43749</v>
      </c>
      <c r="D70" s="49" t="s">
        <v>82</v>
      </c>
      <c r="E70" s="50">
        <v>600</v>
      </c>
      <c r="F70" s="51">
        <v>17</v>
      </c>
      <c r="G70" s="51">
        <v>17.82</v>
      </c>
      <c r="H70" s="52">
        <f>IF(OR(Resultados!$F70="",Resultados!$G70=""),"",(Resultados!$G70-Resultados!$F70)*Resultados!$E70)</f>
        <v>492.00000000000017</v>
      </c>
      <c r="I70" s="52">
        <f ca="1">IF(ISBLANK(Resultados!$C70),"",
IF(ROW()-1=3,Resultados!$H70,INDIRECT(ADDRESS(ROW()-1,COLUMN()))+Resultados!$H70))</f>
        <v>11495.999999999995</v>
      </c>
      <c r="J70" s="53">
        <f>IFERROR(EOMONTH((WORKDAY(C70,0,Dados!$C$3:$C$29)),-1)+1,"")</f>
        <v>43739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8">
        <v>43725</v>
      </c>
      <c r="C71" s="48">
        <v>43749</v>
      </c>
      <c r="D71" s="49" t="s">
        <v>71</v>
      </c>
      <c r="E71" s="50">
        <v>200</v>
      </c>
      <c r="F71" s="51">
        <v>51.67</v>
      </c>
      <c r="G71" s="51">
        <v>58.46</v>
      </c>
      <c r="H71" s="52">
        <f>IF(OR(Resultados!$F71="",Resultados!$G71=""),"",(Resultados!$G71-Resultados!$F71)*Resultados!$E71)</f>
        <v>1357.9999999999998</v>
      </c>
      <c r="I71" s="52">
        <f ca="1">IF(ISBLANK(Resultados!$C71),"",
IF(ROW()-1=3,Resultados!$H71,INDIRECT(ADDRESS(ROW()-1,COLUMN()))+Resultados!$H71))</f>
        <v>12853.999999999995</v>
      </c>
      <c r="J71" s="53">
        <f>IFERROR(EOMONTH((WORKDAY(C71,0,Dados!$C$3:$C$29)),-1)+1,"")</f>
        <v>43739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8">
        <v>43745</v>
      </c>
      <c r="C72" s="48">
        <v>43752</v>
      </c>
      <c r="D72" s="49" t="s">
        <v>99</v>
      </c>
      <c r="E72" s="50">
        <v>200</v>
      </c>
      <c r="F72" s="51">
        <v>54.44</v>
      </c>
      <c r="G72" s="51">
        <v>57</v>
      </c>
      <c r="H72" s="52">
        <f>IF(OR(Resultados!$F72="",Resultados!$G72=""),"",(Resultados!$G72-Resultados!$F72)*Resultados!$E72)</f>
        <v>512.00000000000045</v>
      </c>
      <c r="I72" s="52">
        <f ca="1">IF(ISBLANK(Resultados!$C72),"",
IF(ROW()-1=3,Resultados!$H72,INDIRECT(ADDRESS(ROW()-1,COLUMN()))+Resultados!$H72))</f>
        <v>13365.999999999995</v>
      </c>
      <c r="J72" s="53">
        <f>IFERROR(EOMONTH((WORKDAY(C72,0,Dados!$C$3:$C$29)),-1)+1,"")</f>
        <v>43739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8">
        <v>43725</v>
      </c>
      <c r="C73" s="48">
        <v>43753</v>
      </c>
      <c r="D73" s="49" t="s">
        <v>94</v>
      </c>
      <c r="E73" s="50">
        <v>200</v>
      </c>
      <c r="F73" s="51">
        <v>36.06</v>
      </c>
      <c r="G73" s="51">
        <v>41.49</v>
      </c>
      <c r="H73" s="52">
        <f>IF(OR(Resultados!$F73="",Resultados!$G73=""),"",(Resultados!$G73-Resultados!$F73)*Resultados!$E73)</f>
        <v>1086</v>
      </c>
      <c r="I73" s="52">
        <f ca="1">IF(ISBLANK(Resultados!$C73),"",
IF(ROW()-1=3,Resultados!$H73,INDIRECT(ADDRESS(ROW()-1,COLUMN()))+Resultados!$H73))</f>
        <v>14451.999999999995</v>
      </c>
      <c r="J73" s="53">
        <f>IFERROR(EOMONTH((WORKDAY(C73,0,Dados!$C$3:$C$29)),-1)+1,"")</f>
        <v>43739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8">
        <v>43742</v>
      </c>
      <c r="C74" s="48">
        <v>43753</v>
      </c>
      <c r="D74" s="49" t="s">
        <v>100</v>
      </c>
      <c r="E74" s="50">
        <v>900</v>
      </c>
      <c r="F74" s="51">
        <v>21.01</v>
      </c>
      <c r="G74" s="51">
        <v>19.79</v>
      </c>
      <c r="H74" s="52">
        <f>IF(OR(Resultados!$F74="",Resultados!$G74=""),"",(Resultados!$G74-Resultados!$F74)*Resultados!$E74)</f>
        <v>-1098.0000000000023</v>
      </c>
      <c r="I74" s="52">
        <f ca="1">IF(ISBLANK(Resultados!$C74),"",
IF(ROW()-1=3,Resultados!$H74,INDIRECT(ADDRESS(ROW()-1,COLUMN()))+Resultados!$H74))</f>
        <v>13353.999999999993</v>
      </c>
      <c r="J74" s="53">
        <f>IFERROR(EOMONTH((WORKDAY(C74,0,Dados!$C$3:$C$29)),-1)+1,"")</f>
        <v>43739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8">
        <v>43752</v>
      </c>
      <c r="C75" s="48">
        <v>43753</v>
      </c>
      <c r="D75" s="49" t="s">
        <v>86</v>
      </c>
      <c r="E75" s="50">
        <v>1800</v>
      </c>
      <c r="F75" s="51">
        <v>11.08</v>
      </c>
      <c r="G75" s="51">
        <v>10.6</v>
      </c>
      <c r="H75" s="52">
        <f>IF(OR(Resultados!$F75="",Resultados!$G75=""),"",(Resultados!$G75-Resultados!$F75)*Resultados!$E75)</f>
        <v>-864.0000000000008</v>
      </c>
      <c r="I75" s="52">
        <f ca="1">IF(ISBLANK(Resultados!$C75),"",
IF(ROW()-1=3,Resultados!$H75,INDIRECT(ADDRESS(ROW()-1,COLUMN()))+Resultados!$H75))</f>
        <v>12489.999999999993</v>
      </c>
      <c r="J75" s="53">
        <f>IFERROR(EOMONTH((WORKDAY(C75,0,Dados!$C$3:$C$29)),-1)+1,"")</f>
        <v>43739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8">
        <v>43795</v>
      </c>
      <c r="C76" s="48">
        <v>43753</v>
      </c>
      <c r="D76" s="49" t="s">
        <v>101</v>
      </c>
      <c r="E76" s="50">
        <v>500</v>
      </c>
      <c r="F76" s="51">
        <v>19.43</v>
      </c>
      <c r="G76" s="51">
        <v>21.47</v>
      </c>
      <c r="H76" s="52">
        <f>IF(OR(Resultados!$F76="",Resultados!$G76=""),"",(Resultados!$G76-Resultados!$F76)*Resultados!$E76)</f>
        <v>1019.9999999999995</v>
      </c>
      <c r="I76" s="52">
        <f ca="1">IF(ISBLANK(Resultados!$C76),"",
IF(ROW()-1=3,Resultados!$H76,INDIRECT(ADDRESS(ROW()-1,COLUMN()))+Resultados!$H76))</f>
        <v>13509.999999999993</v>
      </c>
      <c r="J76" s="53">
        <f>IFERROR(EOMONTH((WORKDAY(C76,0,Dados!$C$3:$C$29)),-1)+1,"")</f>
        <v>43739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8">
        <v>43738</v>
      </c>
      <c r="C77" s="48">
        <v>43755</v>
      </c>
      <c r="D77" s="49" t="s">
        <v>102</v>
      </c>
      <c r="E77" s="50">
        <v>800</v>
      </c>
      <c r="F77" s="51">
        <v>24.24</v>
      </c>
      <c r="G77" s="51">
        <v>23.09</v>
      </c>
      <c r="H77" s="52">
        <f>IF(OR(Resultados!$F77="",Resultados!$G77=""),"",(Resultados!$G77-Resultados!$F77)*Resultados!$E77)</f>
        <v>-919.99999999999886</v>
      </c>
      <c r="I77" s="52">
        <f ca="1">IF(ISBLANK(Resultados!$C77),"",
IF(ROW()-1=3,Resultados!$H77,INDIRECT(ADDRESS(ROW()-1,COLUMN()))+Resultados!$H77))</f>
        <v>12589.999999999995</v>
      </c>
      <c r="J77" s="53">
        <f>IFERROR(EOMONTH((WORKDAY(C77,0,Dados!$C$3:$C$29)),-1)+1,"")</f>
        <v>43739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8">
        <v>43755</v>
      </c>
      <c r="C78" s="48">
        <v>43755</v>
      </c>
      <c r="D78" s="49" t="s">
        <v>83</v>
      </c>
      <c r="E78" s="50">
        <v>1000</v>
      </c>
      <c r="F78" s="51">
        <v>10.24</v>
      </c>
      <c r="G78" s="51">
        <v>10.71</v>
      </c>
      <c r="H78" s="52">
        <f>IF(OR(Resultados!$F78="",Resultados!$G78=""),"",(Resultados!$G78-Resultados!$F78)*Resultados!$E78)</f>
        <v>470.00000000000063</v>
      </c>
      <c r="I78" s="52">
        <f ca="1">IF(ISBLANK(Resultados!$C78),"",
IF(ROW()-1=3,Resultados!$H78,INDIRECT(ADDRESS(ROW()-1,COLUMN()))+Resultados!$H78))</f>
        <v>13059.999999999995</v>
      </c>
      <c r="J78" s="53">
        <f>IFERROR(EOMONTH((WORKDAY(C78,0,Dados!$C$3:$C$29)),-1)+1,"")</f>
        <v>43739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8">
        <v>43752</v>
      </c>
      <c r="C79" s="48">
        <v>43756</v>
      </c>
      <c r="D79" s="49" t="s">
        <v>103</v>
      </c>
      <c r="E79" s="50">
        <v>200</v>
      </c>
      <c r="F79" s="51">
        <v>48.36</v>
      </c>
      <c r="G79" s="51">
        <v>50.5</v>
      </c>
      <c r="H79" s="52">
        <f>IF(OR(Resultados!$F79="",Resultados!$G79=""),"",(Resultados!$G79-Resultados!$F79)*Resultados!$E79)</f>
        <v>428.00000000000011</v>
      </c>
      <c r="I79" s="52">
        <f ca="1">IF(ISBLANK(Resultados!$C79),"",
IF(ROW()-1=3,Resultados!$H79,INDIRECT(ADDRESS(ROW()-1,COLUMN()))+Resultados!$H79))</f>
        <v>13487.999999999995</v>
      </c>
      <c r="J79" s="53">
        <f>IFERROR(EOMONTH((WORKDAY(C79,0,Dados!$C$3:$C$29)),-1)+1,"")</f>
        <v>43739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8">
        <v>43745</v>
      </c>
      <c r="C80" s="48">
        <v>43759</v>
      </c>
      <c r="D80" s="49" t="s">
        <v>99</v>
      </c>
      <c r="E80" s="50">
        <v>200</v>
      </c>
      <c r="F80" s="51">
        <v>54.44</v>
      </c>
      <c r="G80" s="51">
        <v>56.79</v>
      </c>
      <c r="H80" s="52">
        <f>IF(OR(Resultados!$F80="",Resultados!$G80=""),"",(Resultados!$G80-Resultados!$F80)*Resultados!$E80)</f>
        <v>470.00000000000028</v>
      </c>
      <c r="I80" s="52">
        <f ca="1">IF(ISBLANK(Resultados!$C80),"",
IF(ROW()-1=3,Resultados!$H80,INDIRECT(ADDRESS(ROW()-1,COLUMN()))+Resultados!$H80))</f>
        <v>13957.999999999995</v>
      </c>
      <c r="J80" s="53">
        <f>IFERROR(EOMONTH((WORKDAY(C80,0,Dados!$C$3:$C$29)),-1)+1,"")</f>
        <v>43739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8">
        <v>43759</v>
      </c>
      <c r="C81" s="48">
        <v>43760</v>
      </c>
      <c r="D81" s="49" t="s">
        <v>86</v>
      </c>
      <c r="E81" s="50">
        <v>600</v>
      </c>
      <c r="F81" s="51">
        <v>11.42</v>
      </c>
      <c r="G81" s="51">
        <v>12.04</v>
      </c>
      <c r="H81" s="52">
        <f>IF(OR(Resultados!$F81="",Resultados!$G81=""),"",(Resultados!$G81-Resultados!$F81)*Resultados!$E81)</f>
        <v>371.99999999999955</v>
      </c>
      <c r="I81" s="52">
        <f ca="1">IF(ISBLANK(Resultados!$C81),"",
IF(ROW()-1=3,Resultados!$H81,INDIRECT(ADDRESS(ROW()-1,COLUMN()))+Resultados!$H81))</f>
        <v>14329.999999999995</v>
      </c>
      <c r="J81" s="53">
        <f>IFERROR(EOMONTH((WORKDAY(C81,0,Dados!$C$3:$C$29)),-1)+1,"")</f>
        <v>43739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8">
        <v>43725</v>
      </c>
      <c r="C82" s="48">
        <v>43761</v>
      </c>
      <c r="D82" s="49" t="s">
        <v>71</v>
      </c>
      <c r="E82" s="50">
        <v>100</v>
      </c>
      <c r="F82" s="51">
        <v>55.37</v>
      </c>
      <c r="G82" s="51">
        <v>59.99</v>
      </c>
      <c r="H82" s="52">
        <f>IF(OR(Resultados!$F82="",Resultados!$G82=""),"",(Resultados!$G82-Resultados!$F82)*Resultados!$E82)</f>
        <v>462.00000000000045</v>
      </c>
      <c r="I82" s="52">
        <f ca="1">IF(ISBLANK(Resultados!$C82),"",
IF(ROW()-1=3,Resultados!$H82,INDIRECT(ADDRESS(ROW()-1,COLUMN()))+Resultados!$H82))</f>
        <v>14791.999999999995</v>
      </c>
      <c r="J82" s="53">
        <f>IFERROR(EOMONTH((WORKDAY(C82,0,Dados!$C$3:$C$29)),-1)+1,"")</f>
        <v>43739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8">
        <v>43755</v>
      </c>
      <c r="C83" s="48">
        <v>43763</v>
      </c>
      <c r="D83" s="49" t="s">
        <v>104</v>
      </c>
      <c r="E83" s="50">
        <v>2500</v>
      </c>
      <c r="F83" s="51">
        <v>8</v>
      </c>
      <c r="G83" s="51">
        <v>7.45</v>
      </c>
      <c r="H83" s="52">
        <f>IF(OR(Resultados!$F83="",Resultados!$G83=""),"",(Resultados!$G83-Resultados!$F83)*Resultados!$E83)</f>
        <v>-1374.9999999999995</v>
      </c>
      <c r="I83" s="52">
        <f ca="1">IF(ISBLANK(Resultados!$C83),"",
IF(ROW()-1=3,Resultados!$H83,INDIRECT(ADDRESS(ROW()-1,COLUMN()))+Resultados!$H83))</f>
        <v>13416.999999999995</v>
      </c>
      <c r="J83" s="53">
        <f>IFERROR(EOMONTH((WORKDAY(C83,0,Dados!$C$3:$C$29)),-1)+1,"")</f>
        <v>43739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8">
        <v>43720</v>
      </c>
      <c r="C84" s="48">
        <v>43766</v>
      </c>
      <c r="D84" s="49" t="s">
        <v>82</v>
      </c>
      <c r="E84" s="50">
        <v>500</v>
      </c>
      <c r="F84" s="51">
        <v>16.54</v>
      </c>
      <c r="G84" s="51">
        <v>16.87</v>
      </c>
      <c r="H84" s="52">
        <f>IF(OR(Resultados!$F84="",Resultados!$G84=""),"",(Resultados!$G84-Resultados!$F84)*Resultados!$E84)</f>
        <v>165.00000000000091</v>
      </c>
      <c r="I84" s="52">
        <f ca="1">IF(ISBLANK(Resultados!$C84),"",
IF(ROW()-1=3,Resultados!$H84,INDIRECT(ADDRESS(ROW()-1,COLUMN()))+Resultados!$H84))</f>
        <v>13581.999999999996</v>
      </c>
      <c r="J84" s="53">
        <f>IFERROR(EOMONTH((WORKDAY(C84,0,Dados!$C$3:$C$29)),-1)+1,"")</f>
        <v>43739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8">
        <v>43756</v>
      </c>
      <c r="C85" s="48">
        <v>43766</v>
      </c>
      <c r="D85" s="49" t="s">
        <v>49</v>
      </c>
      <c r="E85" s="50">
        <v>100</v>
      </c>
      <c r="F85" s="51">
        <v>103.33</v>
      </c>
      <c r="G85" s="51">
        <v>107.87</v>
      </c>
      <c r="H85" s="52">
        <f>IF(OR(Resultados!$F85="",Resultados!$G85=""),"",(Resultados!$G85-Resultados!$F85)*Resultados!$E85)</f>
        <v>454.00000000000063</v>
      </c>
      <c r="I85" s="52">
        <f ca="1">IF(ISBLANK(Resultados!$C85),"",
IF(ROW()-1=3,Resultados!$H85,INDIRECT(ADDRESS(ROW()-1,COLUMN()))+Resultados!$H85))</f>
        <v>14035.999999999996</v>
      </c>
      <c r="J85" s="53">
        <f>IFERROR(EOMONTH((WORKDAY(C85,0,Dados!$C$3:$C$29)),-1)+1,"")</f>
        <v>43739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8">
        <v>43759</v>
      </c>
      <c r="C86" s="48">
        <v>43766</v>
      </c>
      <c r="D86" s="49" t="s">
        <v>105</v>
      </c>
      <c r="E86" s="50">
        <v>300</v>
      </c>
      <c r="F86" s="51">
        <v>39.78</v>
      </c>
      <c r="G86" s="51">
        <v>41.75</v>
      </c>
      <c r="H86" s="52">
        <f>IF(OR(Resultados!$F86="",Resultados!$G86=""),"",(Resultados!$G86-Resultados!$F86)*Resultados!$E86)</f>
        <v>590.99999999999966</v>
      </c>
      <c r="I86" s="52">
        <f ca="1">IF(ISBLANK(Resultados!$C86),"",
IF(ROW()-1=3,Resultados!$H86,INDIRECT(ADDRESS(ROW()-1,COLUMN()))+Resultados!$H86))</f>
        <v>14626.999999999996</v>
      </c>
      <c r="J86" s="53">
        <f>IFERROR(EOMONTH((WORKDAY(C86,0,Dados!$C$3:$C$29)),-1)+1,"")</f>
        <v>43739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8">
        <v>43760</v>
      </c>
      <c r="C87" s="48">
        <v>43766</v>
      </c>
      <c r="D87" s="49" t="s">
        <v>81</v>
      </c>
      <c r="E87" s="50">
        <v>400</v>
      </c>
      <c r="F87" s="51">
        <v>27.72</v>
      </c>
      <c r="G87" s="51">
        <v>29.06</v>
      </c>
      <c r="H87" s="52">
        <f>IF(OR(Resultados!$F87="",Resultados!$G87=""),"",(Resultados!$G87-Resultados!$F87)*Resultados!$E87)</f>
        <v>536</v>
      </c>
      <c r="I87" s="52">
        <f ca="1">IF(ISBLANK(Resultados!$C87),"",
IF(ROW()-1=3,Resultados!$H87,INDIRECT(ADDRESS(ROW()-1,COLUMN()))+Resultados!$H87))</f>
        <v>15162.999999999996</v>
      </c>
      <c r="J87" s="53">
        <f>IFERROR(EOMONTH((WORKDAY(C87,0,Dados!$C$3:$C$29)),-1)+1,"")</f>
        <v>43739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8">
        <v>43760</v>
      </c>
      <c r="C88" s="48">
        <v>43767</v>
      </c>
      <c r="D88" s="49" t="s">
        <v>106</v>
      </c>
      <c r="E88" s="50">
        <v>1800</v>
      </c>
      <c r="F88" s="51">
        <v>10.73</v>
      </c>
      <c r="G88" s="51">
        <v>10.18</v>
      </c>
      <c r="H88" s="52">
        <f>IF(OR(Resultados!$F88="",Resultados!$G88=""),"",(Resultados!$G88-Resultados!$F88)*Resultados!$E88)</f>
        <v>-990.00000000000125</v>
      </c>
      <c r="I88" s="52">
        <f ca="1">IF(ISBLANK(Resultados!$C88),"",
IF(ROW()-1=3,Resultados!$H88,INDIRECT(ADDRESS(ROW()-1,COLUMN()))+Resultados!$H88))</f>
        <v>14172.999999999995</v>
      </c>
      <c r="J88" s="53">
        <f>IFERROR(EOMONTH((WORKDAY(C88,0,Dados!$C$3:$C$29)),-1)+1,"")</f>
        <v>43739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8">
        <v>43768</v>
      </c>
      <c r="C89" s="48">
        <v>43770</v>
      </c>
      <c r="D89" s="49" t="s">
        <v>107</v>
      </c>
      <c r="E89" s="50">
        <v>200</v>
      </c>
      <c r="F89" s="51">
        <v>47.89</v>
      </c>
      <c r="G89" s="51">
        <v>49</v>
      </c>
      <c r="H89" s="52">
        <f>IF(OR(Resultados!$F89="",Resultados!$G89=""),"",(Resultados!$G89-Resultados!$F89)*Resultados!$E89)</f>
        <v>221.99999999999989</v>
      </c>
      <c r="I89" s="52">
        <f ca="1">IF(ISBLANK(Resultados!$C89),"",
IF(ROW()-1=3,Resultados!$H89,INDIRECT(ADDRESS(ROW()-1,COLUMN()))+Resultados!$H89))</f>
        <v>14394.999999999995</v>
      </c>
      <c r="J89" s="53">
        <f>IFERROR(EOMONTH((WORKDAY(C89,0,Dados!$C$3:$C$29)),-1)+1,"")</f>
        <v>43770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8">
        <v>43753</v>
      </c>
      <c r="C90" s="48">
        <v>43773</v>
      </c>
      <c r="D90" s="49" t="s">
        <v>101</v>
      </c>
      <c r="E90" s="50">
        <v>500</v>
      </c>
      <c r="F90" s="51">
        <v>19.43</v>
      </c>
      <c r="G90" s="51">
        <v>19.5</v>
      </c>
      <c r="H90" s="52">
        <f>IF(OR(Resultados!$F90="",Resultados!$G90=""),"",(Resultados!$G90-Resultados!$F90)*Resultados!$E90)</f>
        <v>35.000000000000142</v>
      </c>
      <c r="I90" s="52">
        <f ca="1">IF(ISBLANK(Resultados!$C90),"",
IF(ROW()-1=3,Resultados!$H90,INDIRECT(ADDRESS(ROW()-1,COLUMN()))+Resultados!$H90))</f>
        <v>14429.999999999995</v>
      </c>
      <c r="J90" s="53">
        <f>IFERROR(EOMONTH((WORKDAY(C90,0,Dados!$C$3:$C$29)),-1)+1,"")</f>
        <v>43770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8">
        <v>43756</v>
      </c>
      <c r="C91" s="48">
        <v>43773</v>
      </c>
      <c r="D91" s="49" t="s">
        <v>49</v>
      </c>
      <c r="E91" s="50">
        <v>100</v>
      </c>
      <c r="F91" s="51">
        <v>103.33</v>
      </c>
      <c r="G91" s="51">
        <v>114.17</v>
      </c>
      <c r="H91" s="52">
        <f>IF(OR(Resultados!$F91="",Resultados!$G91=""),"",(Resultados!$G91-Resultados!$F91)*Resultados!$E91)</f>
        <v>1084.0000000000005</v>
      </c>
      <c r="I91" s="52">
        <f ca="1">IF(ISBLANK(Resultados!$C91),"",
IF(ROW()-1=3,Resultados!$H91,INDIRECT(ADDRESS(ROW()-1,COLUMN()))+Resultados!$H91))</f>
        <v>15513.999999999995</v>
      </c>
      <c r="J91" s="53">
        <f>IFERROR(EOMONTH((WORKDAY(C91,0,Dados!$C$3:$C$29)),-1)+1,"")</f>
        <v>43770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8">
        <v>43759</v>
      </c>
      <c r="C92" s="48">
        <v>43773</v>
      </c>
      <c r="D92" s="49" t="s">
        <v>108</v>
      </c>
      <c r="E92" s="50">
        <v>1400</v>
      </c>
      <c r="F92" s="51">
        <v>7.15</v>
      </c>
      <c r="G92" s="51">
        <v>7.56</v>
      </c>
      <c r="H92" s="52">
        <f>IF(OR(Resultados!$F92="",Resultados!$G92=""),"",(Resultados!$G92-Resultados!$F92)*Resultados!$E92)</f>
        <v>573.99999999999898</v>
      </c>
      <c r="I92" s="52">
        <f ca="1">IF(ISBLANK(Resultados!$C92),"",
IF(ROW()-1=3,Resultados!$H92,INDIRECT(ADDRESS(ROW()-1,COLUMN()))+Resultados!$H92))</f>
        <v>16087.999999999993</v>
      </c>
      <c r="J92" s="53">
        <f>IFERROR(EOMONTH((WORKDAY(C92,0,Dados!$C$3:$C$29)),-1)+1,"")</f>
        <v>43770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8">
        <v>43759</v>
      </c>
      <c r="C93" s="48">
        <v>43773</v>
      </c>
      <c r="D93" s="49" t="s">
        <v>86</v>
      </c>
      <c r="E93" s="50">
        <v>600</v>
      </c>
      <c r="F93" s="51">
        <v>11.42</v>
      </c>
      <c r="G93" s="51">
        <v>12.82</v>
      </c>
      <c r="H93" s="52">
        <f>IF(OR(Resultados!$F93="",Resultados!$G93=""),"",(Resultados!$G93-Resultados!$F93)*Resultados!$E93)</f>
        <v>840.00000000000023</v>
      </c>
      <c r="I93" s="52">
        <f ca="1">IF(ISBLANK(Resultados!$C93),"",
IF(ROW()-1=3,Resultados!$H93,INDIRECT(ADDRESS(ROW()-1,COLUMN()))+Resultados!$H93))</f>
        <v>16927.999999999993</v>
      </c>
      <c r="J93" s="53">
        <f>IFERROR(EOMONTH((WORKDAY(C93,0,Dados!$C$3:$C$29)),-1)+1,"")</f>
        <v>43770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8">
        <v>43760</v>
      </c>
      <c r="C94" s="48">
        <v>43773</v>
      </c>
      <c r="D94" s="49" t="s">
        <v>81</v>
      </c>
      <c r="E94" s="50">
        <v>300</v>
      </c>
      <c r="F94" s="51">
        <v>27.72</v>
      </c>
      <c r="G94" s="51">
        <v>27.77</v>
      </c>
      <c r="H94" s="52">
        <f>IF(OR(Resultados!$F94="",Resultados!$G94=""),"",(Resultados!$G94-Resultados!$F94)*Resultados!$E94)</f>
        <v>15.000000000000213</v>
      </c>
      <c r="I94" s="52">
        <f ca="1">IF(ISBLANK(Resultados!$C94),"",
IF(ROW()-1=3,Resultados!$H94,INDIRECT(ADDRESS(ROW()-1,COLUMN()))+Resultados!$H94))</f>
        <v>16942.999999999993</v>
      </c>
      <c r="J94" s="53">
        <f>IFERROR(EOMONTH((WORKDAY(C94,0,Dados!$C$3:$C$29)),-1)+1,"")</f>
        <v>43770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8">
        <v>43766</v>
      </c>
      <c r="C95" s="48">
        <v>43773</v>
      </c>
      <c r="D95" s="49" t="s">
        <v>79</v>
      </c>
      <c r="E95" s="50">
        <v>400</v>
      </c>
      <c r="F95" s="51">
        <v>25.38</v>
      </c>
      <c r="G95" s="51">
        <v>25.55</v>
      </c>
      <c r="H95" s="52">
        <f>IF(OR(Resultados!$F95="",Resultados!$G95=""),"",(Resultados!$G95-Resultados!$F95)*Resultados!$E95)</f>
        <v>68.000000000000682</v>
      </c>
      <c r="I95" s="52">
        <f ca="1">IF(ISBLANK(Resultados!$C95),"",
IF(ROW()-1=3,Resultados!$H95,INDIRECT(ADDRESS(ROW()-1,COLUMN()))+Resultados!$H95))</f>
        <v>17010.999999999993</v>
      </c>
      <c r="J95" s="53">
        <f>IFERROR(EOMONTH((WORKDAY(C95,0,Dados!$C$3:$C$29)),-1)+1,"")</f>
        <v>43770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8">
        <v>43768</v>
      </c>
      <c r="C96" s="48">
        <v>43773</v>
      </c>
      <c r="D96" s="49" t="s">
        <v>73</v>
      </c>
      <c r="E96" s="50">
        <v>800</v>
      </c>
      <c r="F96" s="51">
        <v>13.5</v>
      </c>
      <c r="G96" s="51">
        <v>14.09</v>
      </c>
      <c r="H96" s="52">
        <f>IF(OR(Resultados!$F96="",Resultados!$G96=""),"",(Resultados!$G96-Resultados!$F96)*Resultados!$E96)</f>
        <v>471.99999999999989</v>
      </c>
      <c r="I96" s="52">
        <f ca="1">IF(ISBLANK(Resultados!$C96),"",
IF(ROW()-1=3,Resultados!$H96,INDIRECT(ADDRESS(ROW()-1,COLUMN()))+Resultados!$H96))</f>
        <v>17482.999999999993</v>
      </c>
      <c r="J96" s="53">
        <f>IFERROR(EOMONTH((WORKDAY(C96,0,Dados!$C$3:$C$29)),-1)+1,"")</f>
        <v>43770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8">
        <v>43759</v>
      </c>
      <c r="C97" s="48">
        <v>43777</v>
      </c>
      <c r="D97" s="49" t="s">
        <v>108</v>
      </c>
      <c r="E97" s="50">
        <v>1300</v>
      </c>
      <c r="F97" s="51">
        <v>7.15</v>
      </c>
      <c r="G97" s="51">
        <v>7.08</v>
      </c>
      <c r="H97" s="52">
        <f>IF(OR(Resultados!$F97="",Resultados!$G97=""),"",(Resultados!$G97-Resultados!$F97)*Resultados!$E97)</f>
        <v>-91.000000000000369</v>
      </c>
      <c r="I97" s="52">
        <f ca="1">IF(ISBLANK(Resultados!$C97),"",
IF(ROW()-1=3,Resultados!$H97,INDIRECT(ADDRESS(ROW()-1,COLUMN()))+Resultados!$H97))</f>
        <v>17391.999999999993</v>
      </c>
      <c r="J97" s="53">
        <f>IFERROR(EOMONTH((WORKDAY(C97,0,Dados!$C$3:$C$29)),-1)+1,"")</f>
        <v>43770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8">
        <v>43768</v>
      </c>
      <c r="C98" s="48">
        <v>43777</v>
      </c>
      <c r="D98" s="49" t="s">
        <v>107</v>
      </c>
      <c r="E98" s="50">
        <v>200</v>
      </c>
      <c r="F98" s="51">
        <v>47.89</v>
      </c>
      <c r="G98" s="51">
        <v>46.99</v>
      </c>
      <c r="H98" s="52">
        <f>IF(OR(Resultados!$F98="",Resultados!$G98=""),"",(Resultados!$G98-Resultados!$F98)*Resultados!$E98)</f>
        <v>-179.99999999999972</v>
      </c>
      <c r="I98" s="52">
        <f ca="1">IF(ISBLANK(Resultados!$C98),"",
IF(ROW()-1=3,Resultados!$H98,INDIRECT(ADDRESS(ROW()-1,COLUMN()))+Resultados!$H98))</f>
        <v>17211.999999999993</v>
      </c>
      <c r="J98" s="53">
        <f>IFERROR(EOMONTH((WORKDAY(C98,0,Dados!$C$3:$C$29)),-1)+1,"")</f>
        <v>43770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8">
        <v>43768</v>
      </c>
      <c r="C99" s="48">
        <v>43780</v>
      </c>
      <c r="D99" s="49" t="s">
        <v>74</v>
      </c>
      <c r="E99" s="50">
        <v>1300</v>
      </c>
      <c r="F99" s="51">
        <v>15.41</v>
      </c>
      <c r="G99" s="51">
        <v>14.78</v>
      </c>
      <c r="H99" s="52">
        <f>IF(OR(Resultados!$F99="",Resultados!$G99=""),"",(Resultados!$G99-Resultados!$F99)*Resultados!$E99)</f>
        <v>-819.00000000000102</v>
      </c>
      <c r="I99" s="52">
        <f ca="1">IF(ISBLANK(Resultados!$C99),"",
IF(ROW()-1=3,Resultados!$H99,INDIRECT(ADDRESS(ROW()-1,COLUMN()))+Resultados!$H99))</f>
        <v>16392.999999999993</v>
      </c>
      <c r="J99" s="53">
        <f>IFERROR(EOMONTH((WORKDAY(C99,0,Dados!$C$3:$C$29)),-1)+1,"")</f>
        <v>43770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8">
        <v>43755</v>
      </c>
      <c r="C100" s="48">
        <v>43781</v>
      </c>
      <c r="D100" s="49" t="s">
        <v>83</v>
      </c>
      <c r="E100" s="50">
        <v>900</v>
      </c>
      <c r="F100" s="51">
        <v>10.24</v>
      </c>
      <c r="G100" s="51">
        <v>11.99</v>
      </c>
      <c r="H100" s="52">
        <f>IF(OR(Resultados!$F100="",Resultados!$G100=""),"",(Resultados!$G100-Resultados!$F100)*Resultados!$E100)</f>
        <v>1575</v>
      </c>
      <c r="I100" s="52">
        <f ca="1">IF(ISBLANK(Resultados!$C100),"",
IF(ROW()-1=3,Resultados!$H100,INDIRECT(ADDRESS(ROW()-1,COLUMN()))+Resultados!$H100))</f>
        <v>17967.999999999993</v>
      </c>
      <c r="J100" s="53">
        <f>IFERROR(EOMONTH((WORKDAY(C100,0,Dados!$C$3:$C$29)),-1)+1,"")</f>
        <v>43770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8">
        <v>43759</v>
      </c>
      <c r="C101" s="48">
        <v>43782</v>
      </c>
      <c r="D101" s="49" t="s">
        <v>105</v>
      </c>
      <c r="E101" s="50">
        <v>200</v>
      </c>
      <c r="F101" s="51">
        <v>39.78</v>
      </c>
      <c r="G101" s="51">
        <v>40.590000000000003</v>
      </c>
      <c r="H101" s="52">
        <f>IF(OR(Resultados!$F101="",Resultados!$G101=""),"",(Resultados!$G101-Resultados!$F101)*Resultados!$E101)</f>
        <v>162.00000000000045</v>
      </c>
      <c r="I101" s="52">
        <f ca="1">IF(ISBLANK(Resultados!$C101),"",
IF(ROW()-1=3,Resultados!$H101,INDIRECT(ADDRESS(ROW()-1,COLUMN()))+Resultados!$H101))</f>
        <v>18129.999999999993</v>
      </c>
      <c r="J101" s="53">
        <f>IFERROR(EOMONTH((WORKDAY(C101,0,Dados!$C$3:$C$29)),-1)+1,"")</f>
        <v>43770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8">
        <v>43759</v>
      </c>
      <c r="C102" s="48">
        <v>43783</v>
      </c>
      <c r="D102" s="49" t="s">
        <v>97</v>
      </c>
      <c r="E102" s="50">
        <v>1100</v>
      </c>
      <c r="F102" s="51">
        <v>18.07</v>
      </c>
      <c r="G102" s="51">
        <v>17.690000000000001</v>
      </c>
      <c r="H102" s="52">
        <f>IF(OR(Resultados!$F102="",Resultados!$G102=""),"",(Resultados!$G102-Resultados!$F102)*Resultados!$E102)</f>
        <v>-417.99999999999892</v>
      </c>
      <c r="I102" s="52">
        <f ca="1">IF(ISBLANK(Resultados!$C102),"",
IF(ROW()-1=3,Resultados!$H102,INDIRECT(ADDRESS(ROW()-1,COLUMN()))+Resultados!$H102))</f>
        <v>17711.999999999993</v>
      </c>
      <c r="J102" s="53">
        <f>IFERROR(EOMONTH((WORKDAY(C102,0,Dados!$C$3:$C$29)),-1)+1,"")</f>
        <v>43770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8">
        <v>43770</v>
      </c>
      <c r="C103" s="48">
        <v>43783</v>
      </c>
      <c r="D103" s="49" t="s">
        <v>88</v>
      </c>
      <c r="E103" s="50">
        <v>400</v>
      </c>
      <c r="F103" s="51">
        <v>27.73</v>
      </c>
      <c r="G103" s="51">
        <v>29.22</v>
      </c>
      <c r="H103" s="52">
        <f>IF(OR(Resultados!$F103="",Resultados!$G103=""),"",(Resultados!$G103-Resultados!$F103)*Resultados!$E103)</f>
        <v>595.99999999999932</v>
      </c>
      <c r="I103" s="52">
        <f ca="1">IF(ISBLANK(Resultados!$C103),"",
IF(ROW()-1=3,Resultados!$H103,INDIRECT(ADDRESS(ROW()-1,COLUMN()))+Resultados!$H103))</f>
        <v>18307.999999999993</v>
      </c>
      <c r="J103" s="53">
        <f>IFERROR(EOMONTH((WORKDAY(C103,0,Dados!$C$3:$C$29)),-1)+1,"")</f>
        <v>43770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8">
        <v>43783</v>
      </c>
      <c r="C104" s="48">
        <v>43787</v>
      </c>
      <c r="D104" s="49" t="s">
        <v>109</v>
      </c>
      <c r="E104" s="50">
        <v>300</v>
      </c>
      <c r="F104" s="51">
        <v>33.33</v>
      </c>
      <c r="G104" s="51">
        <v>34.49</v>
      </c>
      <c r="H104" s="52">
        <f>IF(OR(Resultados!$F104="",Resultados!$G104=""),"",(Resultados!$G104-Resultados!$F104)*Resultados!$E104)</f>
        <v>348.00000000000114</v>
      </c>
      <c r="I104" s="52">
        <f ca="1">IF(ISBLANK(Resultados!$C104),"",
IF(ROW()-1=3,Resultados!$H104,INDIRECT(ADDRESS(ROW()-1,COLUMN()))+Resultados!$H104))</f>
        <v>18655.999999999993</v>
      </c>
      <c r="J104" s="53">
        <f>IFERROR(EOMONTH((WORKDAY(C104,0,Dados!$C$3:$C$29)),-1)+1,"")</f>
        <v>43770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8">
        <v>43787</v>
      </c>
      <c r="C105" s="48">
        <v>43788</v>
      </c>
      <c r="D105" s="49" t="s">
        <v>70</v>
      </c>
      <c r="E105" s="50">
        <v>400</v>
      </c>
      <c r="F105" s="51">
        <v>50.17</v>
      </c>
      <c r="G105" s="51">
        <v>48.2</v>
      </c>
      <c r="H105" s="52">
        <f>IF(OR(Resultados!$F105="",Resultados!$G105=""),"",(Resultados!$G105-Resultados!$F105)*Resultados!$E105)</f>
        <v>-787.99999999999955</v>
      </c>
      <c r="I105" s="52">
        <f ca="1">IF(ISBLANK(Resultados!$C105),"",
IF(ROW()-1=3,Resultados!$H105,INDIRECT(ADDRESS(ROW()-1,COLUMN()))+Resultados!$H105))</f>
        <v>17867.999999999993</v>
      </c>
      <c r="J105" s="53">
        <f>IFERROR(EOMONTH((WORKDAY(C105,0,Dados!$C$3:$C$29)),-1)+1,"")</f>
        <v>43770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8">
        <v>43773</v>
      </c>
      <c r="C106" s="48">
        <v>43791</v>
      </c>
      <c r="D106" s="49" t="s">
        <v>110</v>
      </c>
      <c r="E106" s="50">
        <v>500</v>
      </c>
      <c r="F106" s="51">
        <v>19.11</v>
      </c>
      <c r="G106" s="51">
        <v>19.989999999999998</v>
      </c>
      <c r="H106" s="52">
        <f>IF(OR(Resultados!$F106="",Resultados!$G106=""),"",(Resultados!$G106-Resultados!$F106)*Resultados!$E106)</f>
        <v>439.99999999999949</v>
      </c>
      <c r="I106" s="52">
        <f ca="1">IF(ISBLANK(Resultados!$C106),"",
IF(ROW()-1=3,Resultados!$H106,INDIRECT(ADDRESS(ROW()-1,COLUMN()))+Resultados!$H106))</f>
        <v>18307.999999999993</v>
      </c>
      <c r="J106" s="53">
        <f>IFERROR(EOMONTH((WORKDAY(C106,0,Dados!$C$3:$C$29)),-1)+1,"")</f>
        <v>43770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8">
        <v>43787</v>
      </c>
      <c r="C107" s="48">
        <v>43791</v>
      </c>
      <c r="D107" s="49" t="s">
        <v>111</v>
      </c>
      <c r="E107" s="50">
        <v>900</v>
      </c>
      <c r="F107" s="51">
        <v>11.54</v>
      </c>
      <c r="G107" s="51">
        <v>12.09</v>
      </c>
      <c r="H107" s="52">
        <f>IF(OR(Resultados!$F107="",Resultados!$G107=""),"",(Resultados!$G107-Resultados!$F107)*Resultados!$E107)</f>
        <v>495.00000000000063</v>
      </c>
      <c r="I107" s="52">
        <f ca="1">IF(ISBLANK(Resultados!$C107),"",
IF(ROW()-1=3,Resultados!$H107,INDIRECT(ADDRESS(ROW()-1,COLUMN()))+Resultados!$H107))</f>
        <v>18802.999999999993</v>
      </c>
      <c r="J107" s="53">
        <f>IFERROR(EOMONTH((WORKDAY(C107,0,Dados!$C$3:$C$29)),-1)+1,"")</f>
        <v>43770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8">
        <v>43795</v>
      </c>
      <c r="C108" s="48">
        <v>43791</v>
      </c>
      <c r="D108" s="49" t="s">
        <v>94</v>
      </c>
      <c r="E108" s="50">
        <v>400</v>
      </c>
      <c r="F108" s="51">
        <v>45.61</v>
      </c>
      <c r="G108" s="51">
        <v>43.5</v>
      </c>
      <c r="H108" s="52">
        <f>IF(OR(Resultados!$F108="",Resultados!$G108=""),"",(Resultados!$G108-Resultados!$F108)*Resultados!$E108)</f>
        <v>-843.99999999999977</v>
      </c>
      <c r="I108" s="52">
        <f ca="1">IF(ISBLANK(Resultados!$C108),"",
IF(ROW()-1=3,Resultados!$H108,INDIRECT(ADDRESS(ROW()-1,COLUMN()))+Resultados!$H108))</f>
        <v>17958.999999999993</v>
      </c>
      <c r="J108" s="53">
        <f>IFERROR(EOMONTH((WORKDAY(C108,0,Dados!$C$3:$C$29)),-1)+1,"")</f>
        <v>43770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8">
        <v>43773</v>
      </c>
      <c r="C109" s="48">
        <v>43794</v>
      </c>
      <c r="D109" s="49" t="s">
        <v>52</v>
      </c>
      <c r="E109" s="50">
        <v>200</v>
      </c>
      <c r="F109" s="51">
        <v>49.31</v>
      </c>
      <c r="G109" s="51">
        <v>50.92</v>
      </c>
      <c r="H109" s="52">
        <f>IF(OR(Resultados!$F109="",Resultados!$G109=""),"",(Resultados!$G109-Resultados!$F109)*Resultados!$E109)</f>
        <v>321.99999999999989</v>
      </c>
      <c r="I109" s="52">
        <f ca="1">IF(ISBLANK(Resultados!$C109),"",
IF(ROW()-1=3,Resultados!$H109,INDIRECT(ADDRESS(ROW()-1,COLUMN()))+Resultados!$H109))</f>
        <v>18280.999999999993</v>
      </c>
      <c r="J109" s="53">
        <f>IFERROR(EOMONTH((WORKDAY(C109,0,Dados!$C$3:$C$29)),-1)+1,"")</f>
        <v>43770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8">
        <v>43787</v>
      </c>
      <c r="C110" s="48">
        <v>43796</v>
      </c>
      <c r="D110" s="49" t="s">
        <v>111</v>
      </c>
      <c r="E110" s="50">
        <v>800</v>
      </c>
      <c r="F110" s="51">
        <v>11.54</v>
      </c>
      <c r="G110" s="51">
        <v>12.79</v>
      </c>
      <c r="H110" s="52">
        <f>IF(OR(Resultados!$F110="",Resultados!$G110=""),"",(Resultados!$G110-Resultados!$F110)*Resultados!$E110)</f>
        <v>1000</v>
      </c>
      <c r="I110" s="52">
        <f ca="1">IF(ISBLANK(Resultados!$C110),"",
IF(ROW()-1=3,Resultados!$H110,INDIRECT(ADDRESS(ROW()-1,COLUMN()))+Resultados!$H110))</f>
        <v>19280.999999999993</v>
      </c>
      <c r="J110" s="53">
        <f>IFERROR(EOMONTH((WORKDAY(C110,0,Dados!$C$3:$C$29)),-1)+1,"")</f>
        <v>43770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8">
        <v>43773</v>
      </c>
      <c r="C111" s="48">
        <v>43797</v>
      </c>
      <c r="D111" s="49" t="s">
        <v>52</v>
      </c>
      <c r="E111" s="50">
        <v>200</v>
      </c>
      <c r="F111" s="51">
        <v>49.31</v>
      </c>
      <c r="G111" s="51">
        <v>49.97</v>
      </c>
      <c r="H111" s="52">
        <f>IF(OR(Resultados!$F111="",Resultados!$G111=""),"",(Resultados!$G111-Resultados!$F111)*Resultados!$E111)</f>
        <v>131.99999999999932</v>
      </c>
      <c r="I111" s="52">
        <f ca="1">IF(ISBLANK(Resultados!$C111),"",
IF(ROW()-1=3,Resultados!$H111,INDIRECT(ADDRESS(ROW()-1,COLUMN()))+Resultados!$H111))</f>
        <v>19412.999999999993</v>
      </c>
      <c r="J111" s="53">
        <f>IFERROR(EOMONTH((WORKDAY(C111,0,Dados!$C$3:$C$29)),-1)+1,"")</f>
        <v>43770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8">
        <v>43783</v>
      </c>
      <c r="C112" s="48">
        <v>43797</v>
      </c>
      <c r="D112" s="49" t="s">
        <v>86</v>
      </c>
      <c r="E112" s="50">
        <v>1500</v>
      </c>
      <c r="F112" s="51">
        <v>13.01</v>
      </c>
      <c r="G112" s="51">
        <v>12.25</v>
      </c>
      <c r="H112" s="52">
        <f>IF(OR(Resultados!$F112="",Resultados!$G112=""),"",(Resultados!$G112-Resultados!$F112)*Resultados!$E112)</f>
        <v>-1139.9999999999998</v>
      </c>
      <c r="I112" s="52">
        <f ca="1">IF(ISBLANK(Resultados!$C112),"",
IF(ROW()-1=3,Resultados!$H112,INDIRECT(ADDRESS(ROW()-1,COLUMN()))+Resultados!$H112))</f>
        <v>18272.999999999993</v>
      </c>
      <c r="J112" s="53">
        <f>IFERROR(EOMONTH((WORKDAY(C112,0,Dados!$C$3:$C$29)),-1)+1,"")</f>
        <v>43770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8">
        <v>43773</v>
      </c>
      <c r="C113" s="48">
        <v>43798</v>
      </c>
      <c r="D113" s="49" t="s">
        <v>110</v>
      </c>
      <c r="E113" s="50">
        <v>500</v>
      </c>
      <c r="F113" s="51">
        <v>19.11</v>
      </c>
      <c r="G113" s="51">
        <v>23</v>
      </c>
      <c r="H113" s="52">
        <f>IF(OR(Resultados!$F113="",Resultados!$G113=""),"",(Resultados!$G113-Resultados!$F113)*Resultados!$E113)</f>
        <v>1945.0000000000002</v>
      </c>
      <c r="I113" s="52">
        <f ca="1">IF(ISBLANK(Resultados!$C113),"",
IF(ROW()-1=3,Resultados!$H113,INDIRECT(ADDRESS(ROW()-1,COLUMN()))+Resultados!$H113))</f>
        <v>20217.999999999993</v>
      </c>
      <c r="J113" s="53">
        <f>IFERROR(EOMONTH((WORKDAY(C113,0,Dados!$C$3:$C$29)),-1)+1,"")</f>
        <v>43770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8">
        <v>43791</v>
      </c>
      <c r="C114" s="48">
        <v>43801</v>
      </c>
      <c r="D114" s="49" t="s">
        <v>66</v>
      </c>
      <c r="E114" s="50">
        <v>200</v>
      </c>
      <c r="F114" s="51">
        <v>55.26</v>
      </c>
      <c r="G114" s="51">
        <v>59.52</v>
      </c>
      <c r="H114" s="52">
        <f>IF(OR(Resultados!$F114="",Resultados!$G114=""),"",(Resultados!$G114-Resultados!$F114)*Resultados!$E114)</f>
        <v>852.00000000000102</v>
      </c>
      <c r="I114" s="52">
        <f ca="1">IF(ISBLANK(Resultados!$C114),"",
IF(ROW()-1=3,Resultados!$H114,INDIRECT(ADDRESS(ROW()-1,COLUMN()))+Resultados!$H114))</f>
        <v>21069.999999999993</v>
      </c>
      <c r="J114" s="53">
        <f>IFERROR(EOMONTH((WORKDAY(C114,0,Dados!$C$3:$C$29)),-1)+1,"")</f>
        <v>43800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8">
        <v>43732</v>
      </c>
      <c r="C115" s="48">
        <v>43802</v>
      </c>
      <c r="D115" s="49" t="s">
        <v>112</v>
      </c>
      <c r="E115" s="50">
        <v>2500</v>
      </c>
      <c r="F115" s="51">
        <v>7.89</v>
      </c>
      <c r="G115" s="51">
        <v>7.75</v>
      </c>
      <c r="H115" s="52">
        <f>IF(OR(Resultados!$F115="",Resultados!$G115=""),"",(Resultados!$G115-Resultados!$F115)*Resultados!$E115)</f>
        <v>-349.9999999999992</v>
      </c>
      <c r="I115" s="52">
        <f ca="1">IF(ISBLANK(Resultados!$C115),"",
IF(ROW()-1=3,Resultados!$H115,INDIRECT(ADDRESS(ROW()-1,COLUMN()))+Resultados!$H115))</f>
        <v>20719.999999999993</v>
      </c>
      <c r="J115" s="53">
        <f>IFERROR(EOMONTH((WORKDAY(C115,0,Dados!$C$3:$C$29)),-1)+1,"")</f>
        <v>43800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8">
        <v>43770</v>
      </c>
      <c r="C116" s="48">
        <v>43802</v>
      </c>
      <c r="D116" s="49" t="s">
        <v>88</v>
      </c>
      <c r="E116" s="50">
        <v>300</v>
      </c>
      <c r="F116" s="51">
        <v>27.73</v>
      </c>
      <c r="G116" s="51">
        <v>30.76</v>
      </c>
      <c r="H116" s="52">
        <f>IF(OR(Resultados!$F116="",Resultados!$G116=""),"",(Resultados!$G116-Resultados!$F116)*Resultados!$E116)</f>
        <v>909.00000000000034</v>
      </c>
      <c r="I116" s="52">
        <f ca="1">IF(ISBLANK(Resultados!$C116),"",
IF(ROW()-1=3,Resultados!$H116,INDIRECT(ADDRESS(ROW()-1,COLUMN()))+Resultados!$H116))</f>
        <v>21628.999999999993</v>
      </c>
      <c r="J116" s="53">
        <f>IFERROR(EOMONTH((WORKDAY(C116,0,Dados!$C$3:$C$29)),-1)+1,"")</f>
        <v>43800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8">
        <v>43794</v>
      </c>
      <c r="C117" s="48">
        <v>43802</v>
      </c>
      <c r="D117" s="49" t="s">
        <v>113</v>
      </c>
      <c r="E117" s="50">
        <v>1400</v>
      </c>
      <c r="F117" s="51">
        <v>15.01</v>
      </c>
      <c r="G117" s="51">
        <v>14.06</v>
      </c>
      <c r="H117" s="52">
        <f>IF(OR(Resultados!$F117="",Resultados!$G117=""),"",(Resultados!$G117-Resultados!$F117)*Resultados!$E117)</f>
        <v>-1329.9999999999991</v>
      </c>
      <c r="I117" s="52">
        <f ca="1">IF(ISBLANK(Resultados!$C117),"",
IF(ROW()-1=3,Resultados!$H117,INDIRECT(ADDRESS(ROW()-1,COLUMN()))+Resultados!$H117))</f>
        <v>20298.999999999993</v>
      </c>
      <c r="J117" s="53">
        <f>IFERROR(EOMONTH((WORKDAY(C117,0,Dados!$C$3:$C$29)),-1)+1,"")</f>
        <v>43800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8">
        <v>43780</v>
      </c>
      <c r="C118" s="48">
        <v>43803</v>
      </c>
      <c r="D118" s="49" t="s">
        <v>114</v>
      </c>
      <c r="E118" s="50">
        <v>1000</v>
      </c>
      <c r="F118" s="51">
        <v>19.21</v>
      </c>
      <c r="G118" s="51">
        <v>18.579999999999998</v>
      </c>
      <c r="H118" s="52">
        <f>IF(OR(Resultados!$F118="",Resultados!$G118=""),"",(Resultados!$G118-Resultados!$F118)*Resultados!$E118)</f>
        <v>-630.0000000000025</v>
      </c>
      <c r="I118" s="52">
        <f ca="1">IF(ISBLANK(Resultados!$C118),"",
IF(ROW()-1=3,Resultados!$H118,INDIRECT(ADDRESS(ROW()-1,COLUMN()))+Resultados!$H118))</f>
        <v>19668.999999999989</v>
      </c>
      <c r="J118" s="53">
        <f>IFERROR(EOMONTH((WORKDAY(C118,0,Dados!$C$3:$C$29)),-1)+1,"")</f>
        <v>43800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8">
        <v>43797</v>
      </c>
      <c r="C119" s="48">
        <v>43805</v>
      </c>
      <c r="D119" s="49" t="s">
        <v>115</v>
      </c>
      <c r="E119" s="50">
        <v>400</v>
      </c>
      <c r="F119" s="51">
        <v>21.86</v>
      </c>
      <c r="G119" s="51">
        <v>23.74</v>
      </c>
      <c r="H119" s="52">
        <f>IF(OR(Resultados!$F119="",Resultados!$G119=""),"",(Resultados!$G119-Resultados!$F119)*Resultados!$E119)</f>
        <v>751.99999999999955</v>
      </c>
      <c r="I119" s="52">
        <f ca="1">IF(ISBLANK(Resultados!$C119),"",
IF(ROW()-1=3,Resultados!$H119,INDIRECT(ADDRESS(ROW()-1,COLUMN()))+Resultados!$H119))</f>
        <v>20420.999999999989</v>
      </c>
      <c r="J119" s="53">
        <f>IFERROR(EOMONTH((WORKDAY(C119,0,Dados!$C$3:$C$29)),-1)+1,"")</f>
        <v>43800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8">
        <v>43773</v>
      </c>
      <c r="C120" s="48">
        <v>43808</v>
      </c>
      <c r="D120" s="49" t="s">
        <v>100</v>
      </c>
      <c r="E120" s="50">
        <v>500</v>
      </c>
      <c r="F120" s="51">
        <v>21.52</v>
      </c>
      <c r="G120" s="51">
        <v>22.7</v>
      </c>
      <c r="H120" s="52">
        <f>IF(OR(Resultados!$F120="",Resultados!$G120=""),"",(Resultados!$G120-Resultados!$F120)*Resultados!$E120)</f>
        <v>589.99999999999989</v>
      </c>
      <c r="I120" s="52">
        <f ca="1">IF(ISBLANK(Resultados!$C120),"",
IF(ROW()-1=3,Resultados!$H120,INDIRECT(ADDRESS(ROW()-1,COLUMN()))+Resultados!$H120))</f>
        <v>21010.999999999989</v>
      </c>
      <c r="J120" s="53">
        <f>IFERROR(EOMONTH((WORKDAY(C120,0,Dados!$C$3:$C$29)),-1)+1,"")</f>
        <v>43800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8">
        <v>43801</v>
      </c>
      <c r="C121" s="48">
        <v>43808</v>
      </c>
      <c r="D121" s="49" t="s">
        <v>116</v>
      </c>
      <c r="E121" s="50">
        <v>500</v>
      </c>
      <c r="F121" s="51">
        <v>20.67</v>
      </c>
      <c r="G121" s="51">
        <v>21.5</v>
      </c>
      <c r="H121" s="52">
        <f>IF(OR(Resultados!$F121="",Resultados!$G121=""),"",(Resultados!$G121-Resultados!$F121)*Resultados!$E121)</f>
        <v>414.99999999999915</v>
      </c>
      <c r="I121" s="52">
        <f ca="1">IF(ISBLANK(Resultados!$C121),"",
IF(ROW()-1=3,Resultados!$H121,INDIRECT(ADDRESS(ROW()-1,COLUMN()))+Resultados!$H121))</f>
        <v>21425.999999999989</v>
      </c>
      <c r="J121" s="53">
        <f>IFERROR(EOMONTH((WORKDAY(C121,0,Dados!$C$3:$C$29)),-1)+1,"")</f>
        <v>43800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8">
        <v>43803</v>
      </c>
      <c r="C122" s="48">
        <v>43808</v>
      </c>
      <c r="D122" s="49" t="s">
        <v>101</v>
      </c>
      <c r="E122" s="50">
        <v>800</v>
      </c>
      <c r="F122" s="51">
        <v>22.71</v>
      </c>
      <c r="G122" s="51">
        <v>21.08</v>
      </c>
      <c r="H122" s="52">
        <f>IF(OR(Resultados!$F122="",Resultados!$G122=""),"",(Resultados!$G122-Resultados!$F122)*Resultados!$E122)</f>
        <v>-1304.000000000002</v>
      </c>
      <c r="I122" s="52">
        <f ca="1">IF(ISBLANK(Resultados!$C122),"",
IF(ROW()-1=3,Resultados!$H122,INDIRECT(ADDRESS(ROW()-1,COLUMN()))+Resultados!$H122))</f>
        <v>20121.999999999985</v>
      </c>
      <c r="J122" s="53">
        <f>IFERROR(EOMONTH((WORKDAY(C122,0,Dados!$C$3:$C$29)),-1)+1,"")</f>
        <v>43800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8">
        <v>43803</v>
      </c>
      <c r="C123" s="48">
        <v>43808</v>
      </c>
      <c r="D123" s="49" t="s">
        <v>117</v>
      </c>
      <c r="E123" s="50">
        <v>300</v>
      </c>
      <c r="F123" s="51">
        <v>35.17</v>
      </c>
      <c r="G123" s="51">
        <v>37.03</v>
      </c>
      <c r="H123" s="52">
        <f>IF(OR(Resultados!$F123="",Resultados!$G123=""),"",(Resultados!$G123-Resultados!$F123)*Resultados!$E123)</f>
        <v>557.99999999999977</v>
      </c>
      <c r="I123" s="52">
        <f ca="1">IF(ISBLANK(Resultados!$C123),"",
IF(ROW()-1=3,Resultados!$H123,INDIRECT(ADDRESS(ROW()-1,COLUMN()))+Resultados!$H123))</f>
        <v>20679.999999999985</v>
      </c>
      <c r="J123" s="53">
        <f>IFERROR(EOMONTH((WORKDAY(C123,0,Dados!$C$3:$C$29)),-1)+1,"")</f>
        <v>43800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8">
        <v>43783</v>
      </c>
      <c r="C124" s="48">
        <v>43809</v>
      </c>
      <c r="D124" s="49" t="s">
        <v>109</v>
      </c>
      <c r="E124" s="50">
        <v>300</v>
      </c>
      <c r="F124" s="51">
        <v>33.33</v>
      </c>
      <c r="G124" s="51">
        <v>34.479999999999997</v>
      </c>
      <c r="H124" s="52">
        <f>IF(OR(Resultados!$F124="",Resultados!$G124=""),"",(Resultados!$G124-Resultados!$F124)*Resultados!$E124)</f>
        <v>344.99999999999955</v>
      </c>
      <c r="I124" s="52">
        <f ca="1">IF(ISBLANK(Resultados!$C124),"",
IF(ROW()-1=3,Resultados!$H124,INDIRECT(ADDRESS(ROW()-1,COLUMN()))+Resultados!$H124))</f>
        <v>21024.999999999985</v>
      </c>
      <c r="J124" s="53">
        <f>IFERROR(EOMONTH((WORKDAY(C124,0,Dados!$C$3:$C$29)),-1)+1,"")</f>
        <v>43800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8">
        <v>43803</v>
      </c>
      <c r="C125" s="48">
        <v>43809</v>
      </c>
      <c r="D125" s="49" t="s">
        <v>117</v>
      </c>
      <c r="E125" s="50">
        <v>300</v>
      </c>
      <c r="F125" s="51">
        <v>35.17</v>
      </c>
      <c r="G125" s="51">
        <v>35.97</v>
      </c>
      <c r="H125" s="52">
        <f>IF(OR(Resultados!$F125="",Resultados!$G125=""),"",(Resultados!$G125-Resultados!$F125)*Resultados!$E125)</f>
        <v>239.99999999999915</v>
      </c>
      <c r="I125" s="52">
        <f ca="1">IF(ISBLANK(Resultados!$C125),"",
IF(ROW()-1=3,Resultados!$H125,INDIRECT(ADDRESS(ROW()-1,COLUMN()))+Resultados!$H125))</f>
        <v>21264.999999999985</v>
      </c>
      <c r="J125" s="53">
        <f>IFERROR(EOMONTH((WORKDAY(C125,0,Dados!$C$3:$C$29)),-1)+1,"")</f>
        <v>43800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8">
        <v>43809</v>
      </c>
      <c r="C126" s="48">
        <v>43810</v>
      </c>
      <c r="D126" s="49" t="s">
        <v>118</v>
      </c>
      <c r="E126" s="50">
        <v>500</v>
      </c>
      <c r="F126" s="51">
        <v>18.41</v>
      </c>
      <c r="G126" s="51">
        <v>19.03</v>
      </c>
      <c r="H126" s="52">
        <f>IF(OR(Resultados!$F126="",Resultados!$G126=""),"",(Resultados!$G126-Resultados!$F126)*Resultados!$E126)</f>
        <v>310.00000000000051</v>
      </c>
      <c r="I126" s="52">
        <f ca="1">IF(ISBLANK(Resultados!$C126),"",
IF(ROW()-1=3,Resultados!$H126,INDIRECT(ADDRESS(ROW()-1,COLUMN()))+Resultados!$H126))</f>
        <v>21574.999999999985</v>
      </c>
      <c r="J126" s="53">
        <f>IFERROR(EOMONTH((WORKDAY(C126,0,Dados!$C$3:$C$29)),-1)+1,"")</f>
        <v>43800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8">
        <v>43802</v>
      </c>
      <c r="C127" s="48">
        <v>43812</v>
      </c>
      <c r="D127" s="49" t="s">
        <v>48</v>
      </c>
      <c r="E127" s="50">
        <v>600</v>
      </c>
      <c r="F127" s="51">
        <v>18.190000000000001</v>
      </c>
      <c r="G127" s="51">
        <v>18.940000000000001</v>
      </c>
      <c r="H127" s="52">
        <f>IF(OR(Resultados!$F127="",Resultados!$G127=""),"",(Resultados!$G127-Resultados!$F127)*Resultados!$E127)</f>
        <v>450</v>
      </c>
      <c r="I127" s="52">
        <f ca="1">IF(ISBLANK(Resultados!$C127),"",
IF(ROW()-1=3,Resultados!$H127,INDIRECT(ADDRESS(ROW()-1,COLUMN()))+Resultados!$H127))</f>
        <v>22024.999999999985</v>
      </c>
      <c r="J127" s="53">
        <f>IFERROR(EOMONTH((WORKDAY(C127,0,Dados!$C$3:$C$29)),-1)+1,"")</f>
        <v>43800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8">
        <v>43791</v>
      </c>
      <c r="C128" s="48">
        <v>43816</v>
      </c>
      <c r="D128" s="49" t="s">
        <v>66</v>
      </c>
      <c r="E128" s="50">
        <v>100</v>
      </c>
      <c r="F128" s="51">
        <v>55.26</v>
      </c>
      <c r="G128" s="51">
        <v>63.89</v>
      </c>
      <c r="H128" s="52">
        <f>IF(OR(Resultados!$F128="",Resultados!$G128=""),"",(Resultados!$G128-Resultados!$F128)*Resultados!$E128)</f>
        <v>863.00000000000023</v>
      </c>
      <c r="I128" s="52">
        <f ca="1">IF(ISBLANK(Resultados!$C128),"",
IF(ROW()-1=3,Resultados!$H128,INDIRECT(ADDRESS(ROW()-1,COLUMN()))+Resultados!$H128))</f>
        <v>22887.999999999985</v>
      </c>
      <c r="J128" s="53">
        <f>IFERROR(EOMONTH((WORKDAY(C128,0,Dados!$C$3:$C$29)),-1)+1,"")</f>
        <v>43800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8">
        <v>43773</v>
      </c>
      <c r="C129" s="48">
        <v>43818</v>
      </c>
      <c r="D129" s="49" t="s">
        <v>99</v>
      </c>
      <c r="E129" s="50">
        <v>200</v>
      </c>
      <c r="F129" s="51">
        <v>58.02</v>
      </c>
      <c r="G129" s="51">
        <v>61.59</v>
      </c>
      <c r="H129" s="52">
        <f>IF(OR(Resultados!$F129="",Resultados!$G129=""),"",(Resultados!$G129-Resultados!$F129)*Resultados!$E129)</f>
        <v>714</v>
      </c>
      <c r="I129" s="52">
        <f ca="1">IF(ISBLANK(Resultados!$C129),"",
IF(ROW()-1=3,Resultados!$H129,INDIRECT(ADDRESS(ROW()-1,COLUMN()))+Resultados!$H129))</f>
        <v>23601.999999999985</v>
      </c>
      <c r="J129" s="53">
        <f>IFERROR(EOMONTH((WORKDAY(C129,0,Dados!$C$3:$C$29)),-1)+1,"")</f>
        <v>43800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8">
        <v>43803</v>
      </c>
      <c r="C130" s="48">
        <v>43818</v>
      </c>
      <c r="D130" s="49" t="s">
        <v>90</v>
      </c>
      <c r="E130" s="50">
        <v>200</v>
      </c>
      <c r="F130" s="51">
        <v>53.02</v>
      </c>
      <c r="G130" s="51">
        <v>55.64</v>
      </c>
      <c r="H130" s="52">
        <f>IF(OR(Resultados!$F130="",Resultados!$G130=""),"",(Resultados!$G130-Resultados!$F130)*Resultados!$E130)</f>
        <v>523.99999999999955</v>
      </c>
      <c r="I130" s="52">
        <f ca="1">IF(ISBLANK(Resultados!$C130),"",
IF(ROW()-1=3,Resultados!$H130,INDIRECT(ADDRESS(ROW()-1,COLUMN()))+Resultados!$H130))</f>
        <v>24125.999999999985</v>
      </c>
      <c r="J130" s="53">
        <f>IFERROR(EOMONTH((WORKDAY(C130,0,Dados!$C$3:$C$29)),-1)+1,"")</f>
        <v>43800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8">
        <v>43811</v>
      </c>
      <c r="C131" s="48">
        <v>43818</v>
      </c>
      <c r="D131" s="49" t="s">
        <v>74</v>
      </c>
      <c r="E131" s="50">
        <v>500</v>
      </c>
      <c r="F131" s="51">
        <v>17.21</v>
      </c>
      <c r="G131" s="51">
        <v>18.14</v>
      </c>
      <c r="H131" s="52">
        <f>IF(OR(Resultados!$F131="",Resultados!$G131=""),"",(Resultados!$G131-Resultados!$F131)*Resultados!$E131)</f>
        <v>464.99999999999989</v>
      </c>
      <c r="I131" s="52">
        <f ca="1">IF(ISBLANK(Resultados!$C131),"",
IF(ROW()-1=3,Resultados!$H131,INDIRECT(ADDRESS(ROW()-1,COLUMN()))+Resultados!$H131))</f>
        <v>24590.999999999985</v>
      </c>
      <c r="J131" s="53">
        <f>IFERROR(EOMONTH((WORKDAY(C131,0,Dados!$C$3:$C$29)),-1)+1,"")</f>
        <v>43800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8">
        <v>43766</v>
      </c>
      <c r="C132" s="48">
        <v>43819</v>
      </c>
      <c r="D132" s="49" t="s">
        <v>79</v>
      </c>
      <c r="E132" s="50">
        <v>400</v>
      </c>
      <c r="F132" s="51">
        <v>25.38</v>
      </c>
      <c r="G132" s="51">
        <v>29.9</v>
      </c>
      <c r="H132" s="52">
        <f>IF(OR(Resultados!$F132="",Resultados!$G132=""),"",(Resultados!$G132-Resultados!$F132)*Resultados!$E132)</f>
        <v>1807.9999999999998</v>
      </c>
      <c r="I132" s="52">
        <f ca="1">IF(ISBLANK(Resultados!$C132),"",
IF(ROW()-1=3,Resultados!$H132,INDIRECT(ADDRESS(ROW()-1,COLUMN()))+Resultados!$H132))</f>
        <v>26398.999999999985</v>
      </c>
      <c r="J132" s="53">
        <f>IFERROR(EOMONTH((WORKDAY(C132,0,Dados!$C$3:$C$29)),-1)+1,"")</f>
        <v>43800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8">
        <v>43809</v>
      </c>
      <c r="C133" s="48">
        <v>43819</v>
      </c>
      <c r="D133" s="49" t="s">
        <v>118</v>
      </c>
      <c r="E133" s="50">
        <v>500</v>
      </c>
      <c r="F133" s="51">
        <v>18.41</v>
      </c>
      <c r="G133" s="51">
        <v>17.79</v>
      </c>
      <c r="H133" s="52">
        <f>IF(OR(Resultados!$F133="",Resultados!$G133=""),"",(Resultados!$G133-Resultados!$F133)*Resultados!$E133)</f>
        <v>-310.00000000000051</v>
      </c>
      <c r="I133" s="52">
        <f ca="1">IF(ISBLANK(Resultados!$C133),"",
IF(ROW()-1=3,Resultados!$H133,INDIRECT(ADDRESS(ROW()-1,COLUMN()))+Resultados!$H133))</f>
        <v>26088.999999999985</v>
      </c>
      <c r="J133" s="53">
        <f>IFERROR(EOMONTH((WORKDAY(C133,0,Dados!$C$3:$C$29)),-1)+1,"")</f>
        <v>43800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8">
        <v>43752</v>
      </c>
      <c r="C134" s="48">
        <v>43825</v>
      </c>
      <c r="D134" s="49" t="s">
        <v>103</v>
      </c>
      <c r="E134" s="50">
        <v>200</v>
      </c>
      <c r="F134" s="51">
        <v>48.36</v>
      </c>
      <c r="G134" s="51">
        <v>57.94</v>
      </c>
      <c r="H134" s="52">
        <f>IF(OR(Resultados!$F134="",Resultados!$G134=""),"",(Resultados!$G134-Resultados!$F134)*Resultados!$E134)</f>
        <v>1915.9999999999995</v>
      </c>
      <c r="I134" s="52">
        <f ca="1">IF(ISBLANK(Resultados!$C134),"",
IF(ROW()-1=3,Resultados!$H134,INDIRECT(ADDRESS(ROW()-1,COLUMN()))+Resultados!$H134))</f>
        <v>28004.999999999985</v>
      </c>
      <c r="J134" s="53">
        <f>IFERROR(EOMONTH((WORKDAY(C134,0,Dados!$C$3:$C$29)),-1)+1,"")</f>
        <v>43800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8">
        <v>43801</v>
      </c>
      <c r="C135" s="48">
        <v>43826</v>
      </c>
      <c r="D135" s="49" t="s">
        <v>116</v>
      </c>
      <c r="E135" s="50">
        <v>400</v>
      </c>
      <c r="F135" s="51">
        <v>20.67</v>
      </c>
      <c r="G135" s="51">
        <v>24.03</v>
      </c>
      <c r="H135" s="52">
        <f>IF(OR(Resultados!$F135="",Resultados!$G135=""),"",(Resultados!$G135-Resultados!$F135)*Resultados!$E135)</f>
        <v>1343.9999999999998</v>
      </c>
      <c r="I135" s="52">
        <f ca="1">IF(ISBLANK(Resultados!$C135),"",
IF(ROW()-1=3,Resultados!$H135,INDIRECT(ADDRESS(ROW()-1,COLUMN()))+Resultados!$H135))</f>
        <v>29348.999999999985</v>
      </c>
      <c r="J135" s="53">
        <f>IFERROR(EOMONTH((WORKDAY(C135,0,Dados!$C$3:$C$29)),-1)+1,"")</f>
        <v>43800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8">
        <v>43802</v>
      </c>
      <c r="C136" s="48">
        <v>43826</v>
      </c>
      <c r="D136" s="49" t="s">
        <v>48</v>
      </c>
      <c r="E136" s="50">
        <v>500</v>
      </c>
      <c r="F136" s="51">
        <v>18.190000000000001</v>
      </c>
      <c r="G136" s="51">
        <v>18.29</v>
      </c>
      <c r="H136" s="52">
        <f>IF(OR(Resultados!$F136="",Resultados!$G136=""),"",(Resultados!$G136-Resultados!$F136)*Resultados!$E136)</f>
        <v>49.999999999998934</v>
      </c>
      <c r="I136" s="52">
        <f ca="1">IF(ISBLANK(Resultados!$C136),"",
IF(ROW()-1=3,Resultados!$H136,INDIRECT(ADDRESS(ROW()-1,COLUMN()))+Resultados!$H136))</f>
        <v>29398.999999999985</v>
      </c>
      <c r="J136" s="53">
        <f>IFERROR(EOMONTH((WORKDAY(C136,0,Dados!$C$3:$C$29)),-1)+1,"")</f>
        <v>43800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8">
        <v>43803</v>
      </c>
      <c r="C137" s="48">
        <v>43826</v>
      </c>
      <c r="D137" s="49" t="s">
        <v>99</v>
      </c>
      <c r="E137" s="50">
        <v>100</v>
      </c>
      <c r="F137" s="51">
        <v>58.02</v>
      </c>
      <c r="G137" s="51">
        <v>63.29</v>
      </c>
      <c r="H137" s="52">
        <f>IF(OR(Resultados!$F137="",Resultados!$G137=""),"",(Resultados!$G137-Resultados!$F137)*Resultados!$E137)</f>
        <v>526.99999999999955</v>
      </c>
      <c r="I137" s="52">
        <f ca="1">IF(ISBLANK(Resultados!$C137),"",
IF(ROW()-1=3,Resultados!$H137,INDIRECT(ADDRESS(ROW()-1,COLUMN()))+Resultados!$H137))</f>
        <v>29925.999999999985</v>
      </c>
      <c r="J137" s="53">
        <f>IFERROR(EOMONTH((WORKDAY(C137,0,Dados!$C$3:$C$29)),-1)+1,"")</f>
        <v>43800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8">
        <v>43768</v>
      </c>
      <c r="C138" s="48">
        <v>43832</v>
      </c>
      <c r="D138" s="49" t="s">
        <v>73</v>
      </c>
      <c r="E138" s="50">
        <v>700</v>
      </c>
      <c r="F138" s="51">
        <v>13.46</v>
      </c>
      <c r="G138" s="51">
        <v>20.55</v>
      </c>
      <c r="H138" s="52">
        <f>IF(OR(Resultados!$F138="",Resultados!$G138=""),"",(Resultados!$G138-Resultados!$F138)*Resultados!$E138)</f>
        <v>4963</v>
      </c>
      <c r="I138" s="52">
        <f ca="1">IF(ISBLANK(Resultados!$C138),"",
IF(ROW()-1=3,Resultados!$H138,INDIRECT(ADDRESS(ROW()-1,COLUMN()))+Resultados!$H138))</f>
        <v>34888.999999999985</v>
      </c>
      <c r="J138" s="53">
        <f>IFERROR(EOMONTH((WORKDAY(C138,0,Dados!$C$3:$C$29)),-1)+1,"")</f>
        <v>43831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8">
        <v>43802</v>
      </c>
      <c r="C139" s="48">
        <v>43832</v>
      </c>
      <c r="D139" s="49" t="s">
        <v>83</v>
      </c>
      <c r="E139" s="50">
        <v>700</v>
      </c>
      <c r="F139" s="51">
        <v>14.11</v>
      </c>
      <c r="G139" s="51">
        <v>15.47</v>
      </c>
      <c r="H139" s="52">
        <f>IF(OR(Resultados!$F139="",Resultados!$G139=""),"",(Resultados!$G139-Resultados!$F139)*Resultados!$E139)</f>
        <v>952.0000000000008</v>
      </c>
      <c r="I139" s="52">
        <f ca="1">IF(ISBLANK(Resultados!$C139),"",
IF(ROW()-1=3,Resultados!$H139,INDIRECT(ADDRESS(ROW()-1,COLUMN()))+Resultados!$H139))</f>
        <v>35840.999999999985</v>
      </c>
      <c r="J139" s="53">
        <f>IFERROR(EOMONTH((WORKDAY(C139,0,Dados!$C$3:$C$29)),-1)+1,"")</f>
        <v>43831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8">
        <v>43805</v>
      </c>
      <c r="C140" s="48">
        <v>43832</v>
      </c>
      <c r="D140" s="49" t="s">
        <v>73</v>
      </c>
      <c r="E140" s="50">
        <v>700</v>
      </c>
      <c r="F140" s="51">
        <v>17.63</v>
      </c>
      <c r="G140" s="51">
        <v>20.55</v>
      </c>
      <c r="H140" s="52">
        <f>IF(OR(Resultados!$F140="",Resultados!$G140=""),"",(Resultados!$G140-Resultados!$F140)*Resultados!$E140)</f>
        <v>2044.0000000000011</v>
      </c>
      <c r="I140" s="52">
        <f ca="1">IF(ISBLANK(Resultados!$C140),"",
IF(ROW()-1=3,Resultados!$H140,INDIRECT(ADDRESS(ROW()-1,COLUMN()))+Resultados!$H140))</f>
        <v>37884.999999999985</v>
      </c>
      <c r="J140" s="53">
        <f>IFERROR(EOMONTH((WORKDAY(C140,0,Dados!$C$3:$C$29)),-1)+1,"")</f>
        <v>43831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8">
        <v>43833</v>
      </c>
      <c r="C141" s="48">
        <v>43837</v>
      </c>
      <c r="D141" s="49" t="s">
        <v>77</v>
      </c>
      <c r="E141" s="50">
        <v>600</v>
      </c>
      <c r="F141" s="51">
        <v>30.92</v>
      </c>
      <c r="G141" s="51">
        <v>30.82</v>
      </c>
      <c r="H141" s="52">
        <f>IF(OR(Resultados!$F141="",Resultados!$G141=""),"",(Resultados!$G141-Resultados!$F141)*Resultados!$E141)</f>
        <v>-60.000000000000853</v>
      </c>
      <c r="I141" s="52">
        <f ca="1">IF(ISBLANK(Resultados!$C141),"",
IF(ROW()-1=3,Resultados!$H141,INDIRECT(ADDRESS(ROW()-1,COLUMN()))+Resultados!$H141))</f>
        <v>37824.999999999985</v>
      </c>
      <c r="J141" s="53">
        <f>IFERROR(EOMONTH((WORKDAY(C141,0,Dados!$C$3:$C$29)),-1)+1,"")</f>
        <v>43831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8">
        <v>43838</v>
      </c>
      <c r="C142" s="48">
        <v>43840</v>
      </c>
      <c r="D142" s="49" t="s">
        <v>94</v>
      </c>
      <c r="E142" s="50">
        <v>200</v>
      </c>
      <c r="F142" s="51">
        <v>50.03</v>
      </c>
      <c r="G142" s="51">
        <v>52.7</v>
      </c>
      <c r="H142" s="52">
        <f>IF(OR(Resultados!$F142="",Resultados!$G142=""),"",(Resultados!$G142-Resultados!$F142)*Resultados!$E142)</f>
        <v>534.00000000000034</v>
      </c>
      <c r="I142" s="52">
        <f ca="1">IF(ISBLANK(Resultados!$C142),"",
IF(ROW()-1=3,Resultados!$H142,INDIRECT(ADDRESS(ROW()-1,COLUMN()))+Resultados!$H142))</f>
        <v>38358.999999999985</v>
      </c>
      <c r="J142" s="53">
        <f>IFERROR(EOMONTH((WORKDAY(C142,0,Dados!$C$3:$C$29)),-1)+1,"")</f>
        <v>43831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8">
        <v>43837</v>
      </c>
      <c r="C143" s="48">
        <v>43843</v>
      </c>
      <c r="D143" s="49" t="s">
        <v>106</v>
      </c>
      <c r="E143" s="50">
        <v>800</v>
      </c>
      <c r="F143" s="51">
        <v>13.17</v>
      </c>
      <c r="G143" s="51">
        <v>14.01</v>
      </c>
      <c r="H143" s="52">
        <f>IF(OR(Resultados!$F143="",Resultados!$G143=""),"",(Resultados!$G143-Resultados!$F143)*Resultados!$E143)</f>
        <v>671.99999999999989</v>
      </c>
      <c r="I143" s="52">
        <f ca="1">IF(ISBLANK(Resultados!$C143),"",
IF(ROW()-1=3,Resultados!$H143,INDIRECT(ADDRESS(ROW()-1,COLUMN()))+Resultados!$H143))</f>
        <v>39030.999999999985</v>
      </c>
      <c r="J143" s="53">
        <f>IFERROR(EOMONTH((WORKDAY(C143,0,Dados!$C$3:$C$29)),-1)+1,"")</f>
        <v>43831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8">
        <v>43845</v>
      </c>
      <c r="C144" s="48">
        <v>43844</v>
      </c>
      <c r="D144" s="49" t="s">
        <v>119</v>
      </c>
      <c r="E144" s="50">
        <v>600</v>
      </c>
      <c r="F144" s="51">
        <v>17.809999999999999</v>
      </c>
      <c r="G144" s="51">
        <v>19.52</v>
      </c>
      <c r="H144" s="52">
        <f>IF(OR(Resultados!$F144="",Resultados!$G144=""),"",(Resultados!$G144-Resultados!$F144)*Resultados!$E144)</f>
        <v>1026.0000000000005</v>
      </c>
      <c r="I144" s="52">
        <f ca="1">IF(ISBLANK(Resultados!$C144),"",
IF(ROW()-1=3,Resultados!$H144,INDIRECT(ADDRESS(ROW()-1,COLUMN()))+Resultados!$H144))</f>
        <v>40056.999999999985</v>
      </c>
      <c r="J144" s="53">
        <f>IFERROR(EOMONTH((WORKDAY(C144,0,Dados!$C$3:$C$29)),-1)+1,"")</f>
        <v>43831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8">
        <v>43773</v>
      </c>
      <c r="C145" s="48">
        <v>43846</v>
      </c>
      <c r="D145" s="49" t="s">
        <v>100</v>
      </c>
      <c r="E145" s="50">
        <v>400</v>
      </c>
      <c r="F145" s="51">
        <v>21.52</v>
      </c>
      <c r="G145" s="51">
        <v>25.55</v>
      </c>
      <c r="H145" s="52">
        <f>IF(OR(Resultados!$F145="",Resultados!$G145=""),"",(Resultados!$G145-Resultados!$F145)*Resultados!$E145)</f>
        <v>1612.0000000000005</v>
      </c>
      <c r="I145" s="52">
        <f ca="1">IF(ISBLANK(Resultados!$C145),"",
IF(ROW()-1=3,Resultados!$H145,INDIRECT(ADDRESS(ROW()-1,COLUMN()))+Resultados!$H145))</f>
        <v>41668.999999999985</v>
      </c>
      <c r="J145" s="53">
        <f>IFERROR(EOMONTH((WORKDAY(C145,0,Dados!$C$3:$C$29)),-1)+1,"")</f>
        <v>43831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8">
        <v>43840</v>
      </c>
      <c r="C146" s="48">
        <v>43847</v>
      </c>
      <c r="D146" s="49" t="s">
        <v>120</v>
      </c>
      <c r="E146" s="50">
        <v>1600</v>
      </c>
      <c r="F146" s="51">
        <v>12.48</v>
      </c>
      <c r="G146" s="51">
        <v>11.65</v>
      </c>
      <c r="H146" s="52">
        <f>IF(OR(Resultados!$F146="",Resultados!$G146=""),"",(Resultados!$G146-Resultados!$F146)*Resultados!$E146)</f>
        <v>-1328</v>
      </c>
      <c r="I146" s="52">
        <f ca="1">IF(ISBLANK(Resultados!$C146),"",
IF(ROW()-1=3,Resultados!$H146,INDIRECT(ADDRESS(ROW()-1,COLUMN()))+Resultados!$H146))</f>
        <v>40340.999999999985</v>
      </c>
      <c r="J146" s="53">
        <f>IFERROR(EOMONTH((WORKDAY(C146,0,Dados!$C$3:$C$29)),-1)+1,"")</f>
        <v>43831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8">
        <v>43805</v>
      </c>
      <c r="C147" s="48">
        <v>43850</v>
      </c>
      <c r="D147" s="49" t="s">
        <v>121</v>
      </c>
      <c r="E147" s="50">
        <v>2000</v>
      </c>
      <c r="F147" s="51">
        <v>1.3</v>
      </c>
      <c r="G147" s="51">
        <v>0.01</v>
      </c>
      <c r="H147" s="52">
        <f>IF(OR(Resultados!$F147="",Resultados!$G147=""),"",(Resultados!$G147-Resultados!$F147)*Resultados!$E147)</f>
        <v>-2580</v>
      </c>
      <c r="I147" s="52">
        <f ca="1">IF(ISBLANK(Resultados!$C147),"",
IF(ROW()-1=3,Resultados!$H147,INDIRECT(ADDRESS(ROW()-1,COLUMN()))+Resultados!$H147))</f>
        <v>37760.999999999985</v>
      </c>
      <c r="J147" s="53">
        <f>IFERROR(EOMONTH((WORKDAY(C147,0,Dados!$C$3:$C$29)),-1)+1,"")</f>
        <v>43831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8">
        <v>43850</v>
      </c>
      <c r="C148" s="48">
        <v>43850</v>
      </c>
      <c r="D148" s="49" t="s">
        <v>122</v>
      </c>
      <c r="E148" s="50">
        <v>4000</v>
      </c>
      <c r="F148" s="51">
        <v>2</v>
      </c>
      <c r="G148" s="51">
        <v>2.16</v>
      </c>
      <c r="H148" s="52">
        <f>IF(OR(Resultados!$F148="",Resultados!$G148=""),"",(Resultados!$G148-Resultados!$F148)*Resultados!$E148)</f>
        <v>640.00000000000057</v>
      </c>
      <c r="I148" s="52">
        <f ca="1">IF(ISBLANK(Resultados!$C148),"",
IF(ROW()-1=3,Resultados!$H148,INDIRECT(ADDRESS(ROW()-1,COLUMN()))+Resultados!$H148))</f>
        <v>38400.999999999985</v>
      </c>
      <c r="J148" s="53">
        <f>IFERROR(EOMONTH((WORKDAY(C148,0,Dados!$C$3:$C$29)),-1)+1,"")</f>
        <v>43831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8">
        <v>43843</v>
      </c>
      <c r="C149" s="48">
        <v>43851</v>
      </c>
      <c r="D149" s="49" t="s">
        <v>123</v>
      </c>
      <c r="E149" s="50">
        <v>1400</v>
      </c>
      <c r="F149" s="51">
        <v>14.83</v>
      </c>
      <c r="G149" s="51">
        <v>14.9</v>
      </c>
      <c r="H149" s="52">
        <f>IF(OR(Resultados!$F149="",Resultados!$G149=""),"",(Resultados!$G149-Resultados!$F149)*Resultados!$E149)</f>
        <v>98.000000000000398</v>
      </c>
      <c r="I149" s="52">
        <f ca="1">IF(ISBLANK(Resultados!$C149),"",
IF(ROW()-1=3,Resultados!$H149,INDIRECT(ADDRESS(ROW()-1,COLUMN()))+Resultados!$H149))</f>
        <v>38498.999999999985</v>
      </c>
      <c r="J149" s="53">
        <f>IFERROR(EOMONTH((WORKDAY(C149,0,Dados!$C$3:$C$29)),-1)+1,"")</f>
        <v>43831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8">
        <v>43844</v>
      </c>
      <c r="C150" s="48">
        <v>43851</v>
      </c>
      <c r="D150" s="49" t="s">
        <v>101</v>
      </c>
      <c r="E150" s="50">
        <v>400</v>
      </c>
      <c r="F150" s="51">
        <v>25.65</v>
      </c>
      <c r="G150" s="51">
        <v>26.8</v>
      </c>
      <c r="H150" s="52">
        <f>IF(OR(Resultados!$F150="",Resultados!$G150=""),"",(Resultados!$G150-Resultados!$F150)*Resultados!$E150)</f>
        <v>460.00000000000085</v>
      </c>
      <c r="I150" s="52">
        <f ca="1">IF(ISBLANK(Resultados!$C150),"",
IF(ROW()-1=3,Resultados!$H150,INDIRECT(ADDRESS(ROW()-1,COLUMN()))+Resultados!$H150))</f>
        <v>38958.999999999985</v>
      </c>
      <c r="J150" s="53">
        <f>IFERROR(EOMONTH((WORKDAY(C150,0,Dados!$C$3:$C$29)),-1)+1,"")</f>
        <v>43831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8">
        <v>43839</v>
      </c>
      <c r="C151" s="48">
        <v>43852</v>
      </c>
      <c r="D151" s="49" t="s">
        <v>88</v>
      </c>
      <c r="E151" s="50">
        <v>300</v>
      </c>
      <c r="F151" s="51">
        <v>33.81</v>
      </c>
      <c r="G151" s="51">
        <v>35.270000000000003</v>
      </c>
      <c r="H151" s="52">
        <f>IF(OR(Resultados!$F151="",Resultados!$G151=""),"",(Resultados!$G151-Resultados!$F151)*Resultados!$E151)</f>
        <v>438.00000000000023</v>
      </c>
      <c r="I151" s="52">
        <f ca="1">IF(ISBLANK(Resultados!$C151),"",
IF(ROW()-1=3,Resultados!$H151,INDIRECT(ADDRESS(ROW()-1,COLUMN()))+Resultados!$H151))</f>
        <v>39396.999999999985</v>
      </c>
      <c r="J151" s="53">
        <f>IFERROR(EOMONTH((WORKDAY(C151,0,Dados!$C$3:$C$29)),-1)+1,"")</f>
        <v>43831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8">
        <v>43852</v>
      </c>
      <c r="C152" s="48">
        <v>43852</v>
      </c>
      <c r="D152" s="49" t="s">
        <v>48</v>
      </c>
      <c r="E152" s="50">
        <v>500</v>
      </c>
      <c r="F152" s="51">
        <v>21.25</v>
      </c>
      <c r="G152" s="51">
        <v>21.92</v>
      </c>
      <c r="H152" s="52">
        <f>IF(OR(Resultados!$F152="",Resultados!$G152=""),"",(Resultados!$G152-Resultados!$F152)*Resultados!$E152)</f>
        <v>335.00000000000085</v>
      </c>
      <c r="I152" s="52">
        <f ca="1">IF(ISBLANK(Resultados!$C152),"",
IF(ROW()-1=3,Resultados!$H152,INDIRECT(ADDRESS(ROW()-1,COLUMN()))+Resultados!$H152))</f>
        <v>39731.999999999985</v>
      </c>
      <c r="J152" s="53">
        <f>IFERROR(EOMONTH((WORKDAY(C152,0,Dados!$C$3:$C$29)),-1)+1,"")</f>
        <v>43831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8">
        <v>43811</v>
      </c>
      <c r="C153" s="48">
        <v>43853</v>
      </c>
      <c r="D153" s="49" t="s">
        <v>74</v>
      </c>
      <c r="E153" s="50">
        <v>400</v>
      </c>
      <c r="F153" s="51">
        <v>17.21</v>
      </c>
      <c r="G153" s="51">
        <v>18.09</v>
      </c>
      <c r="H153" s="52">
        <f>IF(OR(Resultados!$F153="",Resultados!$G153=""),"",(Resultados!$G153-Resultados!$F153)*Resultados!$E153)</f>
        <v>351.9999999999996</v>
      </c>
      <c r="I153" s="52">
        <f ca="1">IF(ISBLANK(Resultados!$C153),"",
IF(ROW()-1=3,Resultados!$H153,INDIRECT(ADDRESS(ROW()-1,COLUMN()))+Resultados!$H153))</f>
        <v>40083.999999999985</v>
      </c>
      <c r="J153" s="53">
        <f>IFERROR(EOMONTH((WORKDAY(C153,0,Dados!$C$3:$C$29)),-1)+1,"")</f>
        <v>43831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8">
        <v>43837</v>
      </c>
      <c r="C154" s="48">
        <v>43853</v>
      </c>
      <c r="D154" s="49" t="s">
        <v>106</v>
      </c>
      <c r="E154" s="50">
        <v>700</v>
      </c>
      <c r="F154" s="51">
        <v>13.17</v>
      </c>
      <c r="G154" s="51">
        <v>13.82</v>
      </c>
      <c r="H154" s="52">
        <f>IF(OR(Resultados!$F154="",Resultados!$G154=""),"",(Resultados!$G154-Resultados!$F154)*Resultados!$E154)</f>
        <v>455.00000000000023</v>
      </c>
      <c r="I154" s="52">
        <f ca="1">IF(ISBLANK(Resultados!$C154),"",
IF(ROW()-1=3,Resultados!$H154,INDIRECT(ADDRESS(ROW()-1,COLUMN()))+Resultados!$H154))</f>
        <v>40538.999999999985</v>
      </c>
      <c r="J154" s="53">
        <f>IFERROR(EOMONTH((WORKDAY(C154,0,Dados!$C$3:$C$29)),-1)+1,"")</f>
        <v>43831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8">
        <v>43851</v>
      </c>
      <c r="C155" s="48">
        <v>43853</v>
      </c>
      <c r="D155" s="49" t="s">
        <v>53</v>
      </c>
      <c r="E155" s="50">
        <v>300</v>
      </c>
      <c r="F155" s="51">
        <v>64.400000000000006</v>
      </c>
      <c r="G155" s="51">
        <v>61.42</v>
      </c>
      <c r="H155" s="52">
        <f>IF(OR(Resultados!$F155="",Resultados!$G155=""),"",(Resultados!$G155-Resultados!$F155)*Resultados!$E155)</f>
        <v>-894.00000000000114</v>
      </c>
      <c r="I155" s="52">
        <f ca="1">IF(ISBLANK(Resultados!$C155),"",
IF(ROW()-1=3,Resultados!$H155,INDIRECT(ADDRESS(ROW()-1,COLUMN()))+Resultados!$H155))</f>
        <v>39644.999999999985</v>
      </c>
      <c r="J155" s="53">
        <f>IFERROR(EOMONTH((WORKDAY(C155,0,Dados!$C$3:$C$29)),-1)+1,"")</f>
        <v>43831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8">
        <v>43839</v>
      </c>
      <c r="C156" s="48">
        <v>43857</v>
      </c>
      <c r="D156" s="49" t="s">
        <v>124</v>
      </c>
      <c r="E156" s="50">
        <v>200</v>
      </c>
      <c r="F156" s="51">
        <v>91.16</v>
      </c>
      <c r="G156" s="51">
        <v>86.78</v>
      </c>
      <c r="H156" s="52">
        <f>IF(OR(Resultados!$F156="",Resultados!$G156=""),"",(Resultados!$G156-Resultados!$F156)*Resultados!$E156)</f>
        <v>-875.99999999999909</v>
      </c>
      <c r="I156" s="52">
        <f ca="1">IF(ISBLANK(Resultados!$C156),"",
IF(ROW()-1=3,Resultados!$H156,INDIRECT(ADDRESS(ROW()-1,COLUMN()))+Resultados!$H156))</f>
        <v>38768.999999999985</v>
      </c>
      <c r="J156" s="53">
        <f>IFERROR(EOMONTH((WORKDAY(C156,0,Dados!$C$3:$C$29)),-1)+1,"")</f>
        <v>43831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8">
        <v>43844</v>
      </c>
      <c r="C157" s="48">
        <v>43857</v>
      </c>
      <c r="D157" s="49" t="s">
        <v>119</v>
      </c>
      <c r="E157" s="50">
        <v>500</v>
      </c>
      <c r="F157" s="51">
        <v>17.809999999999999</v>
      </c>
      <c r="G157" s="51">
        <v>18.46</v>
      </c>
      <c r="H157" s="52">
        <f>IF(OR(Resultados!$F157="",Resultados!$G157=""),"",(Resultados!$G157-Resultados!$F157)*Resultados!$E157)</f>
        <v>325.00000000000108</v>
      </c>
      <c r="I157" s="52">
        <f ca="1">IF(ISBLANK(Resultados!$C157),"",
IF(ROW()-1=3,Resultados!$H157,INDIRECT(ADDRESS(ROW()-1,COLUMN()))+Resultados!$H157))</f>
        <v>39093.999999999985</v>
      </c>
      <c r="J157" s="53">
        <f>IFERROR(EOMONTH((WORKDAY(C157,0,Dados!$C$3:$C$29)),-1)+1,"")</f>
        <v>43831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8">
        <v>43850</v>
      </c>
      <c r="C158" s="48">
        <v>43857</v>
      </c>
      <c r="D158" s="49" t="s">
        <v>122</v>
      </c>
      <c r="E158" s="50">
        <v>4000</v>
      </c>
      <c r="F158" s="51">
        <v>2</v>
      </c>
      <c r="G158" s="51">
        <v>1.99</v>
      </c>
      <c r="H158" s="52">
        <f>IF(OR(Resultados!$F158="",Resultados!$G158=""),"",(Resultados!$G158-Resultados!$F158)*Resultados!$E158)</f>
        <v>-40.000000000000036</v>
      </c>
      <c r="I158" s="52">
        <f ca="1">IF(ISBLANK(Resultados!$C158),"",
IF(ROW()-1=3,Resultados!$H158,INDIRECT(ADDRESS(ROW()-1,COLUMN()))+Resultados!$H158))</f>
        <v>39053.999999999985</v>
      </c>
      <c r="J158" s="53">
        <f>IFERROR(EOMONTH((WORKDAY(C158,0,Dados!$C$3:$C$29)),-1)+1,"")</f>
        <v>43831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8">
        <v>43844</v>
      </c>
      <c r="C159" s="48">
        <v>43859</v>
      </c>
      <c r="D159" s="49" t="s">
        <v>101</v>
      </c>
      <c r="E159" s="50">
        <v>400</v>
      </c>
      <c r="F159" s="51">
        <v>25.65</v>
      </c>
      <c r="G159" s="51">
        <v>25.86</v>
      </c>
      <c r="H159" s="52">
        <f>IF(OR(Resultados!$F159="",Resultados!$G159=""),"",(Resultados!$G159-Resultados!$F159)*Resultados!$E159)</f>
        <v>84.000000000000341</v>
      </c>
      <c r="I159" s="52">
        <f ca="1">IF(ISBLANK(Resultados!$C159),"",
IF(ROW()-1=3,Resultados!$H159,INDIRECT(ADDRESS(ROW()-1,COLUMN()))+Resultados!$H159))</f>
        <v>39137.999999999985</v>
      </c>
      <c r="J159" s="53">
        <f>IFERROR(EOMONTH((WORKDAY(C159,0,Dados!$C$3:$C$29)),-1)+1,"")</f>
        <v>43831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8">
        <v>43797</v>
      </c>
      <c r="C160" s="48">
        <v>43860</v>
      </c>
      <c r="D160" s="49" t="s">
        <v>115</v>
      </c>
      <c r="E160" s="50">
        <v>300</v>
      </c>
      <c r="F160" s="51">
        <v>21.86</v>
      </c>
      <c r="G160" s="51">
        <v>27.77</v>
      </c>
      <c r="H160" s="52">
        <f>IF(OR(Resultados!$F160="",Resultados!$G160=""),"",(Resultados!$G160-Resultados!$F160)*Resultados!$E160)</f>
        <v>1773</v>
      </c>
      <c r="I160" s="52">
        <f ca="1">IF(ISBLANK(Resultados!$C160),"",
IF(ROW()-1=3,Resultados!$H160,INDIRECT(ADDRESS(ROW()-1,COLUMN()))+Resultados!$H160))</f>
        <v>40910.999999999985</v>
      </c>
      <c r="J160" s="53">
        <f>IFERROR(EOMONTH((WORKDAY(C160,0,Dados!$C$3:$C$29)),-1)+1,"")</f>
        <v>43831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8">
        <v>43847</v>
      </c>
      <c r="C161" s="48">
        <v>43860</v>
      </c>
      <c r="D161" s="49" t="s">
        <v>125</v>
      </c>
      <c r="E161" s="50">
        <v>2000</v>
      </c>
      <c r="F161" s="51">
        <v>10.199999999999999</v>
      </c>
      <c r="G161" s="51">
        <v>9.69</v>
      </c>
      <c r="H161" s="52">
        <f>IF(OR(Resultados!$F161="",Resultados!$G161=""),"",(Resultados!$G161-Resultados!$F161)*Resultados!$E161)</f>
        <v>-1019.9999999999995</v>
      </c>
      <c r="I161" s="52">
        <f ca="1">IF(ISBLANK(Resultados!$C161),"",
IF(ROW()-1=3,Resultados!$H161,INDIRECT(ADDRESS(ROW()-1,COLUMN()))+Resultados!$H161))</f>
        <v>39890.999999999985</v>
      </c>
      <c r="J161" s="53">
        <f>IFERROR(EOMONTH((WORKDAY(C161,0,Dados!$C$3:$C$29)),-1)+1,"")</f>
        <v>43831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8">
        <v>43850</v>
      </c>
      <c r="C162" s="48">
        <v>43860</v>
      </c>
      <c r="D162" s="49" t="s">
        <v>126</v>
      </c>
      <c r="E162" s="50">
        <v>600</v>
      </c>
      <c r="F162" s="51">
        <v>33.18</v>
      </c>
      <c r="G162" s="51">
        <v>31.02</v>
      </c>
      <c r="H162" s="52">
        <f>IF(OR(Resultados!$F162="",Resultados!$G162=""),"",(Resultados!$G162-Resultados!$F162)*Resultados!$E162)</f>
        <v>-1296</v>
      </c>
      <c r="I162" s="52">
        <f ca="1">IF(ISBLANK(Resultados!$C162),"",
IF(ROW()-1=3,Resultados!$H162,INDIRECT(ADDRESS(ROW()-1,COLUMN()))+Resultados!$H162))</f>
        <v>38594.999999999985</v>
      </c>
      <c r="J162" s="53">
        <f>IFERROR(EOMONTH((WORKDAY(C162,0,Dados!$C$3:$C$29)),-1)+1,"")</f>
        <v>43831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8">
        <v>43850</v>
      </c>
      <c r="C163" s="48">
        <v>43860</v>
      </c>
      <c r="D163" s="49" t="s">
        <v>103</v>
      </c>
      <c r="E163" s="50">
        <v>400</v>
      </c>
      <c r="F163" s="51">
        <v>65.66</v>
      </c>
      <c r="G163" s="51">
        <v>62.07</v>
      </c>
      <c r="H163" s="52">
        <f>IF(OR(Resultados!$F163="",Resultados!$G163=""),"",(Resultados!$G163-Resultados!$F163)*Resultados!$E163)</f>
        <v>-1435.9999999999986</v>
      </c>
      <c r="I163" s="52">
        <f ca="1">IF(ISBLANK(Resultados!$C163),"",
IF(ROW()-1=3,Resultados!$H163,INDIRECT(ADDRESS(ROW()-1,COLUMN()))+Resultados!$H163))</f>
        <v>37158.999999999985</v>
      </c>
      <c r="J163" s="53">
        <f>IFERROR(EOMONTH((WORKDAY(C163,0,Dados!$C$3:$C$29)),-1)+1,"")</f>
        <v>43831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8">
        <v>43852</v>
      </c>
      <c r="C164" s="48">
        <v>43860</v>
      </c>
      <c r="D164" s="49" t="s">
        <v>48</v>
      </c>
      <c r="E164" s="50">
        <v>400</v>
      </c>
      <c r="F164" s="51">
        <v>21.25</v>
      </c>
      <c r="G164" s="51">
        <v>20.38</v>
      </c>
      <c r="H164" s="52">
        <f>IF(OR(Resultados!$F164="",Resultados!$G164=""),"",(Resultados!$G164-Resultados!$F164)*Resultados!$E164)</f>
        <v>-348.0000000000004</v>
      </c>
      <c r="I164" s="52">
        <f ca="1">IF(ISBLANK(Resultados!$C164),"",
IF(ROW()-1=3,Resultados!$H164,INDIRECT(ADDRESS(ROW()-1,COLUMN()))+Resultados!$H164))</f>
        <v>36810.999999999985</v>
      </c>
      <c r="J164" s="53">
        <f>IFERROR(EOMONTH((WORKDAY(C164,0,Dados!$C$3:$C$29)),-1)+1,"")</f>
        <v>43831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8">
        <v>44169</v>
      </c>
      <c r="C165" s="48">
        <v>43861</v>
      </c>
      <c r="D165" s="49" t="s">
        <v>90</v>
      </c>
      <c r="E165" s="50">
        <v>200</v>
      </c>
      <c r="F165" s="51">
        <v>53.02</v>
      </c>
      <c r="G165" s="51">
        <v>57.49</v>
      </c>
      <c r="H165" s="52">
        <f>IF(OR(Resultados!$F165="",Resultados!$G165=""),"",(Resultados!$G165-Resultados!$F165)*Resultados!$E165)</f>
        <v>893.99999999999977</v>
      </c>
      <c r="I165" s="52">
        <f ca="1">IF(ISBLANK(Resultados!$C165),"",
IF(ROW()-1=3,Resultados!$H165,INDIRECT(ADDRESS(ROW()-1,COLUMN()))+Resultados!$H165))</f>
        <v>37704.999999999985</v>
      </c>
      <c r="J165" s="53">
        <f>IFERROR(EOMONTH((WORKDAY(C165,0,Dados!$C$3:$C$29)),-1)+1,"")</f>
        <v>43831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8">
        <v>43844</v>
      </c>
      <c r="C166" s="48">
        <v>43865</v>
      </c>
      <c r="D166" s="49" t="s">
        <v>100</v>
      </c>
      <c r="E166" s="50">
        <v>400</v>
      </c>
      <c r="F166" s="51">
        <v>25.15</v>
      </c>
      <c r="G166" s="51">
        <v>26.82</v>
      </c>
      <c r="H166" s="52">
        <f>IF(OR(Resultados!$F166="",Resultados!$G166=""),"",(Resultados!$G166-Resultados!$F166)*Resultados!$E166)</f>
        <v>668.00000000000068</v>
      </c>
      <c r="I166" s="52">
        <f ca="1">IF(ISBLANK(Resultados!$C166),"",
IF(ROW()-1=3,Resultados!$H166,INDIRECT(ADDRESS(ROW()-1,COLUMN()))+Resultados!$H166))</f>
        <v>38372.999999999985</v>
      </c>
      <c r="J166" s="53">
        <f>IFERROR(EOMONTH((WORKDAY(C166,0,Dados!$C$3:$C$29)),-1)+1,"")</f>
        <v>43862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8">
        <v>43839</v>
      </c>
      <c r="C167" s="48">
        <v>43867</v>
      </c>
      <c r="D167" s="49" t="s">
        <v>88</v>
      </c>
      <c r="E167" s="50">
        <v>300</v>
      </c>
      <c r="F167" s="51">
        <v>33.81</v>
      </c>
      <c r="G167" s="51">
        <v>35.9</v>
      </c>
      <c r="H167" s="52">
        <f>IF(OR(Resultados!$F167="",Resultados!$G167=""),"",(Resultados!$G167-Resultados!$F167)*Resultados!$E167)</f>
        <v>626.99999999999886</v>
      </c>
      <c r="I167" s="52">
        <f ca="1">IF(ISBLANK(Resultados!$C167),"",
IF(ROW()-1=3,Resultados!$H167,INDIRECT(ADDRESS(ROW()-1,COLUMN()))+Resultados!$H167))</f>
        <v>38999.999999999985</v>
      </c>
      <c r="J167" s="53">
        <f>IFERROR(EOMONTH((WORKDAY(C167,0,Dados!$C$3:$C$29)),-1)+1,"")</f>
        <v>43862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8">
        <v>43865</v>
      </c>
      <c r="C168" s="48">
        <v>43868</v>
      </c>
      <c r="D168" s="49" t="s">
        <v>73</v>
      </c>
      <c r="E168" s="50">
        <v>1000</v>
      </c>
      <c r="F168" s="51">
        <v>21.11</v>
      </c>
      <c r="G168" s="51">
        <v>20.64</v>
      </c>
      <c r="H168" s="52">
        <f>IF(OR(Resultados!$F168="",Resultados!$G168=""),"",(Resultados!$G168-Resultados!$F168)*Resultados!$E168)</f>
        <v>-469.99999999999886</v>
      </c>
      <c r="I168" s="52">
        <f ca="1">IF(ISBLANK(Resultados!$C168),"",
IF(ROW()-1=3,Resultados!$H168,INDIRECT(ADDRESS(ROW()-1,COLUMN()))+Resultados!$H168))</f>
        <v>38529.999999999985</v>
      </c>
      <c r="J168" s="53">
        <f>IFERROR(EOMONTH((WORKDAY(C168,0,Dados!$C$3:$C$29)),-1)+1,"")</f>
        <v>43862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8">
        <v>43838</v>
      </c>
      <c r="C169" s="48">
        <v>43871</v>
      </c>
      <c r="D169" s="49" t="s">
        <v>94</v>
      </c>
      <c r="E169" s="50">
        <v>200</v>
      </c>
      <c r="F169" s="51">
        <v>50.03</v>
      </c>
      <c r="G169" s="51">
        <v>53.49</v>
      </c>
      <c r="H169" s="52">
        <f>IF(OR(Resultados!$F169="",Resultados!$G169=""),"",(Resultados!$G169-Resultados!$F169)*Resultados!$E169)</f>
        <v>692.00000000000023</v>
      </c>
      <c r="I169" s="52">
        <f ca="1">IF(ISBLANK(Resultados!$C169),"",
IF(ROW()-1=3,Resultados!$H169,INDIRECT(ADDRESS(ROW()-1,COLUMN()))+Resultados!$H169))</f>
        <v>39221.999999999985</v>
      </c>
      <c r="J169" s="53">
        <f>IFERROR(EOMONTH((WORKDAY(C169,0,Dados!$C$3:$C$29)),-1)+1,"")</f>
        <v>43862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8">
        <v>43843</v>
      </c>
      <c r="C170" s="48">
        <v>43871</v>
      </c>
      <c r="D170" s="49" t="s">
        <v>127</v>
      </c>
      <c r="E170" s="50">
        <v>200</v>
      </c>
      <c r="F170" s="51">
        <v>64.63</v>
      </c>
      <c r="G170" s="51">
        <v>67.069999999999993</v>
      </c>
      <c r="H170" s="52">
        <f>IF(OR(Resultados!$F170="",Resultados!$G170=""),"",(Resultados!$G170-Resultados!$F170)*Resultados!$E170)</f>
        <v>487.99999999999955</v>
      </c>
      <c r="I170" s="52">
        <f ca="1">IF(ISBLANK(Resultados!$C170),"",
IF(ROW()-1=3,Resultados!$H170,INDIRECT(ADDRESS(ROW()-1,COLUMN()))+Resultados!$H170))</f>
        <v>39709.999999999985</v>
      </c>
      <c r="J170" s="53">
        <f>IFERROR(EOMONTH((WORKDAY(C170,0,Dados!$C$3:$C$29)),-1)+1,"")</f>
        <v>43862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8">
        <v>43844</v>
      </c>
      <c r="C171" s="48">
        <v>43871</v>
      </c>
      <c r="D171" s="49" t="s">
        <v>100</v>
      </c>
      <c r="E171" s="50">
        <v>400</v>
      </c>
      <c r="F171" s="51">
        <v>25.15</v>
      </c>
      <c r="G171" s="51">
        <v>25.98</v>
      </c>
      <c r="H171" s="52">
        <f>IF(OR(Resultados!$F171="",Resultados!$G171=""),"",(Resultados!$G171-Resultados!$F171)*Resultados!$E171)</f>
        <v>332.00000000000074</v>
      </c>
      <c r="I171" s="52">
        <f ca="1">IF(ISBLANK(Resultados!$C171),"",
IF(ROW()-1=3,Resultados!$H171,INDIRECT(ADDRESS(ROW()-1,COLUMN()))+Resultados!$H171))</f>
        <v>40041.999999999985</v>
      </c>
      <c r="J171" s="53">
        <f>IFERROR(EOMONTH((WORKDAY(C171,0,Dados!$C$3:$C$29)),-1)+1,"")</f>
        <v>43862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8">
        <v>43866</v>
      </c>
      <c r="C172" s="48">
        <v>43871</v>
      </c>
      <c r="D172" s="49" t="s">
        <v>112</v>
      </c>
      <c r="E172" s="50">
        <v>2200</v>
      </c>
      <c r="F172" s="51">
        <v>8.91</v>
      </c>
      <c r="G172" s="51">
        <v>8.4</v>
      </c>
      <c r="H172" s="52">
        <f>IF(OR(Resultados!$F172="",Resultados!$G172=""),"",(Resultados!$G172-Resultados!$F172)*Resultados!$E172)</f>
        <v>-1121.9999999999995</v>
      </c>
      <c r="I172" s="52">
        <f ca="1">IF(ISBLANK(Resultados!$C172),"",
IF(ROW()-1=3,Resultados!$H172,INDIRECT(ADDRESS(ROW()-1,COLUMN()))+Resultados!$H172))</f>
        <v>38919.999999999985</v>
      </c>
      <c r="J172" s="53">
        <f>IFERROR(EOMONTH((WORKDAY(C172,0,Dados!$C$3:$C$29)),-1)+1,"")</f>
        <v>43862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8">
        <v>44168</v>
      </c>
      <c r="C173" s="48">
        <v>43871</v>
      </c>
      <c r="D173" s="49" t="s">
        <v>83</v>
      </c>
      <c r="E173" s="50">
        <v>700</v>
      </c>
      <c r="F173" s="51">
        <v>14.11</v>
      </c>
      <c r="G173" s="51">
        <v>15.37</v>
      </c>
      <c r="H173" s="52">
        <f>IF(OR(Resultados!$F173="",Resultados!$G173=""),"",(Resultados!$G173-Resultados!$F173)*Resultados!$E173)</f>
        <v>881.99999999999989</v>
      </c>
      <c r="I173" s="52">
        <f ca="1">IF(ISBLANK(Resultados!$C173),"",
IF(ROW()-1=3,Resultados!$H173,INDIRECT(ADDRESS(ROW()-1,COLUMN()))+Resultados!$H173))</f>
        <v>39801.999999999985</v>
      </c>
      <c r="J173" s="53">
        <f>IFERROR(EOMONTH((WORKDAY(C173,0,Dados!$C$3:$C$29)),-1)+1,"")</f>
        <v>43862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8">
        <v>43839</v>
      </c>
      <c r="C174" s="48">
        <v>43878</v>
      </c>
      <c r="D174" s="49" t="s">
        <v>128</v>
      </c>
      <c r="E174" s="50">
        <v>2000</v>
      </c>
      <c r="F174" s="51">
        <v>1.19</v>
      </c>
      <c r="G174" s="51">
        <v>0.01</v>
      </c>
      <c r="H174" s="52">
        <f>IF(OR(Resultados!$F174="",Resultados!$G174=""),"",(Resultados!$G174-Resultados!$F174)*Resultados!$E174)</f>
        <v>-2360</v>
      </c>
      <c r="I174" s="52">
        <f ca="1">IF(ISBLANK(Resultados!$C174),"",
IF(ROW()-1=3,Resultados!$H174,INDIRECT(ADDRESS(ROW()-1,COLUMN()))+Resultados!$H174))</f>
        <v>37441.999999999985</v>
      </c>
      <c r="J174" s="53">
        <f>IFERROR(EOMONTH((WORKDAY(C174,0,Dados!$C$3:$C$29)),-1)+1,"")</f>
        <v>43862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8">
        <v>43873</v>
      </c>
      <c r="C175" s="48">
        <v>43879</v>
      </c>
      <c r="D175" s="49" t="s">
        <v>129</v>
      </c>
      <c r="E175" s="50">
        <v>300</v>
      </c>
      <c r="F175" s="51">
        <v>33.97</v>
      </c>
      <c r="G175" s="51">
        <v>36.36</v>
      </c>
      <c r="H175" s="52">
        <f>IF(OR(Resultados!$F175="",Resultados!$G175=""),"",(Resultados!$G175-Resultados!$F175)*Resultados!$E175)</f>
        <v>717.00000000000023</v>
      </c>
      <c r="I175" s="52">
        <f ca="1">IF(ISBLANK(Resultados!$C175),"",
IF(ROW()-1=3,Resultados!$H175,INDIRECT(ADDRESS(ROW()-1,COLUMN()))+Resultados!$H175))</f>
        <v>38158.999999999985</v>
      </c>
      <c r="J175" s="53">
        <f>IFERROR(EOMONTH((WORKDAY(C175,0,Dados!$C$3:$C$29)),-1)+1,"")</f>
        <v>43862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8">
        <v>43880</v>
      </c>
      <c r="C176" s="48">
        <v>43882</v>
      </c>
      <c r="D176" s="49" t="s">
        <v>130</v>
      </c>
      <c r="E176" s="50">
        <v>300</v>
      </c>
      <c r="F176" s="51">
        <v>37.270000000000003</v>
      </c>
      <c r="G176" s="51">
        <v>39.75</v>
      </c>
      <c r="H176" s="52">
        <f>IF(OR(Resultados!$F176="",Resultados!$G176=""),"",(Resultados!$G176-Resultados!$F176)*Resultados!$E176)</f>
        <v>743.99999999999909</v>
      </c>
      <c r="I176" s="52">
        <f ca="1">IF(ISBLANK(Resultados!$C176),"",
IF(ROW()-1=3,Resultados!$H176,INDIRECT(ADDRESS(ROW()-1,COLUMN()))+Resultados!$H176))</f>
        <v>38902.999999999985</v>
      </c>
      <c r="J176" s="53">
        <f>IFERROR(EOMONTH((WORKDAY(C176,0,Dados!$C$3:$C$29)),-1)+1,"")</f>
        <v>43862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8">
        <v>43880</v>
      </c>
      <c r="C177" s="48">
        <v>43882</v>
      </c>
      <c r="D177" s="49" t="s">
        <v>104</v>
      </c>
      <c r="E177" s="50">
        <v>600</v>
      </c>
      <c r="F177" s="51">
        <v>15.43</v>
      </c>
      <c r="G177" s="51">
        <v>16.600000000000001</v>
      </c>
      <c r="H177" s="52">
        <f>IF(OR(Resultados!$F177="",Resultados!$G177=""),"",(Resultados!$G177-Resultados!$F177)*Resultados!$E177)</f>
        <v>702.00000000000102</v>
      </c>
      <c r="I177" s="52">
        <f ca="1">IF(ISBLANK(Resultados!$C177),"",
IF(ROW()-1=3,Resultados!$H177,INDIRECT(ADDRESS(ROW()-1,COLUMN()))+Resultados!$H177))</f>
        <v>39604.999999999985</v>
      </c>
      <c r="J177" s="53">
        <f>IFERROR(EOMONTH((WORKDAY(C177,0,Dados!$C$3:$C$29)),-1)+1,"")</f>
        <v>43862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8">
        <v>43880</v>
      </c>
      <c r="C178" s="48">
        <v>43887</v>
      </c>
      <c r="D178" s="49" t="s">
        <v>97</v>
      </c>
      <c r="E178" s="50">
        <v>900</v>
      </c>
      <c r="F178" s="51">
        <v>22.74</v>
      </c>
      <c r="G178" s="51">
        <v>21.56</v>
      </c>
      <c r="H178" s="52">
        <f>IF(OR(Resultados!$F178="",Resultados!$G178=""),"",(Resultados!$G178-Resultados!$F178)*Resultados!$E178)</f>
        <v>-1061.9999999999998</v>
      </c>
      <c r="I178" s="52">
        <f ca="1">IF(ISBLANK(Resultados!$C178),"",
IF(ROW()-1=3,Resultados!$H178,INDIRECT(ADDRESS(ROW()-1,COLUMN()))+Resultados!$H178))</f>
        <v>38542.999999999985</v>
      </c>
      <c r="J178" s="53">
        <f>IFERROR(EOMONTH((WORKDAY(C178,0,Dados!$C$3:$C$29)),-1)+1,"")</f>
        <v>43862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8">
        <v>43880</v>
      </c>
      <c r="C179" s="48">
        <v>43887</v>
      </c>
      <c r="D179" s="49" t="s">
        <v>119</v>
      </c>
      <c r="E179" s="50">
        <v>1100</v>
      </c>
      <c r="F179" s="51">
        <v>17.66</v>
      </c>
      <c r="G179" s="51">
        <v>16.3</v>
      </c>
      <c r="H179" s="52">
        <f>IF(OR(Resultados!$F179="",Resultados!$G179=""),"",(Resultados!$G179-Resultados!$F179)*Resultados!$E179)</f>
        <v>-1495.9999999999993</v>
      </c>
      <c r="I179" s="52">
        <f ca="1">IF(ISBLANK(Resultados!$C179),"",
IF(ROW()-1=3,Resultados!$H179,INDIRECT(ADDRESS(ROW()-1,COLUMN()))+Resultados!$H179))</f>
        <v>37046.999999999985</v>
      </c>
      <c r="J179" s="53">
        <f>IFERROR(EOMONTH((WORKDAY(C179,0,Dados!$C$3:$C$29)),-1)+1,"")</f>
        <v>43862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8">
        <v>43880</v>
      </c>
      <c r="C180" s="48">
        <v>43887</v>
      </c>
      <c r="D180" s="49" t="s">
        <v>131</v>
      </c>
      <c r="E180" s="50">
        <v>600</v>
      </c>
      <c r="F180" s="51">
        <v>34.44</v>
      </c>
      <c r="G180" s="51">
        <v>31.49</v>
      </c>
      <c r="H180" s="52">
        <f>IF(OR(Resultados!$F180="",Resultados!$G180=""),"",(Resultados!$G180-Resultados!$F180)*Resultados!$E180)</f>
        <v>-1769.9999999999995</v>
      </c>
      <c r="I180" s="52">
        <f ca="1">IF(ISBLANK(Resultados!$C180),"",
IF(ROW()-1=3,Resultados!$H180,INDIRECT(ADDRESS(ROW()-1,COLUMN()))+Resultados!$H180))</f>
        <v>35276.999999999985</v>
      </c>
      <c r="J180" s="53">
        <f>IFERROR(EOMONTH((WORKDAY(C180,0,Dados!$C$3:$C$29)),-1)+1,"")</f>
        <v>43862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8">
        <v>43880</v>
      </c>
      <c r="C181" s="48">
        <v>43887</v>
      </c>
      <c r="D181" s="49" t="s">
        <v>104</v>
      </c>
      <c r="E181" s="50">
        <v>600</v>
      </c>
      <c r="F181" s="51">
        <v>15.43</v>
      </c>
      <c r="G181" s="51">
        <v>15.49</v>
      </c>
      <c r="H181" s="52">
        <f>IF(OR(Resultados!$F181="",Resultados!$G181=""),"",(Resultados!$G181-Resultados!$F181)*Resultados!$E181)</f>
        <v>36.000000000000298</v>
      </c>
      <c r="I181" s="52">
        <f ca="1">IF(ISBLANK(Resultados!$C181),"",
IF(ROW()-1=3,Resultados!$H181,INDIRECT(ADDRESS(ROW()-1,COLUMN()))+Resultados!$H181))</f>
        <v>35312.999999999985</v>
      </c>
      <c r="J181" s="53">
        <f>IFERROR(EOMONTH((WORKDAY(C181,0,Dados!$C$3:$C$29)),-1)+1,"")</f>
        <v>43862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8">
        <v>43880</v>
      </c>
      <c r="C182" s="48">
        <v>43887</v>
      </c>
      <c r="D182" s="49" t="s">
        <v>132</v>
      </c>
      <c r="E182" s="50">
        <v>300</v>
      </c>
      <c r="F182" s="51">
        <v>65.8</v>
      </c>
      <c r="G182" s="51">
        <v>60.59</v>
      </c>
      <c r="H182" s="52">
        <f>IF(OR(Resultados!$F182="",Resultados!$G182=""),"",(Resultados!$G182-Resultados!$F182)*Resultados!$E182)</f>
        <v>-1562.9999999999982</v>
      </c>
      <c r="I182" s="52">
        <f ca="1">IF(ISBLANK(Resultados!$C182),"",
IF(ROW()-1=3,Resultados!$H182,INDIRECT(ADDRESS(ROW()-1,COLUMN()))+Resultados!$H182))</f>
        <v>33749.999999999985</v>
      </c>
      <c r="J182" s="53">
        <f>IFERROR(EOMONTH((WORKDAY(C182,0,Dados!$C$3:$C$29)),-1)+1,"")</f>
        <v>43862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8">
        <v>43880</v>
      </c>
      <c r="C183" s="48">
        <v>43887</v>
      </c>
      <c r="D183" s="49" t="s">
        <v>107</v>
      </c>
      <c r="E183" s="50">
        <v>300</v>
      </c>
      <c r="F183" s="51">
        <v>56.33</v>
      </c>
      <c r="G183" s="51">
        <v>53.58</v>
      </c>
      <c r="H183" s="52">
        <f>IF(OR(Resultados!$F183="",Resultados!$G183=""),"",(Resultados!$G183-Resultados!$F183)*Resultados!$E183)</f>
        <v>-825</v>
      </c>
      <c r="I183" s="52">
        <f ca="1">IF(ISBLANK(Resultados!$C183),"",
IF(ROW()-1=3,Resultados!$H183,INDIRECT(ADDRESS(ROW()-1,COLUMN()))+Resultados!$H183))</f>
        <v>32924.999999999985</v>
      </c>
      <c r="J183" s="53">
        <f>IFERROR(EOMONTH((WORKDAY(C183,0,Dados!$C$3:$C$29)),-1)+1,"")</f>
        <v>43862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8">
        <v>43881</v>
      </c>
      <c r="C184" s="48">
        <v>43887</v>
      </c>
      <c r="D184" s="49" t="s">
        <v>133</v>
      </c>
      <c r="E184" s="50">
        <v>1000</v>
      </c>
      <c r="F184" s="51">
        <v>18.309999999999999</v>
      </c>
      <c r="G184" s="51">
        <v>16.600000000000001</v>
      </c>
      <c r="H184" s="52">
        <f>IF(OR(Resultados!$F184="",Resultados!$G184=""),"",(Resultados!$G184-Resultados!$F184)*Resultados!$E184)</f>
        <v>-1709.9999999999973</v>
      </c>
      <c r="I184" s="52">
        <f ca="1">IF(ISBLANK(Resultados!$C184),"",
IF(ROW()-1=3,Resultados!$H184,INDIRECT(ADDRESS(ROW()-1,COLUMN()))+Resultados!$H184))</f>
        <v>31214.999999999989</v>
      </c>
      <c r="J184" s="53">
        <f>IFERROR(EOMONTH((WORKDAY(C184,0,Dados!$C$3:$C$29)),-1)+1,"")</f>
        <v>43862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8">
        <v>43843</v>
      </c>
      <c r="C185" s="48">
        <v>43887</v>
      </c>
      <c r="D185" s="49" t="s">
        <v>134</v>
      </c>
      <c r="E185" s="50">
        <v>457.142857142857</v>
      </c>
      <c r="F185" s="51">
        <v>46.588571428571399</v>
      </c>
      <c r="G185" s="51">
        <v>43.484285714285697</v>
      </c>
      <c r="H185" s="52">
        <f>IF(OR(Resultados!$F185="",Resultados!$G185=""),"",(Resultados!$G185-Resultados!$F185)*Resultados!$E185)</f>
        <v>-1419.1020408163204</v>
      </c>
      <c r="I185" s="52">
        <f ca="1">IF(ISBLANK(Resultados!$C185),"",
IF(ROW()-1=3,Resultados!$H185,INDIRECT(ADDRESS(ROW()-1,COLUMN()))+Resultados!$H185))</f>
        <v>29795.897959183669</v>
      </c>
      <c r="J185" s="53">
        <f>IFERROR(EOMONTH((WORKDAY(C185,0,Dados!$C$3:$C$29)),-1)+1,"")</f>
        <v>43862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8">
        <v>43880</v>
      </c>
      <c r="C186" s="48">
        <v>43887</v>
      </c>
      <c r="D186" s="49" t="s">
        <v>135</v>
      </c>
      <c r="E186" s="50">
        <v>400</v>
      </c>
      <c r="F186" s="51">
        <v>49.996071428571398</v>
      </c>
      <c r="G186" s="51">
        <v>46.655000000000001</v>
      </c>
      <c r="H186" s="52">
        <f>IF(OR(Resultados!$F186="",Resultados!$G186=""),"",(Resultados!$G186-Resultados!$F186)*Resultados!$E186)</f>
        <v>-1336.4285714285586</v>
      </c>
      <c r="I186" s="52">
        <f ca="1">IF(ISBLANK(Resultados!$C186),"",
IF(ROW()-1=3,Resultados!$H186,INDIRECT(ADDRESS(ROW()-1,COLUMN()))+Resultados!$H186))</f>
        <v>28459.469387755111</v>
      </c>
      <c r="J186" s="53">
        <f>IFERROR(EOMONTH((WORKDAY(C186,0,Dados!$C$3:$C$29)),-1)+1,"")</f>
        <v>43862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8">
        <v>43880</v>
      </c>
      <c r="C187" s="48">
        <v>43887</v>
      </c>
      <c r="D187" s="49" t="s">
        <v>136</v>
      </c>
      <c r="E187" s="50">
        <v>342.857142857143</v>
      </c>
      <c r="F187" s="51">
        <v>53.403571428571396</v>
      </c>
      <c r="G187" s="51">
        <v>49.825714285714298</v>
      </c>
      <c r="H187" s="52">
        <f>IF(OR(Resultados!$F187="",Resultados!$G187=""),"",(Resultados!$G187-Resultados!$F187)*Resultados!$E187)</f>
        <v>-1226.6938775510057</v>
      </c>
      <c r="I187" s="52">
        <f ca="1">IF(ISBLANK(Resultados!$C187),"",
IF(ROW()-1=3,Resultados!$H187,INDIRECT(ADDRESS(ROW()-1,COLUMN()))+Resultados!$H187))</f>
        <v>27232.775510204105</v>
      </c>
      <c r="J187" s="53">
        <f>IFERROR(EOMONTH((WORKDAY(C187,0,Dados!$C$3:$C$29)),-1)+1,"")</f>
        <v>43862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8">
        <v>43873</v>
      </c>
      <c r="C188" s="48">
        <v>43887</v>
      </c>
      <c r="D188" s="49" t="s">
        <v>137</v>
      </c>
      <c r="E188" s="50">
        <v>285.71428571428601</v>
      </c>
      <c r="F188" s="51">
        <v>56.811071428571402</v>
      </c>
      <c r="G188" s="51">
        <v>52.996428571428602</v>
      </c>
      <c r="H188" s="52">
        <f>IF(OR(Resultados!$F188="",Resultados!$G188=""),"",(Resultados!$G188-Resultados!$F188)*Resultados!$E188)</f>
        <v>-1089.8979591836583</v>
      </c>
      <c r="I188" s="52">
        <f ca="1">IF(ISBLANK(Resultados!$C188),"",
IF(ROW()-1=3,Resultados!$H188,INDIRECT(ADDRESS(ROW()-1,COLUMN()))+Resultados!$H188))</f>
        <v>26142.877551020447</v>
      </c>
      <c r="J188" s="53">
        <f>IFERROR(EOMONTH((WORKDAY(C188,0,Dados!$C$3:$C$29)),-1)+1,"")</f>
        <v>43862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8">
        <v>43880</v>
      </c>
      <c r="C189" s="48">
        <v>43887</v>
      </c>
      <c r="D189" s="49" t="s">
        <v>138</v>
      </c>
      <c r="E189" s="50">
        <v>228.57142857142901</v>
      </c>
      <c r="F189" s="51">
        <v>60.218571428571401</v>
      </c>
      <c r="G189" s="51">
        <v>56.167142857142899</v>
      </c>
      <c r="H189" s="52">
        <f>IF(OR(Resultados!$F189="",Resultados!$G189=""),"",(Resultados!$G189-Resultados!$F189)*Resultados!$E189)</f>
        <v>-926.04081632651662</v>
      </c>
      <c r="I189" s="52">
        <f ca="1">IF(ISBLANK(Resultados!$C189),"",
IF(ROW()-1=3,Resultados!$H189,INDIRECT(ADDRESS(ROW()-1,COLUMN()))+Resultados!$H189))</f>
        <v>25216.83673469393</v>
      </c>
      <c r="J189" s="53">
        <f>IFERROR(EOMONTH((WORKDAY(C189,0,Dados!$C$3:$C$29)),-1)+1,"")</f>
        <v>43862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8">
        <v>43895</v>
      </c>
      <c r="C190" s="48">
        <v>43887</v>
      </c>
      <c r="D190" s="49" t="s">
        <v>139</v>
      </c>
      <c r="E190" s="50">
        <v>171.42857142857201</v>
      </c>
      <c r="F190" s="51">
        <v>63.6260714285714</v>
      </c>
      <c r="G190" s="51">
        <v>59.337857142857203</v>
      </c>
      <c r="H190" s="52">
        <f>IF(OR(Resultados!$F190="",Resultados!$G190=""),"",(Resultados!$G190-Resultados!$F190)*Resultados!$E190)</f>
        <v>-735.12244897957919</v>
      </c>
      <c r="I190" s="52">
        <f ca="1">IF(ISBLANK(Resultados!$C190),"",
IF(ROW()-1=3,Resultados!$H190,INDIRECT(ADDRESS(ROW()-1,COLUMN()))+Resultados!$H190))</f>
        <v>24481.714285714352</v>
      </c>
      <c r="J190" s="53">
        <f>IFERROR(EOMONTH((WORKDAY(C190,0,Dados!$C$3:$C$29)),-1)+1,"")</f>
        <v>43862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8">
        <v>43895</v>
      </c>
      <c r="C191" s="48">
        <v>43896</v>
      </c>
      <c r="D191" s="49" t="s">
        <v>140</v>
      </c>
      <c r="E191" s="50">
        <v>400</v>
      </c>
      <c r="F191" s="51">
        <v>17.16</v>
      </c>
      <c r="G191" s="51">
        <v>18.760000000000002</v>
      </c>
      <c r="H191" s="52">
        <f>IF(OR(Resultados!$F191="",Resultados!$G191=""),"",(Resultados!$G191-Resultados!$F191)*Resultados!$E191)</f>
        <v>640.00000000000057</v>
      </c>
      <c r="I191" s="52">
        <f ca="1">IF(ISBLANK(Resultados!$C191),"",
IF(ROW()-1=3,Resultados!$H191,INDIRECT(ADDRESS(ROW()-1,COLUMN()))+Resultados!$H191))</f>
        <v>25121.714285714352</v>
      </c>
      <c r="J191" s="53">
        <f>IFERROR(EOMONTH((WORKDAY(C191,0,Dados!$C$3:$C$29)),-1)+1,"")</f>
        <v>43891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8">
        <v>43895</v>
      </c>
      <c r="C192" s="48">
        <v>43896</v>
      </c>
      <c r="D192" s="49" t="s">
        <v>141</v>
      </c>
      <c r="E192" s="50">
        <v>300</v>
      </c>
      <c r="F192" s="51">
        <v>28.55</v>
      </c>
      <c r="G192" s="51">
        <v>29.64</v>
      </c>
      <c r="H192" s="52">
        <f>IF(OR(Resultados!$F192="",Resultados!$G192=""),"",(Resultados!$G192-Resultados!$F192)*Resultados!$E192)</f>
        <v>326.99999999999994</v>
      </c>
      <c r="I192" s="52">
        <f ca="1">IF(ISBLANK(Resultados!$C192),"",
IF(ROW()-1=3,Resultados!$H192,INDIRECT(ADDRESS(ROW()-1,COLUMN()))+Resultados!$H192))</f>
        <v>25448.714285714352</v>
      </c>
      <c r="J192" s="53">
        <f>IFERROR(EOMONTH((WORKDAY(C192,0,Dados!$C$3:$C$29)),-1)+1,"")</f>
        <v>43891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8">
        <v>43895</v>
      </c>
      <c r="C193" s="48">
        <v>43899</v>
      </c>
      <c r="D193" s="49" t="s">
        <v>140</v>
      </c>
      <c r="E193" s="50">
        <v>400</v>
      </c>
      <c r="F193" s="51">
        <v>15.7</v>
      </c>
      <c r="G193" s="51">
        <v>18.760000000000002</v>
      </c>
      <c r="H193" s="52">
        <f>IF(OR(Resultados!$F193="",Resultados!$G193=""),"",(Resultados!$G193-Resultados!$F193)*Resultados!$E193)</f>
        <v>1224.0000000000009</v>
      </c>
      <c r="I193" s="52">
        <f ca="1">IF(ISBLANK(Resultados!$C193),"",
IF(ROW()-1=3,Resultados!$H193,INDIRECT(ADDRESS(ROW()-1,COLUMN()))+Resultados!$H193))</f>
        <v>26672.714285714352</v>
      </c>
      <c r="J193" s="53">
        <f>IFERROR(EOMONTH((WORKDAY(C193,0,Dados!$C$3:$C$29)),-1)+1,"")</f>
        <v>43891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8">
        <v>43895</v>
      </c>
      <c r="C194" s="48">
        <v>43899</v>
      </c>
      <c r="D194" s="49" t="s">
        <v>141</v>
      </c>
      <c r="E194" s="50">
        <v>300</v>
      </c>
      <c r="F194" s="51">
        <v>26.67</v>
      </c>
      <c r="G194" s="51">
        <v>29.64</v>
      </c>
      <c r="H194" s="52">
        <f>IF(OR(Resultados!$F194="",Resultados!$G194=""),"",(Resultados!$G194-Resultados!$F194)*Resultados!$E194)</f>
        <v>890.99999999999966</v>
      </c>
      <c r="I194" s="52">
        <f ca="1">IF(ISBLANK(Resultados!$C194),"",
IF(ROW()-1=3,Resultados!$H194,INDIRECT(ADDRESS(ROW()-1,COLUMN()))+Resultados!$H194))</f>
        <v>27563.714285714352</v>
      </c>
      <c r="J194" s="53">
        <f>IFERROR(EOMONTH((WORKDAY(C194,0,Dados!$C$3:$C$29)),-1)+1,"")</f>
        <v>43891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8">
        <v>43915</v>
      </c>
      <c r="C195" s="48">
        <v>43915</v>
      </c>
      <c r="D195" s="49" t="s">
        <v>98</v>
      </c>
      <c r="E195" s="50">
        <v>200</v>
      </c>
      <c r="F195" s="51">
        <v>29.34</v>
      </c>
      <c r="G195" s="51">
        <v>31.97</v>
      </c>
      <c r="H195" s="52">
        <f>IF(OR(Resultados!$F195="",Resultados!$G195=""),"",(Resultados!$G195-Resultados!$F195)*Resultados!$E195)</f>
        <v>525.99999999999977</v>
      </c>
      <c r="I195" s="52">
        <f ca="1">IF(ISBLANK(Resultados!$C195),"",
IF(ROW()-1=3,Resultados!$H195,INDIRECT(ADDRESS(ROW()-1,COLUMN()))+Resultados!$H195))</f>
        <v>28089.714285714352</v>
      </c>
      <c r="J195" s="53">
        <f>IFERROR(EOMONTH((WORKDAY(C195,0,Dados!$C$3:$C$29)),-1)+1,"")</f>
        <v>43891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8">
        <v>43915</v>
      </c>
      <c r="C196" s="48">
        <v>43916</v>
      </c>
      <c r="D196" s="49" t="s">
        <v>73</v>
      </c>
      <c r="E196" s="50">
        <v>500</v>
      </c>
      <c r="F196" s="51">
        <v>10.43</v>
      </c>
      <c r="G196" s="51">
        <v>11.34</v>
      </c>
      <c r="H196" s="52">
        <f>IF(OR(Resultados!$F196="",Resultados!$G196=""),"",(Resultados!$G196-Resultados!$F196)*Resultados!$E196)</f>
        <v>455.00000000000006</v>
      </c>
      <c r="I196" s="52">
        <f ca="1">IF(ISBLANK(Resultados!$C196),"",
IF(ROW()-1=3,Resultados!$H196,INDIRECT(ADDRESS(ROW()-1,COLUMN()))+Resultados!$H196))</f>
        <v>28544.714285714352</v>
      </c>
      <c r="J196" s="53">
        <f>IFERROR(EOMONTH((WORKDAY(C196,0,Dados!$C$3:$C$29)),-1)+1,"")</f>
        <v>43891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8">
        <v>43915</v>
      </c>
      <c r="C197" s="48">
        <v>43916</v>
      </c>
      <c r="D197" s="49" t="s">
        <v>142</v>
      </c>
      <c r="E197" s="50">
        <v>600</v>
      </c>
      <c r="F197" s="51">
        <v>9.0299999999999994</v>
      </c>
      <c r="G197" s="51">
        <v>9.75</v>
      </c>
      <c r="H197" s="52">
        <f>IF(OR(Resultados!$F197="",Resultados!$G197=""),"",(Resultados!$G197-Resultados!$F197)*Resultados!$E197)</f>
        <v>432.0000000000004</v>
      </c>
      <c r="I197" s="52">
        <f ca="1">IF(ISBLANK(Resultados!$C197),"",
IF(ROW()-1=3,Resultados!$H197,INDIRECT(ADDRESS(ROW()-1,COLUMN()))+Resultados!$H197))</f>
        <v>28976.714285714352</v>
      </c>
      <c r="J197" s="53">
        <f>IFERROR(EOMONTH((WORKDAY(C197,0,Dados!$C$3:$C$29)),-1)+1,"")</f>
        <v>43891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8">
        <v>43915</v>
      </c>
      <c r="C198" s="48">
        <v>43916</v>
      </c>
      <c r="D198" s="49" t="s">
        <v>143</v>
      </c>
      <c r="E198" s="50">
        <v>400</v>
      </c>
      <c r="F198" s="51">
        <v>15.57</v>
      </c>
      <c r="G198" s="51">
        <v>16.649999999999999</v>
      </c>
      <c r="H198" s="52">
        <f>IF(OR(Resultados!$F198="",Resultados!$G198=""),"",(Resultados!$G198-Resultados!$F198)*Resultados!$E198)</f>
        <v>431.99999999999932</v>
      </c>
      <c r="I198" s="52">
        <f ca="1">IF(ISBLANK(Resultados!$C198),"",
IF(ROW()-1=3,Resultados!$H198,INDIRECT(ADDRESS(ROW()-1,COLUMN()))+Resultados!$H198))</f>
        <v>29408.714285714352</v>
      </c>
      <c r="J198" s="53">
        <f>IFERROR(EOMONTH((WORKDAY(C198,0,Dados!$C$3:$C$29)),-1)+1,"")</f>
        <v>43891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8">
        <v>43915</v>
      </c>
      <c r="C199" s="48">
        <v>43916</v>
      </c>
      <c r="D199" s="49" t="s">
        <v>68</v>
      </c>
      <c r="E199" s="50">
        <v>100</v>
      </c>
      <c r="F199" s="51">
        <v>56.17</v>
      </c>
      <c r="G199" s="51">
        <v>61.25</v>
      </c>
      <c r="H199" s="52">
        <f>IF(OR(Resultados!$F199="",Resultados!$G199=""),"",(Resultados!$G199-Resultados!$F199)*Resultados!$E199)</f>
        <v>507.99999999999983</v>
      </c>
      <c r="I199" s="52">
        <f ca="1">IF(ISBLANK(Resultados!$C199),"",
IF(ROW()-1=3,Resultados!$H199,INDIRECT(ADDRESS(ROW()-1,COLUMN()))+Resultados!$H199))</f>
        <v>29916.714285714352</v>
      </c>
      <c r="J199" s="53">
        <f>IFERROR(EOMONTH((WORKDAY(C199,0,Dados!$C$3:$C$29)),-1)+1,"")</f>
        <v>43891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8">
        <v>43915</v>
      </c>
      <c r="C200" s="48">
        <v>43916</v>
      </c>
      <c r="D200" s="49" t="s">
        <v>109</v>
      </c>
      <c r="E200" s="50">
        <v>200</v>
      </c>
      <c r="F200" s="51">
        <v>23.55</v>
      </c>
      <c r="G200" s="51">
        <v>26</v>
      </c>
      <c r="H200" s="52">
        <f>IF(OR(Resultados!$F200="",Resultados!$G200=""),"",(Resultados!$G200-Resultados!$F200)*Resultados!$E200)</f>
        <v>489.99999999999989</v>
      </c>
      <c r="I200" s="52">
        <f ca="1">IF(ISBLANK(Resultados!$C200),"",
IF(ROW()-1=3,Resultados!$H200,INDIRECT(ADDRESS(ROW()-1,COLUMN()))+Resultados!$H200))</f>
        <v>30406.714285714352</v>
      </c>
      <c r="J200" s="53">
        <f>IFERROR(EOMONTH((WORKDAY(C200,0,Dados!$C$3:$C$29)),-1)+1,"")</f>
        <v>43891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8">
        <v>43916</v>
      </c>
      <c r="C201" s="48">
        <v>43916</v>
      </c>
      <c r="D201" s="49" t="s">
        <v>129</v>
      </c>
      <c r="E201" s="50">
        <v>200</v>
      </c>
      <c r="F201" s="51">
        <v>25.6</v>
      </c>
      <c r="G201" s="51">
        <v>26.72</v>
      </c>
      <c r="H201" s="52">
        <f>IF(OR(Resultados!$F201="",Resultados!$G201=""),"",(Resultados!$G201-Resultados!$F201)*Resultados!$E201)</f>
        <v>223.99999999999949</v>
      </c>
      <c r="I201" s="52">
        <f ca="1">IF(ISBLANK(Resultados!$C201),"",
IF(ROW()-1=3,Resultados!$H201,INDIRECT(ADDRESS(ROW()-1,COLUMN()))+Resultados!$H201))</f>
        <v>30630.714285714352</v>
      </c>
      <c r="J201" s="53">
        <f>IFERROR(EOMONTH((WORKDAY(C201,0,Dados!$C$3:$C$29)),-1)+1,"")</f>
        <v>43891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8">
        <v>43915</v>
      </c>
      <c r="C202" s="48">
        <v>43917</v>
      </c>
      <c r="D202" s="49" t="s">
        <v>109</v>
      </c>
      <c r="E202" s="50">
        <v>200</v>
      </c>
      <c r="F202" s="51">
        <v>23.55</v>
      </c>
      <c r="G202" s="51">
        <v>24.24</v>
      </c>
      <c r="H202" s="52">
        <f>IF(OR(Resultados!$F202="",Resultados!$G202=""),"",(Resultados!$G202-Resultados!$F202)*Resultados!$E202)</f>
        <v>137.99999999999955</v>
      </c>
      <c r="I202" s="52">
        <f ca="1">IF(ISBLANK(Resultados!$C202),"",
IF(ROW()-1=3,Resultados!$H202,INDIRECT(ADDRESS(ROW()-1,COLUMN()))+Resultados!$H202))</f>
        <v>30768.714285714352</v>
      </c>
      <c r="J202" s="53">
        <f>IFERROR(EOMONTH((WORKDAY(C202,0,Dados!$C$3:$C$29)),-1)+1,"")</f>
        <v>43891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8">
        <v>43915</v>
      </c>
      <c r="C203" s="48">
        <v>43917</v>
      </c>
      <c r="D203" s="49" t="s">
        <v>68</v>
      </c>
      <c r="E203" s="50">
        <v>100</v>
      </c>
      <c r="F203" s="51">
        <v>56.17</v>
      </c>
      <c r="G203" s="51">
        <v>57.76</v>
      </c>
      <c r="H203" s="52">
        <f>IF(OR(Resultados!$F203="",Resultados!$G203=""),"",(Resultados!$G203-Resultados!$F203)*Resultados!$E203)</f>
        <v>158.99999999999963</v>
      </c>
      <c r="I203" s="52">
        <f ca="1">IF(ISBLANK(Resultados!$C203),"",
IF(ROW()-1=3,Resultados!$H203,INDIRECT(ADDRESS(ROW()-1,COLUMN()))+Resultados!$H203))</f>
        <v>30927.714285714352</v>
      </c>
      <c r="J203" s="53">
        <f>IFERROR(EOMONTH((WORKDAY(C203,0,Dados!$C$3:$C$29)),-1)+1,"")</f>
        <v>43891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8">
        <v>43915</v>
      </c>
      <c r="C204" s="48">
        <v>43917</v>
      </c>
      <c r="D204" s="49" t="s">
        <v>98</v>
      </c>
      <c r="E204" s="50">
        <v>200</v>
      </c>
      <c r="F204" s="51">
        <v>29.34</v>
      </c>
      <c r="G204" s="51">
        <v>31.48</v>
      </c>
      <c r="H204" s="52">
        <f>IF(OR(Resultados!$F204="",Resultados!$G204=""),"",(Resultados!$G204-Resultados!$F204)*Resultados!$E204)</f>
        <v>428.00000000000011</v>
      </c>
      <c r="I204" s="52">
        <f ca="1">IF(ISBLANK(Resultados!$C204),"",
IF(ROW()-1=3,Resultados!$H204,INDIRECT(ADDRESS(ROW()-1,COLUMN()))+Resultados!$H204))</f>
        <v>31355.714285714352</v>
      </c>
      <c r="J204" s="53">
        <f>IFERROR(EOMONTH((WORKDAY(C204,0,Dados!$C$3:$C$29)),-1)+1,"")</f>
        <v>43891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8">
        <v>43915</v>
      </c>
      <c r="C205" s="48">
        <v>43917</v>
      </c>
      <c r="D205" s="49" t="s">
        <v>143</v>
      </c>
      <c r="E205" s="50">
        <v>300</v>
      </c>
      <c r="F205" s="51">
        <v>15.57</v>
      </c>
      <c r="G205" s="51">
        <v>15.89</v>
      </c>
      <c r="H205" s="52">
        <f>IF(OR(Resultados!$F205="",Resultados!$G205=""),"",(Resultados!$G205-Resultados!$F205)*Resultados!$E205)</f>
        <v>96.000000000000085</v>
      </c>
      <c r="I205" s="52">
        <f ca="1">IF(ISBLANK(Resultados!$C205),"",
IF(ROW()-1=3,Resultados!$H205,INDIRECT(ADDRESS(ROW()-1,COLUMN()))+Resultados!$H205))</f>
        <v>31451.714285714352</v>
      </c>
      <c r="J205" s="53">
        <f>IFERROR(EOMONTH((WORKDAY(C205,0,Dados!$C$3:$C$29)),-1)+1,"")</f>
        <v>43891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8">
        <v>43915</v>
      </c>
      <c r="C206" s="48">
        <v>43920</v>
      </c>
      <c r="D206" s="49" t="s">
        <v>73</v>
      </c>
      <c r="E206" s="50">
        <v>500</v>
      </c>
      <c r="F206" s="51">
        <v>10.43</v>
      </c>
      <c r="G206" s="51">
        <v>9.9700000000000006</v>
      </c>
      <c r="H206" s="52">
        <f>IF(OR(Resultados!$F206="",Resultados!$G206=""),"",(Resultados!$G206-Resultados!$F206)*Resultados!$E206)</f>
        <v>-229.99999999999955</v>
      </c>
      <c r="I206" s="52">
        <f ca="1">IF(ISBLANK(Resultados!$C206),"",
IF(ROW()-1=3,Resultados!$H206,INDIRECT(ADDRESS(ROW()-1,COLUMN()))+Resultados!$H206))</f>
        <v>31221.714285714352</v>
      </c>
      <c r="J206" s="53">
        <f>IFERROR(EOMONTH((WORKDAY(C206,0,Dados!$C$3:$C$29)),-1)+1,"")</f>
        <v>43891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8">
        <v>43915</v>
      </c>
      <c r="C207" s="48">
        <v>43922</v>
      </c>
      <c r="D207" s="49" t="s">
        <v>142</v>
      </c>
      <c r="E207" s="50">
        <v>600</v>
      </c>
      <c r="F207" s="51">
        <v>9.0299999999999994</v>
      </c>
      <c r="G207" s="51">
        <v>8.48</v>
      </c>
      <c r="H207" s="52">
        <f>IF(OR(Resultados!$F207="",Resultados!$G207=""),"",(Resultados!$G207-Resultados!$F207)*Resultados!$E207)</f>
        <v>-329.99999999999937</v>
      </c>
      <c r="I207" s="52">
        <f ca="1">IF(ISBLANK(Resultados!$C207),"",
IF(ROW()-1=3,Resultados!$H207,INDIRECT(ADDRESS(ROW()-1,COLUMN()))+Resultados!$H207))</f>
        <v>30891.714285714352</v>
      </c>
      <c r="J207" s="53">
        <f>IFERROR(EOMONTH((WORKDAY(C207,0,Dados!$C$3:$C$29)),-1)+1,"")</f>
        <v>43922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8">
        <v>43916</v>
      </c>
      <c r="C208" s="48">
        <v>43922</v>
      </c>
      <c r="D208" s="49" t="s">
        <v>129</v>
      </c>
      <c r="E208" s="50">
        <v>200</v>
      </c>
      <c r="F208" s="51">
        <v>25.6</v>
      </c>
      <c r="G208" s="51">
        <v>25.24</v>
      </c>
      <c r="H208" s="52">
        <f>IF(OR(Resultados!$F208="",Resultados!$G208=""),"",(Resultados!$G208-Resultados!$F208)*Resultados!$E208)</f>
        <v>-72.000000000000597</v>
      </c>
      <c r="I208" s="52">
        <f ca="1">IF(ISBLANK(Resultados!$C208),"",
IF(ROW()-1=3,Resultados!$H208,INDIRECT(ADDRESS(ROW()-1,COLUMN()))+Resultados!$H208))</f>
        <v>30819.714285714352</v>
      </c>
      <c r="J208" s="53">
        <f>IFERROR(EOMONTH((WORKDAY(C208,0,Dados!$C$3:$C$29)),-1)+1,"")</f>
        <v>43922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8">
        <v>43921</v>
      </c>
      <c r="C209" s="48">
        <v>43922</v>
      </c>
      <c r="D209" s="49" t="s">
        <v>118</v>
      </c>
      <c r="E209" s="50">
        <v>900</v>
      </c>
      <c r="F209" s="51">
        <v>6.39</v>
      </c>
      <c r="G209" s="51">
        <v>6.84</v>
      </c>
      <c r="H209" s="52">
        <f>IF(OR(Resultados!$F209="",Resultados!$G209=""),"",(Resultados!$G209-Resultados!$F209)*Resultados!$E209)</f>
        <v>405.00000000000017</v>
      </c>
      <c r="I209" s="52">
        <f ca="1">IF(ISBLANK(Resultados!$C209),"",
IF(ROW()-1=3,Resultados!$H209,INDIRECT(ADDRESS(ROW()-1,COLUMN()))+Resultados!$H209))</f>
        <v>31224.714285714352</v>
      </c>
      <c r="J209" s="53">
        <f>IFERROR(EOMONTH((WORKDAY(C209,0,Dados!$C$3:$C$29)),-1)+1,"")</f>
        <v>43922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8">
        <v>43921</v>
      </c>
      <c r="C210" s="48">
        <v>43922</v>
      </c>
      <c r="D210" s="49" t="s">
        <v>144</v>
      </c>
      <c r="E210" s="50">
        <v>200</v>
      </c>
      <c r="F210" s="51">
        <v>26.25</v>
      </c>
      <c r="G210" s="51">
        <v>27.87</v>
      </c>
      <c r="H210" s="52">
        <f>IF(OR(Resultados!$F210="",Resultados!$G210=""),"",(Resultados!$G210-Resultados!$F210)*Resultados!$E210)</f>
        <v>324.00000000000023</v>
      </c>
      <c r="I210" s="52">
        <f ca="1">IF(ISBLANK(Resultados!$C210),"",
IF(ROW()-1=3,Resultados!$H210,INDIRECT(ADDRESS(ROW()-1,COLUMN()))+Resultados!$H210))</f>
        <v>31548.714285714352</v>
      </c>
      <c r="J210" s="53">
        <f>IFERROR(EOMONTH((WORKDAY(C210,0,Dados!$C$3:$C$29)),-1)+1,"")</f>
        <v>43922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8">
        <v>43921</v>
      </c>
      <c r="C211" s="48">
        <v>43922</v>
      </c>
      <c r="D211" s="49" t="s">
        <v>99</v>
      </c>
      <c r="E211" s="50">
        <v>200</v>
      </c>
      <c r="F211" s="51">
        <v>39.799999999999997</v>
      </c>
      <c r="G211" s="51">
        <v>42.97</v>
      </c>
      <c r="H211" s="52">
        <f>IF(OR(Resultados!$F211="",Resultados!$G211=""),"",(Resultados!$G211-Resultados!$F211)*Resultados!$E211)</f>
        <v>634.00000000000034</v>
      </c>
      <c r="I211" s="52">
        <f ca="1">IF(ISBLANK(Resultados!$C211),"",
IF(ROW()-1=3,Resultados!$H211,INDIRECT(ADDRESS(ROW()-1,COLUMN()))+Resultados!$H211))</f>
        <v>32182.714285714352</v>
      </c>
      <c r="J211" s="53">
        <f>IFERROR(EOMONTH((WORKDAY(C211,0,Dados!$C$3:$C$29)),-1)+1,"")</f>
        <v>43922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8">
        <v>43921</v>
      </c>
      <c r="C212" s="48">
        <v>43923</v>
      </c>
      <c r="D212" s="49" t="s">
        <v>118</v>
      </c>
      <c r="E212" s="50">
        <v>800</v>
      </c>
      <c r="F212" s="51">
        <v>6.19</v>
      </c>
      <c r="G212" s="51">
        <v>6.84</v>
      </c>
      <c r="H212" s="52">
        <f>IF(OR(Resultados!$F212="",Resultados!$G212=""),"",(Resultados!$G212-Resultados!$F212)*Resultados!$E212)</f>
        <v>519.99999999999955</v>
      </c>
      <c r="I212" s="52">
        <f ca="1">IF(ISBLANK(Resultados!$C212),"",
IF(ROW()-1=3,Resultados!$H212,INDIRECT(ADDRESS(ROW()-1,COLUMN()))+Resultados!$H212))</f>
        <v>32702.714285714352</v>
      </c>
      <c r="J212" s="53">
        <f>IFERROR(EOMONTH((WORKDAY(C212,0,Dados!$C$3:$C$29)),-1)+1,"")</f>
        <v>43922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8">
        <v>43921</v>
      </c>
      <c r="C213" s="48">
        <v>43927</v>
      </c>
      <c r="D213" s="49" t="s">
        <v>144</v>
      </c>
      <c r="E213" s="50">
        <v>200</v>
      </c>
      <c r="F213" s="51">
        <v>27.38</v>
      </c>
      <c r="G213" s="51">
        <v>27.87</v>
      </c>
      <c r="H213" s="52">
        <f>IF(OR(Resultados!$F213="",Resultados!$G213=""),"",(Resultados!$G213-Resultados!$F213)*Resultados!$E213)</f>
        <v>98.000000000000398</v>
      </c>
      <c r="I213" s="52">
        <f ca="1">IF(ISBLANK(Resultados!$C213),"",
IF(ROW()-1=3,Resultados!$H213,INDIRECT(ADDRESS(ROW()-1,COLUMN()))+Resultados!$H213))</f>
        <v>32800.714285714355</v>
      </c>
      <c r="J213" s="53">
        <f>IFERROR(EOMONTH((WORKDAY(C213,0,Dados!$C$3:$C$29)),-1)+1,"")</f>
        <v>43922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8">
        <v>43921</v>
      </c>
      <c r="C214" s="48">
        <v>43927</v>
      </c>
      <c r="D214" s="49" t="s">
        <v>99</v>
      </c>
      <c r="E214" s="50">
        <v>100</v>
      </c>
      <c r="F214" s="51">
        <v>40.64</v>
      </c>
      <c r="G214" s="51">
        <v>42.97</v>
      </c>
      <c r="H214" s="52">
        <f>IF(OR(Resultados!$F214="",Resultados!$G214=""),"",(Resultados!$G214-Resultados!$F214)*Resultados!$E214)</f>
        <v>232.99999999999983</v>
      </c>
      <c r="I214" s="52">
        <f ca="1">IF(ISBLANK(Resultados!$C214),"",
IF(ROW()-1=3,Resultados!$H214,INDIRECT(ADDRESS(ROW()-1,COLUMN()))+Resultados!$H214))</f>
        <v>33033.714285714355</v>
      </c>
      <c r="J214" s="53">
        <f>IFERROR(EOMONTH((WORKDAY(C214,0,Dados!$C$3:$C$29)),-1)+1,"")</f>
        <v>43922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8">
        <v>43924</v>
      </c>
      <c r="C215" s="48">
        <v>43927</v>
      </c>
      <c r="D215" s="49" t="s">
        <v>145</v>
      </c>
      <c r="E215" s="50">
        <v>200</v>
      </c>
      <c r="F215" s="51">
        <v>51.62</v>
      </c>
      <c r="G215" s="51">
        <v>49.96</v>
      </c>
      <c r="H215" s="52">
        <f>IF(OR(Resultados!$F215="",Resultados!$G215=""),"",(Resultados!$G215-Resultados!$F215)*Resultados!$E215)</f>
        <v>-331.99999999999932</v>
      </c>
      <c r="I215" s="52">
        <f ca="1">IF(ISBLANK(Resultados!$C215),"",
IF(ROW()-1=3,Resultados!$H215,INDIRECT(ADDRESS(ROW()-1,COLUMN()))+Resultados!$H215))</f>
        <v>32701.714285714355</v>
      </c>
      <c r="J215" s="53">
        <f>IFERROR(EOMONTH((WORKDAY(C215,0,Dados!$C$3:$C$29)),-1)+1,"")</f>
        <v>43922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8">
        <v>43924</v>
      </c>
      <c r="C216" s="48">
        <v>43927</v>
      </c>
      <c r="D216" s="49" t="s">
        <v>79</v>
      </c>
      <c r="E216" s="50">
        <v>600</v>
      </c>
      <c r="F216" s="51">
        <v>20.52</v>
      </c>
      <c r="G216" s="51">
        <v>19.28</v>
      </c>
      <c r="H216" s="52">
        <f>IF(OR(Resultados!$F216="",Resultados!$G216=""),"",(Resultados!$G216-Resultados!$F216)*Resultados!$E216)</f>
        <v>-743.99999999999909</v>
      </c>
      <c r="I216" s="52">
        <f ca="1">IF(ISBLANK(Resultados!$C216),"",
IF(ROW()-1=3,Resultados!$H216,INDIRECT(ADDRESS(ROW()-1,COLUMN()))+Resultados!$H216))</f>
        <v>31957.714285714355</v>
      </c>
      <c r="J216" s="53">
        <f>IFERROR(EOMONTH((WORKDAY(C216,0,Dados!$C$3:$C$29)),-1)+1,"")</f>
        <v>43922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8">
        <v>43930</v>
      </c>
      <c r="C217" s="48">
        <v>43935</v>
      </c>
      <c r="D217" s="49" t="s">
        <v>120</v>
      </c>
      <c r="E217" s="50">
        <v>1200</v>
      </c>
      <c r="F217" s="51">
        <v>4.82</v>
      </c>
      <c r="G217" s="51">
        <v>5.07</v>
      </c>
      <c r="H217" s="52">
        <f>IF(OR(Resultados!$F217="",Resultados!$G217=""),"",(Resultados!$G217-Resultados!$F217)*Resultados!$E217)</f>
        <v>300</v>
      </c>
      <c r="I217" s="52">
        <f ca="1">IF(ISBLANK(Resultados!$C217),"",
IF(ROW()-1=3,Resultados!$H217,INDIRECT(ADDRESS(ROW()-1,COLUMN()))+Resultados!$H217))</f>
        <v>32257.714285714355</v>
      </c>
      <c r="J217" s="53">
        <f>IFERROR(EOMONTH((WORKDAY(C217,0,Dados!$C$3:$C$29)),-1)+1,"")</f>
        <v>43922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8">
        <v>43934</v>
      </c>
      <c r="C218" s="48">
        <v>43936</v>
      </c>
      <c r="D218" s="49" t="s">
        <v>45</v>
      </c>
      <c r="E218" s="50">
        <v>500</v>
      </c>
      <c r="F218" s="51">
        <v>23.58</v>
      </c>
      <c r="G218" s="51">
        <v>22.45</v>
      </c>
      <c r="H218" s="52">
        <f>IF(OR(Resultados!$F218="",Resultados!$G218=""),"",(Resultados!$G218-Resultados!$F218)*Resultados!$E218)</f>
        <v>-564.99999999999955</v>
      </c>
      <c r="I218" s="52">
        <f ca="1">IF(ISBLANK(Resultados!$C218),"",
IF(ROW()-1=3,Resultados!$H218,INDIRECT(ADDRESS(ROW()-1,COLUMN()))+Resultados!$H218))</f>
        <v>31692.714285714355</v>
      </c>
      <c r="J218" s="53">
        <f>IFERROR(EOMONTH((WORKDAY(C218,0,Dados!$C$3:$C$29)),-1)+1,"")</f>
        <v>43922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8">
        <v>43930</v>
      </c>
      <c r="C219" s="48">
        <v>43937</v>
      </c>
      <c r="D219" s="49" t="s">
        <v>120</v>
      </c>
      <c r="E219" s="50">
        <v>1200</v>
      </c>
      <c r="F219" s="51">
        <v>4.82</v>
      </c>
      <c r="G219" s="51">
        <v>5.14</v>
      </c>
      <c r="H219" s="52">
        <f>IF(OR(Resultados!$F219="",Resultados!$G219=""),"",(Resultados!$G219-Resultados!$F219)*Resultados!$E219)</f>
        <v>383.99999999999926</v>
      </c>
      <c r="I219" s="52">
        <f ca="1">IF(ISBLANK(Resultados!$C219),"",
IF(ROW()-1=3,Resultados!$H219,INDIRECT(ADDRESS(ROW()-1,COLUMN()))+Resultados!$H219))</f>
        <v>32076.714285714355</v>
      </c>
      <c r="J219" s="53">
        <f>IFERROR(EOMONTH((WORKDAY(C219,0,Dados!$C$3:$C$29)),-1)+1,"")</f>
        <v>43922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8">
        <v>43935</v>
      </c>
      <c r="C220" s="48">
        <v>43937</v>
      </c>
      <c r="D220" s="49" t="s">
        <v>82</v>
      </c>
      <c r="E220" s="50">
        <v>900</v>
      </c>
      <c r="F220" s="51">
        <v>13.03</v>
      </c>
      <c r="G220" s="51">
        <v>12.23</v>
      </c>
      <c r="H220" s="52">
        <f>IF(OR(Resultados!$F220="",Resultados!$G220=""),"",(Resultados!$G220-Resultados!$F220)*Resultados!$E220)</f>
        <v>-719.99999999999909</v>
      </c>
      <c r="I220" s="52">
        <f ca="1">IF(ISBLANK(Resultados!$C220),"",
IF(ROW()-1=3,Resultados!$H220,INDIRECT(ADDRESS(ROW()-1,COLUMN()))+Resultados!$H220))</f>
        <v>31356.714285714355</v>
      </c>
      <c r="J220" s="53">
        <f>IFERROR(EOMONTH((WORKDAY(C220,0,Dados!$C$3:$C$29)),-1)+1,"")</f>
        <v>43922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8">
        <v>43935</v>
      </c>
      <c r="C221" s="48">
        <v>43938</v>
      </c>
      <c r="D221" s="49" t="s">
        <v>96</v>
      </c>
      <c r="E221" s="50">
        <v>200</v>
      </c>
      <c r="F221" s="51">
        <v>28.14</v>
      </c>
      <c r="G221" s="51">
        <v>29.26</v>
      </c>
      <c r="H221" s="52">
        <f>IF(OR(Resultados!$F221="",Resultados!$G221=""),"",(Resultados!$G221-Resultados!$F221)*Resultados!$E221)</f>
        <v>224.0000000000002</v>
      </c>
      <c r="I221" s="52">
        <f ca="1">IF(ISBLANK(Resultados!$C221),"",
IF(ROW()-1=3,Resultados!$H221,INDIRECT(ADDRESS(ROW()-1,COLUMN()))+Resultados!$H221))</f>
        <v>31580.714285714355</v>
      </c>
      <c r="J221" s="53">
        <f>IFERROR(EOMONTH((WORKDAY(C221,0,Dados!$C$3:$C$29)),-1)+1,"")</f>
        <v>43922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8">
        <v>43935</v>
      </c>
      <c r="C222" s="48">
        <v>43938</v>
      </c>
      <c r="D222" s="49" t="s">
        <v>146</v>
      </c>
      <c r="E222" s="50">
        <v>200</v>
      </c>
      <c r="F222" s="51">
        <v>36.03</v>
      </c>
      <c r="G222" s="51">
        <v>37.4</v>
      </c>
      <c r="H222" s="52">
        <f>IF(OR(Resultados!$F222="",Resultados!$G222=""),"",(Resultados!$G222-Resultados!$F222)*Resultados!$E222)</f>
        <v>273.99999999999949</v>
      </c>
      <c r="I222" s="52">
        <f ca="1">IF(ISBLANK(Resultados!$C222),"",
IF(ROW()-1=3,Resultados!$H222,INDIRECT(ADDRESS(ROW()-1,COLUMN()))+Resultados!$H222))</f>
        <v>31854.714285714355</v>
      </c>
      <c r="J222" s="53">
        <f>IFERROR(EOMONTH((WORKDAY(C222,0,Dados!$C$3:$C$29)),-1)+1,"")</f>
        <v>43922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8">
        <v>43930</v>
      </c>
      <c r="C223" s="48">
        <v>43941</v>
      </c>
      <c r="D223" s="49" t="s">
        <v>107</v>
      </c>
      <c r="E223" s="50">
        <v>400</v>
      </c>
      <c r="F223" s="51">
        <v>32.799999999999997</v>
      </c>
      <c r="G223" s="51">
        <v>30.62</v>
      </c>
      <c r="H223" s="52">
        <f>IF(OR(Resultados!$F223="",Resultados!$G223=""),"",(Resultados!$G223-Resultados!$F223)*Resultados!$E223)</f>
        <v>-871.99999999999841</v>
      </c>
      <c r="I223" s="52">
        <f ca="1">IF(ISBLANK(Resultados!$C223),"",
IF(ROW()-1=3,Resultados!$H223,INDIRECT(ADDRESS(ROW()-1,COLUMN()))+Resultados!$H223))</f>
        <v>30982.714285714355</v>
      </c>
      <c r="J223" s="53">
        <f>IFERROR(EOMONTH((WORKDAY(C223,0,Dados!$C$3:$C$29)),-1)+1,"")</f>
        <v>43922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8">
        <v>43936</v>
      </c>
      <c r="C224" s="48">
        <v>43941</v>
      </c>
      <c r="D224" s="49" t="s">
        <v>147</v>
      </c>
      <c r="E224" s="50">
        <v>600</v>
      </c>
      <c r="F224" s="51">
        <v>10.31</v>
      </c>
      <c r="G224" s="51">
        <v>10.66</v>
      </c>
      <c r="H224" s="52">
        <f>IF(OR(Resultados!$F224="",Resultados!$G224=""),"",(Resultados!$G224-Resultados!$F224)*Resultados!$E224)</f>
        <v>209.99999999999977</v>
      </c>
      <c r="I224" s="52">
        <f ca="1">IF(ISBLANK(Resultados!$C224),"",
IF(ROW()-1=3,Resultados!$H224,INDIRECT(ADDRESS(ROW()-1,COLUMN()))+Resultados!$H224))</f>
        <v>31192.714285714355</v>
      </c>
      <c r="J224" s="53">
        <f>IFERROR(EOMONTH((WORKDAY(C224,0,Dados!$C$3:$C$29)),-1)+1,"")</f>
        <v>43922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8">
        <v>43937</v>
      </c>
      <c r="C225" s="48">
        <v>43941</v>
      </c>
      <c r="D225" s="49" t="s">
        <v>143</v>
      </c>
      <c r="E225" s="50">
        <v>800</v>
      </c>
      <c r="F225" s="51">
        <v>16.2</v>
      </c>
      <c r="G225" s="51">
        <v>15.14</v>
      </c>
      <c r="H225" s="52">
        <f>IF(OR(Resultados!$F225="",Resultados!$G225=""),"",(Resultados!$G225-Resultados!$F225)*Resultados!$E225)</f>
        <v>-847.99999999999898</v>
      </c>
      <c r="I225" s="52">
        <f ca="1">IF(ISBLANK(Resultados!$C225),"",
IF(ROW()-1=3,Resultados!$H225,INDIRECT(ADDRESS(ROW()-1,COLUMN()))+Resultados!$H225))</f>
        <v>30344.714285714355</v>
      </c>
      <c r="J225" s="53">
        <f>IFERROR(EOMONTH((WORKDAY(C225,0,Dados!$C$3:$C$29)),-1)+1,"")</f>
        <v>43922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8">
        <v>43943</v>
      </c>
      <c r="C226" s="48">
        <v>43941</v>
      </c>
      <c r="D226" s="49" t="s">
        <v>86</v>
      </c>
      <c r="E226" s="50">
        <v>900</v>
      </c>
      <c r="F226" s="51">
        <v>6.71</v>
      </c>
      <c r="G226" s="51">
        <v>6.9</v>
      </c>
      <c r="H226" s="52">
        <f>IF(OR(Resultados!$F226="",Resultados!$G226=""),"",(Resultados!$G226-Resultados!$F226)*Resultados!$E226)</f>
        <v>171.00000000000034</v>
      </c>
      <c r="I226" s="52">
        <f ca="1">IF(ISBLANK(Resultados!$C226),"",
IF(ROW()-1=3,Resultados!$H226,INDIRECT(ADDRESS(ROW()-1,COLUMN()))+Resultados!$H226))</f>
        <v>30515.714285714355</v>
      </c>
      <c r="J226" s="53">
        <f>IFERROR(EOMONTH((WORKDAY(C226,0,Dados!$C$3:$C$29)),-1)+1,"")</f>
        <v>43922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8">
        <v>43943</v>
      </c>
      <c r="C227" s="48">
        <v>43941</v>
      </c>
      <c r="D227" s="49" t="s">
        <v>119</v>
      </c>
      <c r="E227" s="50">
        <v>600</v>
      </c>
      <c r="F227" s="51">
        <v>9.67</v>
      </c>
      <c r="G227" s="51">
        <v>9.94</v>
      </c>
      <c r="H227" s="52">
        <f>IF(OR(Resultados!$F227="",Resultados!$G227=""),"",(Resultados!$G227-Resultados!$F227)*Resultados!$E227)</f>
        <v>161.99999999999974</v>
      </c>
      <c r="I227" s="52">
        <f ca="1">IF(ISBLANK(Resultados!$C227),"",
IF(ROW()-1=3,Resultados!$H227,INDIRECT(ADDRESS(ROW()-1,COLUMN()))+Resultados!$H227))</f>
        <v>30677.714285714355</v>
      </c>
      <c r="J227" s="53">
        <f>IFERROR(EOMONTH((WORKDAY(C227,0,Dados!$C$3:$C$29)),-1)+1,"")</f>
        <v>43922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8">
        <v>43943</v>
      </c>
      <c r="C228" s="48">
        <v>43941</v>
      </c>
      <c r="D228" s="49" t="s">
        <v>67</v>
      </c>
      <c r="E228" s="50">
        <v>200</v>
      </c>
      <c r="F228" s="51">
        <v>25.82</v>
      </c>
      <c r="G228" s="51">
        <v>27.5</v>
      </c>
      <c r="H228" s="52">
        <f>IF(OR(Resultados!$F228="",Resultados!$G228=""),"",(Resultados!$G228-Resultados!$F228)*Resultados!$E228)</f>
        <v>335.99999999999994</v>
      </c>
      <c r="I228" s="52">
        <f ca="1">IF(ISBLANK(Resultados!$C228),"",
IF(ROW()-1=3,Resultados!$H228,INDIRECT(ADDRESS(ROW()-1,COLUMN()))+Resultados!$H228))</f>
        <v>31013.714285714355</v>
      </c>
      <c r="J228" s="53">
        <f>IFERROR(EOMONTH((WORKDAY(C228,0,Dados!$C$3:$C$29)),-1)+1,"")</f>
        <v>43922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8">
        <v>43943</v>
      </c>
      <c r="C229" s="48">
        <v>43943</v>
      </c>
      <c r="D229" s="49" t="s">
        <v>148</v>
      </c>
      <c r="E229" s="50">
        <v>3400</v>
      </c>
      <c r="F229" s="51">
        <v>1.76</v>
      </c>
      <c r="G229" s="51">
        <v>1.87</v>
      </c>
      <c r="H229" s="52">
        <f>IF(OR(Resultados!$F229="",Resultados!$G229=""),"",(Resultados!$G229-Resultados!$F229)*Resultados!$E229)</f>
        <v>374.00000000000034</v>
      </c>
      <c r="I229" s="52">
        <f ca="1">IF(ISBLANK(Resultados!$C229),"",
IF(ROW()-1=3,Resultados!$H229,INDIRECT(ADDRESS(ROW()-1,COLUMN()))+Resultados!$H229))</f>
        <v>31387.714285714355</v>
      </c>
      <c r="J229" s="53">
        <f>IFERROR(EOMONTH((WORKDAY(C229,0,Dados!$C$3:$C$29)),-1)+1,"")</f>
        <v>43922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8">
        <v>43943</v>
      </c>
      <c r="C230" s="48">
        <v>43943</v>
      </c>
      <c r="D230" s="49" t="s">
        <v>148</v>
      </c>
      <c r="E230" s="50">
        <v>3400</v>
      </c>
      <c r="F230" s="51">
        <v>1.76</v>
      </c>
      <c r="G230" s="51">
        <v>2.12</v>
      </c>
      <c r="H230" s="52">
        <f>IF(OR(Resultados!$F230="",Resultados!$G230=""),"",(Resultados!$G230-Resultados!$F230)*Resultados!$E230)</f>
        <v>1224.0000000000002</v>
      </c>
      <c r="I230" s="52">
        <f ca="1">IF(ISBLANK(Resultados!$C230),"",
IF(ROW()-1=3,Resultados!$H230,INDIRECT(ADDRESS(ROW()-1,COLUMN()))+Resultados!$H230))</f>
        <v>32611.714285714355</v>
      </c>
      <c r="J230" s="53">
        <f>IFERROR(EOMONTH((WORKDAY(C230,0,Dados!$C$3:$C$29)),-1)+1,"")</f>
        <v>43922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8">
        <v>43936</v>
      </c>
      <c r="C231" s="48">
        <v>43944</v>
      </c>
      <c r="D231" s="49" t="s">
        <v>96</v>
      </c>
      <c r="E231" s="50">
        <v>200</v>
      </c>
      <c r="F231" s="51">
        <v>28.14</v>
      </c>
      <c r="G231" s="51">
        <v>29.48</v>
      </c>
      <c r="H231" s="52">
        <f>IF(OR(Resultados!$F231="",Resultados!$G231=""),"",(Resultados!$G231-Resultados!$F231)*Resultados!$E231)</f>
        <v>268</v>
      </c>
      <c r="I231" s="52">
        <f ca="1">IF(ISBLANK(Resultados!$C231),"",
IF(ROW()-1=3,Resultados!$H231,INDIRECT(ADDRESS(ROW()-1,COLUMN()))+Resultados!$H231))</f>
        <v>32879.714285714355</v>
      </c>
      <c r="J231" s="53">
        <f>IFERROR(EOMONTH((WORKDAY(C231,0,Dados!$C$3:$C$29)),-1)+1,"")</f>
        <v>43922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8">
        <v>43937</v>
      </c>
      <c r="C232" s="48">
        <v>43944</v>
      </c>
      <c r="D232" s="49" t="s">
        <v>149</v>
      </c>
      <c r="E232" s="50">
        <v>600</v>
      </c>
      <c r="F232" s="51">
        <v>22.33</v>
      </c>
      <c r="G232" s="51">
        <v>21.44</v>
      </c>
      <c r="H232" s="52">
        <f>IF(OR(Resultados!$F232="",Resultados!$G232=""),"",(Resultados!$G232-Resultados!$F232)*Resultados!$E232)</f>
        <v>-533.99999999999818</v>
      </c>
      <c r="I232" s="52">
        <f ca="1">IF(ISBLANK(Resultados!$C232),"",
IF(ROW()-1=3,Resultados!$H232,INDIRECT(ADDRESS(ROW()-1,COLUMN()))+Resultados!$H232))</f>
        <v>32345.714285714355</v>
      </c>
      <c r="J232" s="53">
        <f>IFERROR(EOMONTH((WORKDAY(C232,0,Dados!$C$3:$C$29)),-1)+1,"")</f>
        <v>43922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8">
        <v>43941</v>
      </c>
      <c r="C233" s="48">
        <v>43944</v>
      </c>
      <c r="D233" s="49" t="s">
        <v>67</v>
      </c>
      <c r="E233" s="50">
        <v>200</v>
      </c>
      <c r="F233" s="51">
        <v>25.82</v>
      </c>
      <c r="G233" s="51">
        <v>32.979999999999997</v>
      </c>
      <c r="H233" s="52">
        <f>IF(OR(Resultados!$F233="",Resultados!$G233=""),"",(Resultados!$G233-Resultados!$F233)*Resultados!$E233)</f>
        <v>1431.9999999999993</v>
      </c>
      <c r="I233" s="52">
        <f ca="1">IF(ISBLANK(Resultados!$C233),"",
IF(ROW()-1=3,Resultados!$H233,INDIRECT(ADDRESS(ROW()-1,COLUMN()))+Resultados!$H233))</f>
        <v>33777.714285714355</v>
      </c>
      <c r="J233" s="53">
        <f>IFERROR(EOMONTH((WORKDAY(C233,0,Dados!$C$3:$C$29)),-1)+1,"")</f>
        <v>43922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8">
        <v>43941</v>
      </c>
      <c r="C234" s="48">
        <v>43944</v>
      </c>
      <c r="D234" s="49" t="s">
        <v>99</v>
      </c>
      <c r="E234" s="50">
        <v>200</v>
      </c>
      <c r="F234" s="51">
        <v>55</v>
      </c>
      <c r="G234" s="51">
        <v>51.47</v>
      </c>
      <c r="H234" s="52">
        <f>IF(OR(Resultados!$F234="",Resultados!$G234=""),"",(Resultados!$G234-Resultados!$F234)*Resultados!$E234)</f>
        <v>-706.00000000000023</v>
      </c>
      <c r="I234" s="52">
        <f ca="1">IF(ISBLANK(Resultados!$C234),"",
IF(ROW()-1=3,Resultados!$H234,INDIRECT(ADDRESS(ROW()-1,COLUMN()))+Resultados!$H234))</f>
        <v>33071.714285714355</v>
      </c>
      <c r="J234" s="53">
        <f>IFERROR(EOMONTH((WORKDAY(C234,0,Dados!$C$3:$C$29)),-1)+1,"")</f>
        <v>43922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8">
        <v>43941</v>
      </c>
      <c r="C235" s="48">
        <v>43944</v>
      </c>
      <c r="D235" s="49" t="s">
        <v>119</v>
      </c>
      <c r="E235" s="50">
        <v>600</v>
      </c>
      <c r="F235" s="51">
        <v>9.67</v>
      </c>
      <c r="G235" s="51">
        <v>9.48</v>
      </c>
      <c r="H235" s="52">
        <f>IF(OR(Resultados!$F235="",Resultados!$G235=""),"",(Resultados!$G235-Resultados!$F235)*Resultados!$E235)</f>
        <v>-113.9999999999997</v>
      </c>
      <c r="I235" s="52">
        <f ca="1">IF(ISBLANK(Resultados!$C235),"",
IF(ROW()-1=3,Resultados!$H235,INDIRECT(ADDRESS(ROW()-1,COLUMN()))+Resultados!$H235))</f>
        <v>32957.714285714355</v>
      </c>
      <c r="J235" s="53">
        <f>IFERROR(EOMONTH((WORKDAY(C235,0,Dados!$C$3:$C$29)),-1)+1,"")</f>
        <v>43922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8">
        <v>43943</v>
      </c>
      <c r="C236" s="48">
        <v>43944</v>
      </c>
      <c r="D236" s="49" t="s">
        <v>46</v>
      </c>
      <c r="E236" s="50">
        <v>400</v>
      </c>
      <c r="F236" s="51">
        <v>14.23</v>
      </c>
      <c r="G236" s="51">
        <v>14.84</v>
      </c>
      <c r="H236" s="52">
        <f>IF(OR(Resultados!$F236="",Resultados!$G236=""),"",(Resultados!$G236-Resultados!$F236)*Resultados!$E236)</f>
        <v>243.99999999999977</v>
      </c>
      <c r="I236" s="52">
        <f ca="1">IF(ISBLANK(Resultados!$C236),"",
IF(ROW()-1=3,Resultados!$H236,INDIRECT(ADDRESS(ROW()-1,COLUMN()))+Resultados!$H236))</f>
        <v>33201.714285714355</v>
      </c>
      <c r="J236" s="53">
        <f>IFERROR(EOMONTH((WORKDAY(C236,0,Dados!$C$3:$C$29)),-1)+1,"")</f>
        <v>43922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8">
        <v>43943</v>
      </c>
      <c r="C237" s="48">
        <v>43944</v>
      </c>
      <c r="D237" s="49" t="s">
        <v>143</v>
      </c>
      <c r="E237" s="50">
        <v>400</v>
      </c>
      <c r="F237" s="51">
        <v>16.57</v>
      </c>
      <c r="G237" s="51">
        <v>17.309999999999999</v>
      </c>
      <c r="H237" s="52">
        <f>IF(OR(Resultados!$F237="",Resultados!$G237=""),"",(Resultados!$G237-Resultados!$F237)*Resultados!$E237)</f>
        <v>295.99999999999937</v>
      </c>
      <c r="I237" s="52">
        <f ca="1">IF(ISBLANK(Resultados!$C237),"",
IF(ROW()-1=3,Resultados!$H237,INDIRECT(ADDRESS(ROW()-1,COLUMN()))+Resultados!$H237))</f>
        <v>33497.714285714355</v>
      </c>
      <c r="J237" s="53">
        <f>IFERROR(EOMONTH((WORKDAY(C237,0,Dados!$C$3:$C$29)),-1)+1,"")</f>
        <v>43922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8">
        <v>43935</v>
      </c>
      <c r="C238" s="48">
        <v>43945</v>
      </c>
      <c r="D238" s="49" t="s">
        <v>146</v>
      </c>
      <c r="E238" s="50">
        <v>200</v>
      </c>
      <c r="F238" s="51">
        <v>36.03</v>
      </c>
      <c r="G238" s="51">
        <v>35.57</v>
      </c>
      <c r="H238" s="52">
        <f>IF(OR(Resultados!$F238="",Resultados!$G238=""),"",(Resultados!$G238-Resultados!$F238)*Resultados!$E238)</f>
        <v>-92.000000000000171</v>
      </c>
      <c r="I238" s="52">
        <f ca="1">IF(ISBLANK(Resultados!$C238),"",
IF(ROW()-1=3,Resultados!$H238,INDIRECT(ADDRESS(ROW()-1,COLUMN()))+Resultados!$H238))</f>
        <v>33405.714285714355</v>
      </c>
      <c r="J238" s="53">
        <f>IFERROR(EOMONTH((WORKDAY(C238,0,Dados!$C$3:$C$29)),-1)+1,"")</f>
        <v>43922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8">
        <v>43936</v>
      </c>
      <c r="C239" s="48">
        <v>43945</v>
      </c>
      <c r="D239" s="49" t="s">
        <v>147</v>
      </c>
      <c r="E239" s="50">
        <v>500</v>
      </c>
      <c r="F239" s="51">
        <v>10.31</v>
      </c>
      <c r="G239" s="51">
        <v>10.97</v>
      </c>
      <c r="H239" s="52">
        <f>IF(OR(Resultados!$F239="",Resultados!$G239=""),"",(Resultados!$G239-Resultados!$F239)*Resultados!$E239)</f>
        <v>330.00000000000006</v>
      </c>
      <c r="I239" s="52">
        <f ca="1">IF(ISBLANK(Resultados!$C239),"",
IF(ROW()-1=3,Resultados!$H239,INDIRECT(ADDRESS(ROW()-1,COLUMN()))+Resultados!$H239))</f>
        <v>33735.714285714355</v>
      </c>
      <c r="J239" s="53">
        <f>IFERROR(EOMONTH((WORKDAY(C239,0,Dados!$C$3:$C$29)),-1)+1,"")</f>
        <v>43922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8">
        <v>43941</v>
      </c>
      <c r="C240" s="48">
        <v>43945</v>
      </c>
      <c r="D240" s="49" t="s">
        <v>86</v>
      </c>
      <c r="E240" s="50">
        <v>900</v>
      </c>
      <c r="F240" s="51">
        <v>6.71</v>
      </c>
      <c r="G240" s="51">
        <v>6.88</v>
      </c>
      <c r="H240" s="52">
        <f>IF(OR(Resultados!$F240="",Resultados!$G240=""),"",(Resultados!$G240-Resultados!$F240)*Resultados!$E240)</f>
        <v>152.99999999999994</v>
      </c>
      <c r="I240" s="52">
        <f ca="1">IF(ISBLANK(Resultados!$C240),"",
IF(ROW()-1=3,Resultados!$H240,INDIRECT(ADDRESS(ROW()-1,COLUMN()))+Resultados!$H240))</f>
        <v>33888.714285714355</v>
      </c>
      <c r="J240" s="53">
        <f>IFERROR(EOMONTH((WORKDAY(C240,0,Dados!$C$3:$C$29)),-1)+1,"")</f>
        <v>43922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8">
        <v>43943</v>
      </c>
      <c r="C241" s="48">
        <v>43945</v>
      </c>
      <c r="D241" s="49" t="s">
        <v>132</v>
      </c>
      <c r="E241" s="50">
        <v>300</v>
      </c>
      <c r="F241" s="51">
        <v>43.2</v>
      </c>
      <c r="G241" s="51">
        <v>40.409999999999997</v>
      </c>
      <c r="H241" s="52">
        <f>IF(OR(Resultados!$F241="",Resultados!$G241=""),"",(Resultados!$G241-Resultados!$F241)*Resultados!$E241)</f>
        <v>-837.00000000000182</v>
      </c>
      <c r="I241" s="52">
        <f ca="1">IF(ISBLANK(Resultados!$C241),"",
IF(ROW()-1=3,Resultados!$H241,INDIRECT(ADDRESS(ROW()-1,COLUMN()))+Resultados!$H241))</f>
        <v>33051.714285714355</v>
      </c>
      <c r="J241" s="53">
        <f>IFERROR(EOMONTH((WORKDAY(C241,0,Dados!$C$3:$C$29)),-1)+1,"")</f>
        <v>43922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8">
        <v>43943</v>
      </c>
      <c r="C242" s="48">
        <v>43945</v>
      </c>
      <c r="D242" s="49" t="s">
        <v>143</v>
      </c>
      <c r="E242" s="50">
        <v>400</v>
      </c>
      <c r="F242" s="51">
        <v>16.57</v>
      </c>
      <c r="G242" s="51">
        <v>15.82</v>
      </c>
      <c r="H242" s="52">
        <f>IF(OR(Resultados!$F242="",Resultados!$G242=""),"",(Resultados!$G242-Resultados!$F242)*Resultados!$E242)</f>
        <v>-300</v>
      </c>
      <c r="I242" s="52">
        <f ca="1">IF(ISBLANK(Resultados!$C242),"",
IF(ROW()-1=3,Resultados!$H242,INDIRECT(ADDRESS(ROW()-1,COLUMN()))+Resultados!$H242))</f>
        <v>32751.714285714355</v>
      </c>
      <c r="J242" s="53">
        <f>IFERROR(EOMONTH((WORKDAY(C242,0,Dados!$C$3:$C$29)),-1)+1,"")</f>
        <v>43922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8">
        <v>43943</v>
      </c>
      <c r="C243" s="48">
        <v>43945</v>
      </c>
      <c r="D243" s="49" t="s">
        <v>150</v>
      </c>
      <c r="E243" s="50">
        <v>400</v>
      </c>
      <c r="F243" s="51">
        <v>30.56</v>
      </c>
      <c r="G243" s="51">
        <v>28.83</v>
      </c>
      <c r="H243" s="52">
        <f>IF(OR(Resultados!$F243="",Resultados!$G243=""),"",(Resultados!$G243-Resultados!$F243)*Resultados!$E243)</f>
        <v>-692.00000000000023</v>
      </c>
      <c r="I243" s="52">
        <f ca="1">IF(ISBLANK(Resultados!$C243),"",
IF(ROW()-1=3,Resultados!$H243,INDIRECT(ADDRESS(ROW()-1,COLUMN()))+Resultados!$H243))</f>
        <v>32059.714285714355</v>
      </c>
      <c r="J243" s="53">
        <f>IFERROR(EOMONTH((WORKDAY(C243,0,Dados!$C$3:$C$29)),-1)+1,"")</f>
        <v>43922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8">
        <v>43943</v>
      </c>
      <c r="C244" s="48">
        <v>43945</v>
      </c>
      <c r="D244" s="49" t="s">
        <v>151</v>
      </c>
      <c r="E244" s="50">
        <v>2400</v>
      </c>
      <c r="F244" s="51">
        <v>4.83</v>
      </c>
      <c r="G244" s="51">
        <v>4.58</v>
      </c>
      <c r="H244" s="52">
        <f>IF(OR(Resultados!$F244="",Resultados!$G244=""),"",(Resultados!$G244-Resultados!$F244)*Resultados!$E244)</f>
        <v>-600</v>
      </c>
      <c r="I244" s="52">
        <f ca="1">IF(ISBLANK(Resultados!$C244),"",
IF(ROW()-1=3,Resultados!$H244,INDIRECT(ADDRESS(ROW()-1,COLUMN()))+Resultados!$H244))</f>
        <v>31459.714285714355</v>
      </c>
      <c r="J244" s="53">
        <f>IFERROR(EOMONTH((WORKDAY(C244,0,Dados!$C$3:$C$29)),-1)+1,"")</f>
        <v>43922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8">
        <v>43943</v>
      </c>
      <c r="C245" s="48">
        <v>43945</v>
      </c>
      <c r="D245" s="49" t="s">
        <v>46</v>
      </c>
      <c r="E245" s="50">
        <v>400</v>
      </c>
      <c r="F245" s="51">
        <v>14.23</v>
      </c>
      <c r="G245" s="51">
        <v>13.49</v>
      </c>
      <c r="H245" s="52">
        <f>IF(OR(Resultados!$F245="",Resultados!$G245=""),"",(Resultados!$G245-Resultados!$F245)*Resultados!$E245)</f>
        <v>-296.00000000000011</v>
      </c>
      <c r="I245" s="52">
        <f ca="1">IF(ISBLANK(Resultados!$C245),"",
IF(ROW()-1=3,Resultados!$H245,INDIRECT(ADDRESS(ROW()-1,COLUMN()))+Resultados!$H245))</f>
        <v>31163.714285714355</v>
      </c>
      <c r="J245" s="53">
        <f>IFERROR(EOMONTH((WORKDAY(C245,0,Dados!$C$3:$C$29)),-1)+1,"")</f>
        <v>43922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8">
        <v>43944</v>
      </c>
      <c r="C246" s="48">
        <v>43945</v>
      </c>
      <c r="D246" s="49" t="s">
        <v>152</v>
      </c>
      <c r="E246" s="50">
        <v>1200</v>
      </c>
      <c r="F246" s="51">
        <v>9.89</v>
      </c>
      <c r="G246" s="51">
        <v>9.27</v>
      </c>
      <c r="H246" s="52">
        <f>IF(OR(Resultados!$F246="",Resultados!$G246=""),"",(Resultados!$G246-Resultados!$F246)*Resultados!$E246)</f>
        <v>-744.00000000000114</v>
      </c>
      <c r="I246" s="52">
        <f ca="1">IF(ISBLANK(Resultados!$C246),"",
IF(ROW()-1=3,Resultados!$H246,INDIRECT(ADDRESS(ROW()-1,COLUMN()))+Resultados!$H246))</f>
        <v>30419.714285714355</v>
      </c>
      <c r="J246" s="53">
        <f>IFERROR(EOMONTH((WORKDAY(C246,0,Dados!$C$3:$C$29)),-1)+1,"")</f>
        <v>43922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8">
        <v>43944</v>
      </c>
      <c r="C247" s="48">
        <v>43945</v>
      </c>
      <c r="D247" s="49" t="s">
        <v>125</v>
      </c>
      <c r="E247" s="50">
        <v>1200</v>
      </c>
      <c r="F247" s="51">
        <v>5.1100000000000003</v>
      </c>
      <c r="G247" s="51">
        <v>4.8099999999999996</v>
      </c>
      <c r="H247" s="52">
        <f>IF(OR(Resultados!$F247="",Resultados!$G247=""),"",(Resultados!$G247-Resultados!$F247)*Resultados!$E247)</f>
        <v>-360.00000000000085</v>
      </c>
      <c r="I247" s="52">
        <f ca="1">IF(ISBLANK(Resultados!$C247),"",
IF(ROW()-1=3,Resultados!$H247,INDIRECT(ADDRESS(ROW()-1,COLUMN()))+Resultados!$H247))</f>
        <v>30059.714285714355</v>
      </c>
      <c r="J247" s="53">
        <f>IFERROR(EOMONTH((WORKDAY(C247,0,Dados!$C$3:$C$29)),-1)+1,"")</f>
        <v>43922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8">
        <v>43949</v>
      </c>
      <c r="C248" s="48">
        <v>43949</v>
      </c>
      <c r="D248" s="49" t="s">
        <v>110</v>
      </c>
      <c r="E248" s="50">
        <v>300</v>
      </c>
      <c r="F248" s="51">
        <v>19.8</v>
      </c>
      <c r="G248" s="51">
        <v>21</v>
      </c>
      <c r="H248" s="52">
        <f>IF(OR(Resultados!$F248="",Resultados!$G248=""),"",(Resultados!$G248-Resultados!$F248)*Resultados!$E248)</f>
        <v>359.99999999999977</v>
      </c>
      <c r="I248" s="52">
        <f ca="1">IF(ISBLANK(Resultados!$C248),"",
IF(ROW()-1=3,Resultados!$H248,INDIRECT(ADDRESS(ROW()-1,COLUMN()))+Resultados!$H248))</f>
        <v>30419.714285714355</v>
      </c>
      <c r="J248" s="53">
        <f>IFERROR(EOMONTH((WORKDAY(C248,0,Dados!$C$3:$C$29)),-1)+1,"")</f>
        <v>43922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8">
        <v>43949</v>
      </c>
      <c r="C249" s="48">
        <v>43949</v>
      </c>
      <c r="D249" s="49" t="s">
        <v>67</v>
      </c>
      <c r="E249" s="50">
        <v>200</v>
      </c>
      <c r="F249" s="51">
        <v>29.78</v>
      </c>
      <c r="G249" s="51">
        <v>32.200000000000003</v>
      </c>
      <c r="H249" s="52">
        <f>IF(OR(Resultados!$F249="",Resultados!$G249=""),"",(Resultados!$G249-Resultados!$F249)*Resultados!$E249)</f>
        <v>484.00000000000034</v>
      </c>
      <c r="I249" s="52">
        <f ca="1">IF(ISBLANK(Resultados!$C249),"",
IF(ROW()-1=3,Resultados!$H249,INDIRECT(ADDRESS(ROW()-1,COLUMN()))+Resultados!$H249))</f>
        <v>30903.714285714355</v>
      </c>
      <c r="J249" s="53">
        <f>IFERROR(EOMONTH((WORKDAY(C249,0,Dados!$C$3:$C$29)),-1)+1,"")</f>
        <v>43922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8">
        <v>43949</v>
      </c>
      <c r="C250" s="48">
        <v>43950</v>
      </c>
      <c r="D250" s="49" t="s">
        <v>153</v>
      </c>
      <c r="E250" s="50">
        <v>2300</v>
      </c>
      <c r="F250" s="51">
        <v>2.63</v>
      </c>
      <c r="G250" s="51">
        <v>2.77</v>
      </c>
      <c r="H250" s="52">
        <f>IF(OR(Resultados!$F250="",Resultados!$G250=""),"",(Resultados!$G250-Resultados!$F250)*Resultados!$E250)</f>
        <v>322.00000000000028</v>
      </c>
      <c r="I250" s="52">
        <f ca="1">IF(ISBLANK(Resultados!$C250),"",
IF(ROW()-1=3,Resultados!$H250,INDIRECT(ADDRESS(ROW()-1,COLUMN()))+Resultados!$H250))</f>
        <v>31225.714285714355</v>
      </c>
      <c r="J250" s="53">
        <f>IFERROR(EOMONTH((WORKDAY(C250,0,Dados!$C$3:$C$29)),-1)+1,"")</f>
        <v>43922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8">
        <v>43949</v>
      </c>
      <c r="C251" s="48">
        <v>43950</v>
      </c>
      <c r="D251" s="49" t="s">
        <v>148</v>
      </c>
      <c r="E251" s="50">
        <v>3100</v>
      </c>
      <c r="F251" s="51">
        <v>1.93</v>
      </c>
      <c r="G251" s="51">
        <v>2.02</v>
      </c>
      <c r="H251" s="52">
        <f>IF(OR(Resultados!$F251="",Resultados!$G251=""),"",(Resultados!$G251-Resultados!$F251)*Resultados!$E251)</f>
        <v>279.00000000000023</v>
      </c>
      <c r="I251" s="52">
        <f ca="1">IF(ISBLANK(Resultados!$C251),"",
IF(ROW()-1=3,Resultados!$H251,INDIRECT(ADDRESS(ROW()-1,COLUMN()))+Resultados!$H251))</f>
        <v>31504.714285714355</v>
      </c>
      <c r="J251" s="53">
        <f>IFERROR(EOMONTH((WORKDAY(C251,0,Dados!$C$3:$C$29)),-1)+1,"")</f>
        <v>43922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8">
        <v>43950</v>
      </c>
      <c r="C252" s="48">
        <v>43950</v>
      </c>
      <c r="D252" s="49" t="s">
        <v>154</v>
      </c>
      <c r="E252" s="50">
        <v>1600</v>
      </c>
      <c r="F252" s="51">
        <v>3.73</v>
      </c>
      <c r="G252" s="51">
        <v>3.97</v>
      </c>
      <c r="H252" s="52">
        <f>IF(OR(Resultados!$F252="",Resultados!$G252=""),"",(Resultados!$G252-Resultados!$F252)*Resultados!$E252)</f>
        <v>384.00000000000034</v>
      </c>
      <c r="I252" s="52">
        <f ca="1">IF(ISBLANK(Resultados!$C252),"",
IF(ROW()-1=3,Resultados!$H252,INDIRECT(ADDRESS(ROW()-1,COLUMN()))+Resultados!$H252))</f>
        <v>31888.714285714355</v>
      </c>
      <c r="J252" s="53">
        <f>IFERROR(EOMONTH((WORKDAY(C252,0,Dados!$C$3:$C$29)),-1)+1,"")</f>
        <v>43922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8">
        <v>43950</v>
      </c>
      <c r="C253" s="48">
        <v>43950</v>
      </c>
      <c r="D253" s="49" t="s">
        <v>155</v>
      </c>
      <c r="E253" s="50">
        <v>300</v>
      </c>
      <c r="F253" s="51">
        <v>20.260000000000002</v>
      </c>
      <c r="G253" s="51">
        <v>20.8</v>
      </c>
      <c r="H253" s="52">
        <f>IF(OR(Resultados!$F253="",Resultados!$G253=""),"",(Resultados!$G253-Resultados!$F253)*Resultados!$E253)</f>
        <v>161.99999999999974</v>
      </c>
      <c r="I253" s="52">
        <f ca="1">IF(ISBLANK(Resultados!$C253),"",
IF(ROW()-1=3,Resultados!$H253,INDIRECT(ADDRESS(ROW()-1,COLUMN()))+Resultados!$H253))</f>
        <v>32050.714285714355</v>
      </c>
      <c r="J253" s="53">
        <f>IFERROR(EOMONTH((WORKDAY(C253,0,Dados!$C$3:$C$29)),-1)+1,"")</f>
        <v>43922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8">
        <v>43950</v>
      </c>
      <c r="C254" s="48">
        <v>43950</v>
      </c>
      <c r="D254" s="49" t="s">
        <v>154</v>
      </c>
      <c r="E254" s="50">
        <v>1600</v>
      </c>
      <c r="F254" s="51">
        <v>3.73</v>
      </c>
      <c r="G254" s="51">
        <v>4.3899999999999997</v>
      </c>
      <c r="H254" s="52">
        <f>IF(OR(Resultados!$F254="",Resultados!$G254=""),"",(Resultados!$G254-Resultados!$F254)*Resultados!$E254)</f>
        <v>1055.9999999999995</v>
      </c>
      <c r="I254" s="52">
        <f ca="1">IF(ISBLANK(Resultados!$C254),"",
IF(ROW()-1=3,Resultados!$H254,INDIRECT(ADDRESS(ROW()-1,COLUMN()))+Resultados!$H254))</f>
        <v>33106.714285714355</v>
      </c>
      <c r="J254" s="53">
        <f>IFERROR(EOMONTH((WORKDAY(C254,0,Dados!$C$3:$C$29)),-1)+1,"")</f>
        <v>43922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8">
        <v>43950</v>
      </c>
      <c r="C255" s="48">
        <v>43950</v>
      </c>
      <c r="D255" s="49" t="s">
        <v>125</v>
      </c>
      <c r="E255" s="50">
        <v>1200</v>
      </c>
      <c r="F255" s="51">
        <v>4.9000000000000004</v>
      </c>
      <c r="G255" s="51">
        <v>5.0999999999999996</v>
      </c>
      <c r="H255" s="52">
        <f>IF(OR(Resultados!$F255="",Resultados!$G255=""),"",(Resultados!$G255-Resultados!$F255)*Resultados!$E255)</f>
        <v>239.99999999999915</v>
      </c>
      <c r="I255" s="52">
        <f ca="1">IF(ISBLANK(Resultados!$C255),"",
IF(ROW()-1=3,Resultados!$H255,INDIRECT(ADDRESS(ROW()-1,COLUMN()))+Resultados!$H255))</f>
        <v>33346.714285714355</v>
      </c>
      <c r="J255" s="53">
        <f>IFERROR(EOMONTH((WORKDAY(C255,0,Dados!$C$3:$C$29)),-1)+1,"")</f>
        <v>43922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8">
        <v>43949</v>
      </c>
      <c r="C256" s="48">
        <v>43951</v>
      </c>
      <c r="D256" s="49" t="s">
        <v>148</v>
      </c>
      <c r="E256" s="50">
        <v>3100</v>
      </c>
      <c r="F256" s="51">
        <v>1.93</v>
      </c>
      <c r="G256" s="51">
        <v>1.84</v>
      </c>
      <c r="H256" s="52">
        <f>IF(OR(Resultados!$F256="",Resultados!$G256=""),"",(Resultados!$G256-Resultados!$F256)*Resultados!$E256)</f>
        <v>-278.99999999999955</v>
      </c>
      <c r="I256" s="52">
        <f ca="1">IF(ISBLANK(Resultados!$C256),"",
IF(ROW()-1=3,Resultados!$H256,INDIRECT(ADDRESS(ROW()-1,COLUMN()))+Resultados!$H256))</f>
        <v>33067.714285714355</v>
      </c>
      <c r="J256" s="53">
        <f>IFERROR(EOMONTH((WORKDAY(C256,0,Dados!$C$3:$C$29)),-1)+1,"")</f>
        <v>43922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8">
        <v>43949</v>
      </c>
      <c r="C257" s="48">
        <v>43951</v>
      </c>
      <c r="D257" s="49" t="s">
        <v>110</v>
      </c>
      <c r="E257" s="50">
        <v>300</v>
      </c>
      <c r="F257" s="51">
        <v>19.8</v>
      </c>
      <c r="G257" s="51">
        <v>20.49</v>
      </c>
      <c r="H257" s="52">
        <f>IF(OR(Resultados!$F257="",Resultados!$G257=""),"",(Resultados!$G257-Resultados!$F257)*Resultados!$E257)</f>
        <v>206.99999999999932</v>
      </c>
      <c r="I257" s="52">
        <f ca="1">IF(ISBLANK(Resultados!$C257),"",
IF(ROW()-1=3,Resultados!$H257,INDIRECT(ADDRESS(ROW()-1,COLUMN()))+Resultados!$H257))</f>
        <v>33274.714285714355</v>
      </c>
      <c r="J257" s="53">
        <f>IFERROR(EOMONTH((WORKDAY(C257,0,Dados!$C$3:$C$29)),-1)+1,"")</f>
        <v>43922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8">
        <v>43950</v>
      </c>
      <c r="C258" s="48">
        <v>43951</v>
      </c>
      <c r="D258" s="49" t="s">
        <v>153</v>
      </c>
      <c r="E258" s="50">
        <v>2300</v>
      </c>
      <c r="F258" s="51">
        <v>2.63</v>
      </c>
      <c r="G258" s="51">
        <v>2.69</v>
      </c>
      <c r="H258" s="52">
        <f>IF(OR(Resultados!$F258="",Resultados!$G258=""),"",(Resultados!$G258-Resultados!$F258)*Resultados!$E258)</f>
        <v>138.00000000000011</v>
      </c>
      <c r="I258" s="52">
        <f ca="1">IF(ISBLANK(Resultados!$C258),"",
IF(ROW()-1=3,Resultados!$H258,INDIRECT(ADDRESS(ROW()-1,COLUMN()))+Resultados!$H258))</f>
        <v>33412.714285714355</v>
      </c>
      <c r="J258" s="53">
        <f>IFERROR(EOMONTH((WORKDAY(C258,0,Dados!$C$3:$C$29)),-1)+1,"")</f>
        <v>43922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8">
        <v>43950</v>
      </c>
      <c r="C259" s="48">
        <v>43951</v>
      </c>
      <c r="D259" s="49" t="s">
        <v>74</v>
      </c>
      <c r="E259" s="50">
        <v>1100</v>
      </c>
      <c r="F259" s="51">
        <v>10.79</v>
      </c>
      <c r="G259" s="51">
        <v>10.38</v>
      </c>
      <c r="H259" s="52">
        <f>IF(OR(Resultados!$F259="",Resultados!$G259=""),"",(Resultados!$G259-Resultados!$F259)*Resultados!$E259)</f>
        <v>-450.99999999999818</v>
      </c>
      <c r="I259" s="52">
        <f ca="1">IF(ISBLANK(Resultados!$C259),"",
IF(ROW()-1=3,Resultados!$H259,INDIRECT(ADDRESS(ROW()-1,COLUMN()))+Resultados!$H259))</f>
        <v>32961.714285714355</v>
      </c>
      <c r="J259" s="53">
        <f>IFERROR(EOMONTH((WORKDAY(C259,0,Dados!$C$3:$C$29)),-1)+1,"")</f>
        <v>43922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8">
        <v>43950</v>
      </c>
      <c r="C260" s="48">
        <v>43951</v>
      </c>
      <c r="D260" s="49" t="s">
        <v>112</v>
      </c>
      <c r="E260" s="50">
        <v>2800</v>
      </c>
      <c r="F260" s="51">
        <v>4.3600000000000003</v>
      </c>
      <c r="G260" s="51">
        <v>4.16</v>
      </c>
      <c r="H260" s="52">
        <f>IF(OR(Resultados!$F260="",Resultados!$G260=""),"",(Resultados!$G260-Resultados!$F260)*Resultados!$E260)</f>
        <v>-560.00000000000045</v>
      </c>
      <c r="I260" s="52">
        <f ca="1">IF(ISBLANK(Resultados!$C260),"",
IF(ROW()-1=3,Resultados!$H260,INDIRECT(ADDRESS(ROW()-1,COLUMN()))+Resultados!$H260))</f>
        <v>32401.714285714355</v>
      </c>
      <c r="J260" s="53">
        <f>IFERROR(EOMONTH((WORKDAY(C260,0,Dados!$C$3:$C$29)),-1)+1,"")</f>
        <v>43922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8">
        <v>43950</v>
      </c>
      <c r="C261" s="48">
        <v>43951</v>
      </c>
      <c r="D261" s="49" t="s">
        <v>156</v>
      </c>
      <c r="E261" s="50">
        <v>400</v>
      </c>
      <c r="F261" s="51">
        <v>31.03</v>
      </c>
      <c r="G261" s="51">
        <v>29.84</v>
      </c>
      <c r="H261" s="52">
        <f>IF(OR(Resultados!$F261="",Resultados!$G261=""),"",(Resultados!$G261-Resultados!$F261)*Resultados!$E261)</f>
        <v>-476.00000000000051</v>
      </c>
      <c r="I261" s="52">
        <f ca="1">IF(ISBLANK(Resultados!$C261),"",
IF(ROW()-1=3,Resultados!$H261,INDIRECT(ADDRESS(ROW()-1,COLUMN()))+Resultados!$H261))</f>
        <v>31925.714285714355</v>
      </c>
      <c r="J261" s="53">
        <f>IFERROR(EOMONTH((WORKDAY(C261,0,Dados!$C$3:$C$29)),-1)+1,"")</f>
        <v>43922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8">
        <v>43949</v>
      </c>
      <c r="C262" s="48">
        <v>43955</v>
      </c>
      <c r="D262" s="49" t="s">
        <v>67</v>
      </c>
      <c r="E262" s="50">
        <v>200</v>
      </c>
      <c r="F262" s="51">
        <v>29.78</v>
      </c>
      <c r="G262" s="51">
        <v>29.99</v>
      </c>
      <c r="H262" s="52">
        <f>IF(OR(Resultados!$F262="",Resultados!$G262=""),"",(Resultados!$G262-Resultados!$F262)*Resultados!$E262)</f>
        <v>41.99999999999946</v>
      </c>
      <c r="I262" s="52">
        <f ca="1">IF(ISBLANK(Resultados!$C262),"",
IF(ROW()-1=3,Resultados!$H262,INDIRECT(ADDRESS(ROW()-1,COLUMN()))+Resultados!$H262))</f>
        <v>31967.714285714355</v>
      </c>
      <c r="J262" s="53">
        <f>IFERROR(EOMONTH((WORKDAY(C262,0,Dados!$C$3:$C$29)),-1)+1,"")</f>
        <v>43952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8">
        <v>43949</v>
      </c>
      <c r="C263" s="48">
        <v>43955</v>
      </c>
      <c r="D263" s="49" t="s">
        <v>152</v>
      </c>
      <c r="E263" s="50">
        <v>1200</v>
      </c>
      <c r="F263" s="51">
        <v>9.5500000000000007</v>
      </c>
      <c r="G263" s="51">
        <v>8.9600000000000009</v>
      </c>
      <c r="H263" s="52">
        <f>IF(OR(Resultados!$F263="",Resultados!$G263=""),"",(Resultados!$G263-Resultados!$F263)*Resultados!$E263)</f>
        <v>-707.99999999999977</v>
      </c>
      <c r="I263" s="52">
        <f ca="1">IF(ISBLANK(Resultados!$C263),"",
IF(ROW()-1=3,Resultados!$H263,INDIRECT(ADDRESS(ROW()-1,COLUMN()))+Resultados!$H263))</f>
        <v>31259.714285714355</v>
      </c>
      <c r="J263" s="53">
        <f>IFERROR(EOMONTH((WORKDAY(C263,0,Dados!$C$3:$C$29)),-1)+1,"")</f>
        <v>43952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8">
        <v>43949</v>
      </c>
      <c r="C264" s="48">
        <v>43955</v>
      </c>
      <c r="D264" s="49" t="s">
        <v>125</v>
      </c>
      <c r="E264" s="50">
        <v>1200</v>
      </c>
      <c r="F264" s="51">
        <v>4.9000000000000004</v>
      </c>
      <c r="G264" s="51">
        <v>4.58</v>
      </c>
      <c r="H264" s="52">
        <f>IF(OR(Resultados!$F264="",Resultados!$G264=""),"",(Resultados!$G264-Resultados!$F264)*Resultados!$E264)</f>
        <v>-384.00000000000034</v>
      </c>
      <c r="I264" s="52">
        <f ca="1">IF(ISBLANK(Resultados!$C264),"",
IF(ROW()-1=3,Resultados!$H264,INDIRECT(ADDRESS(ROW()-1,COLUMN()))+Resultados!$H264))</f>
        <v>30875.714285714355</v>
      </c>
      <c r="J264" s="53">
        <f>IFERROR(EOMONTH((WORKDAY(C264,0,Dados!$C$3:$C$29)),-1)+1,"")</f>
        <v>43952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8">
        <v>43950</v>
      </c>
      <c r="C265" s="48">
        <v>43955</v>
      </c>
      <c r="D265" s="49" t="s">
        <v>157</v>
      </c>
      <c r="E265" s="50">
        <v>400</v>
      </c>
      <c r="F265" s="51">
        <v>26.21</v>
      </c>
      <c r="G265" s="51">
        <v>25.07</v>
      </c>
      <c r="H265" s="52">
        <f>IF(OR(Resultados!$F265="",Resultados!$G265=""),"",(Resultados!$G265-Resultados!$F265)*Resultados!$E265)</f>
        <v>-456.00000000000023</v>
      </c>
      <c r="I265" s="52">
        <f ca="1">IF(ISBLANK(Resultados!$C265),"",
IF(ROW()-1=3,Resultados!$H265,INDIRECT(ADDRESS(ROW()-1,COLUMN()))+Resultados!$H265))</f>
        <v>30419.714285714355</v>
      </c>
      <c r="J265" s="53">
        <f>IFERROR(EOMONTH((WORKDAY(C265,0,Dados!$C$3:$C$29)),-1)+1,"")</f>
        <v>43952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8">
        <v>43950</v>
      </c>
      <c r="C266" s="48">
        <v>43955</v>
      </c>
      <c r="D266" s="49" t="s">
        <v>158</v>
      </c>
      <c r="E266" s="50">
        <v>300</v>
      </c>
      <c r="F266" s="51">
        <v>35.82</v>
      </c>
      <c r="G266" s="51">
        <v>34.07</v>
      </c>
      <c r="H266" s="52">
        <f>IF(OR(Resultados!$F266="",Resultados!$G266=""),"",(Resultados!$G266-Resultados!$F266)*Resultados!$E266)</f>
        <v>-525</v>
      </c>
      <c r="I266" s="52">
        <f ca="1">IF(ISBLANK(Resultados!$C266),"",
IF(ROW()-1=3,Resultados!$H266,INDIRECT(ADDRESS(ROW()-1,COLUMN()))+Resultados!$H266))</f>
        <v>29894.714285714355</v>
      </c>
      <c r="J266" s="53">
        <f>IFERROR(EOMONTH((WORKDAY(C266,0,Dados!$C$3:$C$29)),-1)+1,"")</f>
        <v>43952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8">
        <v>43950</v>
      </c>
      <c r="C267" s="48">
        <v>43955</v>
      </c>
      <c r="D267" s="49" t="s">
        <v>101</v>
      </c>
      <c r="E267" s="50">
        <v>800</v>
      </c>
      <c r="F267" s="51">
        <v>15.14</v>
      </c>
      <c r="G267" s="51">
        <v>14.04</v>
      </c>
      <c r="H267" s="52">
        <f>IF(OR(Resultados!$F267="",Resultados!$G267=""),"",(Resultados!$G267-Resultados!$F267)*Resultados!$E267)</f>
        <v>-880.00000000000114</v>
      </c>
      <c r="I267" s="52">
        <f ca="1">IF(ISBLANK(Resultados!$C267),"",
IF(ROW()-1=3,Resultados!$H267,INDIRECT(ADDRESS(ROW()-1,COLUMN()))+Resultados!$H267))</f>
        <v>29014.714285714355</v>
      </c>
      <c r="J267" s="53">
        <f>IFERROR(EOMONTH((WORKDAY(C267,0,Dados!$C$3:$C$29)),-1)+1,"")</f>
        <v>43952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8">
        <v>43950</v>
      </c>
      <c r="C268" s="48">
        <v>43955</v>
      </c>
      <c r="D268" s="49" t="s">
        <v>109</v>
      </c>
      <c r="E268" s="50">
        <v>400</v>
      </c>
      <c r="F268" s="51">
        <v>26.39</v>
      </c>
      <c r="G268" s="51">
        <v>24.92</v>
      </c>
      <c r="H268" s="52">
        <f>IF(OR(Resultados!$F268="",Resultados!$G268=""),"",(Resultados!$G268-Resultados!$F268)*Resultados!$E268)</f>
        <v>-587.99999999999955</v>
      </c>
      <c r="I268" s="52">
        <f ca="1">IF(ISBLANK(Resultados!$C268),"",
IF(ROW()-1=3,Resultados!$H268,INDIRECT(ADDRESS(ROW()-1,COLUMN()))+Resultados!$H268))</f>
        <v>28426.714285714355</v>
      </c>
      <c r="J268" s="53">
        <f>IFERROR(EOMONTH((WORKDAY(C268,0,Dados!$C$3:$C$29)),-1)+1,"")</f>
        <v>43952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8">
        <v>43951</v>
      </c>
      <c r="C269" s="48">
        <v>43955</v>
      </c>
      <c r="D269" s="49" t="s">
        <v>159</v>
      </c>
      <c r="E269" s="50">
        <v>1100</v>
      </c>
      <c r="F269" s="51">
        <v>10.81</v>
      </c>
      <c r="G269" s="51">
        <v>10.08</v>
      </c>
      <c r="H269" s="52">
        <f>IF(OR(Resultados!$F269="",Resultados!$G269=""),"",(Resultados!$G269-Resultados!$F269)*Resultados!$E269)</f>
        <v>-803.00000000000045</v>
      </c>
      <c r="I269" s="52">
        <f ca="1">IF(ISBLANK(Resultados!$C269),"",
IF(ROW()-1=3,Resultados!$H269,INDIRECT(ADDRESS(ROW()-1,COLUMN()))+Resultados!$H269))</f>
        <v>27623.714285714355</v>
      </c>
      <c r="J269" s="53">
        <f>IFERROR(EOMONTH((WORKDAY(C269,0,Dados!$C$3:$C$29)),-1)+1,"")</f>
        <v>43952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8">
        <v>43951</v>
      </c>
      <c r="C270" s="48">
        <v>43955</v>
      </c>
      <c r="D270" s="49" t="s">
        <v>160</v>
      </c>
      <c r="E270" s="50">
        <v>3800</v>
      </c>
      <c r="F270" s="51">
        <v>3.1</v>
      </c>
      <c r="G270" s="51">
        <v>2.79</v>
      </c>
      <c r="H270" s="52">
        <f>IF(OR(Resultados!$F270="",Resultados!$G270=""),"",(Resultados!$G270-Resultados!$F270)*Resultados!$E270)</f>
        <v>-1178.0000000000002</v>
      </c>
      <c r="I270" s="52">
        <f ca="1">IF(ISBLANK(Resultados!$C270),"",
IF(ROW()-1=3,Resultados!$H270,INDIRECT(ADDRESS(ROW()-1,COLUMN()))+Resultados!$H270))</f>
        <v>26445.714285714355</v>
      </c>
      <c r="J270" s="53">
        <f>IFERROR(EOMONTH((WORKDAY(C270,0,Dados!$C$3:$C$29)),-1)+1,"")</f>
        <v>43952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8">
        <v>43956</v>
      </c>
      <c r="C271" s="48">
        <v>43958</v>
      </c>
      <c r="D271" s="49" t="s">
        <v>75</v>
      </c>
      <c r="E271" s="50">
        <v>100</v>
      </c>
      <c r="F271" s="51">
        <v>41.65</v>
      </c>
      <c r="G271" s="51">
        <v>44.6</v>
      </c>
      <c r="H271" s="52">
        <f>IF(OR(Resultados!$F271="",Resultados!$G271=""),"",(Resultados!$G271-Resultados!$F271)*Resultados!$E271)</f>
        <v>295.00000000000028</v>
      </c>
      <c r="I271" s="52">
        <f ca="1">IF(ISBLANK(Resultados!$C271),"",
IF(ROW()-1=3,Resultados!$H271,INDIRECT(ADDRESS(ROW()-1,COLUMN()))+Resultados!$H271))</f>
        <v>26740.714285714355</v>
      </c>
      <c r="J271" s="53">
        <f>IFERROR(EOMONTH((WORKDAY(C271,0,Dados!$C$3:$C$29)),-1)+1,"")</f>
        <v>43952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8">
        <v>43956</v>
      </c>
      <c r="C272" s="48">
        <v>43958</v>
      </c>
      <c r="D272" s="49" t="s">
        <v>161</v>
      </c>
      <c r="E272" s="50">
        <v>500</v>
      </c>
      <c r="F272" s="51">
        <v>20.63</v>
      </c>
      <c r="G272" s="51">
        <v>19.170000000000002</v>
      </c>
      <c r="H272" s="52">
        <f>IF(OR(Resultados!$F272="",Resultados!$G272=""),"",(Resultados!$G272-Resultados!$F272)*Resultados!$E272)</f>
        <v>-729.99999999999864</v>
      </c>
      <c r="I272" s="52">
        <f ca="1">IF(ISBLANK(Resultados!$C272),"",
IF(ROW()-1=3,Resultados!$H272,INDIRECT(ADDRESS(ROW()-1,COLUMN()))+Resultados!$H272))</f>
        <v>26010.714285714355</v>
      </c>
      <c r="J272" s="53">
        <f>IFERROR(EOMONTH((WORKDAY(C272,0,Dados!$C$3:$C$29)),-1)+1,"")</f>
        <v>43952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8">
        <v>43957</v>
      </c>
      <c r="C273" s="48">
        <v>43958</v>
      </c>
      <c r="D273" s="49" t="s">
        <v>162</v>
      </c>
      <c r="E273" s="50">
        <v>200</v>
      </c>
      <c r="F273" s="51">
        <v>26.42</v>
      </c>
      <c r="G273" s="51">
        <v>28.13</v>
      </c>
      <c r="H273" s="52">
        <f>IF(OR(Resultados!$F273="",Resultados!$G273=""),"",(Resultados!$G273-Resultados!$F273)*Resultados!$E273)</f>
        <v>341.99999999999943</v>
      </c>
      <c r="I273" s="52">
        <f ca="1">IF(ISBLANK(Resultados!$C273),"",
IF(ROW()-1=3,Resultados!$H273,INDIRECT(ADDRESS(ROW()-1,COLUMN()))+Resultados!$H273))</f>
        <v>26352.714285714355</v>
      </c>
      <c r="J273" s="53">
        <f>IFERROR(EOMONTH((WORKDAY(C273,0,Dados!$C$3:$C$29)),-1)+1,"")</f>
        <v>43952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8">
        <v>43950</v>
      </c>
      <c r="C274" s="48">
        <v>43962</v>
      </c>
      <c r="D274" s="49" t="s">
        <v>155</v>
      </c>
      <c r="E274" s="50">
        <v>300</v>
      </c>
      <c r="F274" s="51">
        <v>20.260000000000002</v>
      </c>
      <c r="G274" s="51">
        <v>19.29</v>
      </c>
      <c r="H274" s="52">
        <f>IF(OR(Resultados!$F274="",Resultados!$G274=""),"",(Resultados!$G274-Resultados!$F274)*Resultados!$E274)</f>
        <v>-291.00000000000074</v>
      </c>
      <c r="I274" s="52">
        <f ca="1">IF(ISBLANK(Resultados!$C274),"",
IF(ROW()-1=3,Resultados!$H274,INDIRECT(ADDRESS(ROW()-1,COLUMN()))+Resultados!$H274))</f>
        <v>26061.714285714355</v>
      </c>
      <c r="J274" s="53">
        <f>IFERROR(EOMONTH((WORKDAY(C274,0,Dados!$C$3:$C$29)),-1)+1,"")</f>
        <v>43952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8">
        <v>43959</v>
      </c>
      <c r="C275" s="48">
        <v>43962</v>
      </c>
      <c r="D275" s="49" t="s">
        <v>163</v>
      </c>
      <c r="E275" s="50">
        <v>1600</v>
      </c>
      <c r="F275" s="51">
        <v>3.58</v>
      </c>
      <c r="G275" s="51">
        <v>3.77</v>
      </c>
      <c r="H275" s="52">
        <f>IF(OR(Resultados!$F275="",Resultados!$G275=""),"",(Resultados!$G275-Resultados!$F275)*Resultados!$E275)</f>
        <v>303.99999999999989</v>
      </c>
      <c r="I275" s="52">
        <f ca="1">IF(ISBLANK(Resultados!$C275),"",
IF(ROW()-1=3,Resultados!$H275,INDIRECT(ADDRESS(ROW()-1,COLUMN()))+Resultados!$H275))</f>
        <v>26365.714285714355</v>
      </c>
      <c r="J275" s="53">
        <f>IFERROR(EOMONTH((WORKDAY(C275,0,Dados!$C$3:$C$29)),-1)+1,"")</f>
        <v>43952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8">
        <v>43957</v>
      </c>
      <c r="C276" s="48">
        <v>43963</v>
      </c>
      <c r="D276" s="49" t="s">
        <v>109</v>
      </c>
      <c r="E276" s="50">
        <v>200</v>
      </c>
      <c r="F276" s="51">
        <v>20.87</v>
      </c>
      <c r="G276" s="51">
        <v>22.96</v>
      </c>
      <c r="H276" s="52">
        <f>IF(OR(Resultados!$F276="",Resultados!$G276=""),"",(Resultados!$G276-Resultados!$F276)*Resultados!$E276)</f>
        <v>418</v>
      </c>
      <c r="I276" s="52">
        <f ca="1">IF(ISBLANK(Resultados!$C276),"",
IF(ROW()-1=3,Resultados!$H276,INDIRECT(ADDRESS(ROW()-1,COLUMN()))+Resultados!$H276))</f>
        <v>26783.714285714355</v>
      </c>
      <c r="J276" s="53">
        <f>IFERROR(EOMONTH((WORKDAY(C276,0,Dados!$C$3:$C$29)),-1)+1,"")</f>
        <v>43952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8">
        <v>43959</v>
      </c>
      <c r="C277" s="48">
        <v>43963</v>
      </c>
      <c r="D277" s="49" t="s">
        <v>153</v>
      </c>
      <c r="E277" s="50">
        <v>2300</v>
      </c>
      <c r="F277" s="51">
        <v>2.41</v>
      </c>
      <c r="G277" s="51">
        <v>2.58</v>
      </c>
      <c r="H277" s="52">
        <f>IF(OR(Resultados!$F277="",Resultados!$G277=""),"",(Resultados!$G277-Resultados!$F277)*Resultados!$E277)</f>
        <v>390.99999999999983</v>
      </c>
      <c r="I277" s="52">
        <f ca="1">IF(ISBLANK(Resultados!$C277),"",
IF(ROW()-1=3,Resultados!$H277,INDIRECT(ADDRESS(ROW()-1,COLUMN()))+Resultados!$H277))</f>
        <v>27174.714285714355</v>
      </c>
      <c r="J277" s="53">
        <f>IFERROR(EOMONTH((WORKDAY(C277,0,Dados!$C$3:$C$29)),-1)+1,"")</f>
        <v>43952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8">
        <v>43962</v>
      </c>
      <c r="C278" s="48">
        <v>43963</v>
      </c>
      <c r="D278" s="49" t="s">
        <v>88</v>
      </c>
      <c r="E278" s="50">
        <v>500</v>
      </c>
      <c r="F278" s="51">
        <v>25.6</v>
      </c>
      <c r="G278" s="51">
        <v>24.39</v>
      </c>
      <c r="H278" s="52">
        <f>IF(OR(Resultados!$F278="",Resultados!$G278=""),"",(Resultados!$G278-Resultados!$F278)*Resultados!$E278)</f>
        <v>-605.00000000000045</v>
      </c>
      <c r="I278" s="52">
        <f ca="1">IF(ISBLANK(Resultados!$C278),"",
IF(ROW()-1=3,Resultados!$H278,INDIRECT(ADDRESS(ROW()-1,COLUMN()))+Resultados!$H278))</f>
        <v>26569.714285714355</v>
      </c>
      <c r="J278" s="53">
        <f>IFERROR(EOMONTH((WORKDAY(C278,0,Dados!$C$3:$C$29)),-1)+1,"")</f>
        <v>43952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8">
        <v>43963</v>
      </c>
      <c r="C279" s="48">
        <v>43963</v>
      </c>
      <c r="D279" s="49" t="s">
        <v>164</v>
      </c>
      <c r="E279" s="50">
        <v>900</v>
      </c>
      <c r="F279" s="51">
        <v>6.39</v>
      </c>
      <c r="G279" s="51">
        <v>6.59</v>
      </c>
      <c r="H279" s="52">
        <f>IF(OR(Resultados!$F279="",Resultados!$G279=""),"",(Resultados!$G279-Resultados!$F279)*Resultados!$E279)</f>
        <v>180.00000000000017</v>
      </c>
      <c r="I279" s="52">
        <f ca="1">IF(ISBLANK(Resultados!$C279),"",
IF(ROW()-1=3,Resultados!$H279,INDIRECT(ADDRESS(ROW()-1,COLUMN()))+Resultados!$H279))</f>
        <v>26749.714285714355</v>
      </c>
      <c r="J279" s="53">
        <f>IFERROR(EOMONTH((WORKDAY(C279,0,Dados!$C$3:$C$29)),-1)+1,"")</f>
        <v>43952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8">
        <v>43962</v>
      </c>
      <c r="C280" s="48">
        <v>43964</v>
      </c>
      <c r="D280" s="49" t="s">
        <v>120</v>
      </c>
      <c r="E280" s="50">
        <v>1300</v>
      </c>
      <c r="F280" s="51">
        <v>4.21</v>
      </c>
      <c r="G280" s="51">
        <v>4.58</v>
      </c>
      <c r="H280" s="52">
        <f>IF(OR(Resultados!$F280="",Resultados!$G280=""),"",(Resultados!$G280-Resultados!$F280)*Resultados!$E280)</f>
        <v>481.00000000000011</v>
      </c>
      <c r="I280" s="52">
        <f ca="1">IF(ISBLANK(Resultados!$C280),"",
IF(ROW()-1=3,Resultados!$H280,INDIRECT(ADDRESS(ROW()-1,COLUMN()))+Resultados!$H280))</f>
        <v>27230.714285714355</v>
      </c>
      <c r="J280" s="53">
        <f>IFERROR(EOMONTH((WORKDAY(C280,0,Dados!$C$3:$C$29)),-1)+1,"")</f>
        <v>43952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8">
        <v>43956</v>
      </c>
      <c r="C281" s="48">
        <v>43965</v>
      </c>
      <c r="D281" s="49" t="s">
        <v>75</v>
      </c>
      <c r="E281" s="50">
        <v>100</v>
      </c>
      <c r="F281" s="51">
        <v>41.65</v>
      </c>
      <c r="G281" s="51">
        <v>48.9</v>
      </c>
      <c r="H281" s="52">
        <f>IF(OR(Resultados!$F281="",Resultados!$G281=""),"",(Resultados!$G281-Resultados!$F281)*Resultados!$E281)</f>
        <v>725</v>
      </c>
      <c r="I281" s="52">
        <f ca="1">IF(ISBLANK(Resultados!$C281),"",
IF(ROW()-1=3,Resultados!$H281,INDIRECT(ADDRESS(ROW()-1,COLUMN()))+Resultados!$H281))</f>
        <v>27955.714285714355</v>
      </c>
      <c r="J281" s="53">
        <f>IFERROR(EOMONTH((WORKDAY(C281,0,Dados!$C$3:$C$29)),-1)+1,"")</f>
        <v>43952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8">
        <v>43957</v>
      </c>
      <c r="C282" s="48">
        <v>43965</v>
      </c>
      <c r="D282" s="49" t="s">
        <v>162</v>
      </c>
      <c r="E282" s="50">
        <v>200</v>
      </c>
      <c r="F282" s="51">
        <v>25.51</v>
      </c>
      <c r="G282" s="51">
        <v>28.13</v>
      </c>
      <c r="H282" s="52">
        <f>IF(OR(Resultados!$F282="",Resultados!$G282=""),"",(Resultados!$G282-Resultados!$F282)*Resultados!$E282)</f>
        <v>523.99999999999955</v>
      </c>
      <c r="I282" s="52">
        <f ca="1">IF(ISBLANK(Resultados!$C282),"",
IF(ROW()-1=3,Resultados!$H282,INDIRECT(ADDRESS(ROW()-1,COLUMN()))+Resultados!$H282))</f>
        <v>28479.714285714355</v>
      </c>
      <c r="J282" s="53">
        <f>IFERROR(EOMONTH((WORKDAY(C282,0,Dados!$C$3:$C$29)),-1)+1,"")</f>
        <v>43952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8">
        <v>43959</v>
      </c>
      <c r="C283" s="48">
        <v>43965</v>
      </c>
      <c r="D283" s="49" t="s">
        <v>163</v>
      </c>
      <c r="E283" s="50">
        <v>1500</v>
      </c>
      <c r="F283" s="51">
        <v>3.61</v>
      </c>
      <c r="G283" s="51">
        <v>3.77</v>
      </c>
      <c r="H283" s="52">
        <f>IF(OR(Resultados!$F283="",Resultados!$G283=""),"",(Resultados!$G283-Resultados!$F283)*Resultados!$E283)</f>
        <v>240.00000000000023</v>
      </c>
      <c r="I283" s="52">
        <f ca="1">IF(ISBLANK(Resultados!$C283),"",
IF(ROW()-1=3,Resultados!$H283,INDIRECT(ADDRESS(ROW()-1,COLUMN()))+Resultados!$H283))</f>
        <v>28719.714285714355</v>
      </c>
      <c r="J283" s="53">
        <f>IFERROR(EOMONTH((WORKDAY(C283,0,Dados!$C$3:$C$29)),-1)+1,"")</f>
        <v>43952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8">
        <v>43963</v>
      </c>
      <c r="C284" s="48">
        <v>43965</v>
      </c>
      <c r="D284" s="49" t="s">
        <v>165</v>
      </c>
      <c r="E284" s="50">
        <v>600</v>
      </c>
      <c r="F284" s="51">
        <v>20.239999999999998</v>
      </c>
      <c r="G284" s="51">
        <v>18.87</v>
      </c>
      <c r="H284" s="52">
        <f>IF(OR(Resultados!$F284="",Resultados!$G284=""),"",(Resultados!$G284-Resultados!$F284)*Resultados!$E284)</f>
        <v>-821.99999999999841</v>
      </c>
      <c r="I284" s="52">
        <f ca="1">IF(ISBLANK(Resultados!$C284),"",
IF(ROW()-1=3,Resultados!$H284,INDIRECT(ADDRESS(ROW()-1,COLUMN()))+Resultados!$H284))</f>
        <v>27897.714285714355</v>
      </c>
      <c r="J284" s="53">
        <f>IFERROR(EOMONTH((WORKDAY(C284,0,Dados!$C$3:$C$29)),-1)+1,"")</f>
        <v>43952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8">
        <v>43963</v>
      </c>
      <c r="C285" s="48">
        <v>43965</v>
      </c>
      <c r="D285" s="49" t="s">
        <v>103</v>
      </c>
      <c r="E285" s="50">
        <v>200</v>
      </c>
      <c r="F285" s="51">
        <v>37.99</v>
      </c>
      <c r="G285" s="51">
        <v>41.6</v>
      </c>
      <c r="H285" s="52">
        <f>IF(OR(Resultados!$F285="",Resultados!$G285=""),"",(Resultados!$G285-Resultados!$F285)*Resultados!$E285)</f>
        <v>721.99999999999989</v>
      </c>
      <c r="I285" s="52">
        <f ca="1">IF(ISBLANK(Resultados!$C285),"",
IF(ROW()-1=3,Resultados!$H285,INDIRECT(ADDRESS(ROW()-1,COLUMN()))+Resultados!$H285))</f>
        <v>28619.714285714355</v>
      </c>
      <c r="J285" s="53">
        <f>IFERROR(EOMONTH((WORKDAY(C285,0,Dados!$C$3:$C$29)),-1)+1,"")</f>
        <v>43952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8">
        <v>43963</v>
      </c>
      <c r="C286" s="48">
        <v>43965</v>
      </c>
      <c r="D286" s="49" t="s">
        <v>103</v>
      </c>
      <c r="E286" s="50">
        <v>100</v>
      </c>
      <c r="F286" s="51">
        <v>37.03</v>
      </c>
      <c r="G286" s="51">
        <v>41.6</v>
      </c>
      <c r="H286" s="52">
        <f>IF(OR(Resultados!$F286="",Resultados!$G286=""),"",(Resultados!$G286-Resultados!$F286)*Resultados!$E286)</f>
        <v>457</v>
      </c>
      <c r="I286" s="52">
        <f ca="1">IF(ISBLANK(Resultados!$C286),"",
IF(ROW()-1=3,Resultados!$H286,INDIRECT(ADDRESS(ROW()-1,COLUMN()))+Resultados!$H286))</f>
        <v>29076.714285714355</v>
      </c>
      <c r="J286" s="53">
        <f>IFERROR(EOMONTH((WORKDAY(C286,0,Dados!$C$3:$C$29)),-1)+1,"")</f>
        <v>43952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8">
        <v>43963</v>
      </c>
      <c r="C287" s="48">
        <v>43965</v>
      </c>
      <c r="D287" s="49" t="s">
        <v>164</v>
      </c>
      <c r="E287" s="50">
        <v>900</v>
      </c>
      <c r="F287" s="51">
        <v>6.21</v>
      </c>
      <c r="G287" s="51">
        <v>6.59</v>
      </c>
      <c r="H287" s="52">
        <f>IF(OR(Resultados!$F287="",Resultados!$G287=""),"",(Resultados!$G287-Resultados!$F287)*Resultados!$E287)</f>
        <v>341.99999999999989</v>
      </c>
      <c r="I287" s="52">
        <f ca="1">IF(ISBLANK(Resultados!$C287),"",
IF(ROW()-1=3,Resultados!$H287,INDIRECT(ADDRESS(ROW()-1,COLUMN()))+Resultados!$H287))</f>
        <v>29418.714285714355</v>
      </c>
      <c r="J287" s="53">
        <f>IFERROR(EOMONTH((WORKDAY(C287,0,Dados!$C$3:$C$29)),-1)+1,"")</f>
        <v>43952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8">
        <v>43964</v>
      </c>
      <c r="C288" s="48">
        <v>43965</v>
      </c>
      <c r="D288" s="49" t="s">
        <v>166</v>
      </c>
      <c r="E288" s="50">
        <v>1300</v>
      </c>
      <c r="F288" s="51">
        <v>4.5</v>
      </c>
      <c r="G288" s="51">
        <v>4.7</v>
      </c>
      <c r="H288" s="52">
        <f>IF(OR(Resultados!$F288="",Resultados!$G288=""),"",(Resultados!$G288-Resultados!$F288)*Resultados!$E288)</f>
        <v>260.00000000000023</v>
      </c>
      <c r="I288" s="52">
        <f ca="1">IF(ISBLANK(Resultados!$C288),"",
IF(ROW()-1=3,Resultados!$H288,INDIRECT(ADDRESS(ROW()-1,COLUMN()))+Resultados!$H288))</f>
        <v>29678.714285714355</v>
      </c>
      <c r="J288" s="53">
        <f>IFERROR(EOMONTH((WORKDAY(C288,0,Dados!$C$3:$C$29)),-1)+1,"")</f>
        <v>43952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8">
        <v>43964</v>
      </c>
      <c r="C289" s="48">
        <v>43965</v>
      </c>
      <c r="D289" s="49" t="s">
        <v>167</v>
      </c>
      <c r="E289" s="50">
        <v>700</v>
      </c>
      <c r="F289" s="51">
        <v>15.34</v>
      </c>
      <c r="G289" s="51">
        <v>15.3</v>
      </c>
      <c r="H289" s="52">
        <f>IF(OR(Resultados!$F289="",Resultados!$G289=""),"",(Resultados!$G289-Resultados!$F289)*Resultados!$E289)</f>
        <v>-27.999999999999403</v>
      </c>
      <c r="I289" s="52">
        <f ca="1">IF(ISBLANK(Resultados!$C289),"",
IF(ROW()-1=3,Resultados!$H289,INDIRECT(ADDRESS(ROW()-1,COLUMN()))+Resultados!$H289))</f>
        <v>29650.714285714355</v>
      </c>
      <c r="J289" s="53">
        <f>IFERROR(EOMONTH((WORKDAY(C289,0,Dados!$C$3:$C$29)),-1)+1,"")</f>
        <v>43952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8">
        <v>43964</v>
      </c>
      <c r="C290" s="48">
        <v>43965</v>
      </c>
      <c r="D290" s="49" t="s">
        <v>166</v>
      </c>
      <c r="E290" s="50">
        <v>1200</v>
      </c>
      <c r="F290" s="51">
        <v>4.66</v>
      </c>
      <c r="G290" s="51">
        <v>4.7</v>
      </c>
      <c r="H290" s="52">
        <f>IF(OR(Resultados!$F290="",Resultados!$G290=""),"",(Resultados!$G290-Resultados!$F290)*Resultados!$E290)</f>
        <v>48.000000000000043</v>
      </c>
      <c r="I290" s="52">
        <f ca="1">IF(ISBLANK(Resultados!$C290),"",
IF(ROW()-1=3,Resultados!$H290,INDIRECT(ADDRESS(ROW()-1,COLUMN()))+Resultados!$H290))</f>
        <v>29698.714285714355</v>
      </c>
      <c r="J290" s="53">
        <f>IFERROR(EOMONTH((WORKDAY(C290,0,Dados!$C$3:$C$29)),-1)+1,"")</f>
        <v>43952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8">
        <v>43964</v>
      </c>
      <c r="C291" s="48">
        <v>43965</v>
      </c>
      <c r="D291" s="49" t="s">
        <v>168</v>
      </c>
      <c r="E291" s="50">
        <v>300</v>
      </c>
      <c r="F291" s="51">
        <v>2.67</v>
      </c>
      <c r="G291" s="51">
        <v>2.98</v>
      </c>
      <c r="H291" s="52">
        <f>IF(OR(Resultados!$F291="",Resultados!$G291=""),"",(Resultados!$G291-Resultados!$F291)*Resultados!$E291)</f>
        <v>93.000000000000014</v>
      </c>
      <c r="I291" s="52">
        <f ca="1">IF(ISBLANK(Resultados!$C291),"",
IF(ROW()-1=3,Resultados!$H291,INDIRECT(ADDRESS(ROW()-1,COLUMN()))+Resultados!$H291))</f>
        <v>29791.714285714355</v>
      </c>
      <c r="J291" s="53">
        <f>IFERROR(EOMONTH((WORKDAY(C291,0,Dados!$C$3:$C$29)),-1)+1,"")</f>
        <v>43952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8">
        <v>43957</v>
      </c>
      <c r="C292" s="48">
        <v>43966</v>
      </c>
      <c r="D292" s="49" t="s">
        <v>109</v>
      </c>
      <c r="E292" s="50">
        <v>200</v>
      </c>
      <c r="F292" s="51">
        <v>20.51</v>
      </c>
      <c r="G292" s="51">
        <v>22.96</v>
      </c>
      <c r="H292" s="52">
        <f>IF(OR(Resultados!$F292="",Resultados!$G292=""),"",(Resultados!$G292-Resultados!$F292)*Resultados!$E292)</f>
        <v>489.99999999999989</v>
      </c>
      <c r="I292" s="52">
        <f ca="1">IF(ISBLANK(Resultados!$C292),"",
IF(ROW()-1=3,Resultados!$H292,INDIRECT(ADDRESS(ROW()-1,COLUMN()))+Resultados!$H292))</f>
        <v>30281.714285714355</v>
      </c>
      <c r="J292" s="53">
        <f>IFERROR(EOMONTH((WORKDAY(C292,0,Dados!$C$3:$C$29)),-1)+1,"")</f>
        <v>43952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8">
        <v>43962</v>
      </c>
      <c r="C293" s="48">
        <v>43966</v>
      </c>
      <c r="D293" s="49" t="s">
        <v>120</v>
      </c>
      <c r="E293" s="50">
        <v>1300</v>
      </c>
      <c r="F293" s="51">
        <v>4.3099999999999996</v>
      </c>
      <c r="G293" s="51">
        <v>4.58</v>
      </c>
      <c r="H293" s="52">
        <f>IF(OR(Resultados!$F293="",Resultados!$G293=""),"",(Resultados!$G293-Resultados!$F293)*Resultados!$E293)</f>
        <v>351.00000000000063</v>
      </c>
      <c r="I293" s="52">
        <f ca="1">IF(ISBLANK(Resultados!$C293),"",
IF(ROW()-1=3,Resultados!$H293,INDIRECT(ADDRESS(ROW()-1,COLUMN()))+Resultados!$H293))</f>
        <v>30632.714285714355</v>
      </c>
      <c r="J293" s="53">
        <f>IFERROR(EOMONTH((WORKDAY(C293,0,Dados!$C$3:$C$29)),-1)+1,"")</f>
        <v>43952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8">
        <v>43963</v>
      </c>
      <c r="C294" s="48">
        <v>43966</v>
      </c>
      <c r="D294" s="49" t="s">
        <v>85</v>
      </c>
      <c r="E294" s="50">
        <v>800</v>
      </c>
      <c r="F294" s="51">
        <v>14.33</v>
      </c>
      <c r="G294" s="51">
        <v>13.89</v>
      </c>
      <c r="H294" s="52">
        <f>IF(OR(Resultados!$F294="",Resultados!$G294=""),"",(Resultados!$G294-Resultados!$F294)*Resultados!$E294)</f>
        <v>-351.9999999999996</v>
      </c>
      <c r="I294" s="52">
        <f ca="1">IF(ISBLANK(Resultados!$C294),"",
IF(ROW()-1=3,Resultados!$H294,INDIRECT(ADDRESS(ROW()-1,COLUMN()))+Resultados!$H294))</f>
        <v>30280.714285714355</v>
      </c>
      <c r="J294" s="53">
        <f>IFERROR(EOMONTH((WORKDAY(C294,0,Dados!$C$3:$C$29)),-1)+1,"")</f>
        <v>43952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8">
        <v>43964</v>
      </c>
      <c r="C295" s="48">
        <v>43966</v>
      </c>
      <c r="D295" s="49" t="s">
        <v>100</v>
      </c>
      <c r="E295" s="50">
        <v>700</v>
      </c>
      <c r="F295" s="51">
        <v>16.010000000000002</v>
      </c>
      <c r="G295" s="51">
        <v>15.49</v>
      </c>
      <c r="H295" s="52">
        <f>IF(OR(Resultados!$F295="",Resultados!$G295=""),"",(Resultados!$G295-Resultados!$F295)*Resultados!$E295)</f>
        <v>-364.00000000000097</v>
      </c>
      <c r="I295" s="52">
        <f ca="1">IF(ISBLANK(Resultados!$C295),"",
IF(ROW()-1=3,Resultados!$H295,INDIRECT(ADDRESS(ROW()-1,COLUMN()))+Resultados!$H295))</f>
        <v>29916.714285714355</v>
      </c>
      <c r="J295" s="53">
        <f>IFERROR(EOMONTH((WORKDAY(C295,0,Dados!$C$3:$C$29)),-1)+1,"")</f>
        <v>43952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8">
        <v>43964</v>
      </c>
      <c r="C296" s="48">
        <v>43966</v>
      </c>
      <c r="D296" s="49" t="s">
        <v>168</v>
      </c>
      <c r="E296" s="50">
        <v>220</v>
      </c>
      <c r="F296" s="51">
        <v>2.67</v>
      </c>
      <c r="G296" s="51">
        <v>3.35</v>
      </c>
      <c r="H296" s="52">
        <f>IF(OR(Resultados!$F296="",Resultados!$G296=""),"",(Resultados!$G296-Resultados!$F296)*Resultados!$E296)</f>
        <v>149.60000000000002</v>
      </c>
      <c r="I296" s="52">
        <f ca="1">IF(ISBLANK(Resultados!$C296),"",
IF(ROW()-1=3,Resultados!$H296,INDIRECT(ADDRESS(ROW()-1,COLUMN()))+Resultados!$H296))</f>
        <v>30066.314285714354</v>
      </c>
      <c r="J296" s="53">
        <f>IFERROR(EOMONTH((WORKDAY(C296,0,Dados!$C$3:$C$29)),-1)+1,"")</f>
        <v>43952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8">
        <v>43964</v>
      </c>
      <c r="C297" s="48">
        <v>43966</v>
      </c>
      <c r="D297" s="49" t="s">
        <v>168</v>
      </c>
      <c r="E297" s="50">
        <v>80</v>
      </c>
      <c r="F297" s="51">
        <v>2.67</v>
      </c>
      <c r="G297" s="51">
        <v>3.24</v>
      </c>
      <c r="H297" s="52">
        <f>IF(OR(Resultados!$F297="",Resultados!$G297=""),"",(Resultados!$G297-Resultados!$F297)*Resultados!$E297)</f>
        <v>45.600000000000023</v>
      </c>
      <c r="I297" s="52">
        <f ca="1">IF(ISBLANK(Resultados!$C297),"",
IF(ROW()-1=3,Resultados!$H297,INDIRECT(ADDRESS(ROW()-1,COLUMN()))+Resultados!$H297))</f>
        <v>30111.914285714352</v>
      </c>
      <c r="J297" s="53">
        <f>IFERROR(EOMONTH((WORKDAY(C297,0,Dados!$C$3:$C$29)),-1)+1,"")</f>
        <v>43952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8">
        <v>43964</v>
      </c>
      <c r="C298" s="48">
        <v>43966</v>
      </c>
      <c r="D298" s="49" t="s">
        <v>168</v>
      </c>
      <c r="E298" s="50">
        <v>80</v>
      </c>
      <c r="F298" s="51">
        <v>2.67</v>
      </c>
      <c r="G298" s="51">
        <v>2.78</v>
      </c>
      <c r="H298" s="52">
        <f>IF(OR(Resultados!$F298="",Resultados!$G298=""),"",(Resultados!$G298-Resultados!$F298)*Resultados!$E298)</f>
        <v>8.7999999999999901</v>
      </c>
      <c r="I298" s="52">
        <f ca="1">IF(ISBLANK(Resultados!$C298),"",
IF(ROW()-1=3,Resultados!$H298,INDIRECT(ADDRESS(ROW()-1,COLUMN()))+Resultados!$H298))</f>
        <v>30120.714285714352</v>
      </c>
      <c r="J298" s="53">
        <f>IFERROR(EOMONTH((WORKDAY(C298,0,Dados!$C$3:$C$29)),-1)+1,"")</f>
        <v>43952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8">
        <v>43964</v>
      </c>
      <c r="C299" s="48">
        <v>43966</v>
      </c>
      <c r="D299" s="49" t="s">
        <v>71</v>
      </c>
      <c r="E299" s="50">
        <v>100</v>
      </c>
      <c r="F299" s="51">
        <v>49.8</v>
      </c>
      <c r="G299" s="51">
        <v>52.98</v>
      </c>
      <c r="H299" s="52">
        <f>IF(OR(Resultados!$F299="",Resultados!$G299=""),"",(Resultados!$G299-Resultados!$F299)*Resultados!$E299)</f>
        <v>318</v>
      </c>
      <c r="I299" s="52">
        <f ca="1">IF(ISBLANK(Resultados!$C299),"",
IF(ROW()-1=3,Resultados!$H299,INDIRECT(ADDRESS(ROW()-1,COLUMN()))+Resultados!$H299))</f>
        <v>30438.714285714352</v>
      </c>
      <c r="J299" s="53">
        <f>IFERROR(EOMONTH((WORKDAY(C299,0,Dados!$C$3:$C$29)),-1)+1,"")</f>
        <v>43952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8">
        <v>43959</v>
      </c>
      <c r="C300" s="48">
        <v>43969</v>
      </c>
      <c r="D300" s="49" t="s">
        <v>153</v>
      </c>
      <c r="E300" s="50">
        <v>2300</v>
      </c>
      <c r="F300" s="51">
        <v>2.46</v>
      </c>
      <c r="G300" s="51">
        <v>2.58</v>
      </c>
      <c r="H300" s="52">
        <f>IF(OR(Resultados!$F300="",Resultados!$G300=""),"",(Resultados!$G300-Resultados!$F300)*Resultados!$E300)</f>
        <v>276.00000000000023</v>
      </c>
      <c r="I300" s="52">
        <f ca="1">IF(ISBLANK(Resultados!$C300),"",
IF(ROW()-1=3,Resultados!$H300,INDIRECT(ADDRESS(ROW()-1,COLUMN()))+Resultados!$H300))</f>
        <v>30714.714285714352</v>
      </c>
      <c r="J300" s="53">
        <f>IFERROR(EOMONTH((WORKDAY(C300,0,Dados!$C$3:$C$29)),-1)+1,"")</f>
        <v>43952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8">
        <v>43964</v>
      </c>
      <c r="C301" s="48">
        <v>43969</v>
      </c>
      <c r="D301" s="49" t="s">
        <v>71</v>
      </c>
      <c r="E301" s="50">
        <v>100</v>
      </c>
      <c r="F301" s="51">
        <v>53.77</v>
      </c>
      <c r="G301" s="51">
        <v>52.98</v>
      </c>
      <c r="H301" s="52">
        <f>IF(OR(Resultados!$F301="",Resultados!$G301=""),"",(Resultados!$G301-Resultados!$F301)*Resultados!$E301)</f>
        <v>-79.000000000000625</v>
      </c>
      <c r="I301" s="52">
        <f ca="1">IF(ISBLANK(Resultados!$C301),"",
IF(ROW()-1=3,Resultados!$H301,INDIRECT(ADDRESS(ROW()-1,COLUMN()))+Resultados!$H301))</f>
        <v>30635.714285714352</v>
      </c>
      <c r="J301" s="53">
        <f>IFERROR(EOMONTH((WORKDAY(C301,0,Dados!$C$3:$C$29)),-1)+1,"")</f>
        <v>43952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8">
        <v>43964</v>
      </c>
      <c r="C302" s="48">
        <v>43969</v>
      </c>
      <c r="D302" s="49" t="s">
        <v>168</v>
      </c>
      <c r="E302" s="50">
        <v>230</v>
      </c>
      <c r="F302" s="51">
        <v>2.67</v>
      </c>
      <c r="G302" s="51">
        <v>3.53</v>
      </c>
      <c r="H302" s="52">
        <f>IF(OR(Resultados!$F302="",Resultados!$G302=""),"",(Resultados!$G302-Resultados!$F302)*Resultados!$E302)</f>
        <v>197.79999999999998</v>
      </c>
      <c r="I302" s="52">
        <f ca="1">IF(ISBLANK(Resultados!$C302),"",
IF(ROW()-1=3,Resultados!$H302,INDIRECT(ADDRESS(ROW()-1,COLUMN()))+Resultados!$H302))</f>
        <v>30833.514285714351</v>
      </c>
      <c r="J302" s="53">
        <f>IFERROR(EOMONTH((WORKDAY(C302,0,Dados!$C$3:$C$29)),-1)+1,"")</f>
        <v>43952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8">
        <v>43964</v>
      </c>
      <c r="C303" s="48">
        <v>43969</v>
      </c>
      <c r="D303" s="49" t="s">
        <v>168</v>
      </c>
      <c r="E303" s="50">
        <v>80</v>
      </c>
      <c r="F303" s="51">
        <v>2.67</v>
      </c>
      <c r="G303" s="51">
        <v>4.0999999999999996</v>
      </c>
      <c r="H303" s="52">
        <f>IF(OR(Resultados!$F303="",Resultados!$G303=""),"",(Resultados!$G303-Resultados!$F303)*Resultados!$E303)</f>
        <v>114.39999999999998</v>
      </c>
      <c r="I303" s="52">
        <f ca="1">IF(ISBLANK(Resultados!$C303),"",
IF(ROW()-1=3,Resultados!$H303,INDIRECT(ADDRESS(ROW()-1,COLUMN()))+Resultados!$H303))</f>
        <v>30947.914285714352</v>
      </c>
      <c r="J303" s="53">
        <f>IFERROR(EOMONTH((WORKDAY(C303,0,Dados!$C$3:$C$29)),-1)+1,"")</f>
        <v>43952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8">
        <v>43965</v>
      </c>
      <c r="C304" s="48">
        <v>43969</v>
      </c>
      <c r="D304" s="49" t="s">
        <v>131</v>
      </c>
      <c r="E304" s="50">
        <v>500</v>
      </c>
      <c r="F304" s="51">
        <v>18.93</v>
      </c>
      <c r="G304" s="51">
        <v>17.45</v>
      </c>
      <c r="H304" s="52">
        <f>IF(OR(Resultados!$F304="",Resultados!$G304=""),"",(Resultados!$G304-Resultados!$F304)*Resultados!$E304)</f>
        <v>-740.00000000000023</v>
      </c>
      <c r="I304" s="52">
        <f ca="1">IF(ISBLANK(Resultados!$C304),"",
IF(ROW()-1=3,Resultados!$H304,INDIRECT(ADDRESS(ROW()-1,COLUMN()))+Resultados!$H304))</f>
        <v>30207.914285714352</v>
      </c>
      <c r="J304" s="53">
        <f>IFERROR(EOMONTH((WORKDAY(C304,0,Dados!$C$3:$C$29)),-1)+1,"")</f>
        <v>43952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8">
        <v>43969</v>
      </c>
      <c r="C305" s="48">
        <v>43969</v>
      </c>
      <c r="D305" s="49" t="s">
        <v>163</v>
      </c>
      <c r="E305" s="50">
        <v>1600</v>
      </c>
      <c r="F305" s="51">
        <v>3.81</v>
      </c>
      <c r="G305" s="51">
        <v>4.0199999999999996</v>
      </c>
      <c r="H305" s="52">
        <f>IF(OR(Resultados!$F305="",Resultados!$G305=""),"",(Resultados!$G305-Resultados!$F305)*Resultados!$E305)</f>
        <v>335.9999999999992</v>
      </c>
      <c r="I305" s="52">
        <f ca="1">IF(ISBLANK(Resultados!$C305),"",
IF(ROW()-1=3,Resultados!$H305,INDIRECT(ADDRESS(ROW()-1,COLUMN()))+Resultados!$H305))</f>
        <v>30543.914285714352</v>
      </c>
      <c r="J305" s="53">
        <f>IFERROR(EOMONTH((WORKDAY(C305,0,Dados!$C$3:$C$29)),-1)+1,"")</f>
        <v>43952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8">
        <v>43969</v>
      </c>
      <c r="C306" s="48">
        <v>43969</v>
      </c>
      <c r="D306" s="49" t="s">
        <v>169</v>
      </c>
      <c r="E306" s="50">
        <v>500</v>
      </c>
      <c r="F306" s="51">
        <v>13.03</v>
      </c>
      <c r="G306" s="51">
        <v>13.6</v>
      </c>
      <c r="H306" s="52">
        <f>IF(OR(Resultados!$F306="",Resultados!$G306=""),"",(Resultados!$G306-Resultados!$F306)*Resultados!$E306)</f>
        <v>285.00000000000011</v>
      </c>
      <c r="I306" s="52">
        <f ca="1">IF(ISBLANK(Resultados!$C306),"",
IF(ROW()-1=3,Resultados!$H306,INDIRECT(ADDRESS(ROW()-1,COLUMN()))+Resultados!$H306))</f>
        <v>30828.914285714352</v>
      </c>
      <c r="J306" s="53">
        <f>IFERROR(EOMONTH((WORKDAY(C306,0,Dados!$C$3:$C$29)),-1)+1,"")</f>
        <v>43952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8">
        <v>43964</v>
      </c>
      <c r="C307" s="48">
        <v>43970</v>
      </c>
      <c r="D307" s="49" t="s">
        <v>168</v>
      </c>
      <c r="E307" s="50">
        <v>150</v>
      </c>
      <c r="F307" s="51">
        <v>2.67</v>
      </c>
      <c r="G307" s="51">
        <v>4.2699999999999996</v>
      </c>
      <c r="H307" s="52">
        <f>IF(OR(Resultados!$F307="",Resultados!$G307=""),"",(Resultados!$G307-Resultados!$F307)*Resultados!$E307)</f>
        <v>239.99999999999994</v>
      </c>
      <c r="I307" s="52">
        <f ca="1">IF(ISBLANK(Resultados!$C307),"",
IF(ROW()-1=3,Resultados!$H307,INDIRECT(ADDRESS(ROW()-1,COLUMN()))+Resultados!$H307))</f>
        <v>31068.914285714352</v>
      </c>
      <c r="J307" s="53">
        <f>IFERROR(EOMONTH((WORKDAY(C307,0,Dados!$C$3:$C$29)),-1)+1,"")</f>
        <v>43952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8">
        <v>43965</v>
      </c>
      <c r="C308" s="48">
        <v>43970</v>
      </c>
      <c r="D308" s="49" t="s">
        <v>99</v>
      </c>
      <c r="E308" s="50">
        <v>200</v>
      </c>
      <c r="F308" s="51">
        <v>51.3</v>
      </c>
      <c r="G308" s="51">
        <v>48.25</v>
      </c>
      <c r="H308" s="52">
        <f>IF(OR(Resultados!$F308="",Resultados!$G308=""),"",(Resultados!$G308-Resultados!$F308)*Resultados!$E308)</f>
        <v>-609.99999999999943</v>
      </c>
      <c r="I308" s="52">
        <f ca="1">IF(ISBLANK(Resultados!$C308),"",
IF(ROW()-1=3,Resultados!$H308,INDIRECT(ADDRESS(ROW()-1,COLUMN()))+Resultados!$H308))</f>
        <v>30458.914285714352</v>
      </c>
      <c r="J308" s="53">
        <f>IFERROR(EOMONTH((WORKDAY(C308,0,Dados!$C$3:$C$29)),-1)+1,"")</f>
        <v>43952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8">
        <v>43969</v>
      </c>
      <c r="C309" s="48">
        <v>43970</v>
      </c>
      <c r="D309" s="49" t="s">
        <v>152</v>
      </c>
      <c r="E309" s="50">
        <v>700</v>
      </c>
      <c r="F309" s="51">
        <v>9.2100000000000009</v>
      </c>
      <c r="G309" s="51">
        <v>9.7100000000000009</v>
      </c>
      <c r="H309" s="52">
        <f>IF(OR(Resultados!$F309="",Resultados!$G309=""),"",(Resultados!$G309-Resultados!$F309)*Resultados!$E309)</f>
        <v>350</v>
      </c>
      <c r="I309" s="52">
        <f ca="1">IF(ISBLANK(Resultados!$C309),"",
IF(ROW()-1=3,Resultados!$H309,INDIRECT(ADDRESS(ROW()-1,COLUMN()))+Resultados!$H309))</f>
        <v>30808.914285714352</v>
      </c>
      <c r="J309" s="53">
        <f>IFERROR(EOMONTH((WORKDAY(C309,0,Dados!$C$3:$C$29)),-1)+1,"")</f>
        <v>43952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8">
        <v>43969</v>
      </c>
      <c r="C310" s="48">
        <v>43970</v>
      </c>
      <c r="D310" s="49" t="s">
        <v>94</v>
      </c>
      <c r="E310" s="50">
        <v>100</v>
      </c>
      <c r="F310" s="51">
        <v>56.35</v>
      </c>
      <c r="G310" s="51">
        <v>58.75</v>
      </c>
      <c r="H310" s="52">
        <f>IF(OR(Resultados!$F310="",Resultados!$G310=""),"",(Resultados!$G310-Resultados!$F310)*Resultados!$E310)</f>
        <v>239.99999999999986</v>
      </c>
      <c r="I310" s="52">
        <f ca="1">IF(ISBLANK(Resultados!$C310),"",
IF(ROW()-1=3,Resultados!$H310,INDIRECT(ADDRESS(ROW()-1,COLUMN()))+Resultados!$H310))</f>
        <v>31048.914285714352</v>
      </c>
      <c r="J310" s="53">
        <f>IFERROR(EOMONTH((WORKDAY(C310,0,Dados!$C$3:$C$29)),-1)+1,"")</f>
        <v>43952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8">
        <v>43969</v>
      </c>
      <c r="C311" s="48">
        <v>43970</v>
      </c>
      <c r="D311" s="49" t="s">
        <v>142</v>
      </c>
      <c r="E311" s="50">
        <v>600</v>
      </c>
      <c r="F311" s="51">
        <v>9.91</v>
      </c>
      <c r="G311" s="51">
        <v>10.3</v>
      </c>
      <c r="H311" s="52">
        <f>IF(OR(Resultados!$F311="",Resultados!$G311=""),"",(Resultados!$G311-Resultados!$F311)*Resultados!$E311)</f>
        <v>234.00000000000034</v>
      </c>
      <c r="I311" s="52">
        <f ca="1">IF(ISBLANK(Resultados!$C311),"",
IF(ROW()-1=3,Resultados!$H311,INDIRECT(ADDRESS(ROW()-1,COLUMN()))+Resultados!$H311))</f>
        <v>31282.914285714352</v>
      </c>
      <c r="J311" s="53">
        <f>IFERROR(EOMONTH((WORKDAY(C311,0,Dados!$C$3:$C$29)),-1)+1,"")</f>
        <v>43952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8">
        <v>43970</v>
      </c>
      <c r="C312" s="48">
        <v>43970</v>
      </c>
      <c r="D312" s="49" t="s">
        <v>154</v>
      </c>
      <c r="E312" s="50">
        <v>1700</v>
      </c>
      <c r="F312" s="51">
        <v>3.35</v>
      </c>
      <c r="G312" s="51">
        <v>3.51</v>
      </c>
      <c r="H312" s="52">
        <f>IF(OR(Resultados!$F312="",Resultados!$G312=""),"",(Resultados!$G312-Resultados!$F312)*Resultados!$E312)</f>
        <v>271.99999999999949</v>
      </c>
      <c r="I312" s="52">
        <f ca="1">IF(ISBLANK(Resultados!$C312),"",
IF(ROW()-1=3,Resultados!$H312,INDIRECT(ADDRESS(ROW()-1,COLUMN()))+Resultados!$H312))</f>
        <v>31554.914285714352</v>
      </c>
      <c r="J312" s="53">
        <f>IFERROR(EOMONTH((WORKDAY(C312,0,Dados!$C$3:$C$29)),-1)+1,"")</f>
        <v>43952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8">
        <v>43964</v>
      </c>
      <c r="C313" s="48">
        <v>43971</v>
      </c>
      <c r="D313" s="49" t="s">
        <v>168</v>
      </c>
      <c r="E313" s="50">
        <v>150</v>
      </c>
      <c r="F313" s="51">
        <v>2.67</v>
      </c>
      <c r="G313" s="51">
        <v>4.22</v>
      </c>
      <c r="H313" s="52">
        <f>IF(OR(Resultados!$F313="",Resultados!$G313=""),"",(Resultados!$G313-Resultados!$F313)*Resultados!$E313)</f>
        <v>232.49999999999997</v>
      </c>
      <c r="I313" s="52">
        <f ca="1">IF(ISBLANK(Resultados!$C313),"",
IF(ROW()-1=3,Resultados!$H313,INDIRECT(ADDRESS(ROW()-1,COLUMN()))+Resultados!$H313))</f>
        <v>31787.414285714352</v>
      </c>
      <c r="J313" s="53">
        <f>IFERROR(EOMONTH((WORKDAY(C313,0,Dados!$C$3:$C$29)),-1)+1,"")</f>
        <v>43952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8">
        <v>43969</v>
      </c>
      <c r="C314" s="48">
        <v>43971</v>
      </c>
      <c r="D314" s="49" t="s">
        <v>152</v>
      </c>
      <c r="E314" s="50">
        <v>600</v>
      </c>
      <c r="F314" s="51">
        <v>9.2100000000000009</v>
      </c>
      <c r="G314" s="51">
        <v>9.19</v>
      </c>
      <c r="H314" s="52">
        <f>IF(OR(Resultados!$F314="",Resultados!$G314=""),"",(Resultados!$G314-Resultados!$F314)*Resultados!$E314)</f>
        <v>-12.00000000000081</v>
      </c>
      <c r="I314" s="52">
        <f ca="1">IF(ISBLANK(Resultados!$C314),"",
IF(ROW()-1=3,Resultados!$H314,INDIRECT(ADDRESS(ROW()-1,COLUMN()))+Resultados!$H314))</f>
        <v>31775.414285714352</v>
      </c>
      <c r="J314" s="53">
        <f>IFERROR(EOMONTH((WORKDAY(C314,0,Dados!$C$3:$C$29)),-1)+1,"")</f>
        <v>43952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8">
        <v>43969</v>
      </c>
      <c r="C315" s="48">
        <v>43971</v>
      </c>
      <c r="D315" s="49" t="s">
        <v>114</v>
      </c>
      <c r="E315" s="50">
        <v>700</v>
      </c>
      <c r="F315" s="51">
        <v>17.41</v>
      </c>
      <c r="G315" s="51">
        <v>16.920000000000002</v>
      </c>
      <c r="H315" s="52">
        <f>IF(OR(Resultados!$F315="",Resultados!$G315=""),"",(Resultados!$G315-Resultados!$F315)*Resultados!$E315)</f>
        <v>-342.99999999999892</v>
      </c>
      <c r="I315" s="52">
        <f ca="1">IF(ISBLANK(Resultados!$C315),"",
IF(ROW()-1=3,Resultados!$H315,INDIRECT(ADDRESS(ROW()-1,COLUMN()))+Resultados!$H315))</f>
        <v>31432.414285714352</v>
      </c>
      <c r="J315" s="53">
        <f>IFERROR(EOMONTH((WORKDAY(C315,0,Dados!$C$3:$C$29)),-1)+1,"")</f>
        <v>43952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8">
        <v>43969</v>
      </c>
      <c r="C316" s="48">
        <v>43971</v>
      </c>
      <c r="D316" s="49" t="s">
        <v>168</v>
      </c>
      <c r="E316" s="50">
        <v>150</v>
      </c>
      <c r="F316" s="51">
        <v>3.36</v>
      </c>
      <c r="G316" s="51">
        <v>4.22</v>
      </c>
      <c r="H316" s="52">
        <f>IF(OR(Resultados!$F316="",Resultados!$G316=""),"",(Resultados!$G316-Resultados!$F316)*Resultados!$E316)</f>
        <v>128.99999999999997</v>
      </c>
      <c r="I316" s="52">
        <f ca="1">IF(ISBLANK(Resultados!$C316),"",
IF(ROW()-1=3,Resultados!$H316,INDIRECT(ADDRESS(ROW()-1,COLUMN()))+Resultados!$H316))</f>
        <v>31561.414285714352</v>
      </c>
      <c r="J316" s="53">
        <f>IFERROR(EOMONTH((WORKDAY(C316,0,Dados!$C$3:$C$29)),-1)+1,"")</f>
        <v>43952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8">
        <v>43970</v>
      </c>
      <c r="C317" s="48">
        <v>43971</v>
      </c>
      <c r="D317" s="49" t="s">
        <v>123</v>
      </c>
      <c r="E317" s="50">
        <v>700</v>
      </c>
      <c r="F317" s="51">
        <v>8.56</v>
      </c>
      <c r="G317" s="51">
        <v>8.89</v>
      </c>
      <c r="H317" s="52">
        <f>IF(OR(Resultados!$F317="",Resultados!$G317=""),"",(Resultados!$G317-Resultados!$F317)*Resultados!$E317)</f>
        <v>231.00000000000006</v>
      </c>
      <c r="I317" s="52">
        <f ca="1">IF(ISBLANK(Resultados!$C317),"",
IF(ROW()-1=3,Resultados!$H317,INDIRECT(ADDRESS(ROW()-1,COLUMN()))+Resultados!$H317))</f>
        <v>31792.414285714352</v>
      </c>
      <c r="J317" s="53">
        <f>IFERROR(EOMONTH((WORKDAY(C317,0,Dados!$C$3:$C$29)),-1)+1,"")</f>
        <v>43952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8">
        <v>43970</v>
      </c>
      <c r="C318" s="48">
        <v>43971</v>
      </c>
      <c r="D318" s="49" t="s">
        <v>109</v>
      </c>
      <c r="E318" s="50">
        <v>300</v>
      </c>
      <c r="F318" s="51">
        <v>20.65</v>
      </c>
      <c r="G318" s="51">
        <v>21.64</v>
      </c>
      <c r="H318" s="52">
        <f>IF(OR(Resultados!$F318="",Resultados!$G318=""),"",(Resultados!$G318-Resultados!$F318)*Resultados!$E318)</f>
        <v>297.00000000000057</v>
      </c>
      <c r="I318" s="52">
        <f ca="1">IF(ISBLANK(Resultados!$C318),"",
IF(ROW()-1=3,Resultados!$H318,INDIRECT(ADDRESS(ROW()-1,COLUMN()))+Resultados!$H318))</f>
        <v>32089.414285714352</v>
      </c>
      <c r="J318" s="53">
        <f>IFERROR(EOMONTH((WORKDAY(C318,0,Dados!$C$3:$C$29)),-1)+1,"")</f>
        <v>43952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8">
        <v>43965</v>
      </c>
      <c r="C319" s="48">
        <v>43972</v>
      </c>
      <c r="D319" s="49" t="s">
        <v>170</v>
      </c>
      <c r="E319" s="50">
        <v>200</v>
      </c>
      <c r="F319" s="51">
        <v>34.86</v>
      </c>
      <c r="G319" s="51">
        <v>36</v>
      </c>
      <c r="H319" s="52">
        <f>IF(OR(Resultados!$F319="",Resultados!$G319=""),"",(Resultados!$G319-Resultados!$F319)*Resultados!$E319)</f>
        <v>228.00000000000011</v>
      </c>
      <c r="I319" s="52">
        <f ca="1">IF(ISBLANK(Resultados!$C319),"",
IF(ROW()-1=3,Resultados!$H319,INDIRECT(ADDRESS(ROW()-1,COLUMN()))+Resultados!$H319))</f>
        <v>32317.414285714352</v>
      </c>
      <c r="J319" s="53">
        <f>IFERROR(EOMONTH((WORKDAY(C319,0,Dados!$C$3:$C$29)),-1)+1,"")</f>
        <v>43952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8">
        <v>43970</v>
      </c>
      <c r="C320" s="48">
        <v>43972</v>
      </c>
      <c r="D320" s="49" t="s">
        <v>123</v>
      </c>
      <c r="E320" s="50">
        <v>700</v>
      </c>
      <c r="F320" s="51">
        <v>8.56</v>
      </c>
      <c r="G320" s="51">
        <v>8.39</v>
      </c>
      <c r="H320" s="52">
        <f>IF(OR(Resultados!$F320="",Resultados!$G320=""),"",(Resultados!$G320-Resultados!$F320)*Resultados!$E320)</f>
        <v>-118.99999999999994</v>
      </c>
      <c r="I320" s="52">
        <f ca="1">IF(ISBLANK(Resultados!$C320),"",
IF(ROW()-1=3,Resultados!$H320,INDIRECT(ADDRESS(ROW()-1,COLUMN()))+Resultados!$H320))</f>
        <v>32198.414285714352</v>
      </c>
      <c r="J320" s="53">
        <f>IFERROR(EOMONTH((WORKDAY(C320,0,Dados!$C$3:$C$29)),-1)+1,"")</f>
        <v>43952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8">
        <v>43971</v>
      </c>
      <c r="C321" s="48">
        <v>43972</v>
      </c>
      <c r="D321" s="49" t="s">
        <v>92</v>
      </c>
      <c r="E321" s="50">
        <v>1500</v>
      </c>
      <c r="F321" s="51">
        <v>3.9</v>
      </c>
      <c r="G321" s="51">
        <v>4</v>
      </c>
      <c r="H321" s="52">
        <f>IF(OR(Resultados!$F321="",Resultados!$G321=""),"",(Resultados!$G321-Resultados!$F321)*Resultados!$E321)</f>
        <v>150.00000000000014</v>
      </c>
      <c r="I321" s="52">
        <f ca="1">IF(ISBLANK(Resultados!$C321),"",
IF(ROW()-1=3,Resultados!$H321,INDIRECT(ADDRESS(ROW()-1,COLUMN()))+Resultados!$H321))</f>
        <v>32348.414285714352</v>
      </c>
      <c r="J321" s="53">
        <f>IFERROR(EOMONTH((WORKDAY(C321,0,Dados!$C$3:$C$29)),-1)+1,"")</f>
        <v>43952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8">
        <v>43971</v>
      </c>
      <c r="C322" s="48">
        <v>43972</v>
      </c>
      <c r="D322" s="49" t="s">
        <v>148</v>
      </c>
      <c r="E322" s="50">
        <v>3300</v>
      </c>
      <c r="F322" s="51">
        <v>1.72</v>
      </c>
      <c r="G322" s="51">
        <v>1.79</v>
      </c>
      <c r="H322" s="52">
        <f>IF(OR(Resultados!$F322="",Resultados!$G322=""),"",(Resultados!$G322-Resultados!$F322)*Resultados!$E322)</f>
        <v>231.0000000000002</v>
      </c>
      <c r="I322" s="52">
        <f ca="1">IF(ISBLANK(Resultados!$C322),"",
IF(ROW()-1=3,Resultados!$H322,INDIRECT(ADDRESS(ROW()-1,COLUMN()))+Resultados!$H322))</f>
        <v>32579.414285714352</v>
      </c>
      <c r="J322" s="53">
        <f>IFERROR(EOMONTH((WORKDAY(C322,0,Dados!$C$3:$C$29)),-1)+1,"")</f>
        <v>43952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8">
        <v>43965</v>
      </c>
      <c r="C323" s="48">
        <v>43973</v>
      </c>
      <c r="D323" s="49" t="s">
        <v>170</v>
      </c>
      <c r="E323" s="50">
        <v>100</v>
      </c>
      <c r="F323" s="51">
        <v>34.86</v>
      </c>
      <c r="G323" s="51">
        <v>35.46</v>
      </c>
      <c r="H323" s="52">
        <f>IF(OR(Resultados!$F323="",Resultados!$G323=""),"",(Resultados!$G323-Resultados!$F323)*Resultados!$E323)</f>
        <v>60.000000000000142</v>
      </c>
      <c r="I323" s="52">
        <f ca="1">IF(ISBLANK(Resultados!$C323),"",
IF(ROW()-1=3,Resultados!$H323,INDIRECT(ADDRESS(ROW()-1,COLUMN()))+Resultados!$H323))</f>
        <v>32639.414285714352</v>
      </c>
      <c r="J323" s="53">
        <f>IFERROR(EOMONTH((WORKDAY(C323,0,Dados!$C$3:$C$29)),-1)+1,"")</f>
        <v>43952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8">
        <v>43969</v>
      </c>
      <c r="C324" s="48">
        <v>43973</v>
      </c>
      <c r="D324" s="49" t="s">
        <v>142</v>
      </c>
      <c r="E324" s="50">
        <v>600</v>
      </c>
      <c r="F324" s="51">
        <v>9.91</v>
      </c>
      <c r="G324" s="51">
        <v>10.09</v>
      </c>
      <c r="H324" s="52">
        <f>IF(OR(Resultados!$F324="",Resultados!$G324=""),"",(Resultados!$G324-Resultados!$F324)*Resultados!$E324)</f>
        <v>107.99999999999983</v>
      </c>
      <c r="I324" s="52">
        <f ca="1">IF(ISBLANK(Resultados!$C324),"",
IF(ROW()-1=3,Resultados!$H324,INDIRECT(ADDRESS(ROW()-1,COLUMN()))+Resultados!$H324))</f>
        <v>32747.414285714352</v>
      </c>
      <c r="J324" s="53">
        <f>IFERROR(EOMONTH((WORKDAY(C324,0,Dados!$C$3:$C$29)),-1)+1,"")</f>
        <v>43952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8">
        <v>43969</v>
      </c>
      <c r="C325" s="48">
        <v>43973</v>
      </c>
      <c r="D325" s="49" t="s">
        <v>163</v>
      </c>
      <c r="E325" s="50">
        <v>1500</v>
      </c>
      <c r="F325" s="51">
        <v>3.81</v>
      </c>
      <c r="G325" s="51">
        <v>4.09</v>
      </c>
      <c r="H325" s="52">
        <f>IF(OR(Resultados!$F325="",Resultados!$G325=""),"",(Resultados!$G325-Resultados!$F325)*Resultados!$E325)</f>
        <v>419.99999999999972</v>
      </c>
      <c r="I325" s="52">
        <f ca="1">IF(ISBLANK(Resultados!$C325),"",
IF(ROW()-1=3,Resultados!$H325,INDIRECT(ADDRESS(ROW()-1,COLUMN()))+Resultados!$H325))</f>
        <v>33167.414285714352</v>
      </c>
      <c r="J325" s="53">
        <f>IFERROR(EOMONTH((WORKDAY(C325,0,Dados!$C$3:$C$29)),-1)+1,"")</f>
        <v>43952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8">
        <v>43969</v>
      </c>
      <c r="C326" s="48">
        <v>43973</v>
      </c>
      <c r="D326" s="49" t="s">
        <v>169</v>
      </c>
      <c r="E326" s="50">
        <v>400</v>
      </c>
      <c r="F326" s="51">
        <v>13.03</v>
      </c>
      <c r="G326" s="51">
        <v>13.49</v>
      </c>
      <c r="H326" s="52">
        <f>IF(OR(Resultados!$F326="",Resultados!$G326=""),"",(Resultados!$G326-Resultados!$F326)*Resultados!$E326)</f>
        <v>184.00000000000034</v>
      </c>
      <c r="I326" s="52">
        <f ca="1">IF(ISBLANK(Resultados!$C326),"",
IF(ROW()-1=3,Resultados!$H326,INDIRECT(ADDRESS(ROW()-1,COLUMN()))+Resultados!$H326))</f>
        <v>33351.414285714352</v>
      </c>
      <c r="J326" s="53">
        <f>IFERROR(EOMONTH((WORKDAY(C326,0,Dados!$C$3:$C$29)),-1)+1,"")</f>
        <v>43952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8">
        <v>43970</v>
      </c>
      <c r="C327" s="48">
        <v>43973</v>
      </c>
      <c r="D327" s="49" t="s">
        <v>154</v>
      </c>
      <c r="E327" s="50">
        <v>1700</v>
      </c>
      <c r="F327" s="51">
        <v>3.35</v>
      </c>
      <c r="G327" s="51">
        <v>3.39</v>
      </c>
      <c r="H327" s="52">
        <f>IF(OR(Resultados!$F327="",Resultados!$G327=""),"",(Resultados!$G327-Resultados!$F327)*Resultados!$E327)</f>
        <v>68.000000000000057</v>
      </c>
      <c r="I327" s="52">
        <f ca="1">IF(ISBLANK(Resultados!$C327),"",
IF(ROW()-1=3,Resultados!$H327,INDIRECT(ADDRESS(ROW()-1,COLUMN()))+Resultados!$H327))</f>
        <v>33419.414285714352</v>
      </c>
      <c r="J327" s="53">
        <f>IFERROR(EOMONTH((WORKDAY(C327,0,Dados!$C$3:$C$29)),-1)+1,"")</f>
        <v>43952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8">
        <v>43970</v>
      </c>
      <c r="C328" s="48">
        <v>43973</v>
      </c>
      <c r="D328" s="49" t="s">
        <v>171</v>
      </c>
      <c r="E328" s="50">
        <v>3900</v>
      </c>
      <c r="F328" s="51">
        <v>2.94</v>
      </c>
      <c r="G328" s="51">
        <v>2.75</v>
      </c>
      <c r="H328" s="52">
        <f>IF(OR(Resultados!$F328="",Resultados!$G328=""),"",(Resultados!$G328-Resultados!$F328)*Resultados!$E328)</f>
        <v>-740.99999999999977</v>
      </c>
      <c r="I328" s="52">
        <f ca="1">IF(ISBLANK(Resultados!$C328),"",
IF(ROW()-1=3,Resultados!$H328,INDIRECT(ADDRESS(ROW()-1,COLUMN()))+Resultados!$H328))</f>
        <v>32678.414285714352</v>
      </c>
      <c r="J328" s="53">
        <f>IFERROR(EOMONTH((WORKDAY(C328,0,Dados!$C$3:$C$29)),-1)+1,"")</f>
        <v>43952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8">
        <v>43970</v>
      </c>
      <c r="C329" s="48">
        <v>43973</v>
      </c>
      <c r="D329" s="49" t="s">
        <v>115</v>
      </c>
      <c r="E329" s="50">
        <v>400</v>
      </c>
      <c r="F329" s="51">
        <v>27.86</v>
      </c>
      <c r="G329" s="51">
        <v>26.37</v>
      </c>
      <c r="H329" s="52">
        <f>IF(OR(Resultados!$F329="",Resultados!$G329=""),"",(Resultados!$G329-Resultados!$F329)*Resultados!$E329)</f>
        <v>-595.99999999999932</v>
      </c>
      <c r="I329" s="52">
        <f ca="1">IF(ISBLANK(Resultados!$C329),"",
IF(ROW()-1=3,Resultados!$H329,INDIRECT(ADDRESS(ROW()-1,COLUMN()))+Resultados!$H329))</f>
        <v>32082.414285714352</v>
      </c>
      <c r="J329" s="53">
        <f>IFERROR(EOMONTH((WORKDAY(C329,0,Dados!$C$3:$C$29)),-1)+1,"")</f>
        <v>43952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8">
        <v>43971</v>
      </c>
      <c r="C330" s="48">
        <v>43973</v>
      </c>
      <c r="D330" s="49" t="s">
        <v>172</v>
      </c>
      <c r="E330" s="50">
        <v>950</v>
      </c>
      <c r="F330" s="51">
        <v>1.75</v>
      </c>
      <c r="G330" s="51">
        <v>2.0299999999999998</v>
      </c>
      <c r="H330" s="52">
        <f>IF(OR(Resultados!$F330="",Resultados!$G330=""),"",(Resultados!$G330-Resultados!$F330)*Resultados!$E330)</f>
        <v>265.99999999999983</v>
      </c>
      <c r="I330" s="52">
        <f ca="1">IF(ISBLANK(Resultados!$C330),"",
IF(ROW()-1=3,Resultados!$H330,INDIRECT(ADDRESS(ROW()-1,COLUMN()))+Resultados!$H330))</f>
        <v>32348.414285714352</v>
      </c>
      <c r="J330" s="53">
        <f>IFERROR(EOMONTH((WORKDAY(C330,0,Dados!$C$3:$C$29)),-1)+1,"")</f>
        <v>43952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8">
        <v>43972</v>
      </c>
      <c r="C331" s="48">
        <v>43973</v>
      </c>
      <c r="D331" s="49" t="s">
        <v>108</v>
      </c>
      <c r="E331" s="50">
        <v>2400</v>
      </c>
      <c r="F331" s="51">
        <v>4.8600000000000003</v>
      </c>
      <c r="G331" s="51">
        <v>4.49</v>
      </c>
      <c r="H331" s="52">
        <f>IF(OR(Resultados!$F331="",Resultados!$G331=""),"",(Resultados!$G331-Resultados!$F331)*Resultados!$E331)</f>
        <v>-888.00000000000023</v>
      </c>
      <c r="I331" s="52">
        <f ca="1">IF(ISBLANK(Resultados!$C331),"",
IF(ROW()-1=3,Resultados!$H331,INDIRECT(ADDRESS(ROW()-1,COLUMN()))+Resultados!$H331))</f>
        <v>31460.414285714352</v>
      </c>
      <c r="J331" s="53">
        <f>IFERROR(EOMONTH((WORKDAY(C331,0,Dados!$C$3:$C$29)),-1)+1,"")</f>
        <v>43952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8">
        <v>43972</v>
      </c>
      <c r="C332" s="48">
        <v>43973</v>
      </c>
      <c r="D332" s="49" t="s">
        <v>173</v>
      </c>
      <c r="E332" s="50">
        <v>1100</v>
      </c>
      <c r="F332" s="51">
        <v>10.06</v>
      </c>
      <c r="G332" s="51">
        <v>9.5399999999999991</v>
      </c>
      <c r="H332" s="52">
        <f>IF(OR(Resultados!$F332="",Resultados!$G332=""),"",(Resultados!$G332-Resultados!$F332)*Resultados!$E332)</f>
        <v>-572.00000000000148</v>
      </c>
      <c r="I332" s="52">
        <f ca="1">IF(ISBLANK(Resultados!$C332),"",
IF(ROW()-1=3,Resultados!$H332,INDIRECT(ADDRESS(ROW()-1,COLUMN()))+Resultados!$H332))</f>
        <v>30888.414285714352</v>
      </c>
      <c r="J332" s="53">
        <f>IFERROR(EOMONTH((WORKDAY(C332,0,Dados!$C$3:$C$29)),-1)+1,"")</f>
        <v>43952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8">
        <v>43970</v>
      </c>
      <c r="C333" s="48">
        <v>43976</v>
      </c>
      <c r="D333" s="49" t="s">
        <v>109</v>
      </c>
      <c r="E333" s="50">
        <v>200</v>
      </c>
      <c r="F333" s="51">
        <v>20.65</v>
      </c>
      <c r="G333" s="51">
        <v>23.65</v>
      </c>
      <c r="H333" s="52">
        <f>IF(OR(Resultados!$F333="",Resultados!$G333=""),"",(Resultados!$G333-Resultados!$F333)*Resultados!$E333)</f>
        <v>600</v>
      </c>
      <c r="I333" s="52">
        <f ca="1">IF(ISBLANK(Resultados!$C333),"",
IF(ROW()-1=3,Resultados!$H333,INDIRECT(ADDRESS(ROW()-1,COLUMN()))+Resultados!$H333))</f>
        <v>31488.414285714352</v>
      </c>
      <c r="J333" s="53">
        <f>IFERROR(EOMONTH((WORKDAY(C333,0,Dados!$C$3:$C$29)),-1)+1,"")</f>
        <v>43952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8">
        <v>43970</v>
      </c>
      <c r="C334" s="48">
        <v>43976</v>
      </c>
      <c r="D334" s="49" t="s">
        <v>174</v>
      </c>
      <c r="E334" s="50">
        <v>900</v>
      </c>
      <c r="F334" s="51">
        <v>6.71</v>
      </c>
      <c r="G334" s="51">
        <v>6.99</v>
      </c>
      <c r="H334" s="52">
        <f>IF(OR(Resultados!$F334="",Resultados!$G334=""),"",(Resultados!$G334-Resultados!$F334)*Resultados!$E334)</f>
        <v>252.00000000000023</v>
      </c>
      <c r="I334" s="52">
        <f ca="1">IF(ISBLANK(Resultados!$C334),"",
IF(ROW()-1=3,Resultados!$H334,INDIRECT(ADDRESS(ROW()-1,COLUMN()))+Resultados!$H334))</f>
        <v>31740.414285714352</v>
      </c>
      <c r="J334" s="53">
        <f>IFERROR(EOMONTH((WORKDAY(C334,0,Dados!$C$3:$C$29)),-1)+1,"")</f>
        <v>43952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8">
        <v>43972</v>
      </c>
      <c r="C335" s="48">
        <v>43976</v>
      </c>
      <c r="D335" s="49" t="s">
        <v>175</v>
      </c>
      <c r="E335" s="50">
        <v>1000</v>
      </c>
      <c r="F335" s="51">
        <v>5.87</v>
      </c>
      <c r="G335" s="51">
        <v>6.32</v>
      </c>
      <c r="H335" s="52">
        <f>IF(OR(Resultados!$F335="",Resultados!$G335=""),"",(Resultados!$G335-Resultados!$F335)*Resultados!$E335)</f>
        <v>450.00000000000017</v>
      </c>
      <c r="I335" s="52">
        <f ca="1">IF(ISBLANK(Resultados!$C335),"",
IF(ROW()-1=3,Resultados!$H335,INDIRECT(ADDRESS(ROW()-1,COLUMN()))+Resultados!$H335))</f>
        <v>32190.414285714352</v>
      </c>
      <c r="J335" s="53">
        <f>IFERROR(EOMONTH((WORKDAY(C335,0,Dados!$C$3:$C$29)),-1)+1,"")</f>
        <v>43952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8">
        <v>43973</v>
      </c>
      <c r="C336" s="48">
        <v>43976</v>
      </c>
      <c r="D336" s="49" t="s">
        <v>100</v>
      </c>
      <c r="E336" s="50">
        <v>300</v>
      </c>
      <c r="F336" s="51">
        <v>16.62</v>
      </c>
      <c r="G336" s="51">
        <v>17.239999999999998</v>
      </c>
      <c r="H336" s="52">
        <f>IF(OR(Resultados!$F336="",Resultados!$G336=""),"",(Resultados!$G336-Resultados!$F336)*Resultados!$E336)</f>
        <v>185.99999999999923</v>
      </c>
      <c r="I336" s="52">
        <f ca="1">IF(ISBLANK(Resultados!$C336),"",
IF(ROW()-1=3,Resultados!$H336,INDIRECT(ADDRESS(ROW()-1,COLUMN()))+Resultados!$H336))</f>
        <v>32376.414285714352</v>
      </c>
      <c r="J336" s="53">
        <f>IFERROR(EOMONTH((WORKDAY(C336,0,Dados!$C$3:$C$29)),-1)+1,"")</f>
        <v>43952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8">
        <v>43976</v>
      </c>
      <c r="C337" s="48">
        <v>43976</v>
      </c>
      <c r="D337" s="49" t="s">
        <v>83</v>
      </c>
      <c r="E337" s="50">
        <v>600</v>
      </c>
      <c r="F337" s="51">
        <v>7.52</v>
      </c>
      <c r="G337" s="51">
        <v>8</v>
      </c>
      <c r="H337" s="52">
        <f>IF(OR(Resultados!$F337="",Resultados!$G337=""),"",(Resultados!$G337-Resultados!$F337)*Resultados!$E337)</f>
        <v>288.00000000000023</v>
      </c>
      <c r="I337" s="52">
        <f ca="1">IF(ISBLANK(Resultados!$C337),"",
IF(ROW()-1=3,Resultados!$H337,INDIRECT(ADDRESS(ROW()-1,COLUMN()))+Resultados!$H337))</f>
        <v>32664.414285714352</v>
      </c>
      <c r="J337" s="53">
        <f>IFERROR(EOMONTH((WORKDAY(C337,0,Dados!$C$3:$C$29)),-1)+1,"")</f>
        <v>43952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8">
        <v>43969</v>
      </c>
      <c r="C338" s="48">
        <v>43977</v>
      </c>
      <c r="D338" s="49" t="s">
        <v>94</v>
      </c>
      <c r="E338" s="50">
        <v>100</v>
      </c>
      <c r="F338" s="51">
        <v>56.35</v>
      </c>
      <c r="G338" s="51">
        <v>64.36</v>
      </c>
      <c r="H338" s="52">
        <f>IF(OR(Resultados!$F338="",Resultados!$G338=""),"",(Resultados!$G338-Resultados!$F338)*Resultados!$E338)</f>
        <v>800.99999999999977</v>
      </c>
      <c r="I338" s="52">
        <f ca="1">IF(ISBLANK(Resultados!$C338),"",
IF(ROW()-1=3,Resultados!$H338,INDIRECT(ADDRESS(ROW()-1,COLUMN()))+Resultados!$H338))</f>
        <v>33465.414285714352</v>
      </c>
      <c r="J338" s="53">
        <f>IFERROR(EOMONTH((WORKDAY(C338,0,Dados!$C$3:$C$29)),-1)+1,"")</f>
        <v>43952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8">
        <v>43972</v>
      </c>
      <c r="C339" s="48">
        <v>43977</v>
      </c>
      <c r="D339" s="49" t="s">
        <v>175</v>
      </c>
      <c r="E339" s="50">
        <v>900</v>
      </c>
      <c r="F339" s="51">
        <v>5.87</v>
      </c>
      <c r="G339" s="51">
        <v>7.2</v>
      </c>
      <c r="H339" s="52">
        <f>IF(OR(Resultados!$F339="",Resultados!$G339=""),"",(Resultados!$G339-Resultados!$F339)*Resultados!$E339)</f>
        <v>1197</v>
      </c>
      <c r="I339" s="52">
        <f ca="1">IF(ISBLANK(Resultados!$C339),"",
IF(ROW()-1=3,Resultados!$H339,INDIRECT(ADDRESS(ROW()-1,COLUMN()))+Resultados!$H339))</f>
        <v>34662.414285714352</v>
      </c>
      <c r="J339" s="53">
        <f>IFERROR(EOMONTH((WORKDAY(C339,0,Dados!$C$3:$C$29)),-1)+1,"")</f>
        <v>43952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8">
        <v>43976</v>
      </c>
      <c r="C340" s="48">
        <v>43977</v>
      </c>
      <c r="D340" s="49" t="s">
        <v>125</v>
      </c>
      <c r="E340" s="50">
        <v>1300</v>
      </c>
      <c r="F340" s="51">
        <v>4.2699999999999996</v>
      </c>
      <c r="G340" s="51">
        <v>4.46</v>
      </c>
      <c r="H340" s="52">
        <f>IF(OR(Resultados!$F340="",Resultados!$G340=""),"",(Resultados!$G340-Resultados!$F340)*Resultados!$E340)</f>
        <v>247.00000000000051</v>
      </c>
      <c r="I340" s="52">
        <f ca="1">IF(ISBLANK(Resultados!$C340),"",
IF(ROW()-1=3,Resultados!$H340,INDIRECT(ADDRESS(ROW()-1,COLUMN()))+Resultados!$H340))</f>
        <v>34909.414285714352</v>
      </c>
      <c r="J340" s="53">
        <f>IFERROR(EOMONTH((WORKDAY(C340,0,Dados!$C$3:$C$29)),-1)+1,"")</f>
        <v>43952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8">
        <v>43977</v>
      </c>
      <c r="C341" s="48">
        <v>43978</v>
      </c>
      <c r="D341" s="49" t="s">
        <v>176</v>
      </c>
      <c r="E341" s="50">
        <v>60</v>
      </c>
      <c r="F341" s="51">
        <v>93.64</v>
      </c>
      <c r="G341" s="51">
        <v>98.41</v>
      </c>
      <c r="H341" s="52">
        <f>IF(OR(Resultados!$F341="",Resultados!$G341=""),"",(Resultados!$G341-Resultados!$F341)*Resultados!$E341)</f>
        <v>286.19999999999976</v>
      </c>
      <c r="I341" s="52">
        <f ca="1">IF(ISBLANK(Resultados!$C341),"",
IF(ROW()-1=3,Resultados!$H341,INDIRECT(ADDRESS(ROW()-1,COLUMN()))+Resultados!$H341))</f>
        <v>35195.61428571435</v>
      </c>
      <c r="J341" s="53">
        <f>IFERROR(EOMONTH((WORKDAY(C341,0,Dados!$C$3:$C$29)),-1)+1,"")</f>
        <v>43952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8">
        <v>43976</v>
      </c>
      <c r="C342" s="48">
        <v>43979</v>
      </c>
      <c r="D342" s="49" t="s">
        <v>88</v>
      </c>
      <c r="E342" s="50">
        <v>400</v>
      </c>
      <c r="F342" s="51">
        <v>26.67</v>
      </c>
      <c r="G342" s="51">
        <v>25.49</v>
      </c>
      <c r="H342" s="52">
        <f>IF(OR(Resultados!$F342="",Resultados!$G342=""),"",(Resultados!$G342-Resultados!$F342)*Resultados!$E342)</f>
        <v>-472.00000000000131</v>
      </c>
      <c r="I342" s="52">
        <f ca="1">IF(ISBLANK(Resultados!$C342),"",
IF(ROW()-1=3,Resultados!$H342,INDIRECT(ADDRESS(ROW()-1,COLUMN()))+Resultados!$H342))</f>
        <v>34723.61428571435</v>
      </c>
      <c r="J342" s="53">
        <f>IFERROR(EOMONTH((WORKDAY(C342,0,Dados!$C$3:$C$29)),-1)+1,"")</f>
        <v>43952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8">
        <v>43977</v>
      </c>
      <c r="C343" s="48">
        <v>43979</v>
      </c>
      <c r="D343" s="49" t="s">
        <v>71</v>
      </c>
      <c r="E343" s="50">
        <v>100</v>
      </c>
      <c r="F343" s="51">
        <v>60.72</v>
      </c>
      <c r="G343" s="51">
        <v>62.89</v>
      </c>
      <c r="H343" s="52">
        <f>IF(OR(Resultados!$F343="",Resultados!$G343=""),"",(Resultados!$G343-Resultados!$F343)*Resultados!$E343)</f>
        <v>217.00000000000017</v>
      </c>
      <c r="I343" s="52">
        <f ca="1">IF(ISBLANK(Resultados!$C343),"",
IF(ROW()-1=3,Resultados!$H343,INDIRECT(ADDRESS(ROW()-1,COLUMN()))+Resultados!$H343))</f>
        <v>34940.61428571435</v>
      </c>
      <c r="J343" s="53">
        <f>IFERROR(EOMONTH((WORKDAY(C343,0,Dados!$C$3:$C$29)),-1)+1,"")</f>
        <v>43952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8">
        <v>43978</v>
      </c>
      <c r="C344" s="48">
        <v>43979</v>
      </c>
      <c r="D344" s="49" t="s">
        <v>169</v>
      </c>
      <c r="E344" s="50">
        <v>800</v>
      </c>
      <c r="F344" s="51">
        <v>14.53</v>
      </c>
      <c r="G344" s="51">
        <v>14.39</v>
      </c>
      <c r="H344" s="52">
        <f>IF(OR(Resultados!$F344="",Resultados!$G344=""),"",(Resultados!$G344-Resultados!$F344)*Resultados!$E344)</f>
        <v>-111.99999999999903</v>
      </c>
      <c r="I344" s="52">
        <f ca="1">IF(ISBLANK(Resultados!$C344),"",
IF(ROW()-1=3,Resultados!$H344,INDIRECT(ADDRESS(ROW()-1,COLUMN()))+Resultados!$H344))</f>
        <v>34828.61428571435</v>
      </c>
      <c r="J344" s="53">
        <f>IFERROR(EOMONTH((WORKDAY(C344,0,Dados!$C$3:$C$29)),-1)+1,"")</f>
        <v>43952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8">
        <v>43978</v>
      </c>
      <c r="C345" s="48">
        <v>43979</v>
      </c>
      <c r="D345" s="49" t="s">
        <v>98</v>
      </c>
      <c r="E345" s="50">
        <v>300</v>
      </c>
      <c r="F345" s="51">
        <v>38.28</v>
      </c>
      <c r="G345" s="51">
        <v>37.99</v>
      </c>
      <c r="H345" s="52">
        <f>IF(OR(Resultados!$F345="",Resultados!$G345=""),"",(Resultados!$G345-Resultados!$F345)*Resultados!$E345)</f>
        <v>-86.999999999999744</v>
      </c>
      <c r="I345" s="52">
        <f ca="1">IF(ISBLANK(Resultados!$C345),"",
IF(ROW()-1=3,Resultados!$H345,INDIRECT(ADDRESS(ROW()-1,COLUMN()))+Resultados!$H345))</f>
        <v>34741.61428571435</v>
      </c>
      <c r="J345" s="53">
        <f>IFERROR(EOMONTH((WORKDAY(C345,0,Dados!$C$3:$C$29)),-1)+1,"")</f>
        <v>43952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8">
        <v>43970</v>
      </c>
      <c r="C346" s="48">
        <v>43980</v>
      </c>
      <c r="D346" s="49" t="s">
        <v>174</v>
      </c>
      <c r="E346" s="50">
        <v>800</v>
      </c>
      <c r="F346" s="51">
        <v>6.71</v>
      </c>
      <c r="G346" s="51">
        <v>6.89</v>
      </c>
      <c r="H346" s="52">
        <f>IF(OR(Resultados!$F346="",Resultados!$G346=""),"",(Resultados!$G346-Resultados!$F346)*Resultados!$E346)</f>
        <v>143.99999999999977</v>
      </c>
      <c r="I346" s="52">
        <f ca="1">IF(ISBLANK(Resultados!$C346),"",
IF(ROW()-1=3,Resultados!$H346,INDIRECT(ADDRESS(ROW()-1,COLUMN()))+Resultados!$H346))</f>
        <v>34885.61428571435</v>
      </c>
      <c r="J346" s="53">
        <f>IFERROR(EOMONTH((WORKDAY(C346,0,Dados!$C$3:$C$29)),-1)+1,"")</f>
        <v>43952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8">
        <v>43971</v>
      </c>
      <c r="C347" s="48">
        <v>43980</v>
      </c>
      <c r="D347" s="49" t="s">
        <v>149</v>
      </c>
      <c r="E347" s="50">
        <v>400</v>
      </c>
      <c r="F347" s="51">
        <v>24.16</v>
      </c>
      <c r="G347" s="51">
        <v>23.89</v>
      </c>
      <c r="H347" s="52">
        <f>IF(OR(Resultados!$F347="",Resultados!$G347=""),"",(Resultados!$G347-Resultados!$F347)*Resultados!$E347)</f>
        <v>-107.99999999999983</v>
      </c>
      <c r="I347" s="52">
        <f ca="1">IF(ISBLANK(Resultados!$C347),"",
IF(ROW()-1=3,Resultados!$H347,INDIRECT(ADDRESS(ROW()-1,COLUMN()))+Resultados!$H347))</f>
        <v>34777.61428571435</v>
      </c>
      <c r="J347" s="53">
        <f>IFERROR(EOMONTH((WORKDAY(C347,0,Dados!$C$3:$C$29)),-1)+1,"")</f>
        <v>43952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8">
        <v>43971</v>
      </c>
      <c r="C348" s="48">
        <v>43980</v>
      </c>
      <c r="D348" s="49" t="s">
        <v>92</v>
      </c>
      <c r="E348" s="50">
        <v>1500</v>
      </c>
      <c r="F348" s="51">
        <v>3.9</v>
      </c>
      <c r="G348" s="51">
        <v>3.99</v>
      </c>
      <c r="H348" s="52">
        <f>IF(OR(Resultados!$F348="",Resultados!$G348=""),"",(Resultados!$G348-Resultados!$F348)*Resultados!$E348)</f>
        <v>135.00000000000045</v>
      </c>
      <c r="I348" s="52">
        <f ca="1">IF(ISBLANK(Resultados!$C348),"",
IF(ROW()-1=3,Resultados!$H348,INDIRECT(ADDRESS(ROW()-1,COLUMN()))+Resultados!$H348))</f>
        <v>34912.61428571435</v>
      </c>
      <c r="J348" s="53">
        <f>IFERROR(EOMONTH((WORKDAY(C348,0,Dados!$C$3:$C$29)),-1)+1,"")</f>
        <v>43952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8">
        <v>43976</v>
      </c>
      <c r="C349" s="48">
        <v>43980</v>
      </c>
      <c r="D349" s="49" t="s">
        <v>83</v>
      </c>
      <c r="E349" s="50">
        <v>600</v>
      </c>
      <c r="F349" s="51">
        <v>7.52</v>
      </c>
      <c r="G349" s="51">
        <v>7.78</v>
      </c>
      <c r="H349" s="52">
        <f>IF(OR(Resultados!$F349="",Resultados!$G349=""),"",(Resultados!$G349-Resultados!$F349)*Resultados!$E349)</f>
        <v>156.0000000000004</v>
      </c>
      <c r="I349" s="52">
        <f ca="1">IF(ISBLANK(Resultados!$C349),"",
IF(ROW()-1=3,Resultados!$H349,INDIRECT(ADDRESS(ROW()-1,COLUMN()))+Resultados!$H349))</f>
        <v>35068.61428571435</v>
      </c>
      <c r="J349" s="53">
        <f>IFERROR(EOMONTH((WORKDAY(C349,0,Dados!$C$3:$C$29)),-1)+1,"")</f>
        <v>43952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8">
        <v>43976</v>
      </c>
      <c r="C350" s="48">
        <v>43980</v>
      </c>
      <c r="D350" s="49" t="s">
        <v>177</v>
      </c>
      <c r="E350" s="50">
        <v>1300</v>
      </c>
      <c r="F350" s="51">
        <v>8.6999999999999993</v>
      </c>
      <c r="G350" s="51">
        <v>8.49</v>
      </c>
      <c r="H350" s="52">
        <f>IF(OR(Resultados!$F350="",Resultados!$G350=""),"",(Resultados!$G350-Resultados!$F350)*Resultados!$E350)</f>
        <v>-272.99999999999881</v>
      </c>
      <c r="I350" s="52">
        <f ca="1">IF(ISBLANK(Resultados!$C350),"",
IF(ROW()-1=3,Resultados!$H350,INDIRECT(ADDRESS(ROW()-1,COLUMN()))+Resultados!$H350))</f>
        <v>34795.61428571435</v>
      </c>
      <c r="J350" s="53">
        <f>IFERROR(EOMONTH((WORKDAY(C350,0,Dados!$C$3:$C$29)),-1)+1,"")</f>
        <v>43952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8">
        <v>43977</v>
      </c>
      <c r="C351" s="48">
        <v>43980</v>
      </c>
      <c r="D351" s="49" t="s">
        <v>176</v>
      </c>
      <c r="E351" s="50">
        <v>60</v>
      </c>
      <c r="F351" s="51">
        <v>93.64</v>
      </c>
      <c r="G351" s="51">
        <v>90.49</v>
      </c>
      <c r="H351" s="52">
        <f>IF(OR(Resultados!$F351="",Resultados!$G351=""),"",(Resultados!$G351-Resultados!$F351)*Resultados!$E351)</f>
        <v>-189.00000000000034</v>
      </c>
      <c r="I351" s="52">
        <f ca="1">IF(ISBLANK(Resultados!$C351),"",
IF(ROW()-1=3,Resultados!$H351,INDIRECT(ADDRESS(ROW()-1,COLUMN()))+Resultados!$H351))</f>
        <v>34606.61428571435</v>
      </c>
      <c r="J351" s="53">
        <f>IFERROR(EOMONTH((WORKDAY(C351,0,Dados!$C$3:$C$29)),-1)+1,"")</f>
        <v>43952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8">
        <v>43977</v>
      </c>
      <c r="C352" s="48">
        <v>43980</v>
      </c>
      <c r="D352" s="49" t="s">
        <v>71</v>
      </c>
      <c r="E352" s="50">
        <v>100</v>
      </c>
      <c r="F352" s="51">
        <v>60.72</v>
      </c>
      <c r="G352" s="51">
        <v>60.79</v>
      </c>
      <c r="H352" s="52">
        <f>IF(OR(Resultados!$F352="",Resultados!$G352=""),"",(Resultados!$G352-Resultados!$F352)*Resultados!$E352)</f>
        <v>7.0000000000000284</v>
      </c>
      <c r="I352" s="52">
        <f ca="1">IF(ISBLANK(Resultados!$C352),"",
IF(ROW()-1=3,Resultados!$H352,INDIRECT(ADDRESS(ROW()-1,COLUMN()))+Resultados!$H352))</f>
        <v>34613.61428571435</v>
      </c>
      <c r="J352" s="53">
        <f>IFERROR(EOMONTH((WORKDAY(C352,0,Dados!$C$3:$C$29)),-1)+1,"")</f>
        <v>43952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8">
        <v>43977</v>
      </c>
      <c r="C353" s="48">
        <v>43980</v>
      </c>
      <c r="D353" s="49" t="s">
        <v>133</v>
      </c>
      <c r="E353" s="50">
        <v>1000</v>
      </c>
      <c r="F353" s="51">
        <v>10.52</v>
      </c>
      <c r="G353" s="51">
        <v>10.43</v>
      </c>
      <c r="H353" s="52">
        <f>IF(OR(Resultados!$F353="",Resultados!$G353=""),"",(Resultados!$G353-Resultados!$F353)*Resultados!$E353)</f>
        <v>-89.999999999999858</v>
      </c>
      <c r="I353" s="52">
        <f ca="1">IF(ISBLANK(Resultados!$C353),"",
IF(ROW()-1=3,Resultados!$H353,INDIRECT(ADDRESS(ROW()-1,COLUMN()))+Resultados!$H353))</f>
        <v>34523.61428571435</v>
      </c>
      <c r="J353" s="53">
        <f>IFERROR(EOMONTH((WORKDAY(C353,0,Dados!$C$3:$C$29)),-1)+1,"")</f>
        <v>43952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8">
        <v>43977</v>
      </c>
      <c r="C354" s="48">
        <v>43980</v>
      </c>
      <c r="D354" s="49" t="s">
        <v>178</v>
      </c>
      <c r="E354" s="50">
        <v>1000</v>
      </c>
      <c r="F354" s="51">
        <v>1.72</v>
      </c>
      <c r="G354" s="51">
        <v>2</v>
      </c>
      <c r="H354" s="52">
        <f>IF(OR(Resultados!$F354="",Resultados!$G354=""),"",(Resultados!$G354-Resultados!$F354)*Resultados!$E354)</f>
        <v>280</v>
      </c>
      <c r="I354" s="52">
        <f ca="1">IF(ISBLANK(Resultados!$C354),"",
IF(ROW()-1=3,Resultados!$H354,INDIRECT(ADDRESS(ROW()-1,COLUMN()))+Resultados!$H354))</f>
        <v>34803.61428571435</v>
      </c>
      <c r="J354" s="53">
        <f>IFERROR(EOMONTH((WORKDAY(C354,0,Dados!$C$3:$C$29)),-1)+1,"")</f>
        <v>43952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8">
        <v>43977</v>
      </c>
      <c r="C355" s="48">
        <v>43980</v>
      </c>
      <c r="D355" s="49" t="s">
        <v>178</v>
      </c>
      <c r="E355" s="50">
        <v>150</v>
      </c>
      <c r="F355" s="51">
        <v>1.72</v>
      </c>
      <c r="G355" s="51">
        <v>1.4</v>
      </c>
      <c r="H355" s="52">
        <f>IF(OR(Resultados!$F355="",Resultados!$G355=""),"",(Resultados!$G355-Resultados!$F355)*Resultados!$E355)</f>
        <v>-48.000000000000007</v>
      </c>
      <c r="I355" s="52">
        <f ca="1">IF(ISBLANK(Resultados!$C355),"",
IF(ROW()-1=3,Resultados!$H355,INDIRECT(ADDRESS(ROW()-1,COLUMN()))+Resultados!$H355))</f>
        <v>34755.61428571435</v>
      </c>
      <c r="J355" s="53">
        <f>IFERROR(EOMONTH((WORKDAY(C355,0,Dados!$C$3:$C$29)),-1)+1,"")</f>
        <v>43952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8">
        <v>43978</v>
      </c>
      <c r="C356" s="48">
        <v>43980</v>
      </c>
      <c r="D356" s="49" t="s">
        <v>179</v>
      </c>
      <c r="E356" s="50">
        <v>800</v>
      </c>
      <c r="F356" s="51">
        <v>15.3</v>
      </c>
      <c r="G356" s="51">
        <v>14.39</v>
      </c>
      <c r="H356" s="52">
        <f>IF(OR(Resultados!$F356="",Resultados!$G356=""),"",(Resultados!$G356-Resultados!$F356)*Resultados!$E356)</f>
        <v>-728.00000000000011</v>
      </c>
      <c r="I356" s="52">
        <f ca="1">IF(ISBLANK(Resultados!$C356),"",
IF(ROW()-1=3,Resultados!$H356,INDIRECT(ADDRESS(ROW()-1,COLUMN()))+Resultados!$H356))</f>
        <v>34027.61428571435</v>
      </c>
      <c r="J356" s="53">
        <f>IFERROR(EOMONTH((WORKDAY(C356,0,Dados!$C$3:$C$29)),-1)+1,"")</f>
        <v>43952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8">
        <v>43979</v>
      </c>
      <c r="C357" s="48">
        <v>43980</v>
      </c>
      <c r="D357" s="49" t="s">
        <v>44</v>
      </c>
      <c r="E357" s="50">
        <v>1400</v>
      </c>
      <c r="F357" s="51">
        <v>4.0199999999999996</v>
      </c>
      <c r="G357" s="51">
        <v>4.17</v>
      </c>
      <c r="H357" s="52">
        <f>IF(OR(Resultados!$F357="",Resultados!$G357=""),"",(Resultados!$G357-Resultados!$F357)*Resultados!$E357)</f>
        <v>210.00000000000051</v>
      </c>
      <c r="I357" s="52">
        <f ca="1">IF(ISBLANK(Resultados!$C357),"",
IF(ROW()-1=3,Resultados!$H357,INDIRECT(ADDRESS(ROW()-1,COLUMN()))+Resultados!$H357))</f>
        <v>34237.61428571435</v>
      </c>
      <c r="J357" s="53">
        <f>IFERROR(EOMONTH((WORKDAY(C357,0,Dados!$C$3:$C$29)),-1)+1,"")</f>
        <v>43952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8">
        <v>43980</v>
      </c>
      <c r="C358" s="48">
        <v>43980</v>
      </c>
      <c r="D358" s="49" t="s">
        <v>99</v>
      </c>
      <c r="E358" s="50">
        <v>20</v>
      </c>
      <c r="F358" s="51">
        <v>56.19</v>
      </c>
      <c r="G358" s="51">
        <v>53.42</v>
      </c>
      <c r="H358" s="52">
        <f>IF(OR(Resultados!$F358="",Resultados!$G358=""),"",(Resultados!$G358-Resultados!$F358)*Resultados!$E358)</f>
        <v>-55.39999999999992</v>
      </c>
      <c r="I358" s="52">
        <f ca="1">IF(ISBLANK(Resultados!$C358),"",
IF(ROW()-1=3,Resultados!$H358,INDIRECT(ADDRESS(ROW()-1,COLUMN()))+Resultados!$H358))</f>
        <v>34182.214285714348</v>
      </c>
      <c r="J358" s="53">
        <f>IFERROR(EOMONTH((WORKDAY(C358,0,Dados!$C$3:$C$29)),-1)+1,"")</f>
        <v>43952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8">
        <v>43973</v>
      </c>
      <c r="C359" s="48">
        <v>43983</v>
      </c>
      <c r="D359" s="49" t="s">
        <v>100</v>
      </c>
      <c r="E359" s="50">
        <v>300</v>
      </c>
      <c r="F359" s="51">
        <v>16.62</v>
      </c>
      <c r="G359" s="51">
        <v>18.86</v>
      </c>
      <c r="H359" s="52">
        <f>IF(OR(Resultados!$F359="",Resultados!$G359=""),"",(Resultados!$G359-Resultados!$F359)*Resultados!$E359)</f>
        <v>671.99999999999955</v>
      </c>
      <c r="I359" s="52">
        <f ca="1">IF(ISBLANK(Resultados!$C359),"",
IF(ROW()-1=3,Resultados!$H359,INDIRECT(ADDRESS(ROW()-1,COLUMN()))+Resultados!$H359))</f>
        <v>34854.214285714348</v>
      </c>
      <c r="J359" s="53">
        <f>IFERROR(EOMONTH((WORKDAY(C359,0,Dados!$C$3:$C$29)),-1)+1,"")</f>
        <v>43983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8">
        <v>43979</v>
      </c>
      <c r="C360" s="48">
        <v>43984</v>
      </c>
      <c r="D360" s="49" t="s">
        <v>44</v>
      </c>
      <c r="E360" s="50">
        <v>1400</v>
      </c>
      <c r="F360" s="51">
        <v>4.0199999999999996</v>
      </c>
      <c r="G360" s="51">
        <v>4.43</v>
      </c>
      <c r="H360" s="52">
        <f>IF(OR(Resultados!$F360="",Resultados!$G360=""),"",(Resultados!$G360-Resultados!$F360)*Resultados!$E360)</f>
        <v>574.00000000000023</v>
      </c>
      <c r="I360" s="52">
        <f ca="1">IF(ISBLANK(Resultados!$C360),"",
IF(ROW()-1=3,Resultados!$H360,INDIRECT(ADDRESS(ROW()-1,COLUMN()))+Resultados!$H360))</f>
        <v>35428.214285714348</v>
      </c>
      <c r="J360" s="53">
        <f>IFERROR(EOMONTH((WORKDAY(C360,0,Dados!$C$3:$C$29)),-1)+1,"")</f>
        <v>43983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8">
        <v>43976</v>
      </c>
      <c r="C361" s="48">
        <v>43985</v>
      </c>
      <c r="D361" s="49" t="s">
        <v>155</v>
      </c>
      <c r="E361" s="50">
        <v>300</v>
      </c>
      <c r="F361" s="51">
        <v>20.010000000000002</v>
      </c>
      <c r="G361" s="51">
        <v>20.95</v>
      </c>
      <c r="H361" s="52">
        <f>IF(OR(Resultados!$F361="",Resultados!$G361=""),"",(Resultados!$G361-Resultados!$F361)*Resultados!$E361)</f>
        <v>281.99999999999932</v>
      </c>
      <c r="I361" s="52">
        <f ca="1">IF(ISBLANK(Resultados!$C361),"",
IF(ROW()-1=3,Resultados!$H361,INDIRECT(ADDRESS(ROW()-1,COLUMN()))+Resultados!$H361))</f>
        <v>35710.214285714348</v>
      </c>
      <c r="J361" s="53">
        <f>IFERROR(EOMONTH((WORKDAY(C361,0,Dados!$C$3:$C$29)),-1)+1,"")</f>
        <v>43983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8">
        <v>43983</v>
      </c>
      <c r="C362" s="48">
        <v>43985</v>
      </c>
      <c r="D362" s="49" t="s">
        <v>144</v>
      </c>
      <c r="E362" s="50">
        <v>400</v>
      </c>
      <c r="F362" s="51">
        <v>31.76</v>
      </c>
      <c r="G362" s="51">
        <v>34.47</v>
      </c>
      <c r="H362" s="52">
        <f>IF(OR(Resultados!$F362="",Resultados!$G362=""),"",(Resultados!$G362-Resultados!$F362)*Resultados!$E362)</f>
        <v>1083.9999999999989</v>
      </c>
      <c r="I362" s="52">
        <f ca="1">IF(ISBLANK(Resultados!$C362),"",
IF(ROW()-1=3,Resultados!$H362,INDIRECT(ADDRESS(ROW()-1,COLUMN()))+Resultados!$H362))</f>
        <v>36794.214285714348</v>
      </c>
      <c r="J362" s="53">
        <f>IFERROR(EOMONTH((WORKDAY(C362,0,Dados!$C$3:$C$29)),-1)+1,"")</f>
        <v>43983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8">
        <v>43983</v>
      </c>
      <c r="C363" s="48">
        <v>43985</v>
      </c>
      <c r="D363" s="49" t="s">
        <v>91</v>
      </c>
      <c r="E363" s="50">
        <v>900</v>
      </c>
      <c r="F363" s="51">
        <v>13.82</v>
      </c>
      <c r="G363" s="51">
        <v>14.16</v>
      </c>
      <c r="H363" s="52">
        <f>IF(OR(Resultados!$F363="",Resultados!$G363=""),"",(Resultados!$G363-Resultados!$F363)*Resultados!$E363)</f>
        <v>305.99999999999989</v>
      </c>
      <c r="I363" s="52">
        <f ca="1">IF(ISBLANK(Resultados!$C363),"",
IF(ROW()-1=3,Resultados!$H363,INDIRECT(ADDRESS(ROW()-1,COLUMN()))+Resultados!$H363))</f>
        <v>37100.214285714348</v>
      </c>
      <c r="J363" s="53">
        <f>IFERROR(EOMONTH((WORKDAY(C363,0,Dados!$C$3:$C$29)),-1)+1,"")</f>
        <v>43983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8">
        <v>43984</v>
      </c>
      <c r="C364" s="48">
        <v>43985</v>
      </c>
      <c r="D364" s="49" t="s">
        <v>67</v>
      </c>
      <c r="E364" s="50">
        <v>400</v>
      </c>
      <c r="F364" s="51">
        <v>30.01</v>
      </c>
      <c r="G364" s="51">
        <v>31.44</v>
      </c>
      <c r="H364" s="52">
        <f>IF(OR(Resultados!$F364="",Resultados!$G364=""),"",(Resultados!$G364-Resultados!$F364)*Resultados!$E364)</f>
        <v>571.99999999999989</v>
      </c>
      <c r="I364" s="52">
        <f ca="1">IF(ISBLANK(Resultados!$C364),"",
IF(ROW()-1=3,Resultados!$H364,INDIRECT(ADDRESS(ROW()-1,COLUMN()))+Resultados!$H364))</f>
        <v>37672.214285714348</v>
      </c>
      <c r="J364" s="53">
        <f>IFERROR(EOMONTH((WORKDAY(C364,0,Dados!$C$3:$C$29)),-1)+1,"")</f>
        <v>43983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8">
        <v>43984</v>
      </c>
      <c r="C365" s="48">
        <v>43985</v>
      </c>
      <c r="D365" s="49" t="s">
        <v>114</v>
      </c>
      <c r="E365" s="50">
        <v>600</v>
      </c>
      <c r="F365" s="51">
        <v>18.75</v>
      </c>
      <c r="G365" s="51">
        <v>19.149999999999999</v>
      </c>
      <c r="H365" s="52">
        <f>IF(OR(Resultados!$F365="",Resultados!$G365=""),"",(Resultados!$G365-Resultados!$F365)*Resultados!$E365)</f>
        <v>239.99999999999915</v>
      </c>
      <c r="I365" s="52">
        <f ca="1">IF(ISBLANK(Resultados!$C365),"",
IF(ROW()-1=3,Resultados!$H365,INDIRECT(ADDRESS(ROW()-1,COLUMN()))+Resultados!$H365))</f>
        <v>37912.214285714348</v>
      </c>
      <c r="J365" s="53">
        <f>IFERROR(EOMONTH((WORKDAY(C365,0,Dados!$C$3:$C$29)),-1)+1,"")</f>
        <v>43983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8">
        <v>43976</v>
      </c>
      <c r="C366" s="48">
        <v>43986</v>
      </c>
      <c r="D366" s="49" t="s">
        <v>155</v>
      </c>
      <c r="E366" s="50">
        <v>200</v>
      </c>
      <c r="F366" s="51">
        <v>20.010000000000002</v>
      </c>
      <c r="G366" s="51">
        <v>19.989999999999998</v>
      </c>
      <c r="H366" s="52">
        <f>IF(OR(Resultados!$F366="",Resultados!$G366=""),"",(Resultados!$G366-Resultados!$F366)*Resultados!$E366)</f>
        <v>-4.0000000000006253</v>
      </c>
      <c r="I366" s="52">
        <f ca="1">IF(ISBLANK(Resultados!$C366),"",
IF(ROW()-1=3,Resultados!$H366,INDIRECT(ADDRESS(ROW()-1,COLUMN()))+Resultados!$H366))</f>
        <v>37908.214285714348</v>
      </c>
      <c r="J366" s="53">
        <f>IFERROR(EOMONTH((WORKDAY(C366,0,Dados!$C$3:$C$29)),-1)+1,"")</f>
        <v>43983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8">
        <v>43983</v>
      </c>
      <c r="C367" s="48">
        <v>43986</v>
      </c>
      <c r="D367" s="49" t="s">
        <v>144</v>
      </c>
      <c r="E367" s="50">
        <v>300</v>
      </c>
      <c r="F367" s="51">
        <v>31.76</v>
      </c>
      <c r="G367" s="51">
        <v>33.89</v>
      </c>
      <c r="H367" s="52">
        <f>IF(OR(Resultados!$F367="",Resultados!$G367=""),"",(Resultados!$G367-Resultados!$F367)*Resultados!$E367)</f>
        <v>638.99999999999966</v>
      </c>
      <c r="I367" s="52">
        <f ca="1">IF(ISBLANK(Resultados!$C367),"",
IF(ROW()-1=3,Resultados!$H367,INDIRECT(ADDRESS(ROW()-1,COLUMN()))+Resultados!$H367))</f>
        <v>38547.214285714348</v>
      </c>
      <c r="J367" s="53">
        <f>IFERROR(EOMONTH((WORKDAY(C367,0,Dados!$C$3:$C$29)),-1)+1,"")</f>
        <v>43983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8">
        <v>43984</v>
      </c>
      <c r="C368" s="48">
        <v>43986</v>
      </c>
      <c r="D368" s="49" t="s">
        <v>67</v>
      </c>
      <c r="E368" s="50">
        <v>400</v>
      </c>
      <c r="F368" s="51">
        <v>30.01</v>
      </c>
      <c r="G368" s="51">
        <v>31.69</v>
      </c>
      <c r="H368" s="52">
        <f>IF(OR(Resultados!$F368="",Resultados!$G368=""),"",(Resultados!$G368-Resultados!$F368)*Resultados!$E368)</f>
        <v>671.99999999999989</v>
      </c>
      <c r="I368" s="52">
        <f ca="1">IF(ISBLANK(Resultados!$C368),"",
IF(ROW()-1=3,Resultados!$H368,INDIRECT(ADDRESS(ROW()-1,COLUMN()))+Resultados!$H368))</f>
        <v>39219.214285714348</v>
      </c>
      <c r="J368" s="53">
        <f>IFERROR(EOMONTH((WORKDAY(C368,0,Dados!$C$3:$C$29)),-1)+1,"")</f>
        <v>43983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8">
        <v>43985</v>
      </c>
      <c r="C369" s="48">
        <v>43986</v>
      </c>
      <c r="D369" s="49" t="s">
        <v>113</v>
      </c>
      <c r="E369" s="50">
        <v>700</v>
      </c>
      <c r="F369" s="51">
        <v>13.72</v>
      </c>
      <c r="G369" s="51">
        <v>14.3</v>
      </c>
      <c r="H369" s="52">
        <f>IF(OR(Resultados!$F369="",Resultados!$G369=""),"",(Resultados!$G369-Resultados!$F369)*Resultados!$E369)</f>
        <v>406.00000000000006</v>
      </c>
      <c r="I369" s="52">
        <f ca="1">IF(ISBLANK(Resultados!$C369),"",
IF(ROW()-1=3,Resultados!$H369,INDIRECT(ADDRESS(ROW()-1,COLUMN()))+Resultados!$H369))</f>
        <v>39625.214285714348</v>
      </c>
      <c r="J369" s="53">
        <f>IFERROR(EOMONTH((WORKDAY(C369,0,Dados!$C$3:$C$29)),-1)+1,"")</f>
        <v>43983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8">
        <v>43985</v>
      </c>
      <c r="C370" s="48">
        <v>43986</v>
      </c>
      <c r="D370" s="49" t="s">
        <v>180</v>
      </c>
      <c r="E370" s="50">
        <v>700</v>
      </c>
      <c r="F370" s="51">
        <v>31.76</v>
      </c>
      <c r="G370" s="51">
        <v>30.69</v>
      </c>
      <c r="H370" s="52">
        <f>IF(OR(Resultados!$F370="",Resultados!$G370=""),"",(Resultados!$G370-Resultados!$F370)*Resultados!$E370)</f>
        <v>-749.00000000000023</v>
      </c>
      <c r="I370" s="52">
        <f ca="1">IF(ISBLANK(Resultados!$C370),"",
IF(ROW()-1=3,Resultados!$H370,INDIRECT(ADDRESS(ROW()-1,COLUMN()))+Resultados!$H370))</f>
        <v>38876.214285714348</v>
      </c>
      <c r="J370" s="53">
        <f>IFERROR(EOMONTH((WORKDAY(C370,0,Dados!$C$3:$C$29)),-1)+1,"")</f>
        <v>43983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8">
        <v>43971</v>
      </c>
      <c r="C371" s="48">
        <v>43987</v>
      </c>
      <c r="D371" s="49" t="s">
        <v>148</v>
      </c>
      <c r="E371" s="50">
        <v>3300</v>
      </c>
      <c r="F371" s="51">
        <v>1.72</v>
      </c>
      <c r="G371" s="51">
        <v>2.44</v>
      </c>
      <c r="H371" s="52">
        <f>IF(OR(Resultados!$F371="",Resultados!$G371=""),"",(Resultados!$G371-Resultados!$F371)*Resultados!$E371)</f>
        <v>2376</v>
      </c>
      <c r="I371" s="52">
        <f ca="1">IF(ISBLANK(Resultados!$C371),"",
IF(ROW()-1=3,Resultados!$H371,INDIRECT(ADDRESS(ROW()-1,COLUMN()))+Resultados!$H371))</f>
        <v>41252.214285714348</v>
      </c>
      <c r="J371" s="53">
        <f>IFERROR(EOMONTH((WORKDAY(C371,0,Dados!$C$3:$C$29)),-1)+1,"")</f>
        <v>43983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8">
        <v>43976</v>
      </c>
      <c r="C372" s="48">
        <v>43987</v>
      </c>
      <c r="D372" s="49" t="s">
        <v>125</v>
      </c>
      <c r="E372" s="50">
        <v>1300</v>
      </c>
      <c r="F372" s="51">
        <v>4.2699999999999996</v>
      </c>
      <c r="G372" s="51">
        <v>5.9</v>
      </c>
      <c r="H372" s="52">
        <f>IF(OR(Resultados!$F372="",Resultados!$G372=""),"",(Resultados!$G372-Resultados!$F372)*Resultados!$E372)</f>
        <v>2119.0000000000009</v>
      </c>
      <c r="I372" s="52">
        <f ca="1">IF(ISBLANK(Resultados!$C372),"",
IF(ROW()-1=3,Resultados!$H372,INDIRECT(ADDRESS(ROW()-1,COLUMN()))+Resultados!$H372))</f>
        <v>43371.214285714348</v>
      </c>
      <c r="J372" s="53">
        <f>IFERROR(EOMONTH((WORKDAY(C372,0,Dados!$C$3:$C$29)),-1)+1,"")</f>
        <v>43983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8">
        <v>43983</v>
      </c>
      <c r="C373" s="48">
        <v>43987</v>
      </c>
      <c r="D373" s="49" t="s">
        <v>181</v>
      </c>
      <c r="E373" s="50">
        <v>1100</v>
      </c>
      <c r="F373" s="51">
        <v>20.010000000000002</v>
      </c>
      <c r="G373" s="51">
        <v>19.079999999999998</v>
      </c>
      <c r="H373" s="52">
        <f>IF(OR(Resultados!$F373="",Resultados!$G373=""),"",(Resultados!$G373-Resultados!$F373)*Resultados!$E373)</f>
        <v>-1023.0000000000036</v>
      </c>
      <c r="I373" s="52">
        <f ca="1">IF(ISBLANK(Resultados!$C373),"",
IF(ROW()-1=3,Resultados!$H373,INDIRECT(ADDRESS(ROW()-1,COLUMN()))+Resultados!$H373))</f>
        <v>42348.214285714348</v>
      </c>
      <c r="J373" s="53">
        <f>IFERROR(EOMONTH((WORKDAY(C373,0,Dados!$C$3:$C$29)),-1)+1,"")</f>
        <v>43983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8">
        <v>43984</v>
      </c>
      <c r="C374" s="48">
        <v>43987</v>
      </c>
      <c r="D374" s="49" t="s">
        <v>114</v>
      </c>
      <c r="E374" s="50">
        <v>600</v>
      </c>
      <c r="F374" s="51">
        <v>18.75</v>
      </c>
      <c r="G374" s="51">
        <v>18.489999999999998</v>
      </c>
      <c r="H374" s="52">
        <f>IF(OR(Resultados!$F374="",Resultados!$G374=""),"",(Resultados!$G374-Resultados!$F374)*Resultados!$E374)</f>
        <v>-156.00000000000094</v>
      </c>
      <c r="I374" s="52">
        <f ca="1">IF(ISBLANK(Resultados!$C374),"",
IF(ROW()-1=3,Resultados!$H374,INDIRECT(ADDRESS(ROW()-1,COLUMN()))+Resultados!$H374))</f>
        <v>42192.214285714348</v>
      </c>
      <c r="J374" s="53">
        <f>IFERROR(EOMONTH((WORKDAY(C374,0,Dados!$C$3:$C$29)),-1)+1,"")</f>
        <v>43983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8">
        <v>43986</v>
      </c>
      <c r="C375" s="48">
        <v>43987</v>
      </c>
      <c r="D375" s="49" t="s">
        <v>88</v>
      </c>
      <c r="E375" s="50">
        <v>500</v>
      </c>
      <c r="F375" s="51">
        <v>27.45</v>
      </c>
      <c r="G375" s="51">
        <v>28.15</v>
      </c>
      <c r="H375" s="52">
        <f>IF(OR(Resultados!$F375="",Resultados!$G375=""),"",(Resultados!$G375-Resultados!$F375)*Resultados!$E375)</f>
        <v>349.99999999999966</v>
      </c>
      <c r="I375" s="52">
        <f ca="1">IF(ISBLANK(Resultados!$C375),"",
IF(ROW()-1=3,Resultados!$H375,INDIRECT(ADDRESS(ROW()-1,COLUMN()))+Resultados!$H375))</f>
        <v>42542.214285714348</v>
      </c>
      <c r="J375" s="53">
        <f>IFERROR(EOMONTH((WORKDAY(C375,0,Dados!$C$3:$C$29)),-1)+1,"")</f>
        <v>43983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8">
        <v>43986</v>
      </c>
      <c r="C376" s="48">
        <v>43987</v>
      </c>
      <c r="D376" s="49" t="s">
        <v>88</v>
      </c>
      <c r="E376" s="50">
        <v>400</v>
      </c>
      <c r="F376" s="51">
        <v>27.45</v>
      </c>
      <c r="G376" s="51">
        <v>27.29</v>
      </c>
      <c r="H376" s="52">
        <f>IF(OR(Resultados!$F376="",Resultados!$G376=""),"",(Resultados!$G376-Resultados!$F376)*Resultados!$E376)</f>
        <v>-64.000000000000057</v>
      </c>
      <c r="I376" s="52">
        <f ca="1">IF(ISBLANK(Resultados!$C376),"",
IF(ROW()-1=3,Resultados!$H376,INDIRECT(ADDRESS(ROW()-1,COLUMN()))+Resultados!$H376))</f>
        <v>42478.214285714348</v>
      </c>
      <c r="J376" s="53">
        <f>IFERROR(EOMONTH((WORKDAY(C376,0,Dados!$C$3:$C$29)),-1)+1,"")</f>
        <v>43983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8">
        <v>43983</v>
      </c>
      <c r="C377" s="48">
        <v>43991</v>
      </c>
      <c r="D377" s="49" t="s">
        <v>71</v>
      </c>
      <c r="E377" s="50">
        <v>400</v>
      </c>
      <c r="F377" s="51">
        <v>65.25</v>
      </c>
      <c r="G377" s="51">
        <v>62.77</v>
      </c>
      <c r="H377" s="52">
        <f>IF(OR(Resultados!$F377="",Resultados!$G377=""),"",(Resultados!$G377-Resultados!$F377)*Resultados!$E377)</f>
        <v>-991.99999999999875</v>
      </c>
      <c r="I377" s="52">
        <f ca="1">IF(ISBLANK(Resultados!$C377),"",
IF(ROW()-1=3,Resultados!$H377,INDIRECT(ADDRESS(ROW()-1,COLUMN()))+Resultados!$H377))</f>
        <v>41486.214285714348</v>
      </c>
      <c r="J377" s="53">
        <f>IFERROR(EOMONTH((WORKDAY(C377,0,Dados!$C$3:$C$29)),-1)+1,"")</f>
        <v>43983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8">
        <v>43985</v>
      </c>
      <c r="C378" s="48">
        <v>43992</v>
      </c>
      <c r="D378" s="49" t="s">
        <v>113</v>
      </c>
      <c r="E378" s="50">
        <v>700</v>
      </c>
      <c r="F378" s="51">
        <v>13.72</v>
      </c>
      <c r="G378" s="51">
        <v>13.79</v>
      </c>
      <c r="H378" s="52">
        <f>IF(OR(Resultados!$F378="",Resultados!$G378=""),"",(Resultados!$G378-Resultados!$F378)*Resultados!$E378)</f>
        <v>48.999999999998956</v>
      </c>
      <c r="I378" s="52">
        <f ca="1">IF(ISBLANK(Resultados!$C378),"",
IF(ROW()-1=3,Resultados!$H378,INDIRECT(ADDRESS(ROW()-1,COLUMN()))+Resultados!$H378))</f>
        <v>41535.214285714348</v>
      </c>
      <c r="J378" s="53">
        <f>IFERROR(EOMONTH((WORKDAY(C378,0,Dados!$C$3:$C$29)),-1)+1,"")</f>
        <v>43983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8">
        <v>43977</v>
      </c>
      <c r="C379" s="48">
        <v>43994</v>
      </c>
      <c r="D379" s="49" t="s">
        <v>178</v>
      </c>
      <c r="E379" s="50">
        <v>350</v>
      </c>
      <c r="F379" s="51">
        <v>1.72</v>
      </c>
      <c r="G379" s="51">
        <v>0.09</v>
      </c>
      <c r="H379" s="52">
        <f>IF(OR(Resultados!$F379="",Resultados!$G379=""),"",(Resultados!$G379-Resultados!$F379)*Resultados!$E379)</f>
        <v>-570.5</v>
      </c>
      <c r="I379" s="52">
        <f ca="1">IF(ISBLANK(Resultados!$C379),"",
IF(ROW()-1=3,Resultados!$H379,INDIRECT(ADDRESS(ROW()-1,COLUMN()))+Resultados!$H379))</f>
        <v>40964.714285714348</v>
      </c>
      <c r="J379" s="53">
        <f>IFERROR(EOMONTH((WORKDAY(C379,0,Dados!$C$3:$C$29)),-1)+1,"")</f>
        <v>43983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8">
        <v>43983</v>
      </c>
      <c r="C380" s="48">
        <v>43994</v>
      </c>
      <c r="D380" s="49" t="s">
        <v>87</v>
      </c>
      <c r="E380" s="50">
        <v>1000</v>
      </c>
      <c r="F380" s="51">
        <v>23.72</v>
      </c>
      <c r="G380" s="51">
        <v>21.99</v>
      </c>
      <c r="H380" s="52">
        <f>IF(OR(Resultados!$F380="",Resultados!$G380=""),"",(Resultados!$G380-Resultados!$F380)*Resultados!$E380)</f>
        <v>-1730.0000000000005</v>
      </c>
      <c r="I380" s="52">
        <f ca="1">IF(ISBLANK(Resultados!$C380),"",
IF(ROW()-1=3,Resultados!$H380,INDIRECT(ADDRESS(ROW()-1,COLUMN()))+Resultados!$H380))</f>
        <v>39234.714285714348</v>
      </c>
      <c r="J380" s="53">
        <f>IFERROR(EOMONTH((WORKDAY(C380,0,Dados!$C$3:$C$29)),-1)+1,"")</f>
        <v>43983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8">
        <v>43983</v>
      </c>
      <c r="C381" s="48">
        <v>43994</v>
      </c>
      <c r="D381" s="49" t="s">
        <v>91</v>
      </c>
      <c r="E381" s="50">
        <v>800</v>
      </c>
      <c r="F381" s="51">
        <v>13.82</v>
      </c>
      <c r="G381" s="51">
        <v>13.79</v>
      </c>
      <c r="H381" s="52">
        <f>IF(OR(Resultados!$F381="",Resultados!$G381=""),"",(Resultados!$G381-Resultados!$F381)*Resultados!$E381)</f>
        <v>-24.000000000000909</v>
      </c>
      <c r="I381" s="52">
        <f ca="1">IF(ISBLANK(Resultados!$C381),"",
IF(ROW()-1=3,Resultados!$H381,INDIRECT(ADDRESS(ROW()-1,COLUMN()))+Resultados!$H381))</f>
        <v>39210.714285714348</v>
      </c>
      <c r="J381" s="53">
        <f>IFERROR(EOMONTH((WORKDAY(C381,0,Dados!$C$3:$C$29)),-1)+1,"")</f>
        <v>43983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8">
        <v>43985</v>
      </c>
      <c r="C382" s="48">
        <v>43994</v>
      </c>
      <c r="D382" s="49" t="s">
        <v>182</v>
      </c>
      <c r="E382" s="50">
        <v>1500</v>
      </c>
      <c r="F382" s="51">
        <v>0.75</v>
      </c>
      <c r="G382" s="51">
        <v>0.28999999999999998</v>
      </c>
      <c r="H382" s="52">
        <f>IF(OR(Resultados!$F382="",Resultados!$G382=""),"",(Resultados!$G382-Resultados!$F382)*Resultados!$E382)</f>
        <v>-690</v>
      </c>
      <c r="I382" s="52">
        <f ca="1">IF(ISBLANK(Resultados!$C382),"",
IF(ROW()-1=3,Resultados!$H382,INDIRECT(ADDRESS(ROW()-1,COLUMN()))+Resultados!$H382))</f>
        <v>38520.714285714348</v>
      </c>
      <c r="J382" s="53">
        <f>IFERROR(EOMONTH((WORKDAY(C382,0,Dados!$C$3:$C$29)),-1)+1,"")</f>
        <v>43983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8">
        <v>43997</v>
      </c>
      <c r="C383" s="48">
        <v>43998</v>
      </c>
      <c r="D383" s="49" t="s">
        <v>86</v>
      </c>
      <c r="E383" s="50">
        <v>900</v>
      </c>
      <c r="F383" s="51">
        <v>9.19</v>
      </c>
      <c r="G383" s="51">
        <v>9.75</v>
      </c>
      <c r="H383" s="52">
        <f>IF(OR(Resultados!$F383="",Resultados!$G383=""),"",(Resultados!$G383-Resultados!$F383)*Resultados!$E383)</f>
        <v>504.00000000000045</v>
      </c>
      <c r="I383" s="52">
        <f ca="1">IF(ISBLANK(Resultados!$C383),"",
IF(ROW()-1=3,Resultados!$H383,INDIRECT(ADDRESS(ROW()-1,COLUMN()))+Resultados!$H383))</f>
        <v>39024.714285714348</v>
      </c>
      <c r="J383" s="53">
        <f>IFERROR(EOMONTH((WORKDAY(C383,0,Dados!$C$3:$C$29)),-1)+1,"")</f>
        <v>43983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8">
        <v>43997</v>
      </c>
      <c r="C384" s="48">
        <v>43998</v>
      </c>
      <c r="D384" s="49" t="s">
        <v>94</v>
      </c>
      <c r="E384" s="50">
        <v>200</v>
      </c>
      <c r="F384" s="51">
        <v>65.260000000000005</v>
      </c>
      <c r="G384" s="51">
        <v>67.459999999999994</v>
      </c>
      <c r="H384" s="52">
        <f>IF(OR(Resultados!$F384="",Resultados!$G384=""),"",(Resultados!$G384-Resultados!$F384)*Resultados!$E384)</f>
        <v>439.99999999999773</v>
      </c>
      <c r="I384" s="52">
        <f ca="1">IF(ISBLANK(Resultados!$C384),"",
IF(ROW()-1=3,Resultados!$H384,INDIRECT(ADDRESS(ROW()-1,COLUMN()))+Resultados!$H384))</f>
        <v>39464.714285714348</v>
      </c>
      <c r="J384" s="53">
        <f>IFERROR(EOMONTH((WORKDAY(C384,0,Dados!$C$3:$C$29)),-1)+1,"")</f>
        <v>43983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8">
        <v>43997</v>
      </c>
      <c r="C385" s="48">
        <v>43999</v>
      </c>
      <c r="D385" s="49" t="s">
        <v>88</v>
      </c>
      <c r="E385" s="50">
        <v>400</v>
      </c>
      <c r="F385" s="51">
        <v>27.74</v>
      </c>
      <c r="G385" s="51">
        <v>29</v>
      </c>
      <c r="H385" s="52">
        <f>IF(OR(Resultados!$F385="",Resultados!$G385=""),"",(Resultados!$G385-Resultados!$F385)*Resultados!$E385)</f>
        <v>504.00000000000063</v>
      </c>
      <c r="I385" s="52">
        <f ca="1">IF(ISBLANK(Resultados!$C385),"",
IF(ROW()-1=3,Resultados!$H385,INDIRECT(ADDRESS(ROW()-1,COLUMN()))+Resultados!$H385))</f>
        <v>39968.714285714348</v>
      </c>
      <c r="J385" s="53">
        <f>IFERROR(EOMONTH((WORKDAY(C385,0,Dados!$C$3:$C$29)),-1)+1,"")</f>
        <v>43983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8">
        <v>43999</v>
      </c>
      <c r="C386" s="48">
        <v>44000</v>
      </c>
      <c r="D386" s="49" t="s">
        <v>126</v>
      </c>
      <c r="E386" s="50">
        <v>500</v>
      </c>
      <c r="F386" s="51">
        <v>22.09</v>
      </c>
      <c r="G386" s="51">
        <v>23.36</v>
      </c>
      <c r="H386" s="52">
        <f>IF(OR(Resultados!$F386="",Resultados!$G386=""),"",(Resultados!$G386-Resultados!$F386)*Resultados!$E386)</f>
        <v>634.99999999999977</v>
      </c>
      <c r="I386" s="52">
        <f ca="1">IF(ISBLANK(Resultados!$C386),"",
IF(ROW()-1=3,Resultados!$H386,INDIRECT(ADDRESS(ROW()-1,COLUMN()))+Resultados!$H386))</f>
        <v>40603.714285714348</v>
      </c>
      <c r="J386" s="53">
        <f>IFERROR(EOMONTH((WORKDAY(C386,0,Dados!$C$3:$C$29)),-1)+1,"")</f>
        <v>43983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8">
        <v>43999</v>
      </c>
      <c r="C387" s="48">
        <v>44000</v>
      </c>
      <c r="D387" s="49" t="s">
        <v>183</v>
      </c>
      <c r="E387" s="50">
        <v>3000</v>
      </c>
      <c r="F387" s="51">
        <v>3</v>
      </c>
      <c r="G387" s="51">
        <v>2.7</v>
      </c>
      <c r="H387" s="52">
        <f>IF(OR(Resultados!$F387="",Resultados!$G387=""),"",(Resultados!$G387-Resultados!$F387)*Resultados!$E387)</f>
        <v>-899.99999999999943</v>
      </c>
      <c r="I387" s="52">
        <f ca="1">IF(ISBLANK(Resultados!$C387),"",
IF(ROW()-1=3,Resultados!$H387,INDIRECT(ADDRESS(ROW()-1,COLUMN()))+Resultados!$H387))</f>
        <v>39703.714285714348</v>
      </c>
      <c r="J387" s="53">
        <f>IFERROR(EOMONTH((WORKDAY(C387,0,Dados!$C$3:$C$29)),-1)+1,"")</f>
        <v>43983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8">
        <v>43999</v>
      </c>
      <c r="C388" s="48">
        <v>44000</v>
      </c>
      <c r="D388" s="49" t="s">
        <v>156</v>
      </c>
      <c r="E388" s="50">
        <v>300</v>
      </c>
      <c r="F388" s="51">
        <v>36.64</v>
      </c>
      <c r="G388" s="51">
        <v>37.25</v>
      </c>
      <c r="H388" s="52">
        <f>IF(OR(Resultados!$F388="",Resultados!$G388=""),"",(Resultados!$G388-Resultados!$F388)*Resultados!$E388)</f>
        <v>182.99999999999983</v>
      </c>
      <c r="I388" s="52">
        <f ca="1">IF(ISBLANK(Resultados!$C388),"",
IF(ROW()-1=3,Resultados!$H388,INDIRECT(ADDRESS(ROW()-1,COLUMN()))+Resultados!$H388))</f>
        <v>39886.714285714348</v>
      </c>
      <c r="J388" s="53">
        <f>IFERROR(EOMONTH((WORKDAY(C388,0,Dados!$C$3:$C$29)),-1)+1,"")</f>
        <v>43983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8">
        <v>43997</v>
      </c>
      <c r="C389" s="48">
        <v>44001</v>
      </c>
      <c r="D389" s="49" t="s">
        <v>152</v>
      </c>
      <c r="E389" s="50">
        <v>1300</v>
      </c>
      <c r="F389" s="51">
        <v>12</v>
      </c>
      <c r="G389" s="51">
        <v>11.9</v>
      </c>
      <c r="H389" s="52">
        <f>IF(OR(Resultados!$F389="",Resultados!$G389=""),"",(Resultados!$G389-Resultados!$F389)*Resultados!$E389)</f>
        <v>-129.99999999999955</v>
      </c>
      <c r="I389" s="52">
        <f ca="1">IF(ISBLANK(Resultados!$C389),"",
IF(ROW()-1=3,Resultados!$H389,INDIRECT(ADDRESS(ROW()-1,COLUMN()))+Resultados!$H389))</f>
        <v>39756.714285714348</v>
      </c>
      <c r="J389" s="53">
        <f>IFERROR(EOMONTH((WORKDAY(C389,0,Dados!$C$3:$C$29)),-1)+1,"")</f>
        <v>43983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8">
        <v>43998</v>
      </c>
      <c r="C390" s="48">
        <v>44001</v>
      </c>
      <c r="D390" s="49" t="s">
        <v>102</v>
      </c>
      <c r="E390" s="50">
        <v>900</v>
      </c>
      <c r="F390" s="51">
        <v>24.34</v>
      </c>
      <c r="G390" s="51">
        <v>23.28</v>
      </c>
      <c r="H390" s="52">
        <f>IF(OR(Resultados!$F390="",Resultados!$G390=""),"",(Resultados!$G390-Resultados!$F390)*Resultados!$E390)</f>
        <v>-953.99999999999886</v>
      </c>
      <c r="I390" s="52">
        <f ca="1">IF(ISBLANK(Resultados!$C390),"",
IF(ROW()-1=3,Resultados!$H390,INDIRECT(ADDRESS(ROW()-1,COLUMN()))+Resultados!$H390))</f>
        <v>38802.714285714348</v>
      </c>
      <c r="J390" s="53">
        <f>IFERROR(EOMONTH((WORKDAY(C390,0,Dados!$C$3:$C$29)),-1)+1,"")</f>
        <v>43983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8">
        <v>43999</v>
      </c>
      <c r="C391" s="48">
        <v>44001</v>
      </c>
      <c r="D391" s="49" t="s">
        <v>184</v>
      </c>
      <c r="E391" s="50">
        <v>200</v>
      </c>
      <c r="F391" s="51">
        <v>67.08</v>
      </c>
      <c r="G391" s="51">
        <v>69.099999999999994</v>
      </c>
      <c r="H391" s="52">
        <f>IF(OR(Resultados!$F391="",Resultados!$G391=""),"",(Resultados!$G391-Resultados!$F391)*Resultados!$E391)</f>
        <v>403.9999999999992</v>
      </c>
      <c r="I391" s="52">
        <f ca="1">IF(ISBLANK(Resultados!$C391),"",
IF(ROW()-1=3,Resultados!$H391,INDIRECT(ADDRESS(ROW()-1,COLUMN()))+Resultados!$H391))</f>
        <v>39206.714285714348</v>
      </c>
      <c r="J391" s="53">
        <f>IFERROR(EOMONTH((WORKDAY(C391,0,Dados!$C$3:$C$29)),-1)+1,"")</f>
        <v>43983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8">
        <v>43999</v>
      </c>
      <c r="C392" s="48">
        <v>44001</v>
      </c>
      <c r="D392" s="49" t="s">
        <v>185</v>
      </c>
      <c r="E392" s="50">
        <v>400</v>
      </c>
      <c r="F392" s="51">
        <v>60</v>
      </c>
      <c r="G392" s="51">
        <v>60.5</v>
      </c>
      <c r="H392" s="52">
        <f>IF(OR(Resultados!$F392="",Resultados!$G392=""),"",(Resultados!$G392-Resultados!$F392)*Resultados!$E392)</f>
        <v>200</v>
      </c>
      <c r="I392" s="52">
        <f ca="1">IF(ISBLANK(Resultados!$C392),"",
IF(ROW()-1=3,Resultados!$H392,INDIRECT(ADDRESS(ROW()-1,COLUMN()))+Resultados!$H392))</f>
        <v>39406.714285714348</v>
      </c>
      <c r="J392" s="53">
        <f>IFERROR(EOMONTH((WORKDAY(C392,0,Dados!$C$3:$C$29)),-1)+1,"")</f>
        <v>43983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8">
        <v>43998</v>
      </c>
      <c r="C393" s="48">
        <v>44004</v>
      </c>
      <c r="D393" s="49" t="s">
        <v>113</v>
      </c>
      <c r="E393" s="50">
        <v>1700</v>
      </c>
      <c r="F393" s="51">
        <v>13.53</v>
      </c>
      <c r="G393" s="51">
        <v>12.96</v>
      </c>
      <c r="H393" s="52">
        <f>IF(OR(Resultados!$F393="",Resultados!$G393=""),"",(Resultados!$G393-Resultados!$F393)*Resultados!$E393)</f>
        <v>-968.9999999999975</v>
      </c>
      <c r="I393" s="52">
        <f ca="1">IF(ISBLANK(Resultados!$C393),"",
IF(ROW()-1=3,Resultados!$H393,INDIRECT(ADDRESS(ROW()-1,COLUMN()))+Resultados!$H393))</f>
        <v>38437.714285714348</v>
      </c>
      <c r="J393" s="53">
        <f>IFERROR(EOMONTH((WORKDAY(C393,0,Dados!$C$3:$C$29)),-1)+1,"")</f>
        <v>43983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8">
        <v>43999</v>
      </c>
      <c r="C394" s="48">
        <v>44004</v>
      </c>
      <c r="D394" s="49" t="s">
        <v>149</v>
      </c>
      <c r="E394" s="50">
        <v>400</v>
      </c>
      <c r="F394" s="51">
        <v>29.72</v>
      </c>
      <c r="G394" s="51">
        <v>31.11</v>
      </c>
      <c r="H394" s="52">
        <f>IF(OR(Resultados!$F394="",Resultados!$G394=""),"",(Resultados!$G394-Resultados!$F394)*Resultados!$E394)</f>
        <v>556.00000000000023</v>
      </c>
      <c r="I394" s="52">
        <f ca="1">IF(ISBLANK(Resultados!$C394),"",
IF(ROW()-1=3,Resultados!$H394,INDIRECT(ADDRESS(ROW()-1,COLUMN()))+Resultados!$H394))</f>
        <v>38993.714285714348</v>
      </c>
      <c r="J394" s="53">
        <f>IFERROR(EOMONTH((WORKDAY(C394,0,Dados!$C$3:$C$29)),-1)+1,"")</f>
        <v>43983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8">
        <v>43997</v>
      </c>
      <c r="C395" s="48">
        <v>44005</v>
      </c>
      <c r="D395" s="49" t="s">
        <v>86</v>
      </c>
      <c r="E395" s="50">
        <v>900</v>
      </c>
      <c r="F395" s="51">
        <v>9.19</v>
      </c>
      <c r="G395" s="51">
        <v>11.46</v>
      </c>
      <c r="H395" s="52">
        <f>IF(OR(Resultados!$F395="",Resultados!$G395=""),"",(Resultados!$G395-Resultados!$F395)*Resultados!$E395)</f>
        <v>2043.0000000000011</v>
      </c>
      <c r="I395" s="52">
        <f ca="1">IF(ISBLANK(Resultados!$C395),"",
IF(ROW()-1=3,Resultados!$H395,INDIRECT(ADDRESS(ROW()-1,COLUMN()))+Resultados!$H395))</f>
        <v>41036.714285714348</v>
      </c>
      <c r="J395" s="53">
        <f>IFERROR(EOMONTH((WORKDAY(C395,0,Dados!$C$3:$C$29)),-1)+1,"")</f>
        <v>43983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8">
        <v>43999</v>
      </c>
      <c r="C396" s="48">
        <v>44005</v>
      </c>
      <c r="D396" s="49" t="s">
        <v>141</v>
      </c>
      <c r="E396" s="50">
        <v>1000</v>
      </c>
      <c r="F396" s="51">
        <v>22.53</v>
      </c>
      <c r="G396" s="51">
        <v>21.4</v>
      </c>
      <c r="H396" s="52">
        <f>IF(OR(Resultados!$F396="",Resultados!$G396=""),"",(Resultados!$G396-Resultados!$F396)*Resultados!$E396)</f>
        <v>-1130.0000000000025</v>
      </c>
      <c r="I396" s="52">
        <f ca="1">IF(ISBLANK(Resultados!$C396),"",
IF(ROW()-1=3,Resultados!$H396,INDIRECT(ADDRESS(ROW()-1,COLUMN()))+Resultados!$H396))</f>
        <v>39906.714285714348</v>
      </c>
      <c r="J396" s="53">
        <f>IFERROR(EOMONTH((WORKDAY(C396,0,Dados!$C$3:$C$29)),-1)+1,"")</f>
        <v>43983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8">
        <v>43997</v>
      </c>
      <c r="C397" s="48">
        <v>44006</v>
      </c>
      <c r="D397" s="49" t="s">
        <v>94</v>
      </c>
      <c r="E397" s="50">
        <v>200</v>
      </c>
      <c r="F397" s="51">
        <v>65.260000000000005</v>
      </c>
      <c r="G397" s="51">
        <v>68.77</v>
      </c>
      <c r="H397" s="52">
        <f>IF(OR(Resultados!$F397="",Resultados!$G397=""),"",(Resultados!$G397-Resultados!$F397)*Resultados!$E397)</f>
        <v>701.99999999999818</v>
      </c>
      <c r="I397" s="52">
        <f ca="1">IF(ISBLANK(Resultados!$C397),"",
IF(ROW()-1=3,Resultados!$H397,INDIRECT(ADDRESS(ROW()-1,COLUMN()))+Resultados!$H397))</f>
        <v>40608.714285714348</v>
      </c>
      <c r="J397" s="53">
        <f>IFERROR(EOMONTH((WORKDAY(C397,0,Dados!$C$3:$C$29)),-1)+1,"")</f>
        <v>43983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8">
        <v>43997</v>
      </c>
      <c r="C398" s="48">
        <v>44006</v>
      </c>
      <c r="D398" s="49" t="s">
        <v>88</v>
      </c>
      <c r="E398" s="50">
        <v>400</v>
      </c>
      <c r="F398" s="51">
        <v>27.74</v>
      </c>
      <c r="G398" s="51">
        <v>29.44</v>
      </c>
      <c r="H398" s="52">
        <f>IF(OR(Resultados!$F398="",Resultados!$G398=""),"",(Resultados!$G398-Resultados!$F398)*Resultados!$E398)</f>
        <v>680.00000000000114</v>
      </c>
      <c r="I398" s="52">
        <f ca="1">IF(ISBLANK(Resultados!$C398),"",
IF(ROW()-1=3,Resultados!$H398,INDIRECT(ADDRESS(ROW()-1,COLUMN()))+Resultados!$H398))</f>
        <v>41288.714285714348</v>
      </c>
      <c r="J398" s="53">
        <f>IFERROR(EOMONTH((WORKDAY(C398,0,Dados!$C$3:$C$29)),-1)+1,"")</f>
        <v>43983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8">
        <v>43999</v>
      </c>
      <c r="C399" s="48">
        <v>44006</v>
      </c>
      <c r="D399" s="49" t="s">
        <v>167</v>
      </c>
      <c r="E399" s="50">
        <v>1300</v>
      </c>
      <c r="F399" s="51">
        <v>18.28</v>
      </c>
      <c r="G399" s="51">
        <v>17.489999999999998</v>
      </c>
      <c r="H399" s="52">
        <f>IF(OR(Resultados!$F399="",Resultados!$G399=""),"",(Resultados!$G399-Resultados!$F399)*Resultados!$E399)</f>
        <v>-1027.0000000000034</v>
      </c>
      <c r="I399" s="52">
        <f ca="1">IF(ISBLANK(Resultados!$C399),"",
IF(ROW()-1=3,Resultados!$H399,INDIRECT(ADDRESS(ROW()-1,COLUMN()))+Resultados!$H399))</f>
        <v>40261.714285714348</v>
      </c>
      <c r="J399" s="53">
        <f>IFERROR(EOMONTH((WORKDAY(C399,0,Dados!$C$3:$C$29)),-1)+1,"")</f>
        <v>43983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8">
        <v>44004</v>
      </c>
      <c r="C400" s="48">
        <v>44006</v>
      </c>
      <c r="D400" s="49" t="s">
        <v>154</v>
      </c>
      <c r="E400" s="50">
        <v>3000</v>
      </c>
      <c r="F400" s="51">
        <v>5.54</v>
      </c>
      <c r="G400" s="51">
        <v>5.24</v>
      </c>
      <c r="H400" s="52">
        <f>IF(OR(Resultados!$F400="",Resultados!$G400=""),"",(Resultados!$G400-Resultados!$F400)*Resultados!$E400)</f>
        <v>-899.99999999999943</v>
      </c>
      <c r="I400" s="52">
        <f ca="1">IF(ISBLANK(Resultados!$C400),"",
IF(ROW()-1=3,Resultados!$H400,INDIRECT(ADDRESS(ROW()-1,COLUMN()))+Resultados!$H400))</f>
        <v>39361.714285714348</v>
      </c>
      <c r="J400" s="53">
        <f>IFERROR(EOMONTH((WORKDAY(C400,0,Dados!$C$3:$C$29)),-1)+1,"")</f>
        <v>43983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8">
        <v>44005</v>
      </c>
      <c r="C401" s="48">
        <v>44007</v>
      </c>
      <c r="D401" s="49" t="s">
        <v>170</v>
      </c>
      <c r="E401" s="50">
        <v>600</v>
      </c>
      <c r="F401" s="51">
        <v>41.07</v>
      </c>
      <c r="G401" s="51">
        <v>39.83</v>
      </c>
      <c r="H401" s="52">
        <f>IF(OR(Resultados!$F401="",Resultados!$G401=""),"",(Resultados!$G401-Resultados!$F401)*Resultados!$E401)</f>
        <v>-744.00000000000114</v>
      </c>
      <c r="I401" s="52">
        <f ca="1">IF(ISBLANK(Resultados!$C401),"",
IF(ROW()-1=3,Resultados!$H401,INDIRECT(ADDRESS(ROW()-1,COLUMN()))+Resultados!$H401))</f>
        <v>38617.714285714348</v>
      </c>
      <c r="J401" s="53">
        <f>IFERROR(EOMONTH((WORKDAY(C401,0,Dados!$C$3:$C$29)),-1)+1,"")</f>
        <v>43983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8">
        <v>44005</v>
      </c>
      <c r="C402" s="48">
        <v>44007</v>
      </c>
      <c r="D402" s="49" t="s">
        <v>70</v>
      </c>
      <c r="E402" s="50">
        <v>200</v>
      </c>
      <c r="F402" s="51">
        <v>52.07</v>
      </c>
      <c r="G402" s="51">
        <v>54.69</v>
      </c>
      <c r="H402" s="52">
        <f>IF(OR(Resultados!$F402="",Resultados!$G402=""),"",(Resultados!$G402-Resultados!$F402)*Resultados!$E402)</f>
        <v>523.99999999999955</v>
      </c>
      <c r="I402" s="52">
        <f ca="1">IF(ISBLANK(Resultados!$C402),"",
IF(ROW()-1=3,Resultados!$H402,INDIRECT(ADDRESS(ROW()-1,COLUMN()))+Resultados!$H402))</f>
        <v>39141.714285714348</v>
      </c>
      <c r="J402" s="53">
        <f>IFERROR(EOMONTH((WORKDAY(C402,0,Dados!$C$3:$C$29)),-1)+1,"")</f>
        <v>43983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8">
        <v>43999</v>
      </c>
      <c r="C403" s="48">
        <v>44008</v>
      </c>
      <c r="D403" s="49" t="s">
        <v>126</v>
      </c>
      <c r="E403" s="50">
        <v>500</v>
      </c>
      <c r="F403" s="51">
        <v>22.09</v>
      </c>
      <c r="G403" s="51">
        <v>21.89</v>
      </c>
      <c r="H403" s="52">
        <f>IF(OR(Resultados!$F403="",Resultados!$G403=""),"",(Resultados!$G403-Resultados!$F403)*Resultados!$E403)</f>
        <v>-99.999999999999645</v>
      </c>
      <c r="I403" s="52">
        <f ca="1">IF(ISBLANK(Resultados!$C403),"",
IF(ROW()-1=3,Resultados!$H403,INDIRECT(ADDRESS(ROW()-1,COLUMN()))+Resultados!$H403))</f>
        <v>39041.714285714348</v>
      </c>
      <c r="J403" s="53">
        <f>IFERROR(EOMONTH((WORKDAY(C403,0,Dados!$C$3:$C$29)),-1)+1,"")</f>
        <v>43983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8">
        <v>44005</v>
      </c>
      <c r="C404" s="48">
        <v>44011</v>
      </c>
      <c r="D404" s="49" t="s">
        <v>71</v>
      </c>
      <c r="E404" s="50">
        <v>200</v>
      </c>
      <c r="F404" s="51">
        <v>65.52</v>
      </c>
      <c r="G404" s="51">
        <v>67.75</v>
      </c>
      <c r="H404" s="52">
        <f>IF(OR(Resultados!$F404="",Resultados!$G404=""),"",(Resultados!$G404-Resultados!$F404)*Resultados!$E404)</f>
        <v>446.0000000000008</v>
      </c>
      <c r="I404" s="52">
        <f ca="1">IF(ISBLANK(Resultados!$C404),"",
IF(ROW()-1=3,Resultados!$H404,INDIRECT(ADDRESS(ROW()-1,COLUMN()))+Resultados!$H404))</f>
        <v>39487.714285714348</v>
      </c>
      <c r="J404" s="53">
        <f>IFERROR(EOMONTH((WORKDAY(C404,0,Dados!$C$3:$C$29)),-1)+1,"")</f>
        <v>43983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8">
        <v>44006</v>
      </c>
      <c r="C405" s="48">
        <v>44012</v>
      </c>
      <c r="D405" s="49" t="s">
        <v>186</v>
      </c>
      <c r="E405" s="50">
        <v>1000</v>
      </c>
      <c r="F405" s="51">
        <v>23.34</v>
      </c>
      <c r="G405" s="51">
        <v>22.26</v>
      </c>
      <c r="H405" s="52">
        <f>IF(OR(Resultados!$F405="",Resultados!$G405=""),"",(Resultados!$G405-Resultados!$F405)*Resultados!$E405)</f>
        <v>-1079.9999999999982</v>
      </c>
      <c r="I405" s="52">
        <f ca="1">IF(ISBLANK(Resultados!$C405),"",
IF(ROW()-1=3,Resultados!$H405,INDIRECT(ADDRESS(ROW()-1,COLUMN()))+Resultados!$H405))</f>
        <v>38407.714285714348</v>
      </c>
      <c r="J405" s="53">
        <f>IFERROR(EOMONTH((WORKDAY(C405,0,Dados!$C$3:$C$29)),-1)+1,"")</f>
        <v>43983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8">
        <v>43999</v>
      </c>
      <c r="C406" s="48">
        <v>44013</v>
      </c>
      <c r="D406" s="49" t="s">
        <v>149</v>
      </c>
      <c r="E406" s="50">
        <v>400</v>
      </c>
      <c r="F406" s="51">
        <v>29.72</v>
      </c>
      <c r="G406" s="51">
        <v>34.4</v>
      </c>
      <c r="H406" s="52">
        <f>IF(OR(Resultados!$F406="",Resultados!$G406=""),"",(Resultados!$G406-Resultados!$F406)*Resultados!$E406)</f>
        <v>1872</v>
      </c>
      <c r="I406" s="52">
        <f ca="1">IF(ISBLANK(Resultados!$C406),"",
IF(ROW()-1=3,Resultados!$H406,INDIRECT(ADDRESS(ROW()-1,COLUMN()))+Resultados!$H406))</f>
        <v>40279.714285714348</v>
      </c>
      <c r="J406" s="53">
        <f>IFERROR(EOMONTH((WORKDAY(C406,0,Dados!$C$3:$C$29)),-1)+1,"")</f>
        <v>44013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8">
        <v>43999</v>
      </c>
      <c r="C407" s="48">
        <v>44013</v>
      </c>
      <c r="D407" s="49" t="s">
        <v>156</v>
      </c>
      <c r="E407" s="50">
        <v>300</v>
      </c>
      <c r="F407" s="51">
        <v>36.64</v>
      </c>
      <c r="G407" s="51">
        <v>35.56</v>
      </c>
      <c r="H407" s="52">
        <f>IF(OR(Resultados!$F407="",Resultados!$G407=""),"",(Resultados!$G407-Resultados!$F407)*Resultados!$E407)</f>
        <v>-323.99999999999949</v>
      </c>
      <c r="I407" s="52">
        <f ca="1">IF(ISBLANK(Resultados!$C407),"",
IF(ROW()-1=3,Resultados!$H407,INDIRECT(ADDRESS(ROW()-1,COLUMN()))+Resultados!$H407))</f>
        <v>39955.714285714348</v>
      </c>
      <c r="J407" s="53">
        <f>IFERROR(EOMONTH((WORKDAY(C407,0,Dados!$C$3:$C$29)),-1)+1,"")</f>
        <v>44013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8">
        <v>44012</v>
      </c>
      <c r="C408" s="48">
        <v>44013</v>
      </c>
      <c r="D408" s="49" t="s">
        <v>68</v>
      </c>
      <c r="E408" s="50">
        <v>200</v>
      </c>
      <c r="F408" s="51">
        <v>70.86</v>
      </c>
      <c r="G408" s="51">
        <v>73.31</v>
      </c>
      <c r="H408" s="52">
        <f>IF(OR(Resultados!$F408="",Resultados!$G408=""),"",(Resultados!$G408-Resultados!$F408)*Resultados!$E408)</f>
        <v>490.00000000000057</v>
      </c>
      <c r="I408" s="52">
        <f ca="1">IF(ISBLANK(Resultados!$C408),"",
IF(ROW()-1=3,Resultados!$H408,INDIRECT(ADDRESS(ROW()-1,COLUMN()))+Resultados!$H408))</f>
        <v>40445.714285714348</v>
      </c>
      <c r="J408" s="53">
        <f>IFERROR(EOMONTH((WORKDAY(C408,0,Dados!$C$3:$C$29)),-1)+1,"")</f>
        <v>44013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8">
        <v>43999</v>
      </c>
      <c r="C409" s="48">
        <v>44014</v>
      </c>
      <c r="D409" s="49" t="s">
        <v>184</v>
      </c>
      <c r="E409" s="50">
        <v>200</v>
      </c>
      <c r="F409" s="51">
        <v>67.08</v>
      </c>
      <c r="G409" s="51">
        <v>73.760000000000005</v>
      </c>
      <c r="H409" s="52">
        <f>IF(OR(Resultados!$F409="",Resultados!$G409=""),"",(Resultados!$G409-Resultados!$F409)*Resultados!$E409)</f>
        <v>1336.0000000000014</v>
      </c>
      <c r="I409" s="52">
        <f ca="1">IF(ISBLANK(Resultados!$C409),"",
IF(ROW()-1=3,Resultados!$H409,INDIRECT(ADDRESS(ROW()-1,COLUMN()))+Resultados!$H409))</f>
        <v>41781.714285714348</v>
      </c>
      <c r="J409" s="53">
        <f>IFERROR(EOMONTH((WORKDAY(C409,0,Dados!$C$3:$C$29)),-1)+1,"")</f>
        <v>44013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8">
        <v>44005</v>
      </c>
      <c r="C410" s="48">
        <v>44014</v>
      </c>
      <c r="D410" s="49" t="s">
        <v>71</v>
      </c>
      <c r="E410" s="50">
        <v>200</v>
      </c>
      <c r="F410" s="51">
        <v>65.52</v>
      </c>
      <c r="G410" s="51">
        <v>66.42</v>
      </c>
      <c r="H410" s="52">
        <f>IF(OR(Resultados!$F410="",Resultados!$G410=""),"",(Resultados!$G410-Resultados!$F410)*Resultados!$E410)</f>
        <v>180.00000000000114</v>
      </c>
      <c r="I410" s="52">
        <f ca="1">IF(ISBLANK(Resultados!$C410),"",
IF(ROW()-1=3,Resultados!$H410,INDIRECT(ADDRESS(ROW()-1,COLUMN()))+Resultados!$H410))</f>
        <v>41961.714285714348</v>
      </c>
      <c r="J410" s="53">
        <f>IFERROR(EOMONTH((WORKDAY(C410,0,Dados!$C$3:$C$29)),-1)+1,"")</f>
        <v>44013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8">
        <v>44012</v>
      </c>
      <c r="C411" s="48">
        <v>44014</v>
      </c>
      <c r="D411" s="49" t="s">
        <v>109</v>
      </c>
      <c r="E411" s="50">
        <v>400</v>
      </c>
      <c r="F411" s="51">
        <v>28.75</v>
      </c>
      <c r="G411" s="51">
        <v>29.34</v>
      </c>
      <c r="H411" s="52">
        <f>IF(OR(Resultados!$F411="",Resultados!$G411=""),"",(Resultados!$G411-Resultados!$F411)*Resultados!$E411)</f>
        <v>235.99999999999994</v>
      </c>
      <c r="I411" s="52">
        <f ca="1">IF(ISBLANK(Resultados!$C411),"",
IF(ROW()-1=3,Resultados!$H411,INDIRECT(ADDRESS(ROW()-1,COLUMN()))+Resultados!$H411))</f>
        <v>42197.714285714348</v>
      </c>
      <c r="J411" s="53">
        <f>IFERROR(EOMONTH((WORKDAY(C411,0,Dados!$C$3:$C$29)),-1)+1,"")</f>
        <v>44013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8">
        <v>44012</v>
      </c>
      <c r="C412" s="48">
        <v>44014</v>
      </c>
      <c r="D412" s="49" t="s">
        <v>99</v>
      </c>
      <c r="E412" s="50">
        <v>400</v>
      </c>
      <c r="F412" s="51">
        <v>63.47</v>
      </c>
      <c r="G412" s="51">
        <v>60.97</v>
      </c>
      <c r="H412" s="52">
        <f>IF(OR(Resultados!$F412="",Resultados!$G412=""),"",(Resultados!$G412-Resultados!$F412)*Resultados!$E412)</f>
        <v>-1000</v>
      </c>
      <c r="I412" s="52">
        <f ca="1">IF(ISBLANK(Resultados!$C412),"",
IF(ROW()-1=3,Resultados!$H412,INDIRECT(ADDRESS(ROW()-1,COLUMN()))+Resultados!$H412))</f>
        <v>41197.714285714348</v>
      </c>
      <c r="J412" s="53">
        <f>IFERROR(EOMONTH((WORKDAY(C412,0,Dados!$C$3:$C$29)),-1)+1,"")</f>
        <v>44013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8">
        <v>44005</v>
      </c>
      <c r="C413" s="48">
        <v>44018</v>
      </c>
      <c r="D413" s="49" t="s">
        <v>183</v>
      </c>
      <c r="E413" s="50">
        <v>1500</v>
      </c>
      <c r="F413" s="51">
        <v>3.2</v>
      </c>
      <c r="G413" s="51">
        <v>0.79</v>
      </c>
      <c r="H413" s="52">
        <f>IF(OR(Resultados!$F413="",Resultados!$G413=""),"",(Resultados!$G413-Resultados!$F413)*Resultados!$E413)</f>
        <v>-3615</v>
      </c>
      <c r="I413" s="52">
        <f ca="1">IF(ISBLANK(Resultados!$C413),"",
IF(ROW()-1=3,Resultados!$H413,INDIRECT(ADDRESS(ROW()-1,COLUMN()))+Resultados!$H413))</f>
        <v>37582.714285714348</v>
      </c>
      <c r="J413" s="53">
        <f>IFERROR(EOMONTH((WORKDAY(C413,0,Dados!$C$3:$C$29)),-1)+1,"")</f>
        <v>44013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8">
        <v>44012</v>
      </c>
      <c r="C414" s="48">
        <v>44018</v>
      </c>
      <c r="D414" s="49" t="s">
        <v>68</v>
      </c>
      <c r="E414" s="50">
        <v>200</v>
      </c>
      <c r="F414" s="51">
        <v>70.86</v>
      </c>
      <c r="G414" s="51">
        <v>78.2</v>
      </c>
      <c r="H414" s="52">
        <f>IF(OR(Resultados!$F414="",Resultados!$G414=""),"",(Resultados!$G414-Resultados!$F414)*Resultados!$E414)</f>
        <v>1468.0000000000007</v>
      </c>
      <c r="I414" s="52">
        <f ca="1">IF(ISBLANK(Resultados!$C414),"",
IF(ROW()-1=3,Resultados!$H414,INDIRECT(ADDRESS(ROW()-1,COLUMN()))+Resultados!$H414))</f>
        <v>39050.714285714348</v>
      </c>
      <c r="J414" s="53">
        <f>IFERROR(EOMONTH((WORKDAY(C414,0,Dados!$C$3:$C$29)),-1)+1,"")</f>
        <v>44013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8">
        <v>44012</v>
      </c>
      <c r="C415" s="48">
        <v>44018</v>
      </c>
      <c r="D415" s="49" t="s">
        <v>109</v>
      </c>
      <c r="E415" s="50">
        <v>400</v>
      </c>
      <c r="F415" s="51">
        <v>28.75</v>
      </c>
      <c r="G415" s="51">
        <v>30.75</v>
      </c>
      <c r="H415" s="52">
        <f>IF(OR(Resultados!$F415="",Resultados!$G415=""),"",(Resultados!$G415-Resultados!$F415)*Resultados!$E415)</f>
        <v>800</v>
      </c>
      <c r="I415" s="52">
        <f ca="1">IF(ISBLANK(Resultados!$C415),"",
IF(ROW()-1=3,Resultados!$H415,INDIRECT(ADDRESS(ROW()-1,COLUMN()))+Resultados!$H415))</f>
        <v>39850.714285714348</v>
      </c>
      <c r="J415" s="53">
        <f>IFERROR(EOMONTH((WORKDAY(C415,0,Dados!$C$3:$C$29)),-1)+1,"")</f>
        <v>44013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8">
        <v>44012</v>
      </c>
      <c r="C416" s="48">
        <v>44018</v>
      </c>
      <c r="D416" s="49" t="s">
        <v>70</v>
      </c>
      <c r="E416" s="50">
        <v>100</v>
      </c>
      <c r="F416" s="51">
        <v>55.15</v>
      </c>
      <c r="G416" s="51">
        <v>57.7</v>
      </c>
      <c r="H416" s="52">
        <f>IF(OR(Resultados!$F416="",Resultados!$G416=""),"",(Resultados!$G416-Resultados!$F416)*Resultados!$E416)</f>
        <v>255.00000000000043</v>
      </c>
      <c r="I416" s="52">
        <f ca="1">IF(ISBLANK(Resultados!$C416),"",
IF(ROW()-1=3,Resultados!$H416,INDIRECT(ADDRESS(ROW()-1,COLUMN()))+Resultados!$H416))</f>
        <v>40105.714285714348</v>
      </c>
      <c r="J416" s="53">
        <f>IFERROR(EOMONTH((WORKDAY(C416,0,Dados!$C$3:$C$29)),-1)+1,"")</f>
        <v>44013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8">
        <v>44014</v>
      </c>
      <c r="C417" s="48">
        <v>44018</v>
      </c>
      <c r="D417" s="49" t="s">
        <v>154</v>
      </c>
      <c r="E417" s="50">
        <v>1100</v>
      </c>
      <c r="F417" s="51">
        <v>5.44</v>
      </c>
      <c r="G417" s="51">
        <v>5.9</v>
      </c>
      <c r="H417" s="52">
        <f>IF(OR(Resultados!$F417="",Resultados!$G417=""),"",(Resultados!$G417-Resultados!$F417)*Resultados!$E417)</f>
        <v>505.99999999999994</v>
      </c>
      <c r="I417" s="52">
        <f ca="1">IF(ISBLANK(Resultados!$C417),"",
IF(ROW()-1=3,Resultados!$H417,INDIRECT(ADDRESS(ROW()-1,COLUMN()))+Resultados!$H417))</f>
        <v>40611.714285714348</v>
      </c>
      <c r="J417" s="53">
        <f>IFERROR(EOMONTH((WORKDAY(C417,0,Dados!$C$3:$C$29)),-1)+1,"")</f>
        <v>44013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8">
        <v>44006</v>
      </c>
      <c r="C418" s="48">
        <v>44019</v>
      </c>
      <c r="D418" s="49" t="s">
        <v>97</v>
      </c>
      <c r="E418" s="50">
        <v>500</v>
      </c>
      <c r="F418" s="51">
        <v>23.67</v>
      </c>
      <c r="G418" s="51">
        <v>24.2</v>
      </c>
      <c r="H418" s="52">
        <f>IF(OR(Resultados!$F418="",Resultados!$G418=""),"",(Resultados!$G418-Resultados!$F418)*Resultados!$E418)</f>
        <v>264.99999999999881</v>
      </c>
      <c r="I418" s="52">
        <f ca="1">IF(ISBLANK(Resultados!$C418),"",
IF(ROW()-1=3,Resultados!$H418,INDIRECT(ADDRESS(ROW()-1,COLUMN()))+Resultados!$H418))</f>
        <v>40876.714285714348</v>
      </c>
      <c r="J418" s="53">
        <f>IFERROR(EOMONTH((WORKDAY(C418,0,Dados!$C$3:$C$29)),-1)+1,"")</f>
        <v>44013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8">
        <v>44019</v>
      </c>
      <c r="C419" s="48">
        <v>44019</v>
      </c>
      <c r="D419" s="49" t="s">
        <v>94</v>
      </c>
      <c r="E419" s="50">
        <v>200</v>
      </c>
      <c r="F419" s="51">
        <v>73.069999999999993</v>
      </c>
      <c r="G419" s="51">
        <v>74.7</v>
      </c>
      <c r="H419" s="52">
        <f>IF(OR(Resultados!$F419="",Resultados!$G419=""),"",(Resultados!$G419-Resultados!$F419)*Resultados!$E419)</f>
        <v>326.00000000000193</v>
      </c>
      <c r="I419" s="52">
        <f ca="1">IF(ISBLANK(Resultados!$C419),"",
IF(ROW()-1=3,Resultados!$H419,INDIRECT(ADDRESS(ROW()-1,COLUMN()))+Resultados!$H419))</f>
        <v>41202.714285714348</v>
      </c>
      <c r="J419" s="53">
        <f>IFERROR(EOMONTH((WORKDAY(C419,0,Dados!$C$3:$C$29)),-1)+1,"")</f>
        <v>44013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8">
        <v>44005</v>
      </c>
      <c r="C420" s="48">
        <v>44020</v>
      </c>
      <c r="D420" s="49" t="s">
        <v>70</v>
      </c>
      <c r="E420" s="50">
        <v>200</v>
      </c>
      <c r="F420" s="51">
        <v>51.92</v>
      </c>
      <c r="G420" s="51">
        <v>59</v>
      </c>
      <c r="H420" s="52">
        <f>IF(OR(Resultados!$F420="",Resultados!$G420=""),"",(Resultados!$G420-Resultados!$F420)*Resultados!$E420)</f>
        <v>1415.9999999999995</v>
      </c>
      <c r="I420" s="52">
        <f ca="1">IF(ISBLANK(Resultados!$C420),"",
IF(ROW()-1=3,Resultados!$H420,INDIRECT(ADDRESS(ROW()-1,COLUMN()))+Resultados!$H420))</f>
        <v>42618.714285714348</v>
      </c>
      <c r="J420" s="53">
        <f>IFERROR(EOMONTH((WORKDAY(C420,0,Dados!$C$3:$C$29)),-1)+1,"")</f>
        <v>44013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8">
        <v>44014</v>
      </c>
      <c r="C421" s="48">
        <v>44020</v>
      </c>
      <c r="D421" s="49" t="s">
        <v>174</v>
      </c>
      <c r="E421" s="50">
        <v>1400</v>
      </c>
      <c r="F421" s="51">
        <v>8.58</v>
      </c>
      <c r="G421" s="51">
        <v>8.19</v>
      </c>
      <c r="H421" s="52">
        <f>IF(OR(Resultados!$F421="",Resultados!$G421=""),"",(Resultados!$G421-Resultados!$F421)*Resultados!$E421)</f>
        <v>-546.0000000000008</v>
      </c>
      <c r="I421" s="52">
        <f ca="1">IF(ISBLANK(Resultados!$C421),"",
IF(ROW()-1=3,Resultados!$H421,INDIRECT(ADDRESS(ROW()-1,COLUMN()))+Resultados!$H421))</f>
        <v>42072.714285714348</v>
      </c>
      <c r="J421" s="53">
        <f>IFERROR(EOMONTH((WORKDAY(C421,0,Dados!$C$3:$C$29)),-1)+1,"")</f>
        <v>44013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8">
        <v>44014</v>
      </c>
      <c r="C422" s="48">
        <v>44020</v>
      </c>
      <c r="D422" s="49" t="s">
        <v>154</v>
      </c>
      <c r="E422" s="50">
        <v>1100</v>
      </c>
      <c r="F422" s="51">
        <v>5.44</v>
      </c>
      <c r="G422" s="51">
        <v>5.69</v>
      </c>
      <c r="H422" s="52">
        <f>IF(OR(Resultados!$F422="",Resultados!$G422=""),"",(Resultados!$G422-Resultados!$F422)*Resultados!$E422)</f>
        <v>275</v>
      </c>
      <c r="I422" s="52">
        <f ca="1">IF(ISBLANK(Resultados!$C422),"",
IF(ROW()-1=3,Resultados!$H422,INDIRECT(ADDRESS(ROW()-1,COLUMN()))+Resultados!$H422))</f>
        <v>42347.714285714348</v>
      </c>
      <c r="J422" s="53">
        <f>IFERROR(EOMONTH((WORKDAY(C422,0,Dados!$C$3:$C$29)),-1)+1,"")</f>
        <v>44013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8">
        <v>44018</v>
      </c>
      <c r="C423" s="48">
        <v>44020</v>
      </c>
      <c r="D423" s="49" t="s">
        <v>90</v>
      </c>
      <c r="E423" s="50">
        <v>200</v>
      </c>
      <c r="F423" s="51">
        <v>42.5</v>
      </c>
      <c r="G423" s="51">
        <v>43.85</v>
      </c>
      <c r="H423" s="52">
        <f>IF(OR(Resultados!$F423="",Resultados!$G423=""),"",(Resultados!$G423-Resultados!$F423)*Resultados!$E423)</f>
        <v>270.00000000000028</v>
      </c>
      <c r="I423" s="52">
        <f ca="1">IF(ISBLANK(Resultados!$C423),"",
IF(ROW()-1=3,Resultados!$H423,INDIRECT(ADDRESS(ROW()-1,COLUMN()))+Resultados!$H423))</f>
        <v>42617.714285714348</v>
      </c>
      <c r="J423" s="53">
        <f>IFERROR(EOMONTH((WORKDAY(C423,0,Dados!$C$3:$C$29)),-1)+1,"")</f>
        <v>44013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8">
        <v>44006</v>
      </c>
      <c r="C424" s="48">
        <v>44021</v>
      </c>
      <c r="D424" s="49" t="s">
        <v>114</v>
      </c>
      <c r="E424" s="50">
        <v>600</v>
      </c>
      <c r="F424" s="51">
        <v>20.100000000000001</v>
      </c>
      <c r="G424" s="51">
        <v>20.84</v>
      </c>
      <c r="H424" s="52">
        <f>IF(OR(Resultados!$F424="",Resultados!$G424=""),"",(Resultados!$G424-Resultados!$F424)*Resultados!$E424)</f>
        <v>443.99999999999909</v>
      </c>
      <c r="I424" s="52">
        <f ca="1">IF(ISBLANK(Resultados!$C424),"",
IF(ROW()-1=3,Resultados!$H424,INDIRECT(ADDRESS(ROW()-1,COLUMN()))+Resultados!$H424))</f>
        <v>43061.714285714348</v>
      </c>
      <c r="J424" s="53">
        <f>IFERROR(EOMONTH((WORKDAY(C424,0,Dados!$C$3:$C$29)),-1)+1,"")</f>
        <v>44013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8">
        <v>44013</v>
      </c>
      <c r="C425" s="48">
        <v>44021</v>
      </c>
      <c r="D425" s="49" t="s">
        <v>187</v>
      </c>
      <c r="E425" s="50">
        <v>1100</v>
      </c>
      <c r="F425" s="51">
        <v>11.27</v>
      </c>
      <c r="G425" s="51">
        <v>11.55</v>
      </c>
      <c r="H425" s="52">
        <f>IF(OR(Resultados!$F425="",Resultados!$G425=""),"",(Resultados!$G425-Resultados!$F425)*Resultados!$E425)</f>
        <v>308.00000000000125</v>
      </c>
      <c r="I425" s="52">
        <f ca="1">IF(ISBLANK(Resultados!$C425),"",
IF(ROW()-1=3,Resultados!$H425,INDIRECT(ADDRESS(ROW()-1,COLUMN()))+Resultados!$H425))</f>
        <v>43369.714285714348</v>
      </c>
      <c r="J425" s="53">
        <f>IFERROR(EOMONTH((WORKDAY(C425,0,Dados!$C$3:$C$29)),-1)+1,"")</f>
        <v>44013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8">
        <v>44018</v>
      </c>
      <c r="C426" s="48">
        <v>44021</v>
      </c>
      <c r="D426" s="49" t="s">
        <v>188</v>
      </c>
      <c r="E426" s="50">
        <v>100</v>
      </c>
      <c r="F426" s="51">
        <v>81.569999999999993</v>
      </c>
      <c r="G426" s="51">
        <v>85.36</v>
      </c>
      <c r="H426" s="52">
        <f>IF(OR(Resultados!$F426="",Resultados!$G426=""),"",(Resultados!$G426-Resultados!$F426)*Resultados!$E426)</f>
        <v>379.00000000000063</v>
      </c>
      <c r="I426" s="52">
        <f ca="1">IF(ISBLANK(Resultados!$C426),"",
IF(ROW()-1=3,Resultados!$H426,INDIRECT(ADDRESS(ROW()-1,COLUMN()))+Resultados!$H426))</f>
        <v>43748.714285714348</v>
      </c>
      <c r="J426" s="53">
        <f>IFERROR(EOMONTH((WORKDAY(C426,0,Dados!$C$3:$C$29)),-1)+1,"")</f>
        <v>44013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8">
        <v>44018</v>
      </c>
      <c r="C427" s="48">
        <v>44021</v>
      </c>
      <c r="D427" s="49" t="s">
        <v>189</v>
      </c>
      <c r="E427" s="50">
        <v>2000</v>
      </c>
      <c r="F427" s="51">
        <v>6.02</v>
      </c>
      <c r="G427" s="51">
        <v>5.66</v>
      </c>
      <c r="H427" s="52">
        <f>IF(OR(Resultados!$F427="",Resultados!$G427=""),"",(Resultados!$G427-Resultados!$F427)*Resultados!$E427)</f>
        <v>-719.99999999999886</v>
      </c>
      <c r="I427" s="52">
        <f ca="1">IF(ISBLANK(Resultados!$C427),"",
IF(ROW()-1=3,Resultados!$H427,INDIRECT(ADDRESS(ROW()-1,COLUMN()))+Resultados!$H427))</f>
        <v>43028.714285714348</v>
      </c>
      <c r="J427" s="53">
        <f>IFERROR(EOMONTH((WORKDAY(C427,0,Dados!$C$3:$C$29)),-1)+1,"")</f>
        <v>44013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8">
        <v>44018</v>
      </c>
      <c r="C428" s="48">
        <v>44021</v>
      </c>
      <c r="D428" s="49" t="s">
        <v>86</v>
      </c>
      <c r="E428" s="50">
        <v>800</v>
      </c>
      <c r="F428" s="51">
        <v>12.61</v>
      </c>
      <c r="G428" s="51">
        <v>13.15</v>
      </c>
      <c r="H428" s="52">
        <f>IF(OR(Resultados!$F428="",Resultados!$G428=""),"",(Resultados!$G428-Resultados!$F428)*Resultados!$E428)</f>
        <v>432.00000000000074</v>
      </c>
      <c r="I428" s="52">
        <f ca="1">IF(ISBLANK(Resultados!$C428),"",
IF(ROW()-1=3,Resultados!$H428,INDIRECT(ADDRESS(ROW()-1,COLUMN()))+Resultados!$H428))</f>
        <v>43460.714285714348</v>
      </c>
      <c r="J428" s="53">
        <f>IFERROR(EOMONTH((WORKDAY(C428,0,Dados!$C$3:$C$29)),-1)+1,"")</f>
        <v>44013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8">
        <v>44020</v>
      </c>
      <c r="C429" s="48">
        <v>44021</v>
      </c>
      <c r="D429" s="49" t="s">
        <v>110</v>
      </c>
      <c r="E429" s="50">
        <v>400</v>
      </c>
      <c r="F429" s="51">
        <v>38</v>
      </c>
      <c r="G429" s="51">
        <v>36.270000000000003</v>
      </c>
      <c r="H429" s="52">
        <f>IF(OR(Resultados!$F429="",Resultados!$G429=""),"",(Resultados!$G429-Resultados!$F429)*Resultados!$E429)</f>
        <v>-691.99999999999875</v>
      </c>
      <c r="I429" s="52">
        <f ca="1">IF(ISBLANK(Resultados!$C429),"",
IF(ROW()-1=3,Resultados!$H429,INDIRECT(ADDRESS(ROW()-1,COLUMN()))+Resultados!$H429))</f>
        <v>42768.714285714348</v>
      </c>
      <c r="J429" s="53">
        <f>IFERROR(EOMONTH((WORKDAY(C429,0,Dados!$C$3:$C$29)),-1)+1,"")</f>
        <v>44013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8">
        <v>44006</v>
      </c>
      <c r="C430" s="48">
        <v>44022</v>
      </c>
      <c r="D430" s="49" t="s">
        <v>114</v>
      </c>
      <c r="E430" s="50">
        <v>500</v>
      </c>
      <c r="F430" s="51">
        <v>20.100000000000001</v>
      </c>
      <c r="G430" s="51">
        <v>19.989999999999998</v>
      </c>
      <c r="H430" s="52">
        <f>IF(OR(Resultados!$F430="",Resultados!$G430=""),"",(Resultados!$G430-Resultados!$F430)*Resultados!$E430)</f>
        <v>-55.000000000001492</v>
      </c>
      <c r="I430" s="52">
        <f ca="1">IF(ISBLANK(Resultados!$C430),"",
IF(ROW()-1=3,Resultados!$H430,INDIRECT(ADDRESS(ROW()-1,COLUMN()))+Resultados!$H430))</f>
        <v>42713.714285714348</v>
      </c>
      <c r="J430" s="53">
        <f>IFERROR(EOMONTH((WORKDAY(C430,0,Dados!$C$3:$C$29)),-1)+1,"")</f>
        <v>44013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8">
        <v>44012</v>
      </c>
      <c r="C431" s="48">
        <v>44022</v>
      </c>
      <c r="D431" s="49" t="s">
        <v>70</v>
      </c>
      <c r="E431" s="50">
        <v>100</v>
      </c>
      <c r="F431" s="51">
        <v>55.15</v>
      </c>
      <c r="G431" s="51">
        <v>57.99</v>
      </c>
      <c r="H431" s="52">
        <f>IF(OR(Resultados!$F431="",Resultados!$G431=""),"",(Resultados!$G431-Resultados!$F431)*Resultados!$E431)</f>
        <v>284.00000000000034</v>
      </c>
      <c r="I431" s="52">
        <f ca="1">IF(ISBLANK(Resultados!$C431),"",
IF(ROW()-1=3,Resultados!$H431,INDIRECT(ADDRESS(ROW()-1,COLUMN()))+Resultados!$H431))</f>
        <v>42997.714285714348</v>
      </c>
      <c r="J431" s="53">
        <f>IFERROR(EOMONTH((WORKDAY(C431,0,Dados!$C$3:$C$29)),-1)+1,"")</f>
        <v>44013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8">
        <v>44018</v>
      </c>
      <c r="C432" s="48">
        <v>44022</v>
      </c>
      <c r="D432" s="49" t="s">
        <v>83</v>
      </c>
      <c r="E432" s="50">
        <v>700</v>
      </c>
      <c r="F432" s="51">
        <v>13.51</v>
      </c>
      <c r="G432" s="51">
        <v>14.15</v>
      </c>
      <c r="H432" s="52">
        <f>IF(OR(Resultados!$F432="",Resultados!$G432=""),"",(Resultados!$G432-Resultados!$F432)*Resultados!$E432)</f>
        <v>448.0000000000004</v>
      </c>
      <c r="I432" s="52">
        <f ca="1">IF(ISBLANK(Resultados!$C432),"",
IF(ROW()-1=3,Resultados!$H432,INDIRECT(ADDRESS(ROW()-1,COLUMN()))+Resultados!$H432))</f>
        <v>43445.714285714348</v>
      </c>
      <c r="J432" s="53">
        <f>IFERROR(EOMONTH((WORKDAY(C432,0,Dados!$C$3:$C$29)),-1)+1,"")</f>
        <v>44013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8">
        <v>44020</v>
      </c>
      <c r="C433" s="48">
        <v>44022</v>
      </c>
      <c r="D433" s="49" t="s">
        <v>109</v>
      </c>
      <c r="E433" s="50">
        <v>500</v>
      </c>
      <c r="F433" s="51">
        <v>31.09</v>
      </c>
      <c r="G433" s="51">
        <v>29.75</v>
      </c>
      <c r="H433" s="52">
        <f>IF(OR(Resultados!$F433="",Resultados!$G433=""),"",(Resultados!$G433-Resultados!$F433)*Resultados!$E433)</f>
        <v>-669.99999999999989</v>
      </c>
      <c r="I433" s="52">
        <f ca="1">IF(ISBLANK(Resultados!$C433),"",
IF(ROW()-1=3,Resultados!$H433,INDIRECT(ADDRESS(ROW()-1,COLUMN()))+Resultados!$H433))</f>
        <v>42775.714285714348</v>
      </c>
      <c r="J433" s="53">
        <f>IFERROR(EOMONTH((WORKDAY(C433,0,Dados!$C$3:$C$29)),-1)+1,"")</f>
        <v>44013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8">
        <v>44021</v>
      </c>
      <c r="C434" s="48">
        <v>44022</v>
      </c>
      <c r="D434" s="49" t="s">
        <v>46</v>
      </c>
      <c r="E434" s="50">
        <v>500</v>
      </c>
      <c r="F434" s="51">
        <v>14.82</v>
      </c>
      <c r="G434" s="51">
        <v>15.18</v>
      </c>
      <c r="H434" s="52">
        <f>IF(OR(Resultados!$F434="",Resultados!$G434=""),"",(Resultados!$G434-Resultados!$F434)*Resultados!$E434)</f>
        <v>179.99999999999972</v>
      </c>
      <c r="I434" s="52">
        <f ca="1">IF(ISBLANK(Resultados!$C434),"",
IF(ROW()-1=3,Resultados!$H434,INDIRECT(ADDRESS(ROW()-1,COLUMN()))+Resultados!$H434))</f>
        <v>42955.714285714348</v>
      </c>
      <c r="J434" s="53">
        <f>IFERROR(EOMONTH((WORKDAY(C434,0,Dados!$C$3:$C$29)),-1)+1,"")</f>
        <v>44013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8">
        <v>44018</v>
      </c>
      <c r="C435" s="48">
        <v>44025</v>
      </c>
      <c r="D435" s="49" t="s">
        <v>86</v>
      </c>
      <c r="E435" s="50">
        <v>700</v>
      </c>
      <c r="F435" s="51">
        <v>12.61</v>
      </c>
      <c r="G435" s="51">
        <v>14.49</v>
      </c>
      <c r="H435" s="52">
        <f>IF(OR(Resultados!$F435="",Resultados!$G435=""),"",(Resultados!$G435-Resultados!$F435)*Resultados!$E435)</f>
        <v>1316.0000000000005</v>
      </c>
      <c r="I435" s="52">
        <f ca="1">IF(ISBLANK(Resultados!$C435),"",
IF(ROW()-1=3,Resultados!$H435,INDIRECT(ADDRESS(ROW()-1,COLUMN()))+Resultados!$H435))</f>
        <v>44271.714285714348</v>
      </c>
      <c r="J435" s="53">
        <f>IFERROR(EOMONTH((WORKDAY(C435,0,Dados!$C$3:$C$29)),-1)+1,"")</f>
        <v>44013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8">
        <v>44018</v>
      </c>
      <c r="C436" s="48">
        <v>44025</v>
      </c>
      <c r="D436" s="49" t="s">
        <v>94</v>
      </c>
      <c r="E436" s="50">
        <v>100</v>
      </c>
      <c r="F436" s="51">
        <v>73.069999999999993</v>
      </c>
      <c r="G436" s="51">
        <v>81.99</v>
      </c>
      <c r="H436" s="52">
        <f>IF(OR(Resultados!$F436="",Resultados!$G436=""),"",(Resultados!$G436-Resultados!$F436)*Resultados!$E436)</f>
        <v>892.00000000000023</v>
      </c>
      <c r="I436" s="52">
        <f ca="1">IF(ISBLANK(Resultados!$C436),"",
IF(ROW()-1=3,Resultados!$H436,INDIRECT(ADDRESS(ROW()-1,COLUMN()))+Resultados!$H436))</f>
        <v>45163.714285714348</v>
      </c>
      <c r="J436" s="53">
        <f>IFERROR(EOMONTH((WORKDAY(C436,0,Dados!$C$3:$C$29)),-1)+1,"")</f>
        <v>44013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8">
        <v>44018</v>
      </c>
      <c r="C437" s="48">
        <v>44025</v>
      </c>
      <c r="D437" s="49" t="s">
        <v>90</v>
      </c>
      <c r="E437" s="50">
        <v>200</v>
      </c>
      <c r="F437" s="51">
        <v>42.5</v>
      </c>
      <c r="G437" s="51">
        <v>42.99</v>
      </c>
      <c r="H437" s="52">
        <f>IF(OR(Resultados!$F437="",Resultados!$G437=""),"",(Resultados!$G437-Resultados!$F437)*Resultados!$E437)</f>
        <v>98.000000000000398</v>
      </c>
      <c r="I437" s="52">
        <f ca="1">IF(ISBLANK(Resultados!$C437),"",
IF(ROW()-1=3,Resultados!$H437,INDIRECT(ADDRESS(ROW()-1,COLUMN()))+Resultados!$H437))</f>
        <v>45261.714285714348</v>
      </c>
      <c r="J437" s="53">
        <f>IFERROR(EOMONTH((WORKDAY(C437,0,Dados!$C$3:$C$29)),-1)+1,"")</f>
        <v>44013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8">
        <v>44022</v>
      </c>
      <c r="C438" s="48">
        <v>44025</v>
      </c>
      <c r="D438" s="49" t="s">
        <v>117</v>
      </c>
      <c r="E438" s="50">
        <v>300</v>
      </c>
      <c r="F438" s="51">
        <v>20.63</v>
      </c>
      <c r="G438" s="51">
        <v>21.49</v>
      </c>
      <c r="H438" s="52">
        <f>IF(OR(Resultados!$F438="",Resultados!$G438=""),"",(Resultados!$G438-Resultados!$F438)*Resultados!$E438)</f>
        <v>257.99999999999983</v>
      </c>
      <c r="I438" s="52">
        <f ca="1">IF(ISBLANK(Resultados!$C438),"",
IF(ROW()-1=3,Resultados!$H438,INDIRECT(ADDRESS(ROW()-1,COLUMN()))+Resultados!$H438))</f>
        <v>45519.714285714348</v>
      </c>
      <c r="J438" s="53">
        <f>IFERROR(EOMONTH((WORKDAY(C438,0,Dados!$C$3:$C$29)),-1)+1,"")</f>
        <v>44013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8">
        <v>44022</v>
      </c>
      <c r="C439" s="48">
        <v>44025</v>
      </c>
      <c r="D439" s="49" t="s">
        <v>162</v>
      </c>
      <c r="E439" s="50">
        <v>400</v>
      </c>
      <c r="F439" s="51">
        <v>42.54</v>
      </c>
      <c r="G439" s="51">
        <v>41.22</v>
      </c>
      <c r="H439" s="52">
        <f>IF(OR(Resultados!$F439="",Resultados!$G439=""),"",(Resultados!$G439-Resultados!$F439)*Resultados!$E439)</f>
        <v>-528.00000000000011</v>
      </c>
      <c r="I439" s="52">
        <f ca="1">IF(ISBLANK(Resultados!$C439),"",
IF(ROW()-1=3,Resultados!$H439,INDIRECT(ADDRESS(ROW()-1,COLUMN()))+Resultados!$H439))</f>
        <v>44991.714285714348</v>
      </c>
      <c r="J439" s="53">
        <f>IFERROR(EOMONTH((WORKDAY(C439,0,Dados!$C$3:$C$29)),-1)+1,"")</f>
        <v>44013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8">
        <v>44022</v>
      </c>
      <c r="C440" s="48">
        <v>44025</v>
      </c>
      <c r="D440" s="49" t="s">
        <v>105</v>
      </c>
      <c r="E440" s="50">
        <v>400</v>
      </c>
      <c r="F440" s="51">
        <v>30.65</v>
      </c>
      <c r="G440" s="51">
        <v>29.22</v>
      </c>
      <c r="H440" s="52">
        <f>IF(OR(Resultados!$F440="",Resultados!$G440=""),"",(Resultados!$G440-Resultados!$F440)*Resultados!$E440)</f>
        <v>-571.99999999999989</v>
      </c>
      <c r="I440" s="52">
        <f ca="1">IF(ISBLANK(Resultados!$C440),"",
IF(ROW()-1=3,Resultados!$H440,INDIRECT(ADDRESS(ROW()-1,COLUMN()))+Resultados!$H440))</f>
        <v>44419.714285714348</v>
      </c>
      <c r="J440" s="53">
        <f>IFERROR(EOMONTH((WORKDAY(C440,0,Dados!$C$3:$C$29)),-1)+1,"")</f>
        <v>44013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8">
        <v>44025</v>
      </c>
      <c r="C441" s="48">
        <v>44025</v>
      </c>
      <c r="D441" s="49" t="s">
        <v>110</v>
      </c>
      <c r="E441" s="50">
        <v>200</v>
      </c>
      <c r="F441" s="51">
        <v>37.15</v>
      </c>
      <c r="G441" s="51">
        <v>38.83</v>
      </c>
      <c r="H441" s="52">
        <f>IF(OR(Resultados!$F441="",Resultados!$G441=""),"",(Resultados!$G441-Resultados!$F441)*Resultados!$E441)</f>
        <v>335.99999999999994</v>
      </c>
      <c r="I441" s="52">
        <f ca="1">IF(ISBLANK(Resultados!$C441),"",
IF(ROW()-1=3,Resultados!$H441,INDIRECT(ADDRESS(ROW()-1,COLUMN()))+Resultados!$H441))</f>
        <v>44755.714285714348</v>
      </c>
      <c r="J441" s="53">
        <f>IFERROR(EOMONTH((WORKDAY(C441,0,Dados!$C$3:$C$29)),-1)+1,"")</f>
        <v>44013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8">
        <v>44006</v>
      </c>
      <c r="C442" s="48">
        <v>44026</v>
      </c>
      <c r="D442" s="49" t="s">
        <v>97</v>
      </c>
      <c r="E442" s="50">
        <v>500</v>
      </c>
      <c r="F442" s="51">
        <v>23.67</v>
      </c>
      <c r="G442" s="51">
        <v>23.99</v>
      </c>
      <c r="H442" s="52">
        <f>IF(OR(Resultados!$F442="",Resultados!$G442=""),"",(Resultados!$G442-Resultados!$F442)*Resultados!$E442)</f>
        <v>159.99999999999835</v>
      </c>
      <c r="I442" s="52">
        <f ca="1">IF(ISBLANK(Resultados!$C442),"",
IF(ROW()-1=3,Resultados!$H442,INDIRECT(ADDRESS(ROW()-1,COLUMN()))+Resultados!$H442))</f>
        <v>44915.714285714348</v>
      </c>
      <c r="J442" s="53">
        <f>IFERROR(EOMONTH((WORKDAY(C442,0,Dados!$C$3:$C$29)),-1)+1,"")</f>
        <v>44013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8">
        <v>44018</v>
      </c>
      <c r="C443" s="48">
        <v>44026</v>
      </c>
      <c r="D443" s="49" t="s">
        <v>190</v>
      </c>
      <c r="E443" s="50">
        <v>100</v>
      </c>
      <c r="F443" s="51">
        <v>81.569999999999993</v>
      </c>
      <c r="G443" s="51">
        <v>82.99</v>
      </c>
      <c r="H443" s="52">
        <f>IF(OR(Resultados!$F443="",Resultados!$G443=""),"",(Resultados!$G443-Resultados!$F443)*Resultados!$E443)</f>
        <v>142.00000000000017</v>
      </c>
      <c r="I443" s="52">
        <f ca="1">IF(ISBLANK(Resultados!$C443),"",
IF(ROW()-1=3,Resultados!$H443,INDIRECT(ADDRESS(ROW()-1,COLUMN()))+Resultados!$H443))</f>
        <v>45057.714285714348</v>
      </c>
      <c r="J443" s="53">
        <f>IFERROR(EOMONTH((WORKDAY(C443,0,Dados!$C$3:$C$29)),-1)+1,"")</f>
        <v>44013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8">
        <v>44020</v>
      </c>
      <c r="C444" s="48">
        <v>44026</v>
      </c>
      <c r="D444" s="49" t="s">
        <v>44</v>
      </c>
      <c r="E444" s="50">
        <v>2400</v>
      </c>
      <c r="F444" s="51">
        <v>4.96</v>
      </c>
      <c r="G444" s="51">
        <v>4.79</v>
      </c>
      <c r="H444" s="52">
        <f>IF(OR(Resultados!$F444="",Resultados!$G444=""),"",(Resultados!$G444-Resultados!$F444)*Resultados!$E444)</f>
        <v>-407.99999999999983</v>
      </c>
      <c r="I444" s="52">
        <f ca="1">IF(ISBLANK(Resultados!$C444),"",
IF(ROW()-1=3,Resultados!$H444,INDIRECT(ADDRESS(ROW()-1,COLUMN()))+Resultados!$H444))</f>
        <v>44649.714285714348</v>
      </c>
      <c r="J444" s="53">
        <f>IFERROR(EOMONTH((WORKDAY(C444,0,Dados!$C$3:$C$29)),-1)+1,"")</f>
        <v>44013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8">
        <v>44025</v>
      </c>
      <c r="C445" s="48">
        <v>44026</v>
      </c>
      <c r="D445" s="49" t="s">
        <v>191</v>
      </c>
      <c r="E445" s="50">
        <v>900</v>
      </c>
      <c r="F445" s="51">
        <v>19.559999999999999</v>
      </c>
      <c r="G445" s="51">
        <v>18.68</v>
      </c>
      <c r="H445" s="52">
        <f>IF(OR(Resultados!$F445="",Resultados!$G445=""),"",(Resultados!$G445-Resultados!$F445)*Resultados!$E445)</f>
        <v>-791.99999999999909</v>
      </c>
      <c r="I445" s="52">
        <f ca="1">IF(ISBLANK(Resultados!$C445),"",
IF(ROW()-1=3,Resultados!$H445,INDIRECT(ADDRESS(ROW()-1,COLUMN()))+Resultados!$H445))</f>
        <v>43857.714285714348</v>
      </c>
      <c r="J445" s="53">
        <f>IFERROR(EOMONTH((WORKDAY(C445,0,Dados!$C$3:$C$29)),-1)+1,"")</f>
        <v>44013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8">
        <v>44025</v>
      </c>
      <c r="C446" s="48">
        <v>44026</v>
      </c>
      <c r="D446" s="49" t="s">
        <v>190</v>
      </c>
      <c r="E446" s="50">
        <v>200</v>
      </c>
      <c r="F446" s="51">
        <v>86.13</v>
      </c>
      <c r="G446" s="51">
        <v>82.13</v>
      </c>
      <c r="H446" s="52">
        <f>IF(OR(Resultados!$F446="",Resultados!$G446=""),"",(Resultados!$G446-Resultados!$F446)*Resultados!$E446)</f>
        <v>-800</v>
      </c>
      <c r="I446" s="52">
        <f ca="1">IF(ISBLANK(Resultados!$C446),"",
IF(ROW()-1=3,Resultados!$H446,INDIRECT(ADDRESS(ROW()-1,COLUMN()))+Resultados!$H446))</f>
        <v>43057.714285714348</v>
      </c>
      <c r="J446" s="53">
        <f>IFERROR(EOMONTH((WORKDAY(C446,0,Dados!$C$3:$C$29)),-1)+1,"")</f>
        <v>44013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54">
        <v>44026</v>
      </c>
      <c r="C447" s="54">
        <v>44027</v>
      </c>
      <c r="D447" s="57" t="s">
        <v>142</v>
      </c>
      <c r="E447" s="58">
        <v>800</v>
      </c>
      <c r="F447" s="59">
        <v>11.13</v>
      </c>
      <c r="G447" s="59">
        <v>11.5</v>
      </c>
      <c r="H447" s="27">
        <f>IF(OR(Resultados!$F447="",Resultados!$G447=""),"",(Resultados!$G447-Resultados!$F447)*Resultados!$E447)</f>
        <v>295.99999999999937</v>
      </c>
      <c r="I447" s="27">
        <f ca="1">IF(ISBLANK(Resultados!$C447),"",
IF(ROW()-1=3,Resultados!$H447,INDIRECT(ADDRESS(ROW()-1,COLUMN()))+Resultados!$H447))</f>
        <v>43353.714285714348</v>
      </c>
      <c r="J447" s="55">
        <f>IFERROR(EOMONTH((WORKDAY(C447,0,Dados!$C$3:$C$29)),-1)+1,"")</f>
        <v>44013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54">
        <v>44027</v>
      </c>
      <c r="C448" s="54">
        <v>44028</v>
      </c>
      <c r="D448" s="57" t="s">
        <v>68</v>
      </c>
      <c r="E448" s="58">
        <v>200</v>
      </c>
      <c r="F448" s="59">
        <v>76.48</v>
      </c>
      <c r="G448" s="59">
        <v>78.19</v>
      </c>
      <c r="H448" s="27">
        <f>IF(OR(Resultados!$F448="",Resultados!$G448=""),"",(Resultados!$G448-Resultados!$F448)*Resultados!$E448)</f>
        <v>341.99999999999875</v>
      </c>
      <c r="I448" s="27">
        <f ca="1">IF(ISBLANK(Resultados!$C448),"",
IF(ROW()-1=3,Resultados!$H448,INDIRECT(ADDRESS(ROW()-1,COLUMN()))+Resultados!$H448))</f>
        <v>43695.714285714348</v>
      </c>
      <c r="J448" s="6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54">
        <v>44013</v>
      </c>
      <c r="C449" s="54">
        <v>44028</v>
      </c>
      <c r="D449" s="57" t="s">
        <v>187</v>
      </c>
      <c r="E449" s="58">
        <v>1000</v>
      </c>
      <c r="F449" s="59">
        <v>11.27</v>
      </c>
      <c r="G449" s="59">
        <v>11.29</v>
      </c>
      <c r="H449" s="27">
        <f>IF(OR(Resultados!$F449="",Resultados!$G449=""),"",(Resultados!$G449-Resultados!$F449)*Resultados!$E449)</f>
        <v>19.999999999999574</v>
      </c>
      <c r="I449" s="27">
        <f ca="1">IF(ISBLANK(Resultados!$C449),"",
IF(ROW()-1=3,Resultados!$H449,INDIRECT(ADDRESS(ROW()-1,COLUMN()))+Resultados!$H449))</f>
        <v>43715.714285714348</v>
      </c>
      <c r="J449" s="6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1">
        <v>44022</v>
      </c>
      <c r="C450" s="61">
        <v>44028</v>
      </c>
      <c r="D450" s="62" t="s">
        <v>117</v>
      </c>
      <c r="E450" s="63">
        <v>300</v>
      </c>
      <c r="F450" s="64">
        <v>20.63</v>
      </c>
      <c r="G450" s="64">
        <v>20.99</v>
      </c>
      <c r="H450" s="65">
        <f>IF(OR(Resultados!$F450="",Resultados!$G450=""),"",(Resultados!$G450-Resultados!$F450)*Resultados!$E450)</f>
        <v>107.99999999999983</v>
      </c>
      <c r="I450" s="65">
        <f ca="1">IF(ISBLANK(Resultados!$C450),"",
IF(ROW()-1=3,Resultados!$H450,INDIRECT(ADDRESS(ROW()-1,COLUMN()))+Resultados!$H450))</f>
        <v>43823.714285714348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6">
        <v>44026</v>
      </c>
      <c r="C451" s="66">
        <v>44029</v>
      </c>
      <c r="D451" s="67" t="s">
        <v>70</v>
      </c>
      <c r="E451" s="68">
        <v>200</v>
      </c>
      <c r="F451" s="69">
        <v>61.59</v>
      </c>
      <c r="G451" s="69">
        <v>63.25</v>
      </c>
      <c r="H451" s="70">
        <f>IF(OR(Resultados!$F451="",Resultados!$G451=""),"",(Resultados!$G451-Resultados!$F451)*Resultados!$E451)</f>
        <v>331.99999999999932</v>
      </c>
      <c r="I451" s="70">
        <f ca="1">IF(ISBLANK(Resultados!$C451),"",
IF(ROW()-1=3,Resultados!$H451,INDIRECT(ADDRESS(ROW()-1,COLUMN()))+Resultados!$H451))</f>
        <v>44155.714285714348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1">
        <v>44028</v>
      </c>
      <c r="C452" s="61">
        <v>44029</v>
      </c>
      <c r="D452" s="62" t="s">
        <v>74</v>
      </c>
      <c r="E452" s="63">
        <v>900</v>
      </c>
      <c r="F452" s="64">
        <v>11.13</v>
      </c>
      <c r="G452" s="64">
        <v>11.39</v>
      </c>
      <c r="H452" s="65">
        <f>IF(OR(Resultados!$F452="",Resultados!$G452=""),"",(Resultados!$G452-Resultados!$F452)*Resultados!$E452)</f>
        <v>233.9999999999998</v>
      </c>
      <c r="I452" s="65">
        <f ca="1">IF(ISBLANK(Resultados!$C452),"",
IF(ROW()-1=3,Resultados!$H452,INDIRECT(ADDRESS(ROW()-1,COLUMN()))+Resultados!$H452))</f>
        <v>44389.714285714348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71">
        <v>44026</v>
      </c>
      <c r="C453" s="72">
        <v>44032</v>
      </c>
      <c r="D453" s="73" t="s">
        <v>142</v>
      </c>
      <c r="E453" s="74">
        <v>700</v>
      </c>
      <c r="F453" s="75">
        <v>11.13</v>
      </c>
      <c r="G453" s="75">
        <v>10.89</v>
      </c>
      <c r="H453" s="70">
        <f>IF(OR(Resultados!$F453="",Resultados!$G453=""),"",(Resultados!$G453-Resultados!$F453)*Resultados!$E453)</f>
        <v>-168.00000000000014</v>
      </c>
      <c r="I453" s="70">
        <f ca="1">IF(ISBLANK(Resultados!$C453),"",
IF(ROW()-1=3,Resultados!$H453,INDIRECT(ADDRESS(ROW()-1,COLUMN()))+Resultados!$H453))</f>
        <v>44221.714285714348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76">
        <v>44027</v>
      </c>
      <c r="C454" s="77">
        <v>44032</v>
      </c>
      <c r="D454" s="78" t="s">
        <v>68</v>
      </c>
      <c r="E454" s="79">
        <v>100</v>
      </c>
      <c r="F454" s="80">
        <v>76.48</v>
      </c>
      <c r="G454" s="80">
        <v>82.59</v>
      </c>
      <c r="H454" s="65">
        <f>IF(OR(Resultados!$F454="",Resultados!$G454=""),"",(Resultados!$G454-Resultados!$F454)*Resultados!$E454)</f>
        <v>611</v>
      </c>
      <c r="I454" s="65">
        <f ca="1">IF(ISBLANK(Resultados!$C454),"",
IF(ROW()-1=3,Resultados!$H454,INDIRECT(ADDRESS(ROW()-1,COLUMN()))+Resultados!$H454))</f>
        <v>44832.714285714348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71">
        <v>44028</v>
      </c>
      <c r="C455" s="72">
        <v>44032</v>
      </c>
      <c r="D455" s="73" t="s">
        <v>120</v>
      </c>
      <c r="E455" s="74">
        <v>700</v>
      </c>
      <c r="F455" s="75">
        <v>9.18</v>
      </c>
      <c r="G455" s="75">
        <v>9.74</v>
      </c>
      <c r="H455" s="70">
        <f>IF(OR(Resultados!$F455="",Resultados!$G455=""),"",(Resultados!$G455-Resultados!$F455)*Resultados!$E455)</f>
        <v>392.00000000000034</v>
      </c>
      <c r="I455" s="70">
        <f ca="1">IF(ISBLANK(Resultados!$C455),"",
IF(ROW()-1=3,Resultados!$H455,INDIRECT(ADDRESS(ROW()-1,COLUMN()))+Resultados!$H455))</f>
        <v>45224.714285714348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76">
        <v>44026</v>
      </c>
      <c r="C456" s="77">
        <v>44032</v>
      </c>
      <c r="D456" s="78" t="s">
        <v>70</v>
      </c>
      <c r="E456" s="79">
        <v>200</v>
      </c>
      <c r="F456" s="80">
        <v>61.59</v>
      </c>
      <c r="G456" s="80">
        <v>66.84</v>
      </c>
      <c r="H456" s="65">
        <f>IF(OR(Resultados!$F456="",Resultados!$G456=""),"",(Resultados!$G456-Resultados!$F456)*Resultados!$E456)</f>
        <v>1050</v>
      </c>
      <c r="I456" s="65">
        <f ca="1">IF(ISBLANK(Resultados!$C456),"",
IF(ROW()-1=3,Resultados!$H456,INDIRECT(ADDRESS(ROW()-1,COLUMN()))+Resultados!$H456))</f>
        <v>46274.714285714348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71">
        <v>44029</v>
      </c>
      <c r="C457" s="72">
        <v>44033</v>
      </c>
      <c r="D457" s="73" t="s">
        <v>101</v>
      </c>
      <c r="E457" s="74">
        <v>600</v>
      </c>
      <c r="F457" s="75">
        <v>19.41</v>
      </c>
      <c r="G457" s="75">
        <v>19.940000000000001</v>
      </c>
      <c r="H457" s="70">
        <f>IF(OR(Resultados!$F457="",Resultados!$G457=""),"",(Resultados!$G457-Resultados!$F457)*Resultados!$E457)</f>
        <v>318.00000000000068</v>
      </c>
      <c r="I457" s="70">
        <f ca="1">IF(ISBLANK(Resultados!$C457),"",
IF(ROW()-1=3,Resultados!$H457,INDIRECT(ADDRESS(ROW()-1,COLUMN()))+Resultados!$H457))</f>
        <v>46592.714285714348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76">
        <v>44026</v>
      </c>
      <c r="C458" s="77">
        <v>44033</v>
      </c>
      <c r="D458" s="78" t="s">
        <v>91</v>
      </c>
      <c r="E458" s="79">
        <v>600</v>
      </c>
      <c r="F458" s="80">
        <v>16.559999999999999</v>
      </c>
      <c r="G458" s="80">
        <v>16.850000000000001</v>
      </c>
      <c r="H458" s="65">
        <f>IF(OR(Resultados!$F458="",Resultados!$G458=""),"",(Resultados!$G458-Resultados!$F458)*Resultados!$E458)</f>
        <v>174.00000000000162</v>
      </c>
      <c r="I458" s="65">
        <f ca="1">IF(ISBLANK(Resultados!$C458),"",
IF(ROW()-1=3,Resultados!$H458,INDIRECT(ADDRESS(ROW()-1,COLUMN()))+Resultados!$H458))</f>
        <v>46766.714285714348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71">
        <v>44018</v>
      </c>
      <c r="C459" s="72">
        <v>44033</v>
      </c>
      <c r="D459" s="73" t="s">
        <v>83</v>
      </c>
      <c r="E459" s="74">
        <v>700</v>
      </c>
      <c r="F459" s="75">
        <v>13.51</v>
      </c>
      <c r="G459" s="75">
        <v>13.99</v>
      </c>
      <c r="H459" s="70">
        <f>IF(OR(Resultados!$F459="",Resultados!$G459=""),"",(Resultados!$G459-Resultados!$F459)*Resultados!$E459)</f>
        <v>336.00000000000028</v>
      </c>
      <c r="I459" s="70">
        <f ca="1">IF(ISBLANK(Resultados!$C459),"",
IF(ROW()-1=3,Resultados!$H459,INDIRECT(ADDRESS(ROW()-1,COLUMN()))+Resultados!$H459))</f>
        <v>47102.714285714348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76">
        <v>44026</v>
      </c>
      <c r="C460" s="77">
        <v>44033</v>
      </c>
      <c r="D460" s="78" t="s">
        <v>73</v>
      </c>
      <c r="E460" s="79">
        <v>1000</v>
      </c>
      <c r="F460" s="80">
        <v>16.53</v>
      </c>
      <c r="G460" s="80">
        <v>15.99</v>
      </c>
      <c r="H460" s="65">
        <f>IF(OR(Resultados!$F460="",Resultados!$G460=""),"",(Resultados!$G460-Resultados!$F460)*Resultados!$E460)</f>
        <v>-540.00000000000091</v>
      </c>
      <c r="I460" s="65">
        <f ca="1">IF(ISBLANK(Resultados!$C460),"",
IF(ROW()-1=3,Resultados!$H460,INDIRECT(ADDRESS(ROW()-1,COLUMN()))+Resultados!$H460))</f>
        <v>46562.714285714348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71">
        <v>44021</v>
      </c>
      <c r="C461" s="72">
        <v>44033</v>
      </c>
      <c r="D461" s="73" t="s">
        <v>46</v>
      </c>
      <c r="E461" s="74">
        <v>400</v>
      </c>
      <c r="F461" s="75">
        <v>14.82</v>
      </c>
      <c r="G461" s="75">
        <v>14.79</v>
      </c>
      <c r="H461" s="70">
        <f>IF(OR(Resultados!$F461="",Resultados!$G461=""),"",(Resultados!$G461-Resultados!$F461)*Resultados!$E461)</f>
        <v>-12.000000000000455</v>
      </c>
      <c r="I461" s="70">
        <f ca="1">IF(ISBLANK(Resultados!$C461),"",
IF(ROW()-1=3,Resultados!$H461,INDIRECT(ADDRESS(ROW()-1,COLUMN()))+Resultados!$H461))</f>
        <v>46550.714285714348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76">
        <v>44028</v>
      </c>
      <c r="C462" s="77">
        <v>44033</v>
      </c>
      <c r="D462" s="78" t="s">
        <v>120</v>
      </c>
      <c r="E462" s="79">
        <v>600</v>
      </c>
      <c r="F462" s="80">
        <v>9.18</v>
      </c>
      <c r="G462" s="80">
        <v>9.2899999999999991</v>
      </c>
      <c r="H462" s="65">
        <f>IF(OR(Resultados!$F462="",Resultados!$G462=""),"",(Resultados!$G462-Resultados!$F462)*Resultados!$E462)</f>
        <v>65.999999999999659</v>
      </c>
      <c r="I462" s="65">
        <f ca="1">IF(ISBLANK(Resultados!$C462),"",
IF(ROW()-1=3,Resultados!$H462,INDIRECT(ADDRESS(ROW()-1,COLUMN()))+Resultados!$H462))</f>
        <v>46616.714285714348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71">
        <v>44032</v>
      </c>
      <c r="C463" s="72">
        <v>44034</v>
      </c>
      <c r="D463" s="73" t="s">
        <v>192</v>
      </c>
      <c r="E463" s="74">
        <v>800</v>
      </c>
      <c r="F463" s="75">
        <v>10.41</v>
      </c>
      <c r="G463" s="75">
        <v>10.65</v>
      </c>
      <c r="H463" s="70">
        <f>IF(OR(Resultados!$F463="",Resultados!$G463=""),"",(Resultados!$G463-Resultados!$F463)*Resultados!$E463)</f>
        <v>192.00000000000017</v>
      </c>
      <c r="I463" s="70">
        <f ca="1">IF(ISBLANK(Resultados!$C463),"",
IF(ROW()-1=3,Resultados!$H463,INDIRECT(ADDRESS(ROW()-1,COLUMN()))+Resultados!$H463))</f>
        <v>46808.714285714348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76">
        <v>44025</v>
      </c>
      <c r="C464" s="77">
        <v>44034</v>
      </c>
      <c r="D464" s="78" t="s">
        <v>110</v>
      </c>
      <c r="E464" s="79">
        <v>100</v>
      </c>
      <c r="F464" s="80">
        <v>37.15</v>
      </c>
      <c r="G464" s="80">
        <v>39.99</v>
      </c>
      <c r="H464" s="65">
        <f>IF(OR(Resultados!$F464="",Resultados!$G464=""),"",(Resultados!$G464-Resultados!$F464)*Resultados!$E464)</f>
        <v>284.00000000000034</v>
      </c>
      <c r="I464" s="65">
        <f ca="1">IF(ISBLANK(Resultados!$C464),"",
IF(ROW()-1=3,Resultados!$H464,INDIRECT(ADDRESS(ROW()-1,COLUMN()))+Resultados!$H464))</f>
        <v>47092.714285714348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71">
        <v>44033</v>
      </c>
      <c r="C465" s="72">
        <v>44034</v>
      </c>
      <c r="D465" s="73" t="s">
        <v>105</v>
      </c>
      <c r="E465" s="74">
        <v>500</v>
      </c>
      <c r="F465" s="75">
        <v>31.37</v>
      </c>
      <c r="G465" s="75">
        <v>30.08</v>
      </c>
      <c r="H465" s="70">
        <f>IF(OR(Resultados!$F465="",Resultados!$G465=""),"",(Resultados!$G465-Resultados!$F465)*Resultados!$E465)</f>
        <v>-645.00000000000136</v>
      </c>
      <c r="I465" s="70">
        <f ca="1">IF(ISBLANK(Resultados!$C465),"",
IF(ROW()-1=3,Resultados!$H465,INDIRECT(ADDRESS(ROW()-1,COLUMN()))+Resultados!$H465))</f>
        <v>46447.714285714348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76">
        <v>44028</v>
      </c>
      <c r="C466" s="77">
        <v>44034</v>
      </c>
      <c r="D466" s="78" t="s">
        <v>74</v>
      </c>
      <c r="E466" s="79">
        <v>800</v>
      </c>
      <c r="F466" s="80">
        <v>11.13</v>
      </c>
      <c r="G466" s="80">
        <v>10.99</v>
      </c>
      <c r="H466" s="65">
        <f>IF(OR(Resultados!$F466="",Resultados!$G466=""),"",(Resultados!$G466-Resultados!$F466)*Resultados!$E466)</f>
        <v>-112.00000000000045</v>
      </c>
      <c r="I466" s="65">
        <f ca="1">IF(ISBLANK(Resultados!$C466),"",
IF(ROW()-1=3,Resultados!$H466,INDIRECT(ADDRESS(ROW()-1,COLUMN()))+Resultados!$H466))</f>
        <v>46335.714285714348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71">
        <v>44033</v>
      </c>
      <c r="C467" s="72">
        <v>44035</v>
      </c>
      <c r="D467" s="73" t="s">
        <v>193</v>
      </c>
      <c r="E467" s="74">
        <v>900</v>
      </c>
      <c r="F467" s="75">
        <v>15.96</v>
      </c>
      <c r="G467" s="75">
        <v>15.9</v>
      </c>
      <c r="H467" s="70">
        <f>IF(OR(Resultados!$F467="",Resultados!$G467=""),"",(Resultados!$G467-Resultados!$F467)*Resultados!$E467)</f>
        <v>-54.000000000000448</v>
      </c>
      <c r="I467" s="70">
        <f ca="1">IF(ISBLANK(Resultados!$C467),"",
IF(ROW()-1=3,Resultados!$H467,INDIRECT(ADDRESS(ROW()-1,COLUMN()))+Resultados!$H467))</f>
        <v>46281.714285714348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81">
        <v>44032</v>
      </c>
      <c r="C468" s="82">
        <v>44035</v>
      </c>
      <c r="D468" s="83" t="s">
        <v>48</v>
      </c>
      <c r="E468" s="84">
        <v>800</v>
      </c>
      <c r="F468" s="85">
        <v>21.19</v>
      </c>
      <c r="G468" s="85">
        <v>21.05</v>
      </c>
      <c r="H468" s="65">
        <f>IF(OR(Resultados!$F468="",Resultados!$G468=""),"",(Resultados!$G468-Resultados!$F468)*Resultados!$E468)</f>
        <v>-112.00000000000045</v>
      </c>
      <c r="I468" s="65">
        <f ca="1">IF(ISBLANK(Resultados!$C468),"",
IF(ROW()-1=3,Resultados!$H468,INDIRECT(ADDRESS(ROW()-1,COLUMN()))+Resultados!$H468))</f>
        <v>46169.714285714348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86">
        <v>44026</v>
      </c>
      <c r="C469" s="87">
        <v>44035</v>
      </c>
      <c r="D469" s="88" t="s">
        <v>91</v>
      </c>
      <c r="E469" s="89">
        <v>500</v>
      </c>
      <c r="F469" s="90">
        <v>16.559999999999999</v>
      </c>
      <c r="G469" s="90">
        <v>17.489999999999998</v>
      </c>
      <c r="H469" s="70">
        <f>IF(OR(Resultados!$F469="",Resultados!$G469=""),"",(Resultados!$G469-Resultados!$F469)*Resultados!$E469)</f>
        <v>464.99999999999989</v>
      </c>
      <c r="I469" s="70">
        <f ca="1">IF(ISBLANK(Resultados!$C469),"",
IF(ROW()-1=3,Resultados!$H469,INDIRECT(ADDRESS(ROW()-1,COLUMN()))+Resultados!$H469))</f>
        <v>46634.714285714348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81">
        <v>44034</v>
      </c>
      <c r="C470" s="82">
        <v>44035</v>
      </c>
      <c r="D470" s="83" t="s">
        <v>101</v>
      </c>
      <c r="E470" s="84">
        <v>700</v>
      </c>
      <c r="F470" s="85">
        <v>20.010000000000002</v>
      </c>
      <c r="G470" s="85">
        <v>19.32</v>
      </c>
      <c r="H470" s="65">
        <f>IF(OR(Resultados!$F470="",Resultados!$G470=""),"",(Resultados!$G470-Resultados!$F470)*Resultados!$E470)</f>
        <v>-483.00000000000091</v>
      </c>
      <c r="I470" s="65">
        <f ca="1">IF(ISBLANK(Resultados!$C470),"",
IF(ROW()-1=3,Resultados!$H470,INDIRECT(ADDRESS(ROW()-1,COLUMN()))+Resultados!$H470))</f>
        <v>46151.714285714348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71">
        <v>44029</v>
      </c>
      <c r="C471" s="72">
        <v>44035</v>
      </c>
      <c r="D471" s="73" t="s">
        <v>101</v>
      </c>
      <c r="E471" s="74">
        <v>500</v>
      </c>
      <c r="F471" s="75">
        <v>19.41</v>
      </c>
      <c r="G471" s="75">
        <v>19.190000000000001</v>
      </c>
      <c r="H471" s="70">
        <f>IF(OR(Resultados!$F471="",Resultados!$G471=""),"",(Resultados!$G471-Resultados!$F471)*Resultados!$E471)</f>
        <v>-109.99999999999943</v>
      </c>
      <c r="I471" s="70">
        <f ca="1">IF(ISBLANK(Resultados!$C471),"",
IF(ROW()-1=3,Resultados!$H471,INDIRECT(ADDRESS(ROW()-1,COLUMN()))+Resultados!$H471))</f>
        <v>46041.714285714348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76">
        <v>44032</v>
      </c>
      <c r="C472" s="77">
        <v>44036</v>
      </c>
      <c r="D472" s="78" t="s">
        <v>192</v>
      </c>
      <c r="E472" s="79">
        <v>1000</v>
      </c>
      <c r="F472" s="80">
        <v>10.41</v>
      </c>
      <c r="G472" s="80">
        <v>10.29</v>
      </c>
      <c r="H472" s="65">
        <f>IF(OR(Resultados!$F472="",Resultados!$G472=""),"",(Resultados!$G472-Resultados!$F472)*Resultados!$E472)</f>
        <v>-120.00000000000099</v>
      </c>
      <c r="I472" s="65">
        <f ca="1">IF(ISBLANK(Resultados!$C472),"",
IF(ROW()-1=3,Resultados!$H472,INDIRECT(ADDRESS(ROW()-1,COLUMN()))+Resultados!$H472))</f>
        <v>45921.714285714348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71">
        <v>44034</v>
      </c>
      <c r="C473" s="72">
        <v>44036</v>
      </c>
      <c r="D473" s="73" t="s">
        <v>71</v>
      </c>
      <c r="E473" s="74">
        <v>200</v>
      </c>
      <c r="F473" s="75">
        <v>69.23</v>
      </c>
      <c r="G473" s="75">
        <v>66.41</v>
      </c>
      <c r="H473" s="70">
        <f>IF(OR(Resultados!$F473="",Resultados!$G473=""),"",(Resultados!$G473-Resultados!$F473)*Resultados!$E473)</f>
        <v>-564.00000000000148</v>
      </c>
      <c r="I473" s="70">
        <f ca="1">IF(ISBLANK(Resultados!$C473),"",
IF(ROW()-1=3,Resultados!$H473,INDIRECT(ADDRESS(ROW()-1,COLUMN()))+Resultados!$H473))</f>
        <v>45357.714285714348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81">
        <v>44034</v>
      </c>
      <c r="C474" s="82">
        <v>44039</v>
      </c>
      <c r="D474" s="83" t="s">
        <v>194</v>
      </c>
      <c r="E474" s="84">
        <v>1000</v>
      </c>
      <c r="F474" s="85">
        <v>7.81</v>
      </c>
      <c r="G474" s="85">
        <v>8.19</v>
      </c>
      <c r="H474" s="65">
        <f>IF(OR(Resultados!$F474="",Resultados!$G474=""),"",(Resultados!$G474-Resultados!$F474)*Resultados!$E474)</f>
        <v>379.99999999999989</v>
      </c>
      <c r="I474" s="65">
        <f ca="1">IF(ISBLANK(Resultados!$C474),"",
IF(ROW()-1=3,Resultados!$H474,INDIRECT(ADDRESS(ROW()-1,COLUMN()))+Resultados!$H474))</f>
        <v>45737.714285714348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71">
        <v>44040</v>
      </c>
      <c r="C475" s="72">
        <v>44041</v>
      </c>
      <c r="D475" s="73" t="s">
        <v>158</v>
      </c>
      <c r="E475" s="74">
        <v>300</v>
      </c>
      <c r="F475" s="75">
        <v>44.34</v>
      </c>
      <c r="G475" s="75">
        <v>46.3</v>
      </c>
      <c r="H475" s="70">
        <f>IF(OR(Resultados!$F475="",Resultados!$G475=""),"",(Resultados!$G475-Resultados!$F475)*Resultados!$E475)</f>
        <v>587.99999999999818</v>
      </c>
      <c r="I475" s="70">
        <f ca="1">IF(ISBLANK(Resultados!$C475),"",
IF(ROW()-1=3,Resultados!$H475,INDIRECT(ADDRESS(ROW()-1,COLUMN()))+Resultados!$H475))</f>
        <v>46325.714285714348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81">
        <v>44039</v>
      </c>
      <c r="C476" s="82">
        <v>44043</v>
      </c>
      <c r="D476" s="83" t="s">
        <v>192</v>
      </c>
      <c r="E476" s="84">
        <v>1600</v>
      </c>
      <c r="F476" s="85">
        <v>10.76</v>
      </c>
      <c r="G476" s="85">
        <v>10.69</v>
      </c>
      <c r="H476" s="65">
        <f>IF(OR(Resultados!$F476="",Resultados!$G476=""),"",(Resultados!$G476-Resultados!$F476)*Resultados!$E476)</f>
        <v>-112.00000000000045</v>
      </c>
      <c r="I476" s="65">
        <f ca="1">IF(ISBLANK(Resultados!$C476),"",
IF(ROW()-1=3,Resultados!$H476,INDIRECT(ADDRESS(ROW()-1,COLUMN()))+Resultados!$H476))</f>
        <v>46213.714285714348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71">
        <v>44042</v>
      </c>
      <c r="C477" s="72">
        <v>44043</v>
      </c>
      <c r="D477" s="73" t="s">
        <v>169</v>
      </c>
      <c r="E477" s="74">
        <v>400</v>
      </c>
      <c r="F477" s="75">
        <v>18.579999999999998</v>
      </c>
      <c r="G477" s="75">
        <v>19.39</v>
      </c>
      <c r="H477" s="70">
        <f>IF(OR(Resultados!$F477="",Resultados!$G477=""),"",(Resultados!$G477-Resultados!$F477)*Resultados!$E477)</f>
        <v>324.00000000000091</v>
      </c>
      <c r="I477" s="70">
        <f ca="1">IF(ISBLANK(Resultados!$C477),"",
IF(ROW()-1=3,Resultados!$H477,INDIRECT(ADDRESS(ROW()-1,COLUMN()))+Resultados!$H477))</f>
        <v>46537.714285714348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81">
        <v>44040</v>
      </c>
      <c r="C478" s="82">
        <v>44046</v>
      </c>
      <c r="D478" s="83" t="s">
        <v>158</v>
      </c>
      <c r="E478" s="84">
        <v>300</v>
      </c>
      <c r="F478" s="85">
        <v>44.34</v>
      </c>
      <c r="G478" s="85">
        <v>45.99</v>
      </c>
      <c r="H478" s="65">
        <f>IF(OR(Resultados!$F478="",Resultados!$G478=""),"",(Resultados!$G478-Resultados!$F478)*Resultados!$E478)</f>
        <v>494.99999999999955</v>
      </c>
      <c r="I478" s="65">
        <f ca="1">IF(ISBLANK(Resultados!$C478),"",
IF(ROW()-1=3,Resultados!$H478,INDIRECT(ADDRESS(ROW()-1,COLUMN()))+Resultados!$H478))</f>
        <v>47032.714285714348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71">
        <v>44039</v>
      </c>
      <c r="C479" s="72">
        <v>44046</v>
      </c>
      <c r="D479" s="73" t="s">
        <v>195</v>
      </c>
      <c r="E479" s="74">
        <v>200</v>
      </c>
      <c r="F479" s="75">
        <v>64.64</v>
      </c>
      <c r="G479" s="75">
        <v>63.99</v>
      </c>
      <c r="H479" s="70">
        <f>IF(OR(Resultados!$F479="",Resultados!$G479=""),"",(Resultados!$G479-Resultados!$F479)*Resultados!$E479)</f>
        <v>-129.99999999999972</v>
      </c>
      <c r="I479" s="70">
        <f ca="1">IF(ISBLANK(Resultados!$C479),"",
IF(ROW()-1=3,Resultados!$H479,INDIRECT(ADDRESS(ROW()-1,COLUMN()))+Resultados!$H479))</f>
        <v>46902.714285714348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81">
        <v>44046</v>
      </c>
      <c r="C480" s="82">
        <v>44047</v>
      </c>
      <c r="D480" s="83" t="s">
        <v>148</v>
      </c>
      <c r="E480" s="84">
        <v>4800</v>
      </c>
      <c r="F480" s="85">
        <v>3.06</v>
      </c>
      <c r="G480" s="85">
        <v>2.82</v>
      </c>
      <c r="H480" s="65">
        <f>IF(OR(Resultados!$F480="",Resultados!$G480=""),"",(Resultados!$G480-Resultados!$F480)*Resultados!$E480)</f>
        <v>-1152.0000000000009</v>
      </c>
      <c r="I480" s="65">
        <f ca="1">IF(ISBLANK(Resultados!$C480),"",
IF(ROW()-1=3,Resultados!$H480,INDIRECT(ADDRESS(ROW()-1,COLUMN()))+Resultados!$H480))</f>
        <v>45750.714285714348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71">
        <v>44048</v>
      </c>
      <c r="C481" s="72">
        <v>44048</v>
      </c>
      <c r="D481" s="73" t="s">
        <v>110</v>
      </c>
      <c r="E481" s="74">
        <v>200</v>
      </c>
      <c r="F481" s="75">
        <v>41.04</v>
      </c>
      <c r="G481" s="75">
        <v>43.8</v>
      </c>
      <c r="H481" s="70">
        <f>IF(OR(Resultados!$F481="",Resultados!$G481=""),"",(Resultados!$G481-Resultados!$F481)*Resultados!$E481)</f>
        <v>551.99999999999955</v>
      </c>
      <c r="I481" s="70">
        <f ca="1">IF(ISBLANK(Resultados!$C481),"",
IF(ROW()-1=3,Resultados!$H481,INDIRECT(ADDRESS(ROW()-1,COLUMN()))+Resultados!$H481))</f>
        <v>46302.714285714348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81">
        <v>44042</v>
      </c>
      <c r="C482" s="82">
        <v>44049</v>
      </c>
      <c r="D482" s="83" t="s">
        <v>94</v>
      </c>
      <c r="E482" s="84">
        <v>200</v>
      </c>
      <c r="F482" s="85">
        <v>82.18</v>
      </c>
      <c r="G482" s="85">
        <v>85.8</v>
      </c>
      <c r="H482" s="65">
        <f>IF(OR(Resultados!$F482="",Resultados!$G482=""),"",(Resultados!$G482-Resultados!$F482)*Resultados!$E482)</f>
        <v>723.99999999999807</v>
      </c>
      <c r="I482" s="65">
        <f ca="1">IF(ISBLANK(Resultados!$C482),"",
IF(ROW()-1=3,Resultados!$H482,INDIRECT(ADDRESS(ROW()-1,COLUMN()))+Resultados!$H482))</f>
        <v>47026.714285714348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71">
        <v>44042</v>
      </c>
      <c r="C483" s="72">
        <v>44050</v>
      </c>
      <c r="D483" s="73" t="s">
        <v>169</v>
      </c>
      <c r="E483" s="74">
        <v>400</v>
      </c>
      <c r="F483" s="75">
        <v>18.579999999999998</v>
      </c>
      <c r="G483" s="75">
        <v>20.190000000000001</v>
      </c>
      <c r="H483" s="70">
        <f>IF(OR(Resultados!$F483="",Resultados!$G483=""),"",(Resultados!$G483-Resultados!$F483)*Resultados!$E483)</f>
        <v>644.00000000000114</v>
      </c>
      <c r="I483" s="70">
        <f ca="1">IF(ISBLANK(Resultados!$C483),"",
IF(ROW()-1=3,Resultados!$H483,INDIRECT(ADDRESS(ROW()-1,COLUMN()))+Resultados!$H483))</f>
        <v>47670.714285714348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81">
        <v>44042</v>
      </c>
      <c r="C484" s="82">
        <v>44053</v>
      </c>
      <c r="D484" s="83" t="s">
        <v>94</v>
      </c>
      <c r="E484" s="84">
        <v>100</v>
      </c>
      <c r="F484" s="85">
        <v>82.18</v>
      </c>
      <c r="G484" s="85">
        <v>82.49</v>
      </c>
      <c r="H484" s="65">
        <f>IF(OR(Resultados!$F484="",Resultados!$G484=""),"",(Resultados!$G484-Resultados!$F484)*Resultados!$E484)</f>
        <v>30.999999999998806</v>
      </c>
      <c r="I484" s="65">
        <f ca="1">IF(ISBLANK(Resultados!$C484),"",
IF(ROW()-1=3,Resultados!$H484,INDIRECT(ADDRESS(ROW()-1,COLUMN()))+Resultados!$H484))</f>
        <v>47701.714285714348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71">
        <v>44042</v>
      </c>
      <c r="C485" s="72">
        <v>44053</v>
      </c>
      <c r="D485" s="73" t="s">
        <v>162</v>
      </c>
      <c r="E485" s="74">
        <v>400</v>
      </c>
      <c r="F485" s="75">
        <v>40.630000000000003</v>
      </c>
      <c r="G485" s="75">
        <v>39.369999999999997</v>
      </c>
      <c r="H485" s="70">
        <f>IF(OR(Resultados!$F485="",Resultados!$G485=""),"",(Resultados!$G485-Resultados!$F485)*Resultados!$E485)</f>
        <v>-504.00000000000205</v>
      </c>
      <c r="I485" s="70">
        <f ca="1">IF(ISBLANK(Resultados!$C485),"",
IF(ROW()-1=3,Resultados!$H485,INDIRECT(ADDRESS(ROW()-1,COLUMN()))+Resultados!$H485))</f>
        <v>47197.714285714348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81">
        <v>44048</v>
      </c>
      <c r="C486" s="82">
        <v>44060</v>
      </c>
      <c r="D486" s="83" t="s">
        <v>196</v>
      </c>
      <c r="E486" s="84">
        <v>400</v>
      </c>
      <c r="F486" s="85">
        <v>69.099999999999994</v>
      </c>
      <c r="G486" s="85">
        <v>67.89</v>
      </c>
      <c r="H486" s="65">
        <f>IF(OR(Resultados!$F486="",Resultados!$G486=""),"",(Resultados!$G486-Resultados!$F486)*Resultados!$E486)</f>
        <v>-483.9999999999975</v>
      </c>
      <c r="I486" s="65">
        <f ca="1">IF(ISBLANK(Resultados!$C486),"",
IF(ROW()-1=3,Resultados!$H486,INDIRECT(ADDRESS(ROW()-1,COLUMN()))+Resultados!$H486))</f>
        <v>46713.714285714348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71">
        <v>44054</v>
      </c>
      <c r="C487" s="72">
        <v>44060</v>
      </c>
      <c r="D487" s="73" t="s">
        <v>77</v>
      </c>
      <c r="E487" s="74">
        <v>800</v>
      </c>
      <c r="F487" s="75">
        <v>23.66</v>
      </c>
      <c r="G487" s="75">
        <v>22.49</v>
      </c>
      <c r="H487" s="70">
        <f>IF(OR(Resultados!$F487="",Resultados!$G487=""),"",(Resultados!$G487-Resultados!$F487)*Resultados!$E487)</f>
        <v>-936.00000000000136</v>
      </c>
      <c r="I487" s="70">
        <f ca="1">IF(ISBLANK(Resultados!$C487),"",
IF(ROW()-1=3,Resultados!$H487,INDIRECT(ADDRESS(ROW()-1,COLUMN()))+Resultados!$H487))</f>
        <v>45777.714285714348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81">
        <v>44048</v>
      </c>
      <c r="C488" s="82">
        <v>44060</v>
      </c>
      <c r="D488" s="83" t="s">
        <v>110</v>
      </c>
      <c r="E488" s="84">
        <v>200</v>
      </c>
      <c r="F488" s="85">
        <v>41.04</v>
      </c>
      <c r="G488" s="85">
        <v>41.49</v>
      </c>
      <c r="H488" s="65">
        <f>IF(OR(Resultados!$F488="",Resultados!$G488=""),"",(Resultados!$G488-Resultados!$F488)*Resultados!$E488)</f>
        <v>90.000000000000568</v>
      </c>
      <c r="I488" s="65">
        <f ca="1">IF(ISBLANK(Resultados!$C488),"",
IF(ROW()-1=3,Resultados!$H488,INDIRECT(ADDRESS(ROW()-1,COLUMN()))+Resultados!$H488))</f>
        <v>45867.714285714348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71">
        <v>44053</v>
      </c>
      <c r="C489" s="72">
        <v>44061</v>
      </c>
      <c r="D489" s="73" t="s">
        <v>151</v>
      </c>
      <c r="E489" s="74">
        <v>900</v>
      </c>
      <c r="F489" s="75">
        <v>8.7200000000000006</v>
      </c>
      <c r="G489" s="75">
        <v>9.19</v>
      </c>
      <c r="H489" s="70">
        <f>IF(OR(Resultados!$F489="",Resultados!$G489=""),"",(Resultados!$G489-Resultados!$F489)*Resultados!$E489)</f>
        <v>422.99999999999898</v>
      </c>
      <c r="I489" s="70">
        <f ca="1">IF(ISBLANK(Resultados!$C489),"",
IF(ROW()-1=3,Resultados!$H489,INDIRECT(ADDRESS(ROW()-1,COLUMN()))+Resultados!$H489))</f>
        <v>46290.714285714348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81">
        <v>44061</v>
      </c>
      <c r="C490" s="82">
        <v>44064</v>
      </c>
      <c r="D490" s="83" t="s">
        <v>52</v>
      </c>
      <c r="E490" s="84">
        <v>300</v>
      </c>
      <c r="F490" s="85">
        <v>63.31</v>
      </c>
      <c r="G490" s="85">
        <v>61.99</v>
      </c>
      <c r="H490" s="65">
        <f>IF(OR(Resultados!$F490="",Resultados!$G490=""),"",(Resultados!$G490-Resultados!$F490)*Resultados!$E490)</f>
        <v>-396.00000000000011</v>
      </c>
      <c r="I490" s="65">
        <f ca="1">IF(ISBLANK(Resultados!$C490),"",
IF(ROW()-1=3,Resultados!$H490,INDIRECT(ADDRESS(ROW()-1,COLUMN()))+Resultados!$H490))</f>
        <v>45894.714285714348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71">
        <v>44063</v>
      </c>
      <c r="C491" s="72">
        <v>44064</v>
      </c>
      <c r="D491" s="73" t="s">
        <v>88</v>
      </c>
      <c r="E491" s="74">
        <v>300</v>
      </c>
      <c r="F491" s="75">
        <v>35.39</v>
      </c>
      <c r="G491" s="75">
        <v>36.950000000000003</v>
      </c>
      <c r="H491" s="70">
        <f>IF(OR(Resultados!$F491="",Resultados!$G491=""),"",(Resultados!$G491-Resultados!$F491)*Resultados!$E491)</f>
        <v>468.00000000000068</v>
      </c>
      <c r="I491" s="70">
        <f ca="1">IF(ISBLANK(Resultados!$C491),"",
IF(ROW()-1=3,Resultados!$H491,INDIRECT(ADDRESS(ROW()-1,COLUMN()))+Resultados!$H491))</f>
        <v>46362.714285714348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91">
        <v>44061</v>
      </c>
      <c r="C492" s="92">
        <v>44067</v>
      </c>
      <c r="D492" s="93" t="s">
        <v>197</v>
      </c>
      <c r="E492" s="94">
        <v>300</v>
      </c>
      <c r="F492" s="95">
        <v>18.5</v>
      </c>
      <c r="G492" s="95">
        <v>19.48</v>
      </c>
      <c r="H492" s="65">
        <f>IF(OR(Resultados!$F492="",Resultados!$G492=""),"",(Resultados!$G492-Resultados!$F492)*Resultados!$E492)</f>
        <v>294.00000000000011</v>
      </c>
      <c r="I492" s="65">
        <f ca="1">IF(ISBLANK(Resultados!$C492),"",
IF(ROW()-1=3,Resultados!$H492,INDIRECT(ADDRESS(ROW()-1,COLUMN()))+Resultados!$H492))</f>
        <v>46656.714285714348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96">
        <v>44061</v>
      </c>
      <c r="C493" s="97">
        <v>44067</v>
      </c>
      <c r="D493" s="98" t="s">
        <v>89</v>
      </c>
      <c r="E493" s="99">
        <v>300</v>
      </c>
      <c r="F493" s="100">
        <v>37.51</v>
      </c>
      <c r="G493" s="100">
        <v>39</v>
      </c>
      <c r="H493" s="70">
        <f>IF(OR(Resultados!$F493="",Resultados!$G493=""),"",(Resultados!$G493-Resultados!$F493)*Resultados!$E493)</f>
        <v>447.00000000000057</v>
      </c>
      <c r="I493" s="70">
        <f ca="1">IF(ISBLANK(Resultados!$C493),"",
IF(ROW()-1=3,Resultados!$H493,INDIRECT(ADDRESS(ROW()-1,COLUMN()))+Resultados!$H493))</f>
        <v>47103.714285714348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91">
        <v>44061</v>
      </c>
      <c r="C494" s="92">
        <v>44069</v>
      </c>
      <c r="D494" s="93" t="s">
        <v>197</v>
      </c>
      <c r="E494" s="94">
        <v>300</v>
      </c>
      <c r="F494" s="95">
        <v>18.5</v>
      </c>
      <c r="G494" s="95">
        <v>18.38</v>
      </c>
      <c r="H494" s="65">
        <f>IF(OR(Resultados!$F494="",Resultados!$G494=""),"",(Resultados!$G494-Resultados!$F494)*Resultados!$E494)</f>
        <v>-36.000000000000298</v>
      </c>
      <c r="I494" s="65">
        <f ca="1">IF(ISBLANK(Resultados!$C494),"",
IF(ROW()-1=3,Resultados!$H494,INDIRECT(ADDRESS(ROW()-1,COLUMN()))+Resultados!$H494))</f>
        <v>47067.714285714348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96">
        <v>44061</v>
      </c>
      <c r="C495" s="97">
        <v>44069</v>
      </c>
      <c r="D495" s="98" t="s">
        <v>89</v>
      </c>
      <c r="E495" s="99">
        <v>300</v>
      </c>
      <c r="F495" s="100">
        <v>37.51</v>
      </c>
      <c r="G495" s="100">
        <v>38.840000000000003</v>
      </c>
      <c r="H495" s="70">
        <f>IF(OR(Resultados!$F495="",Resultados!$G495=""),"",(Resultados!$G495-Resultados!$F495)*Resultados!$E495)</f>
        <v>399.00000000000159</v>
      </c>
      <c r="I495" s="70">
        <f ca="1">IF(ISBLANK(Resultados!$C495),"",
IF(ROW()-1=3,Resultados!$H495,INDIRECT(ADDRESS(ROW()-1,COLUMN()))+Resultados!$H495))</f>
        <v>47466.714285714348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91">
        <v>44063</v>
      </c>
      <c r="C496" s="92">
        <v>44069</v>
      </c>
      <c r="D496" s="93" t="s">
        <v>88</v>
      </c>
      <c r="E496" s="94">
        <v>300</v>
      </c>
      <c r="F496" s="95">
        <v>35.39</v>
      </c>
      <c r="G496" s="95">
        <v>35.39</v>
      </c>
      <c r="H496" s="65">
        <f>IF(OR(Resultados!$F496="",Resultados!$G496=""),"",(Resultados!$G496-Resultados!$F496)*Resultados!$E496)</f>
        <v>0</v>
      </c>
      <c r="I496" s="65">
        <f ca="1">IF(ISBLANK(Resultados!$C496),"",
IF(ROW()-1=3,Resultados!$H496,INDIRECT(ADDRESS(ROW()-1,COLUMN()))+Resultados!$H496))</f>
        <v>47466.714285714348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96">
        <v>44034</v>
      </c>
      <c r="C497" s="97">
        <v>44069</v>
      </c>
      <c r="D497" s="98" t="s">
        <v>194</v>
      </c>
      <c r="E497" s="99">
        <v>1000</v>
      </c>
      <c r="F497" s="100">
        <v>7.81</v>
      </c>
      <c r="G497" s="100">
        <v>8.7899999999999991</v>
      </c>
      <c r="H497" s="70">
        <f>IF(OR(Resultados!$F497="",Resultados!$G497=""),"",(Resultados!$G497-Resultados!$F497)*Resultados!$E497)</f>
        <v>979.99999999999955</v>
      </c>
      <c r="I497" s="70">
        <f ca="1">IF(ISBLANK(Resultados!$C497),"",
IF(ROW()-1=3,Resultados!$H497,INDIRECT(ADDRESS(ROW()-1,COLUMN()))+Resultados!$H497))</f>
        <v>48446.714285714348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91">
        <v>44064</v>
      </c>
      <c r="C498" s="92">
        <v>44070</v>
      </c>
      <c r="D498" s="93" t="s">
        <v>148</v>
      </c>
      <c r="E498" s="94">
        <v>1000</v>
      </c>
      <c r="F498" s="95">
        <v>13.72</v>
      </c>
      <c r="G498" s="95">
        <v>12.59</v>
      </c>
      <c r="H498" s="65">
        <f>IF(OR(Resultados!$F498="",Resultados!$G498=""),"",(Resultados!$G498-Resultados!$F498)*Resultados!$E498)</f>
        <v>-1130.0000000000007</v>
      </c>
      <c r="I498" s="65">
        <f ca="1">IF(ISBLANK(Resultados!$C498),"",
IF(ROW()-1=3,Resultados!$H498,INDIRECT(ADDRESS(ROW()-1,COLUMN()))+Resultados!$H498))</f>
        <v>47316.714285714348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96">
        <v>44064</v>
      </c>
      <c r="C499" s="97">
        <v>44070</v>
      </c>
      <c r="D499" s="98" t="s">
        <v>152</v>
      </c>
      <c r="E499" s="99">
        <v>300</v>
      </c>
      <c r="F499" s="100">
        <v>20.87</v>
      </c>
      <c r="G499" s="100">
        <v>21.8</v>
      </c>
      <c r="H499" s="70">
        <f>IF(OR(Resultados!$F499="",Resultados!$G499=""),"",(Resultados!$G499-Resultados!$F499)*Resultados!$E499)</f>
        <v>278.99999999999989</v>
      </c>
      <c r="I499" s="70">
        <f ca="1">IF(ISBLANK(Resultados!$C499),"",
IF(ROW()-1=3,Resultados!$H499,INDIRECT(ADDRESS(ROW()-1,COLUMN()))+Resultados!$H499))</f>
        <v>47595.714285714348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91">
        <v>44064</v>
      </c>
      <c r="C500" s="92">
        <v>44074</v>
      </c>
      <c r="D500" s="93" t="s">
        <v>152</v>
      </c>
      <c r="E500" s="94">
        <v>300</v>
      </c>
      <c r="F500" s="95">
        <v>20.87</v>
      </c>
      <c r="G500" s="95">
        <v>21.74</v>
      </c>
      <c r="H500" s="65">
        <f>IF(OR(Resultados!$F500="",Resultados!$G500=""),"",(Resultados!$G500-Resultados!$F500)*Resultados!$E500)</f>
        <v>260.9999999999992</v>
      </c>
      <c r="I500" s="65">
        <f ca="1">IF(ISBLANK(Resultados!$C500),"",
IF(ROW()-1=3,Resultados!$H500,INDIRECT(ADDRESS(ROW()-1,COLUMN()))+Resultados!$H500))</f>
        <v>47856.714285714348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96">
        <v>44053</v>
      </c>
      <c r="C501" s="97">
        <v>44076</v>
      </c>
      <c r="D501" s="98" t="s">
        <v>151</v>
      </c>
      <c r="E501" s="99">
        <v>800</v>
      </c>
      <c r="F501" s="100">
        <v>8.7200000000000006</v>
      </c>
      <c r="G501" s="100">
        <v>10.98</v>
      </c>
      <c r="H501" s="70">
        <f>IF(OR(Resultados!$F501="",Resultados!$G501=""),"",(Resultados!$G501-Resultados!$F501)*Resultados!$E501)</f>
        <v>1807.9999999999998</v>
      </c>
      <c r="I501" s="70">
        <f ca="1">IF(ISBLANK(Resultados!$C501),"",
IF(ROW()-1=3,Resultados!$H501,INDIRECT(ADDRESS(ROW()-1,COLUMN()))+Resultados!$H501))</f>
        <v>49664.714285714348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91">
        <v>44075</v>
      </c>
      <c r="C502" s="92">
        <v>44076</v>
      </c>
      <c r="D502" s="93" t="s">
        <v>114</v>
      </c>
      <c r="E502" s="94">
        <v>500</v>
      </c>
      <c r="F502" s="95">
        <v>19.91</v>
      </c>
      <c r="G502" s="95">
        <v>20.73</v>
      </c>
      <c r="H502" s="65">
        <f>IF(OR(Resultados!$F502="",Resultados!$G502=""),"",(Resultados!$G502-Resultados!$F502)*Resultados!$E502)</f>
        <v>410.00000000000011</v>
      </c>
      <c r="I502" s="65">
        <f ca="1">IF(ISBLANK(Resultados!$C502),"",
IF(ROW()-1=3,Resultados!$H502,INDIRECT(ADDRESS(ROW()-1,COLUMN()))+Resultados!$H502))</f>
        <v>50074.714285714348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96">
        <v>44076</v>
      </c>
      <c r="C503" s="97">
        <v>44076</v>
      </c>
      <c r="D503" s="98" t="s">
        <v>155</v>
      </c>
      <c r="E503" s="99">
        <v>300</v>
      </c>
      <c r="F503" s="100">
        <v>26.18</v>
      </c>
      <c r="G503" s="100">
        <v>27.35</v>
      </c>
      <c r="H503" s="70">
        <f>IF(OR(Resultados!$F503="",Resultados!$G503=""),"",(Resultados!$G503-Resultados!$F503)*Resultados!$E503)</f>
        <v>351.00000000000051</v>
      </c>
      <c r="I503" s="70">
        <f ca="1">IF(ISBLANK(Resultados!$C503),"",
IF(ROW()-1=3,Resultados!$H503,INDIRECT(ADDRESS(ROW()-1,COLUMN()))+Resultados!$H503))</f>
        <v>50425.714285714348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91">
        <v>44075</v>
      </c>
      <c r="C504" s="92">
        <v>44078</v>
      </c>
      <c r="D504" s="93" t="s">
        <v>67</v>
      </c>
      <c r="E504" s="94">
        <v>500</v>
      </c>
      <c r="F504" s="95">
        <v>31.18</v>
      </c>
      <c r="G504" s="95">
        <v>30.49</v>
      </c>
      <c r="H504" s="65">
        <f>IF(OR(Resultados!$F504="",Resultados!$G504=""),"",(Resultados!$G504-Resultados!$F504)*Resultados!$E504)</f>
        <v>-345.00000000000063</v>
      </c>
      <c r="I504" s="65">
        <f ca="1">IF(ISBLANK(Resultados!$C504),"",
IF(ROW()-1=3,Resultados!$H504,INDIRECT(ADDRESS(ROW()-1,COLUMN()))+Resultados!$H504))</f>
        <v>50080.714285714348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96">
        <v>44077</v>
      </c>
      <c r="C505" s="97">
        <v>44078</v>
      </c>
      <c r="D505" s="98" t="s">
        <v>190</v>
      </c>
      <c r="E505" s="99">
        <v>200</v>
      </c>
      <c r="F505" s="100">
        <v>84.21</v>
      </c>
      <c r="G505" s="100">
        <v>79.91</v>
      </c>
      <c r="H505" s="70">
        <f>IF(OR(Resultados!$F505="",Resultados!$G505=""),"",(Resultados!$G505-Resultados!$F505)*Resultados!$E505)</f>
        <v>-859.99999999999943</v>
      </c>
      <c r="I505" s="70">
        <f ca="1">IF(ISBLANK(Resultados!$C505),"",
IF(ROW()-1=3,Resultados!$H505,INDIRECT(ADDRESS(ROW()-1,COLUMN()))+Resultados!$H505))</f>
        <v>49220.714285714348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91">
        <v>44076</v>
      </c>
      <c r="C506" s="92">
        <v>44078</v>
      </c>
      <c r="D506" s="93" t="s">
        <v>155</v>
      </c>
      <c r="E506" s="94">
        <v>200</v>
      </c>
      <c r="F506" s="95">
        <v>26.18</v>
      </c>
      <c r="G506" s="95">
        <v>24.4</v>
      </c>
      <c r="H506" s="65">
        <f>IF(OR(Resultados!$F506="",Resultados!$G506=""),"",(Resultados!$G506-Resultados!$F506)*Resultados!$E506)</f>
        <v>-356.00000000000023</v>
      </c>
      <c r="I506" s="65">
        <f ca="1">IF(ISBLANK(Resultados!$C506),"",
IF(ROW()-1=3,Resultados!$H506,INDIRECT(ADDRESS(ROW()-1,COLUMN()))+Resultados!$H506))</f>
        <v>48864.714285714348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96">
        <v>44076</v>
      </c>
      <c r="C507" s="97">
        <v>44078</v>
      </c>
      <c r="D507" s="98" t="s">
        <v>162</v>
      </c>
      <c r="E507" s="99">
        <v>400</v>
      </c>
      <c r="F507" s="100">
        <v>40.770000000000003</v>
      </c>
      <c r="G507" s="100">
        <v>38.15</v>
      </c>
      <c r="H507" s="70">
        <f>IF(OR(Resultados!$F507="",Resultados!$G507=""),"",(Resultados!$G507-Resultados!$F507)*Resultados!$E507)</f>
        <v>-1048.0000000000018</v>
      </c>
      <c r="I507" s="70">
        <f ca="1">IF(ISBLANK(Resultados!$C507),"",
IF(ROW()-1=3,Resultados!$H507,INDIRECT(ADDRESS(ROW()-1,COLUMN()))+Resultados!$H507))</f>
        <v>47816.714285714348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91">
        <v>44070</v>
      </c>
      <c r="C508" s="92">
        <v>44078</v>
      </c>
      <c r="D508" s="93" t="s">
        <v>169</v>
      </c>
      <c r="E508" s="94">
        <v>400</v>
      </c>
      <c r="F508" s="95">
        <v>20.54</v>
      </c>
      <c r="G508" s="95">
        <v>21.45</v>
      </c>
      <c r="H508" s="65">
        <f>IF(OR(Resultados!$F508="",Resultados!$G508=""),"",(Resultados!$G508-Resultados!$F508)*Resultados!$E508)</f>
        <v>364.00000000000006</v>
      </c>
      <c r="I508" s="65">
        <f ca="1">IF(ISBLANK(Resultados!$C508),"",
IF(ROW()-1=3,Resultados!$H508,INDIRECT(ADDRESS(ROW()-1,COLUMN()))+Resultados!$H508))</f>
        <v>48180.714285714348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96">
        <v>44062</v>
      </c>
      <c r="C509" s="97">
        <v>44084</v>
      </c>
      <c r="D509" s="98" t="s">
        <v>198</v>
      </c>
      <c r="E509" s="99">
        <v>800</v>
      </c>
      <c r="F509" s="100">
        <v>28.71</v>
      </c>
      <c r="G509" s="100">
        <v>28.79</v>
      </c>
      <c r="H509" s="70">
        <f>IF(OR(Resultados!$F509="",Resultados!$G509=""),"",(Resultados!$G509-Resultados!$F509)*Resultados!$E509)</f>
        <v>63.999999999998636</v>
      </c>
      <c r="I509" s="70">
        <f ca="1">IF(ISBLANK(Resultados!$C509),"",
IF(ROW()-1=3,Resultados!$H509,INDIRECT(ADDRESS(ROW()-1,COLUMN()))+Resultados!$H509))</f>
        <v>48244.714285714348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91">
        <v>44067</v>
      </c>
      <c r="C510" s="92">
        <v>44084</v>
      </c>
      <c r="D510" s="93" t="s">
        <v>199</v>
      </c>
      <c r="E510" s="94">
        <v>370</v>
      </c>
      <c r="F510" s="95">
        <v>98.57</v>
      </c>
      <c r="G510" s="95">
        <v>94.85</v>
      </c>
      <c r="H510" s="65">
        <f>IF(OR(Resultados!$F510="",Resultados!$G510=""),"",(Resultados!$G510-Resultados!$F510)*Resultados!$E510)</f>
        <v>-1376.3999999999996</v>
      </c>
      <c r="I510" s="65">
        <f ca="1">IF(ISBLANK(Resultados!$C510),"",
IF(ROW()-1=3,Resultados!$H510,INDIRECT(ADDRESS(ROW()-1,COLUMN()))+Resultados!$H510))</f>
        <v>46868.314285714347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96">
        <v>44075</v>
      </c>
      <c r="C511" s="97">
        <v>44084</v>
      </c>
      <c r="D511" s="98" t="s">
        <v>114</v>
      </c>
      <c r="E511" s="99">
        <v>400</v>
      </c>
      <c r="F511" s="100">
        <v>19.91</v>
      </c>
      <c r="G511" s="100">
        <v>20.49</v>
      </c>
      <c r="H511" s="70">
        <f>IF(OR(Resultados!$F511="",Resultados!$G511=""),"",(Resultados!$G511-Resultados!$F511)*Resultados!$E511)</f>
        <v>231.99999999999932</v>
      </c>
      <c r="I511" s="70">
        <f ca="1">IF(ISBLANK(Resultados!$C511),"",
IF(ROW()-1=3,Resultados!$H511,INDIRECT(ADDRESS(ROW()-1,COLUMN()))+Resultados!$H511))</f>
        <v>47100.314285714347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91">
        <v>44083</v>
      </c>
      <c r="C512" s="92">
        <v>44085</v>
      </c>
      <c r="D512" s="93" t="s">
        <v>53</v>
      </c>
      <c r="E512" s="94">
        <v>300</v>
      </c>
      <c r="F512" s="95">
        <v>60.01</v>
      </c>
      <c r="G512" s="95">
        <v>56.95</v>
      </c>
      <c r="H512" s="65">
        <f>IF(OR(Resultados!$F512="",Resultados!$G512=""),"",(Resultados!$G512-Resultados!$F512)*Resultados!$E512)</f>
        <v>-917.99999999999852</v>
      </c>
      <c r="I512" s="65">
        <f ca="1">IF(ISBLANK(Resultados!$C512),"",
IF(ROW()-1=3,Resultados!$H512,INDIRECT(ADDRESS(ROW()-1,COLUMN()))+Resultados!$H512))</f>
        <v>46182.314285714347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96">
        <v>44070</v>
      </c>
      <c r="C513" s="97">
        <v>44085</v>
      </c>
      <c r="D513" s="98" t="s">
        <v>169</v>
      </c>
      <c r="E513" s="99">
        <v>400</v>
      </c>
      <c r="F513" s="100">
        <v>20.54</v>
      </c>
      <c r="G513" s="100">
        <v>21.49</v>
      </c>
      <c r="H513" s="70">
        <f>IF(OR(Resultados!$F513="",Resultados!$G513=""),"",(Resultados!$G513-Resultados!$F513)*Resultados!$E513)</f>
        <v>379.99999999999972</v>
      </c>
      <c r="I513" s="70">
        <f ca="1">IF(ISBLANK(Resultados!$C513),"",
IF(ROW()-1=3,Resultados!$H513,INDIRECT(ADDRESS(ROW()-1,COLUMN()))+Resultados!$H513))</f>
        <v>46562.314285714347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91">
        <v>44084</v>
      </c>
      <c r="C514" s="92">
        <v>44085</v>
      </c>
      <c r="D514" s="93" t="s">
        <v>118</v>
      </c>
      <c r="E514" s="94">
        <v>900</v>
      </c>
      <c r="F514" s="95">
        <v>13.12</v>
      </c>
      <c r="G514" s="95">
        <v>11.88</v>
      </c>
      <c r="H514" s="65">
        <f>IF(OR(Resultados!$F514="",Resultados!$G514=""),"",(Resultados!$G514-Resultados!$F514)*Resultados!$E514)</f>
        <v>-1115.9999999999986</v>
      </c>
      <c r="I514" s="65">
        <f ca="1">IF(ISBLANK(Resultados!$C514),"",
IF(ROW()-1=3,Resultados!$H514,INDIRECT(ADDRESS(ROW()-1,COLUMN()))+Resultados!$H514))</f>
        <v>45446.314285714347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96">
        <v>44069</v>
      </c>
      <c r="C515" s="97">
        <v>44095</v>
      </c>
      <c r="D515" s="98" t="s">
        <v>200</v>
      </c>
      <c r="E515" s="99">
        <v>600</v>
      </c>
      <c r="F515" s="100">
        <v>2.0699999999999998</v>
      </c>
      <c r="G515" s="100">
        <v>2.0699999999999998</v>
      </c>
      <c r="H515" s="70">
        <f>IF(OR(Resultados!$F515="",Resultados!$G515=""),"",(Resultados!$G515-Resultados!$F515)*Resultados!$E515)</f>
        <v>0</v>
      </c>
      <c r="I515" s="70">
        <f ca="1">IF(ISBLANK(Resultados!$C515),"",
IF(ROW()-1=3,Resultados!$H515,INDIRECT(ADDRESS(ROW()-1,COLUMN()))+Resultados!$H515))</f>
        <v>45446.314285714347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91">
        <v>44098</v>
      </c>
      <c r="C516" s="92">
        <v>44102</v>
      </c>
      <c r="D516" s="93" t="s">
        <v>49</v>
      </c>
      <c r="E516" s="94">
        <v>700</v>
      </c>
      <c r="F516" s="95">
        <v>23.4</v>
      </c>
      <c r="G516" s="95">
        <v>22.43</v>
      </c>
      <c r="H516" s="65">
        <f>IF(OR(Resultados!$F516="",Resultados!$G516=""),"",(Resultados!$G516-Resultados!$F516)*Resultados!$E516)</f>
        <v>-678.9999999999992</v>
      </c>
      <c r="I516" s="65">
        <f ca="1">IF(ISBLANK(Resultados!$C516),"",
IF(ROW()-1=3,Resultados!$H516,INDIRECT(ADDRESS(ROW()-1,COLUMN()))+Resultados!$H516))</f>
        <v>44767.314285714347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96">
        <v>44099</v>
      </c>
      <c r="C517" s="97">
        <v>44102</v>
      </c>
      <c r="D517" s="98" t="s">
        <v>105</v>
      </c>
      <c r="E517" s="99">
        <v>300</v>
      </c>
      <c r="F517" s="100">
        <v>24.2</v>
      </c>
      <c r="G517" s="100">
        <v>24.86</v>
      </c>
      <c r="H517" s="70">
        <f>IF(OR(Resultados!$F517="",Resultados!$G517=""),"",(Resultados!$G517-Resultados!$F517)*Resultados!$E517)</f>
        <v>198.00000000000006</v>
      </c>
      <c r="I517" s="70">
        <f ca="1">IF(ISBLANK(Resultados!$C517),"",
IF(ROW()-1=3,Resultados!$H517,INDIRECT(ADDRESS(ROW()-1,COLUMN()))+Resultados!$H517))</f>
        <v>44965.314285714347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91">
        <v>44102</v>
      </c>
      <c r="C518" s="92">
        <v>44103</v>
      </c>
      <c r="D518" s="93" t="s">
        <v>162</v>
      </c>
      <c r="E518" s="94">
        <v>200</v>
      </c>
      <c r="F518" s="95">
        <v>34.619999999999997</v>
      </c>
      <c r="G518" s="95">
        <v>35.67</v>
      </c>
      <c r="H518" s="65">
        <f>IF(OR(Resultados!$F518="",Resultados!$G518=""),"",(Resultados!$G518-Resultados!$F518)*Resultados!$E518)</f>
        <v>210.00000000000085</v>
      </c>
      <c r="I518" s="65">
        <f ca="1">IF(ISBLANK(Resultados!$C518),"",
IF(ROW()-1=3,Resultados!$H518,INDIRECT(ADDRESS(ROW()-1,COLUMN()))+Resultados!$H518))</f>
        <v>45175.314285714347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96">
        <v>44102</v>
      </c>
      <c r="C519" s="97">
        <v>44104</v>
      </c>
      <c r="D519" s="98" t="s">
        <v>162</v>
      </c>
      <c r="E519" s="99">
        <v>200</v>
      </c>
      <c r="F519" s="100">
        <v>35.61</v>
      </c>
      <c r="G519" s="100">
        <v>35.67</v>
      </c>
      <c r="H519" s="70">
        <f>IF(OR(Resultados!$F519="",Resultados!$G519=""),"",(Resultados!$G519-Resultados!$F519)*Resultados!$E519)</f>
        <v>12.000000000000455</v>
      </c>
      <c r="I519" s="70">
        <f ca="1">IF(ISBLANK(Resultados!$C519),"",
IF(ROW()-1=3,Resultados!$H519,INDIRECT(ADDRESS(ROW()-1,COLUMN()))+Resultados!$H519))</f>
        <v>45187.314285714347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91">
        <v>44099</v>
      </c>
      <c r="C520" s="92">
        <v>44105</v>
      </c>
      <c r="D520" s="93" t="s">
        <v>105</v>
      </c>
      <c r="E520" s="94">
        <v>300</v>
      </c>
      <c r="F520" s="95">
        <v>24.22</v>
      </c>
      <c r="G520" s="95">
        <v>24.86</v>
      </c>
      <c r="H520" s="65">
        <f>IF(OR(Resultados!$F520="",Resultados!$G520=""),"",(Resultados!$G520-Resultados!$F520)*Resultados!$E520)</f>
        <v>192.00000000000017</v>
      </c>
      <c r="I520" s="65">
        <f ca="1">IF(ISBLANK(Resultados!$C520),"",
IF(ROW()-1=3,Resultados!$H520,INDIRECT(ADDRESS(ROW()-1,COLUMN()))+Resultados!$H520))</f>
        <v>45379.314285714347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96">
        <v>44102</v>
      </c>
      <c r="C521" s="97">
        <v>44105</v>
      </c>
      <c r="D521" s="98" t="s">
        <v>150</v>
      </c>
      <c r="E521" s="99">
        <v>200</v>
      </c>
      <c r="F521" s="100">
        <v>27.35</v>
      </c>
      <c r="G521" s="100">
        <v>28.07</v>
      </c>
      <c r="H521" s="70">
        <f>IF(OR(Resultados!$F521="",Resultados!$G521=""),"",(Resultados!$G521-Resultados!$F521)*Resultados!$E521)</f>
        <v>143.99999999999977</v>
      </c>
      <c r="I521" s="70">
        <f ca="1">IF(ISBLANK(Resultados!$C521),"",
IF(ROW()-1=3,Resultados!$H521,INDIRECT(ADDRESS(ROW()-1,COLUMN()))+Resultados!$H521))</f>
        <v>45523.314285714347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91">
        <v>44102</v>
      </c>
      <c r="C522" s="92">
        <v>44109</v>
      </c>
      <c r="D522" s="93" t="s">
        <v>196</v>
      </c>
      <c r="E522" s="94">
        <v>100</v>
      </c>
      <c r="F522" s="95">
        <v>65.41</v>
      </c>
      <c r="G522" s="95">
        <v>67.89</v>
      </c>
      <c r="H522" s="65">
        <f>IF(OR(Resultados!$F522="",Resultados!$G522=""),"",(Resultados!$G522-Resultados!$F522)*Resultados!$E522)</f>
        <v>248.0000000000004</v>
      </c>
      <c r="I522" s="65">
        <f ca="1">IF(ISBLANK(Resultados!$C522),"",
IF(ROW()-1=3,Resultados!$H522,INDIRECT(ADDRESS(ROW()-1,COLUMN()))+Resultados!$H522))</f>
        <v>45771.314285714347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96">
        <v>44105</v>
      </c>
      <c r="C523" s="97">
        <v>44109</v>
      </c>
      <c r="D523" s="98" t="s">
        <v>152</v>
      </c>
      <c r="E523" s="99">
        <v>300</v>
      </c>
      <c r="F523" s="100">
        <v>19.100000000000001</v>
      </c>
      <c r="G523" s="100">
        <v>19.88</v>
      </c>
      <c r="H523" s="70">
        <f>IF(OR(Resultados!$F523="",Resultados!$G523=""),"",(Resultados!$G523-Resultados!$F523)*Resultados!$E523)</f>
        <v>233.99999999999926</v>
      </c>
      <c r="I523" s="70">
        <f ca="1">IF(ISBLANK(Resultados!$C523),"",
IF(ROW()-1=3,Resultados!$H523,INDIRECT(ADDRESS(ROW()-1,COLUMN()))+Resultados!$H523))</f>
        <v>46005.314285714347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91">
        <v>44109</v>
      </c>
      <c r="C524" s="92">
        <v>44110</v>
      </c>
      <c r="D524" s="93" t="s">
        <v>201</v>
      </c>
      <c r="E524" s="94">
        <v>500</v>
      </c>
      <c r="F524" s="95">
        <v>12.61</v>
      </c>
      <c r="G524" s="95">
        <v>13.29</v>
      </c>
      <c r="H524" s="65">
        <f>IF(OR(Resultados!$F524="",Resultados!$G524=""),"",(Resultados!$G524-Resultados!$F524)*Resultados!$E524)</f>
        <v>339.99999999999989</v>
      </c>
      <c r="I524" s="65">
        <f ca="1">IF(ISBLANK(Resultados!$C524),"",
IF(ROW()-1=3,Resultados!$H524,INDIRECT(ADDRESS(ROW()-1,COLUMN()))+Resultados!$H524))</f>
        <v>46345.314285714347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96">
        <v>44102</v>
      </c>
      <c r="C525" s="97">
        <v>44111</v>
      </c>
      <c r="D525" s="98" t="s">
        <v>150</v>
      </c>
      <c r="E525" s="99">
        <v>100</v>
      </c>
      <c r="F525" s="100">
        <v>28.26</v>
      </c>
      <c r="G525" s="100">
        <v>28.07</v>
      </c>
      <c r="H525" s="70">
        <f>IF(OR(Resultados!$F525="",Resultados!$G525=""),"",(Resultados!$G525-Resultados!$F525)*Resultados!$E525)</f>
        <v>-19.000000000000128</v>
      </c>
      <c r="I525" s="70">
        <f ca="1">IF(ISBLANK(Resultados!$C525),"",
IF(ROW()-1=3,Resultados!$H525,INDIRECT(ADDRESS(ROW()-1,COLUMN()))+Resultados!$H525))</f>
        <v>46326.314285714347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91">
        <v>44102</v>
      </c>
      <c r="C526" s="92">
        <v>44111</v>
      </c>
      <c r="D526" s="93" t="s">
        <v>196</v>
      </c>
      <c r="E526" s="94">
        <v>100</v>
      </c>
      <c r="F526" s="95">
        <v>65.41</v>
      </c>
      <c r="G526" s="95">
        <v>72.489999999999995</v>
      </c>
      <c r="H526" s="65">
        <f>IF(OR(Resultados!$F526="",Resultados!$G526=""),"",(Resultados!$G526-Resultados!$F526)*Resultados!$E526)</f>
        <v>707.99999999999977</v>
      </c>
      <c r="I526" s="65">
        <f ca="1">IF(ISBLANK(Resultados!$C526),"",
IF(ROW()-1=3,Resultados!$H526,INDIRECT(ADDRESS(ROW()-1,COLUMN()))+Resultados!$H526))</f>
        <v>47034.314285714347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96">
        <v>44104</v>
      </c>
      <c r="C527" s="97">
        <v>44111</v>
      </c>
      <c r="D527" s="98" t="s">
        <v>109</v>
      </c>
      <c r="E527" s="99">
        <v>300</v>
      </c>
      <c r="F527" s="100">
        <v>33.92</v>
      </c>
      <c r="G527" s="100">
        <v>31.58</v>
      </c>
      <c r="H527" s="70">
        <f>IF(OR(Resultados!$F527="",Resultados!$G527=""),"",(Resultados!$G527-Resultados!$F527)*Resultados!$E527)</f>
        <v>-702.00000000000102</v>
      </c>
      <c r="I527" s="70">
        <f ca="1">IF(ISBLANK(Resultados!$C527),"",
IF(ROW()-1=3,Resultados!$H527,INDIRECT(ADDRESS(ROW()-1,COLUMN()))+Resultados!$H527))</f>
        <v>46332.314285714347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91">
        <v>44099</v>
      </c>
      <c r="C528" s="92">
        <v>44113</v>
      </c>
      <c r="D528" s="93" t="s">
        <v>94</v>
      </c>
      <c r="E528" s="94">
        <v>100</v>
      </c>
      <c r="F528" s="95">
        <v>90.23</v>
      </c>
      <c r="G528" s="95">
        <v>94.86</v>
      </c>
      <c r="H528" s="65">
        <f>IF(OR(Resultados!$F528="",Resultados!$G528=""),"",(Resultados!$G528-Resultados!$F528)*Resultados!$E528)</f>
        <v>462.99999999999955</v>
      </c>
      <c r="I528" s="65">
        <f ca="1">IF(ISBLANK(Resultados!$C528),"",
IF(ROW()-1=3,Resultados!$H528,INDIRECT(ADDRESS(ROW()-1,COLUMN()))+Resultados!$H528))</f>
        <v>46795.314285714347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96">
        <v>44112</v>
      </c>
      <c r="C529" s="97">
        <v>44113</v>
      </c>
      <c r="D529" s="98" t="s">
        <v>83</v>
      </c>
      <c r="E529" s="99">
        <v>400</v>
      </c>
      <c r="F529" s="100">
        <v>11.76</v>
      </c>
      <c r="G529" s="100">
        <v>12.24</v>
      </c>
      <c r="H529" s="70">
        <f>IF(OR(Resultados!$F529="",Resultados!$G529=""),"",(Resultados!$G529-Resultados!$F529)*Resultados!$E529)</f>
        <v>192.00000000000017</v>
      </c>
      <c r="I529" s="70">
        <f ca="1">IF(ISBLANK(Resultados!$C529),"",
IF(ROW()-1=3,Resultados!$H529,INDIRECT(ADDRESS(ROW()-1,COLUMN()))+Resultados!$H529))</f>
        <v>46987.314285714347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91">
        <v>44109</v>
      </c>
      <c r="C530" s="92">
        <v>44117</v>
      </c>
      <c r="D530" s="93" t="s">
        <v>104</v>
      </c>
      <c r="E530" s="94">
        <v>300</v>
      </c>
      <c r="F530" s="95">
        <v>18.309999999999999</v>
      </c>
      <c r="G530" s="95">
        <v>19.239999999999998</v>
      </c>
      <c r="H530" s="65">
        <f>IF(OR(Resultados!$F530="",Resultados!$G530=""),"",(Resultados!$G530-Resultados!$F530)*Resultados!$E530)</f>
        <v>278.99999999999989</v>
      </c>
      <c r="I530" s="65">
        <f ca="1">IF(ISBLANK(Resultados!$C530),"",
IF(ROW()-1=3,Resultados!$H530,INDIRECT(ADDRESS(ROW()-1,COLUMN()))+Resultados!$H530))</f>
        <v>47266.314285714347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96">
        <v>44099</v>
      </c>
      <c r="C531" s="97">
        <v>44117</v>
      </c>
      <c r="D531" s="98" t="s">
        <v>94</v>
      </c>
      <c r="E531" s="99">
        <v>100</v>
      </c>
      <c r="F531" s="100">
        <v>90.23</v>
      </c>
      <c r="G531" s="100">
        <v>101.89</v>
      </c>
      <c r="H531" s="70">
        <f>IF(OR(Resultados!$F531="",Resultados!$G531=""),"",(Resultados!$G531-Resultados!$F531)*Resultados!$E531)</f>
        <v>1165.9999999999995</v>
      </c>
      <c r="I531" s="70">
        <f ca="1">IF(ISBLANK(Resultados!$C531),"",
IF(ROW()-1=3,Resultados!$H531,INDIRECT(ADDRESS(ROW()-1,COLUMN()))+Resultados!$H531))</f>
        <v>48432.314285714347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91">
        <v>44109</v>
      </c>
      <c r="C532" s="92">
        <v>44117</v>
      </c>
      <c r="D532" s="93" t="s">
        <v>201</v>
      </c>
      <c r="E532" s="94">
        <v>400</v>
      </c>
      <c r="F532" s="95">
        <v>12.61</v>
      </c>
      <c r="G532" s="95">
        <v>13.49</v>
      </c>
      <c r="H532" s="65">
        <f>IF(OR(Resultados!$F532="",Resultados!$G532=""),"",(Resultados!$G532-Resultados!$F532)*Resultados!$E532)</f>
        <v>352.00000000000034</v>
      </c>
      <c r="I532" s="65">
        <f ca="1">IF(ISBLANK(Resultados!$C532),"",
IF(ROW()-1=3,Resultados!$H532,INDIRECT(ADDRESS(ROW()-1,COLUMN()))+Resultados!$H532))</f>
        <v>48784.314285714347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96">
        <v>44117</v>
      </c>
      <c r="C533" s="97">
        <v>44120</v>
      </c>
      <c r="D533" s="98" t="s">
        <v>71</v>
      </c>
      <c r="E533" s="99">
        <v>200</v>
      </c>
      <c r="F533" s="100">
        <v>67.010000000000005</v>
      </c>
      <c r="G533" s="100">
        <v>65.989999999999995</v>
      </c>
      <c r="H533" s="70">
        <f>IF(OR(Resultados!$F533="",Resultados!$G533=""),"",(Resultados!$G533-Resultados!$F533)*Resultados!$E533)</f>
        <v>-204.00000000000205</v>
      </c>
      <c r="I533" s="70">
        <f ca="1">IF(ISBLANK(Resultados!$C533),"",
IF(ROW()-1=3,Resultados!$H533,INDIRECT(ADDRESS(ROW()-1,COLUMN()))+Resultados!$H533))</f>
        <v>48580.314285714347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91">
        <v>44117</v>
      </c>
      <c r="C534" s="92">
        <v>44120</v>
      </c>
      <c r="D534" s="93" t="s">
        <v>156</v>
      </c>
      <c r="E534" s="94">
        <v>200</v>
      </c>
      <c r="F534" s="95">
        <v>46.43</v>
      </c>
      <c r="G534" s="95">
        <v>48.44</v>
      </c>
      <c r="H534" s="65">
        <f>IF(OR(Resultados!$F534="",Resultados!$G534=""),"",(Resultados!$G534-Resultados!$F534)*Resultados!$E534)</f>
        <v>401.9999999999996</v>
      </c>
      <c r="I534" s="65">
        <f ca="1">IF(ISBLANK(Resultados!$C534),"",
IF(ROW()-1=3,Resultados!$H534,INDIRECT(ADDRESS(ROW()-1,COLUMN()))+Resultados!$H534))</f>
        <v>48982.314285714347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96">
        <v>44112</v>
      </c>
      <c r="C535" s="97">
        <v>44123</v>
      </c>
      <c r="D535" s="98" t="s">
        <v>83</v>
      </c>
      <c r="E535" s="99">
        <v>400</v>
      </c>
      <c r="F535" s="100">
        <v>11.76</v>
      </c>
      <c r="G535" s="100">
        <v>11.99</v>
      </c>
      <c r="H535" s="70">
        <f>IF(OR(Resultados!$F535="",Resultados!$G535=""),"",(Resultados!$G535-Resultados!$F535)*Resultados!$E535)</f>
        <v>92.000000000000171</v>
      </c>
      <c r="I535" s="70">
        <f ca="1">IF(ISBLANK(Resultados!$C535),"",
IF(ROW()-1=3,Resultados!$H535,INDIRECT(ADDRESS(ROW()-1,COLUMN()))+Resultados!$H535))</f>
        <v>49074.314285714347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91">
        <v>44105</v>
      </c>
      <c r="C536" s="92">
        <v>44123</v>
      </c>
      <c r="D536" s="93" t="s">
        <v>152</v>
      </c>
      <c r="E536" s="94">
        <v>300</v>
      </c>
      <c r="F536" s="95">
        <v>19.100000000000001</v>
      </c>
      <c r="G536" s="95">
        <v>19.989999999999998</v>
      </c>
      <c r="H536" s="65">
        <f>IF(OR(Resultados!$F536="",Resultados!$G536=""),"",(Resultados!$G536-Resultados!$F536)*Resultados!$E536)</f>
        <v>266.99999999999909</v>
      </c>
      <c r="I536" s="65">
        <f ca="1">IF(ISBLANK(Resultados!$C536),"",
IF(ROW()-1=3,Resultados!$H536,INDIRECT(ADDRESS(ROW()-1,COLUMN()))+Resultados!$H536))</f>
        <v>49341.314285714347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96">
        <v>44119</v>
      </c>
      <c r="C537" s="97">
        <v>44126</v>
      </c>
      <c r="D537" s="98" t="s">
        <v>77</v>
      </c>
      <c r="E537" s="99">
        <v>600</v>
      </c>
      <c r="F537" s="100">
        <v>20.64</v>
      </c>
      <c r="G537" s="100">
        <v>19.54</v>
      </c>
      <c r="H537" s="70">
        <f>IF(OR(Resultados!$F537="",Resultados!$G537=""),"",(Resultados!$G537-Resultados!$F537)*Resultados!$E537)</f>
        <v>-660.00000000000091</v>
      </c>
      <c r="I537" s="70">
        <f ca="1">IF(ISBLANK(Resultados!$C537),"",
IF(ROW()-1=3,Resultados!$H537,INDIRECT(ADDRESS(ROW()-1,COLUMN()))+Resultados!$H537))</f>
        <v>48681.314285714347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91">
        <v>44112</v>
      </c>
      <c r="C538" s="92">
        <v>44126</v>
      </c>
      <c r="D538" s="93" t="s">
        <v>166</v>
      </c>
      <c r="E538" s="94">
        <v>700</v>
      </c>
      <c r="F538" s="95">
        <v>8.65</v>
      </c>
      <c r="G538" s="95">
        <v>8.94</v>
      </c>
      <c r="H538" s="65">
        <f>IF(OR(Resultados!$F538="",Resultados!$G538=""),"",(Resultados!$G538-Resultados!$F538)*Resultados!$E538)</f>
        <v>202.9999999999994</v>
      </c>
      <c r="I538" s="65">
        <f ca="1">IF(ISBLANK(Resultados!$C538),"",
IF(ROW()-1=3,Resultados!$H538,INDIRECT(ADDRESS(ROW()-1,COLUMN()))+Resultados!$H538))</f>
        <v>48884.314285714347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96">
        <v>44124</v>
      </c>
      <c r="C539" s="97">
        <v>44126</v>
      </c>
      <c r="D539" s="98" t="s">
        <v>202</v>
      </c>
      <c r="E539" s="99">
        <v>600</v>
      </c>
      <c r="F539" s="100">
        <v>22.57</v>
      </c>
      <c r="G539" s="100">
        <v>22.94</v>
      </c>
      <c r="H539" s="70">
        <f>IF(OR(Resultados!$F539="",Resultados!$G539=""),"",(Resultados!$G539-Resultados!$F539)*Resultados!$E539)</f>
        <v>222.0000000000006</v>
      </c>
      <c r="I539" s="70">
        <f ca="1">IF(ISBLANK(Resultados!$C539),"",
IF(ROW()-1=3,Resultados!$H539,INDIRECT(ADDRESS(ROW()-1,COLUMN()))+Resultados!$H539))</f>
        <v>49106.314285714347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91">
        <v>44118</v>
      </c>
      <c r="C540" s="92">
        <v>44127</v>
      </c>
      <c r="D540" s="93" t="s">
        <v>70</v>
      </c>
      <c r="E540" s="94">
        <v>200</v>
      </c>
      <c r="F540" s="95">
        <v>56.53</v>
      </c>
      <c r="G540" s="95">
        <v>54.99</v>
      </c>
      <c r="H540" s="65">
        <f>IF(OR(Resultados!$F540="",Resultados!$G540=""),"",(Resultados!$G540-Resultados!$F540)*Resultados!$E540)</f>
        <v>-307.99999999999983</v>
      </c>
      <c r="I540" s="65">
        <f ca="1">IF(ISBLANK(Resultados!$C540),"",
IF(ROW()-1=3,Resultados!$H540,INDIRECT(ADDRESS(ROW()-1,COLUMN()))+Resultados!$H540))</f>
        <v>48798.314285714347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96">
        <v>44125</v>
      </c>
      <c r="C541" s="97">
        <v>44130</v>
      </c>
      <c r="D541" s="98" t="s">
        <v>149</v>
      </c>
      <c r="E541" s="99">
        <v>300</v>
      </c>
      <c r="F541" s="100">
        <v>32.28</v>
      </c>
      <c r="G541" s="100">
        <v>33.44</v>
      </c>
      <c r="H541" s="70">
        <f>IF(OR(Resultados!$F541="",Resultados!$G541=""),"",(Resultados!$G541-Resultados!$F541)*Resultados!$E541)</f>
        <v>347.99999999999898</v>
      </c>
      <c r="I541" s="70">
        <f ca="1">IF(ISBLANK(Resultados!$C541),"",
IF(ROW()-1=3,Resultados!$H541,INDIRECT(ADDRESS(ROW()-1,COLUMN()))+Resultados!$H541))</f>
        <v>49146.314285714347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91">
        <v>44110</v>
      </c>
      <c r="C542" s="92">
        <v>44130</v>
      </c>
      <c r="D542" s="93" t="s">
        <v>104</v>
      </c>
      <c r="E542" s="94">
        <v>200</v>
      </c>
      <c r="F542" s="95">
        <v>18.309999999999999</v>
      </c>
      <c r="G542" s="95">
        <v>19.489999999999998</v>
      </c>
      <c r="H542" s="65">
        <f>IF(OR(Resultados!$F542="",Resultados!$G542=""),"",(Resultados!$G542-Resultados!$F542)*Resultados!$E542)</f>
        <v>235.99999999999994</v>
      </c>
      <c r="I542" s="65">
        <f ca="1">IF(ISBLANK(Resultados!$C542),"",
IF(ROW()-1=3,Resultados!$H542,INDIRECT(ADDRESS(ROW()-1,COLUMN()))+Resultados!$H542))</f>
        <v>49382.314285714347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96">
        <v>44124</v>
      </c>
      <c r="C543" s="97">
        <v>44131</v>
      </c>
      <c r="D543" s="98" t="s">
        <v>72</v>
      </c>
      <c r="E543" s="99">
        <v>400</v>
      </c>
      <c r="F543" s="100">
        <v>30.76</v>
      </c>
      <c r="G543" s="100">
        <v>28.72</v>
      </c>
      <c r="H543" s="70">
        <f>IF(OR(Resultados!$F543="",Resultados!$G543=""),"",(Resultados!$G543-Resultados!$F543)*Resultados!$E543)</f>
        <v>-816.00000000000114</v>
      </c>
      <c r="I543" s="70">
        <f ca="1">IF(ISBLANK(Resultados!$C543),"",
IF(ROW()-1=3,Resultados!$H543,INDIRECT(ADDRESS(ROW()-1,COLUMN()))+Resultados!$H543))</f>
        <v>48566.314285714347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91">
        <v>44112</v>
      </c>
      <c r="C544" s="92">
        <v>44131</v>
      </c>
      <c r="D544" s="93" t="s">
        <v>166</v>
      </c>
      <c r="E544" s="94">
        <v>700</v>
      </c>
      <c r="F544" s="95">
        <v>8.65</v>
      </c>
      <c r="G544" s="95">
        <v>8.39</v>
      </c>
      <c r="H544" s="65">
        <f>IF(OR(Resultados!$F544="",Resultados!$G544=""),"",(Resultados!$G544-Resultados!$F544)*Resultados!$E544)</f>
        <v>-181.99999999999986</v>
      </c>
      <c r="I544" s="65">
        <f ca="1">IF(ISBLANK(Resultados!$C544),"",
IF(ROW()-1=3,Resultados!$H544,INDIRECT(ADDRESS(ROW()-1,COLUMN()))+Resultados!$H544))</f>
        <v>48384.314285714347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96">
        <v>44124</v>
      </c>
      <c r="C545" s="97">
        <v>44131</v>
      </c>
      <c r="D545" s="98" t="s">
        <v>202</v>
      </c>
      <c r="E545" s="99">
        <v>500</v>
      </c>
      <c r="F545" s="100">
        <v>22.57</v>
      </c>
      <c r="G545" s="100">
        <v>23.79</v>
      </c>
      <c r="H545" s="70">
        <f>IF(OR(Resultados!$F545="",Resultados!$G545=""),"",(Resultados!$G545-Resultados!$F545)*Resultados!$E545)</f>
        <v>609.99999999999943</v>
      </c>
      <c r="I545" s="70">
        <f ca="1">IF(ISBLANK(Resultados!$C545),"",
IF(ROW()-1=3,Resultados!$H545,INDIRECT(ADDRESS(ROW()-1,COLUMN()))+Resultados!$H545))</f>
        <v>48994.314285714347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91">
        <v>44117</v>
      </c>
      <c r="C546" s="92">
        <v>44132</v>
      </c>
      <c r="D546" s="93" t="s">
        <v>203</v>
      </c>
      <c r="E546" s="94">
        <v>500</v>
      </c>
      <c r="F546" s="95">
        <v>24.62</v>
      </c>
      <c r="G546" s="95">
        <v>23.5</v>
      </c>
      <c r="H546" s="65">
        <f>IF(OR(Resultados!$F546="",Resultados!$G546=""),"",(Resultados!$G546-Resultados!$F546)*Resultados!$E546)</f>
        <v>-560.00000000000045</v>
      </c>
      <c r="I546" s="65">
        <f ca="1">IF(ISBLANK(Resultados!$C546),"",
IF(ROW()-1=3,Resultados!$H546,INDIRECT(ADDRESS(ROW()-1,COLUMN()))+Resultados!$H546))</f>
        <v>48434.314285714347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96">
        <v>44124</v>
      </c>
      <c r="C547" s="97">
        <v>44132</v>
      </c>
      <c r="D547" s="98" t="s">
        <v>199</v>
      </c>
      <c r="E547" s="99">
        <v>260</v>
      </c>
      <c r="F547" s="100">
        <v>96.62</v>
      </c>
      <c r="G547" s="100">
        <v>94</v>
      </c>
      <c r="H547" s="70">
        <f>IF(OR(Resultados!$F547="",Resultados!$G547=""),"",(Resultados!$G547-Resultados!$F547)*Resultados!$E547)</f>
        <v>-681.20000000000118</v>
      </c>
      <c r="I547" s="70">
        <f ca="1">IF(ISBLANK(Resultados!$C547),"",
IF(ROW()-1=3,Resultados!$H547,INDIRECT(ADDRESS(ROW()-1,COLUMN()))+Resultados!$H547))</f>
        <v>47753.114285714342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91">
        <v>44125</v>
      </c>
      <c r="C548" s="92">
        <v>44132</v>
      </c>
      <c r="D548" s="93" t="s">
        <v>149</v>
      </c>
      <c r="E548" s="94">
        <v>300</v>
      </c>
      <c r="F548" s="95">
        <v>32.28</v>
      </c>
      <c r="G548" s="95">
        <v>32.17</v>
      </c>
      <c r="H548" s="65">
        <f>IF(OR(Resultados!$F548="",Resultados!$G548=""),"",(Resultados!$G548-Resultados!$F548)*Resultados!$E548)</f>
        <v>-32.999999999999829</v>
      </c>
      <c r="I548" s="65">
        <f ca="1">IF(ISBLANK(Resultados!$C548),"",
IF(ROW()-1=3,Resultados!$H548,INDIRECT(ADDRESS(ROW()-1,COLUMN()))+Resultados!$H548))</f>
        <v>47720.114285714342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96">
        <v>44117</v>
      </c>
      <c r="C549" s="97">
        <v>44132</v>
      </c>
      <c r="D549" s="98" t="s">
        <v>156</v>
      </c>
      <c r="E549" s="99">
        <v>200</v>
      </c>
      <c r="F549" s="100">
        <v>46.43</v>
      </c>
      <c r="G549" s="100">
        <v>46.79</v>
      </c>
      <c r="H549" s="70">
        <f>IF(OR(Resultados!$F549="",Resultados!$G549=""),"",(Resultados!$G549-Resultados!$F549)*Resultados!$E549)</f>
        <v>71.999999999999886</v>
      </c>
      <c r="I549" s="70">
        <f ca="1">IF(ISBLANK(Resultados!$C549),"",
IF(ROW()-1=3,Resultados!$H549,INDIRECT(ADDRESS(ROW()-1,COLUMN()))+Resultados!$H549))</f>
        <v>47792.114285714342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91">
        <v>44130</v>
      </c>
      <c r="C550" s="92">
        <v>44133</v>
      </c>
      <c r="D550" s="93" t="s">
        <v>145</v>
      </c>
      <c r="E550" s="94">
        <v>200</v>
      </c>
      <c r="F550" s="95">
        <v>67.86</v>
      </c>
      <c r="G550" s="95">
        <v>63.06</v>
      </c>
      <c r="H550" s="65">
        <f>IF(OR(Resultados!$F550="",Resultados!$G550=""),"",(Resultados!$G550-Resultados!$F550)*Resultados!$E550)</f>
        <v>-959.99999999999943</v>
      </c>
      <c r="I550" s="65">
        <f ca="1">IF(ISBLANK(Resultados!$C550),"",
IF(ROW()-1=3,Resultados!$H550,INDIRECT(ADDRESS(ROW()-1,COLUMN()))+Resultados!$H550))</f>
        <v>46832.114285714342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96">
        <v>44148</v>
      </c>
      <c r="C551" s="97">
        <v>44151</v>
      </c>
      <c r="D551" s="98" t="s">
        <v>46</v>
      </c>
      <c r="E551" s="99">
        <v>500</v>
      </c>
      <c r="F551" s="100">
        <v>13.82</v>
      </c>
      <c r="G551" s="100">
        <v>14.09</v>
      </c>
      <c r="H551" s="70">
        <f>IF(OR(Resultados!$F551="",Resultados!$G551=""),"",(Resultados!$G551-Resultados!$F551)*Resultados!$E551)</f>
        <v>134.99999999999977</v>
      </c>
      <c r="I551" s="70">
        <f ca="1">IF(ISBLANK(Resultados!$C551),"",
IF(ROW()-1=3,Resultados!$H551,INDIRECT(ADDRESS(ROW()-1,COLUMN()))+Resultados!$H551))</f>
        <v>46967.114285714342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91">
        <v>44148</v>
      </c>
      <c r="C552" s="92">
        <v>44151</v>
      </c>
      <c r="D552" s="93" t="s">
        <v>67</v>
      </c>
      <c r="E552" s="94">
        <v>200</v>
      </c>
      <c r="F552" s="95">
        <v>28.56</v>
      </c>
      <c r="G552" s="95">
        <v>29.34</v>
      </c>
      <c r="H552" s="65">
        <f>IF(OR(Resultados!$F552="",Resultados!$G552=""),"",(Resultados!$G552-Resultados!$F552)*Resultados!$E552)</f>
        <v>156.00000000000023</v>
      </c>
      <c r="I552" s="65">
        <f ca="1">IF(ISBLANK(Resultados!$C552),"",
IF(ROW()-1=3,Resultados!$H552,INDIRECT(ADDRESS(ROW()-1,COLUMN()))+Resultados!$H552))</f>
        <v>47123.114285714342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96">
        <v>44151</v>
      </c>
      <c r="C553" s="97">
        <v>44152</v>
      </c>
      <c r="D553" s="98" t="s">
        <v>52</v>
      </c>
      <c r="E553" s="99">
        <v>100</v>
      </c>
      <c r="F553" s="100">
        <v>64.069999999999993</v>
      </c>
      <c r="G553" s="100">
        <v>68</v>
      </c>
      <c r="H553" s="70">
        <f>IF(OR(Resultados!$F553="",Resultados!$G553=""),"",(Resultados!$G553-Resultados!$F553)*Resultados!$E553)</f>
        <v>393.00000000000068</v>
      </c>
      <c r="I553" s="70">
        <f ca="1">IF(ISBLANK(Resultados!$C553),"",
IF(ROW()-1=3,Resultados!$H553,INDIRECT(ADDRESS(ROW()-1,COLUMN()))+Resultados!$H553))</f>
        <v>47516.114285714342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91">
        <v>44151</v>
      </c>
      <c r="C554" s="92">
        <v>44153</v>
      </c>
      <c r="D554" s="93" t="s">
        <v>87</v>
      </c>
      <c r="E554" s="94">
        <v>300</v>
      </c>
      <c r="F554" s="95">
        <v>20.03</v>
      </c>
      <c r="G554" s="95">
        <v>20.84</v>
      </c>
      <c r="H554" s="65">
        <f>IF(OR(Resultados!$F554="",Resultados!$G554=""),"",(Resultados!$G554-Resultados!$F554)*Resultados!$E554)</f>
        <v>242.9999999999996</v>
      </c>
      <c r="I554" s="65">
        <f ca="1">IF(ISBLANK(Resultados!$C554),"",
IF(ROW()-1=3,Resultados!$H554,INDIRECT(ADDRESS(ROW()-1,COLUMN()))+Resultados!$H554))</f>
        <v>47759.114285714342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96">
        <v>44151</v>
      </c>
      <c r="C555" s="97">
        <v>44154</v>
      </c>
      <c r="D555" s="98" t="s">
        <v>87</v>
      </c>
      <c r="E555" s="99">
        <v>200</v>
      </c>
      <c r="F555" s="100">
        <v>20.03</v>
      </c>
      <c r="G555" s="100">
        <v>20.64</v>
      </c>
      <c r="H555" s="70">
        <f>IF(OR(Resultados!$F555="",Resultados!$G555=""),"",(Resultados!$G555-Resultados!$F555)*Resultados!$E555)</f>
        <v>121.99999999999989</v>
      </c>
      <c r="I555" s="70">
        <f ca="1">IF(ISBLANK(Resultados!$C555),"",
IF(ROW()-1=3,Resultados!$H555,INDIRECT(ADDRESS(ROW()-1,COLUMN()))+Resultados!$H555))</f>
        <v>47881.114285714342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91">
        <v>44148</v>
      </c>
      <c r="C556" s="92">
        <v>44155</v>
      </c>
      <c r="D556" s="93" t="s">
        <v>46</v>
      </c>
      <c r="E556" s="94">
        <v>400</v>
      </c>
      <c r="F556" s="95">
        <v>13.82</v>
      </c>
      <c r="G556" s="95">
        <v>13.68</v>
      </c>
      <c r="H556" s="65">
        <f>IF(OR(Resultados!$F556="",Resultados!$G556=""),"",(Resultados!$G556-Resultados!$F556)*Resultados!$E556)</f>
        <v>-56.000000000000227</v>
      </c>
      <c r="I556" s="65">
        <f ca="1">IF(ISBLANK(Resultados!$C556),"",
IF(ROW()-1=3,Resultados!$H556,INDIRECT(ADDRESS(ROW()-1,COLUMN()))+Resultados!$H556))</f>
        <v>47825.114285714342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96">
        <v>44148</v>
      </c>
      <c r="C557" s="97">
        <v>44155</v>
      </c>
      <c r="D557" s="98" t="s">
        <v>49</v>
      </c>
      <c r="E557" s="99">
        <v>400</v>
      </c>
      <c r="F557" s="100">
        <v>26.66</v>
      </c>
      <c r="G557" s="100">
        <v>25.8</v>
      </c>
      <c r="H557" s="70">
        <f>IF(OR(Resultados!$F557="",Resultados!$G557=""),"",(Resultados!$G557-Resultados!$F557)*Resultados!$E557)</f>
        <v>-343.99999999999977</v>
      </c>
      <c r="I557" s="70">
        <f ca="1">IF(ISBLANK(Resultados!$C557),"",
IF(ROW()-1=3,Resultados!$H557,INDIRECT(ADDRESS(ROW()-1,COLUMN()))+Resultados!$H557))</f>
        <v>47481.114285714342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91">
        <v>44152</v>
      </c>
      <c r="C558" s="92">
        <v>44155</v>
      </c>
      <c r="D558" s="93" t="s">
        <v>204</v>
      </c>
      <c r="E558" s="94">
        <v>300</v>
      </c>
      <c r="F558" s="95">
        <v>44.59</v>
      </c>
      <c r="G558" s="95">
        <v>43.49</v>
      </c>
      <c r="H558" s="65">
        <f>IF(OR(Resultados!$F558="",Resultados!$G558=""),"",(Resultados!$G558-Resultados!$F558)*Resultados!$E558)</f>
        <v>-330.00000000000045</v>
      </c>
      <c r="I558" s="65">
        <f ca="1">IF(ISBLANK(Resultados!$C558),"",
IF(ROW()-1=3,Resultados!$H558,INDIRECT(ADDRESS(ROW()-1,COLUMN()))+Resultados!$H558))</f>
        <v>47151.114285714342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96">
        <v>44151</v>
      </c>
      <c r="C559" s="97">
        <v>44158</v>
      </c>
      <c r="D559" s="98" t="s">
        <v>93</v>
      </c>
      <c r="E559" s="99">
        <v>200</v>
      </c>
      <c r="F559" s="100">
        <v>27.74</v>
      </c>
      <c r="G559" s="100">
        <v>28.89</v>
      </c>
      <c r="H559" s="70">
        <f>IF(OR(Resultados!$F559="",Resultados!$G559=""),"",(Resultados!$G559-Resultados!$F559)*Resultados!$E559)</f>
        <v>230.00000000000043</v>
      </c>
      <c r="I559" s="70">
        <f ca="1">IF(ISBLANK(Resultados!$C559),"",
IF(ROW()-1=3,Resultados!$H559,INDIRECT(ADDRESS(ROW()-1,COLUMN()))+Resultados!$H559))</f>
        <v>47381.114285714342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91">
        <v>44158</v>
      </c>
      <c r="C560" s="92">
        <v>44159</v>
      </c>
      <c r="D560" s="93" t="s">
        <v>77</v>
      </c>
      <c r="E560" s="94">
        <v>200</v>
      </c>
      <c r="F560" s="95">
        <v>24.51</v>
      </c>
      <c r="G560" s="95">
        <v>25.87</v>
      </c>
      <c r="H560" s="65">
        <f>IF(OR(Resultados!$F560="",Resultados!$G560=""),"",(Resultados!$G560-Resultados!$F560)*Resultados!$E560)</f>
        <v>271.99999999999989</v>
      </c>
      <c r="I560" s="65">
        <f ca="1">IF(ISBLANK(Resultados!$C560),"",
IF(ROW()-1=3,Resultados!$H560,INDIRECT(ADDRESS(ROW()-1,COLUMN()))+Resultados!$H560))</f>
        <v>47653.114285714342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96">
        <v>44148</v>
      </c>
      <c r="C561" s="97">
        <v>44159</v>
      </c>
      <c r="D561" s="98" t="s">
        <v>67</v>
      </c>
      <c r="E561" s="99">
        <v>200</v>
      </c>
      <c r="F561" s="100">
        <v>28.56</v>
      </c>
      <c r="G561" s="100">
        <v>27.78</v>
      </c>
      <c r="H561" s="70">
        <f>IF(OR(Resultados!$F561="",Resultados!$G561=""),"",(Resultados!$G561-Resultados!$F561)*Resultados!$E561)</f>
        <v>-155.99999999999952</v>
      </c>
      <c r="I561" s="70">
        <f ca="1">IF(ISBLANK(Resultados!$C561),"",
IF(ROW()-1=3,Resultados!$H561,INDIRECT(ADDRESS(ROW()-1,COLUMN()))+Resultados!$H561))</f>
        <v>47497.114285714342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91">
        <v>44158</v>
      </c>
      <c r="C562" s="92">
        <v>44159</v>
      </c>
      <c r="D562" s="93" t="s">
        <v>73</v>
      </c>
      <c r="E562" s="94">
        <v>300</v>
      </c>
      <c r="F562" s="95">
        <v>21.81</v>
      </c>
      <c r="G562" s="95">
        <v>22.78</v>
      </c>
      <c r="H562" s="65">
        <f>IF(OR(Resultados!$F562="",Resultados!$G562=""),"",(Resultados!$G562-Resultados!$F562)*Resultados!$E562)</f>
        <v>291.00000000000074</v>
      </c>
      <c r="I562" s="65">
        <f ca="1">IF(ISBLANK(Resultados!$C562),"",
IF(ROW()-1=3,Resultados!$H562,INDIRECT(ADDRESS(ROW()-1,COLUMN()))+Resultados!$H562))</f>
        <v>47788.114285714342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96">
        <v>44151</v>
      </c>
      <c r="C563" s="97">
        <v>44159</v>
      </c>
      <c r="D563" s="98" t="s">
        <v>88</v>
      </c>
      <c r="E563" s="99">
        <v>100</v>
      </c>
      <c r="F563" s="100">
        <v>40.15</v>
      </c>
      <c r="G563" s="100">
        <v>41.39</v>
      </c>
      <c r="H563" s="70">
        <f>IF(OR(Resultados!$F563="",Resultados!$G563=""),"",(Resultados!$G563-Resultados!$F563)*Resultados!$E563)</f>
        <v>124.0000000000002</v>
      </c>
      <c r="I563" s="70">
        <f ca="1">IF(ISBLANK(Resultados!$C563),"",
IF(ROW()-1=3,Resultados!$H563,INDIRECT(ADDRESS(ROW()-1,COLUMN()))+Resultados!$H563))</f>
        <v>47912.114285714342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91">
        <v>44159</v>
      </c>
      <c r="C564" s="92">
        <v>44160</v>
      </c>
      <c r="D564" s="93" t="s">
        <v>166</v>
      </c>
      <c r="E564" s="94">
        <v>500</v>
      </c>
      <c r="F564" s="95">
        <v>9.66</v>
      </c>
      <c r="G564" s="95">
        <v>9.89</v>
      </c>
      <c r="H564" s="65">
        <f>IF(OR(Resultados!$F564="",Resultados!$G564=""),"",(Resultados!$G564-Resultados!$F564)*Resultados!$E564)</f>
        <v>115.00000000000021</v>
      </c>
      <c r="I564" s="65">
        <f ca="1">IF(ISBLANK(Resultados!$C564),"",
IF(ROW()-1=3,Resultados!$H564,INDIRECT(ADDRESS(ROW()-1,COLUMN()))+Resultados!$H564))</f>
        <v>48027.114285714342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96">
        <v>44159</v>
      </c>
      <c r="C565" s="97">
        <v>44162</v>
      </c>
      <c r="D565" s="98" t="s">
        <v>86</v>
      </c>
      <c r="E565" s="99">
        <v>400</v>
      </c>
      <c r="F565" s="100">
        <v>12.36</v>
      </c>
      <c r="G565" s="100">
        <v>12.84</v>
      </c>
      <c r="H565" s="70">
        <f>IF(OR(Resultados!$F565="",Resultados!$G565=""),"",(Resultados!$G565-Resultados!$F565)*Resultados!$E565)</f>
        <v>192.00000000000017</v>
      </c>
      <c r="I565" s="70">
        <f ca="1">IF(ISBLANK(Resultados!$C565),"",
IF(ROW()-1=3,Resultados!$H565,INDIRECT(ADDRESS(ROW()-1,COLUMN()))+Resultados!$H565))</f>
        <v>48219.114285714342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91">
        <v>44159</v>
      </c>
      <c r="C566" s="92">
        <v>44162</v>
      </c>
      <c r="D566" s="93" t="s">
        <v>177</v>
      </c>
      <c r="E566" s="94">
        <v>600</v>
      </c>
      <c r="F566" s="95">
        <v>10.51</v>
      </c>
      <c r="G566" s="95">
        <v>10.79</v>
      </c>
      <c r="H566" s="65">
        <f>IF(OR(Resultados!$F566="",Resultados!$G566=""),"",(Resultados!$G566-Resultados!$F566)*Resultados!$E566)</f>
        <v>167.9999999999996</v>
      </c>
      <c r="I566" s="65">
        <f ca="1">IF(ISBLANK(Resultados!$C566),"",
IF(ROW()-1=3,Resultados!$H566,INDIRECT(ADDRESS(ROW()-1,COLUMN()))+Resultados!$H566))</f>
        <v>48387.114285714342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96">
        <v>44159</v>
      </c>
      <c r="C567" s="97">
        <v>44165</v>
      </c>
      <c r="D567" s="98" t="s">
        <v>187</v>
      </c>
      <c r="E567" s="99">
        <v>500</v>
      </c>
      <c r="F567" s="100">
        <v>12.21</v>
      </c>
      <c r="G567" s="100">
        <v>12.64</v>
      </c>
      <c r="H567" s="70">
        <f>IF(OR(Resultados!$F567="",Resultados!$G567=""),"",(Resultados!$G567-Resultados!$F567)*Resultados!$E567)</f>
        <v>214.99999999999986</v>
      </c>
      <c r="I567" s="70">
        <f ca="1">IF(ISBLANK(Resultados!$C567),"",
IF(ROW()-1=3,Resultados!$H567,INDIRECT(ADDRESS(ROW()-1,COLUMN()))+Resultados!$H567))</f>
        <v>48602.114285714342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91">
        <v>44151</v>
      </c>
      <c r="C568" s="92">
        <v>44165</v>
      </c>
      <c r="D568" s="93" t="s">
        <v>88</v>
      </c>
      <c r="E568" s="94">
        <v>100</v>
      </c>
      <c r="F568" s="95">
        <v>40.15</v>
      </c>
      <c r="G568" s="95">
        <v>40.880000000000003</v>
      </c>
      <c r="H568" s="65">
        <f>IF(OR(Resultados!$F568="",Resultados!$G568=""),"",(Resultados!$G568-Resultados!$F568)*Resultados!$E568)</f>
        <v>73.000000000000398</v>
      </c>
      <c r="I568" s="65">
        <f ca="1">IF(ISBLANK(Resultados!$C568),"",
IF(ROW()-1=3,Resultados!$H568,INDIRECT(ADDRESS(ROW()-1,COLUMN()))+Resultados!$H568))</f>
        <v>48675.114285714342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96">
        <v>44162</v>
      </c>
      <c r="C569" s="97">
        <v>44165</v>
      </c>
      <c r="D569" s="98" t="s">
        <v>83</v>
      </c>
      <c r="E569" s="99">
        <v>800</v>
      </c>
      <c r="F569" s="100">
        <v>12.57</v>
      </c>
      <c r="G569" s="100">
        <v>11.87</v>
      </c>
      <c r="H569" s="70">
        <f>IF(OR(Resultados!$F569="",Resultados!$G569=""),"",(Resultados!$G569-Resultados!$F569)*Resultados!$E569)</f>
        <v>-560.00000000000091</v>
      </c>
      <c r="I569" s="70">
        <f ca="1">IF(ISBLANK(Resultados!$C569),"",
IF(ROW()-1=3,Resultados!$H569,INDIRECT(ADDRESS(ROW()-1,COLUMN()))+Resultados!$H569))</f>
        <v>48115.114285714342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91">
        <v>44158</v>
      </c>
      <c r="C570" s="92">
        <v>44165</v>
      </c>
      <c r="D570" s="93" t="s">
        <v>77</v>
      </c>
      <c r="E570" s="94">
        <v>200</v>
      </c>
      <c r="F570" s="95">
        <v>24.51</v>
      </c>
      <c r="G570" s="95">
        <v>24.94</v>
      </c>
      <c r="H570" s="65">
        <f>IF(OR(Resultados!$F570="",Resultados!$G570=""),"",(Resultados!$G570-Resultados!$F570)*Resultados!$E570)</f>
        <v>85.999999999999943</v>
      </c>
      <c r="I570" s="65">
        <f ca="1">IF(ISBLANK(Resultados!$C570),"",
IF(ROW()-1=3,Resultados!$H570,INDIRECT(ADDRESS(ROW()-1,COLUMN()))+Resultados!$H570))</f>
        <v>48201.114285714342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96">
        <v>44160</v>
      </c>
      <c r="C571" s="97">
        <v>44165</v>
      </c>
      <c r="D571" s="98" t="s">
        <v>203</v>
      </c>
      <c r="E571" s="99">
        <v>400</v>
      </c>
      <c r="F571" s="100">
        <v>26.66</v>
      </c>
      <c r="G571" s="100">
        <v>25.43</v>
      </c>
      <c r="H571" s="70">
        <f>IF(OR(Resultados!$F571="",Resultados!$G571=""),"",(Resultados!$G571-Resultados!$F571)*Resultados!$E571)</f>
        <v>-492.00000000000017</v>
      </c>
      <c r="I571" s="70">
        <f ca="1">IF(ISBLANK(Resultados!$C571),"",
IF(ROW()-1=3,Resultados!$H571,INDIRECT(ADDRESS(ROW()-1,COLUMN()))+Resultados!$H571))</f>
        <v>47709.114285714342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91">
        <v>44162</v>
      </c>
      <c r="C572" s="92">
        <v>44166</v>
      </c>
      <c r="D572" s="93" t="s">
        <v>205</v>
      </c>
      <c r="E572" s="94">
        <v>500</v>
      </c>
      <c r="F572" s="95">
        <v>19.53</v>
      </c>
      <c r="G572" s="95">
        <v>18.28</v>
      </c>
      <c r="H572" s="65">
        <f>IF(OR(Resultados!$F572="",Resultados!$G572=""),"",(Resultados!$G572-Resultados!$F572)*Resultados!$E572)</f>
        <v>-625</v>
      </c>
      <c r="I572" s="65">
        <f ca="1">IF(ISBLANK(Resultados!$C572),"",
IF(ROW()-1=3,Resultados!$H572,INDIRECT(ADDRESS(ROW()-1,COLUMN()))+Resultados!$H572))</f>
        <v>47084.114285714342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96">
        <v>44151</v>
      </c>
      <c r="C573" s="97">
        <v>44166</v>
      </c>
      <c r="D573" s="98" t="s">
        <v>93</v>
      </c>
      <c r="E573" s="99">
        <v>100</v>
      </c>
      <c r="F573" s="100">
        <v>24.82</v>
      </c>
      <c r="G573" s="100">
        <v>28.49</v>
      </c>
      <c r="H573" s="70">
        <f>IF(OR(Resultados!$F573="",Resultados!$G573=""),"",(Resultados!$G573-Resultados!$F573)*Resultados!$E573)</f>
        <v>366.99999999999983</v>
      </c>
      <c r="I573" s="70">
        <f ca="1">IF(ISBLANK(Resultados!$C573),"",
IF(ROW()-1=3,Resultados!$H573,INDIRECT(ADDRESS(ROW()-1,COLUMN()))+Resultados!$H573))</f>
        <v>47451.114285714342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91">
        <v>44151</v>
      </c>
      <c r="C574" s="92">
        <v>44167</v>
      </c>
      <c r="D574" s="93" t="s">
        <v>52</v>
      </c>
      <c r="E574" s="94">
        <v>100</v>
      </c>
      <c r="F574" s="95">
        <v>64.069999999999993</v>
      </c>
      <c r="G574" s="95">
        <v>78.89</v>
      </c>
      <c r="H574" s="65">
        <f>IF(OR(Resultados!$F574="",Resultados!$G574=""),"",(Resultados!$G574-Resultados!$F574)*Resultados!$E574)</f>
        <v>1482.0000000000007</v>
      </c>
      <c r="I574" s="65">
        <f ca="1">IF(ISBLANK(Resultados!$C574),"",
IF(ROW()-1=3,Resultados!$H574,INDIRECT(ADDRESS(ROW()-1,COLUMN()))+Resultados!$H574))</f>
        <v>48933.114285714342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96">
        <v>44159</v>
      </c>
      <c r="C575" s="97">
        <v>44168</v>
      </c>
      <c r="D575" s="98" t="s">
        <v>69</v>
      </c>
      <c r="E575" s="99">
        <v>200</v>
      </c>
      <c r="F575" s="100">
        <v>29.66</v>
      </c>
      <c r="G575" s="100">
        <v>30.44</v>
      </c>
      <c r="H575" s="70">
        <f>IF(OR(Resultados!$F575="",Resultados!$G575=""),"",(Resultados!$G575-Resultados!$F575)*Resultados!$E575)</f>
        <v>156.00000000000023</v>
      </c>
      <c r="I575" s="70">
        <f ca="1">IF(ISBLANK(Resultados!$C575),"",
IF(ROW()-1=3,Resultados!$H575,INDIRECT(ADDRESS(ROW()-1,COLUMN()))+Resultados!$H575))</f>
        <v>49089.114285714342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91">
        <v>44167</v>
      </c>
      <c r="C576" s="92">
        <v>44168</v>
      </c>
      <c r="D576" s="93" t="s">
        <v>74</v>
      </c>
      <c r="E576" s="94">
        <v>500</v>
      </c>
      <c r="F576" s="95">
        <v>10.35</v>
      </c>
      <c r="G576" s="95">
        <v>10.74</v>
      </c>
      <c r="H576" s="65">
        <f>IF(OR(Resultados!$F576="",Resultados!$G576=""),"",(Resultados!$G576-Resultados!$F576)*Resultados!$E576)</f>
        <v>195.00000000000028</v>
      </c>
      <c r="I576" s="65">
        <f ca="1">IF(ISBLANK(Resultados!$C576),"",
IF(ROW()-1=3,Resultados!$H576,INDIRECT(ADDRESS(ROW()-1,COLUMN()))+Resultados!$H576))</f>
        <v>49284.114285714342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96">
        <v>44158</v>
      </c>
      <c r="C577" s="97">
        <v>44168</v>
      </c>
      <c r="D577" s="98" t="s">
        <v>73</v>
      </c>
      <c r="E577" s="99">
        <v>200</v>
      </c>
      <c r="F577" s="100">
        <v>21.81</v>
      </c>
      <c r="G577" s="100">
        <v>22.47</v>
      </c>
      <c r="H577" s="70">
        <f>IF(OR(Resultados!$F577="",Resultados!$G577=""),"",(Resultados!$G577-Resultados!$F577)*Resultados!$E577)</f>
        <v>132.00000000000003</v>
      </c>
      <c r="I577" s="70">
        <f ca="1">IF(ISBLANK(Resultados!$C577),"",
IF(ROW()-1=3,Resultados!$H577,INDIRECT(ADDRESS(ROW()-1,COLUMN()))+Resultados!$H577))</f>
        <v>49416.114285714342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91">
        <v>44166</v>
      </c>
      <c r="C578" s="92">
        <v>44169</v>
      </c>
      <c r="D578" s="93" t="s">
        <v>112</v>
      </c>
      <c r="E578" s="94">
        <v>700</v>
      </c>
      <c r="F578" s="95">
        <v>7.51</v>
      </c>
      <c r="G578" s="95">
        <v>7.73</v>
      </c>
      <c r="H578" s="65">
        <f>IF(OR(Resultados!$F578="",Resultados!$G578=""),"",(Resultados!$G578-Resultados!$F578)*Resultados!$E578)</f>
        <v>154.00000000000045</v>
      </c>
      <c r="I578" s="65">
        <f ca="1">IF(ISBLANK(Resultados!$C578),"",
IF(ROW()-1=3,Resultados!$H578,INDIRECT(ADDRESS(ROW()-1,COLUMN()))+Resultados!$H578))</f>
        <v>49570.114285714342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96">
        <v>44151</v>
      </c>
      <c r="C579" s="97">
        <v>44172</v>
      </c>
      <c r="D579" s="98" t="s">
        <v>45</v>
      </c>
      <c r="E579" s="99">
        <v>300</v>
      </c>
      <c r="F579" s="100">
        <v>24.82</v>
      </c>
      <c r="G579" s="100">
        <v>25.64</v>
      </c>
      <c r="H579" s="70">
        <f>IF(OR(Resultados!$F579="",Resultados!$G579=""),"",(Resultados!$G579-Resultados!$F579)*Resultados!$E579)</f>
        <v>246.00000000000009</v>
      </c>
      <c r="I579" s="70">
        <f ca="1">IF(ISBLANK(Resultados!$C579),"",
IF(ROW()-1=3,Resultados!$H579,INDIRECT(ADDRESS(ROW()-1,COLUMN()))+Resultados!$H579))</f>
        <v>49816.114285714342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91">
        <v>44151</v>
      </c>
      <c r="C580" s="92">
        <v>44173</v>
      </c>
      <c r="D580" s="93" t="s">
        <v>45</v>
      </c>
      <c r="E580" s="94">
        <v>200</v>
      </c>
      <c r="F580" s="95">
        <v>24.82</v>
      </c>
      <c r="G580" s="95">
        <v>24.97</v>
      </c>
      <c r="H580" s="65">
        <f>IF(OR(Resultados!$F580="",Resultados!$G580=""),"",(Resultados!$G580-Resultados!$F580)*Resultados!$E580)</f>
        <v>29.999999999999716</v>
      </c>
      <c r="I580" s="65">
        <f ca="1">IF(ISBLANK(Resultados!$C580),"",
IF(ROW()-1=3,Resultados!$H580,INDIRECT(ADDRESS(ROW()-1,COLUMN()))+Resultados!$H580))</f>
        <v>49846.114285714342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96">
        <v>44168</v>
      </c>
      <c r="C581" s="97">
        <v>44175</v>
      </c>
      <c r="D581" s="98" t="s">
        <v>206</v>
      </c>
      <c r="E581" s="99">
        <v>900</v>
      </c>
      <c r="F581" s="100">
        <v>13.23</v>
      </c>
      <c r="G581" s="100">
        <v>12.47</v>
      </c>
      <c r="H581" s="70">
        <f>IF(OR(Resultados!$F581="",Resultados!$G581=""),"",(Resultados!$G581-Resultados!$F581)*Resultados!$E581)</f>
        <v>-683.99999999999977</v>
      </c>
      <c r="I581" s="70">
        <f ca="1">IF(ISBLANK(Resultados!$C581),"",
IF(ROW()-1=3,Resultados!$H581,INDIRECT(ADDRESS(ROW()-1,COLUMN()))+Resultados!$H581))</f>
        <v>49162.114285714342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91">
        <v>44172</v>
      </c>
      <c r="C582" s="92">
        <v>44175</v>
      </c>
      <c r="D582" s="93" t="s">
        <v>108</v>
      </c>
      <c r="E582" s="94">
        <v>2200</v>
      </c>
      <c r="F582" s="95">
        <v>7.01</v>
      </c>
      <c r="G582" s="95">
        <v>6.68</v>
      </c>
      <c r="H582" s="65">
        <f>IF(OR(Resultados!$F582="",Resultados!$G582=""),"",(Resultados!$G582-Resultados!$F582)*Resultados!$E582)</f>
        <v>-726.00000000000011</v>
      </c>
      <c r="I582" s="65">
        <f ca="1">IF(ISBLANK(Resultados!$C582),"",
IF(ROW()-1=3,Resultados!$H582,INDIRECT(ADDRESS(ROW()-1,COLUMN()))+Resultados!$H582))</f>
        <v>48436.114285714342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96">
        <v>44159</v>
      </c>
      <c r="C583" s="97">
        <v>44175</v>
      </c>
      <c r="D583" s="98" t="s">
        <v>86</v>
      </c>
      <c r="E583" s="99">
        <v>400</v>
      </c>
      <c r="F583" s="100">
        <v>12.36</v>
      </c>
      <c r="G583" s="100">
        <v>12.17</v>
      </c>
      <c r="H583" s="70">
        <f>IF(OR(Resultados!$F583="",Resultados!$G583=""),"",(Resultados!$G583-Resultados!$F583)*Resultados!$E583)</f>
        <v>-75.999999999999801</v>
      </c>
      <c r="I583" s="70">
        <f ca="1">IF(ISBLANK(Resultados!$C583),"",
IF(ROW()-1=3,Resultados!$H583,INDIRECT(ADDRESS(ROW()-1,COLUMN()))+Resultados!$H583))</f>
        <v>48360.114285714342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91">
        <v>44169</v>
      </c>
      <c r="C584" s="92">
        <v>44179</v>
      </c>
      <c r="D584" s="93" t="s">
        <v>91</v>
      </c>
      <c r="E584" s="94">
        <v>500</v>
      </c>
      <c r="F584" s="95">
        <v>16.34</v>
      </c>
      <c r="G584" s="95">
        <v>16.489999999999998</v>
      </c>
      <c r="H584" s="65">
        <f>IF(OR(Resultados!$F584="",Resultados!$G584=""),"",(Resultados!$G584-Resultados!$F584)*Resultados!$E584)</f>
        <v>74.999999999999289</v>
      </c>
      <c r="I584" s="65">
        <f ca="1">IF(ISBLANK(Resultados!$C584),"",
IF(ROW()-1=3,Resultados!$H584,INDIRECT(ADDRESS(ROW()-1,COLUMN()))+Resultados!$H584))</f>
        <v>48435.114285714342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96">
        <v>44167</v>
      </c>
      <c r="C585" s="97">
        <v>44179</v>
      </c>
      <c r="D585" s="98" t="s">
        <v>185</v>
      </c>
      <c r="E585" s="99">
        <v>300</v>
      </c>
      <c r="F585" s="100">
        <v>15.69</v>
      </c>
      <c r="G585" s="100">
        <v>16</v>
      </c>
      <c r="H585" s="70">
        <f>IF(OR(Resultados!$F585="",Resultados!$G585=""),"",(Resultados!$G585-Resultados!$F585)*Resultados!$E585)</f>
        <v>93.000000000000142</v>
      </c>
      <c r="I585" s="70">
        <f ca="1">IF(ISBLANK(Resultados!$C585),"",
IF(ROW()-1=3,Resultados!$H585,INDIRECT(ADDRESS(ROW()-1,COLUMN()))+Resultados!$H585))</f>
        <v>48528.114285714342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91">
        <v>44166</v>
      </c>
      <c r="C586" s="92">
        <v>44181</v>
      </c>
      <c r="D586" s="93" t="s">
        <v>141</v>
      </c>
      <c r="E586" s="94">
        <v>200</v>
      </c>
      <c r="F586" s="95">
        <v>26</v>
      </c>
      <c r="G586" s="95">
        <v>27.1</v>
      </c>
      <c r="H586" s="65">
        <f>IF(OR(Resultados!$F586="",Resultados!$G586=""),"",(Resultados!$G586-Resultados!$F586)*Resultados!$E586)</f>
        <v>220.00000000000028</v>
      </c>
      <c r="I586" s="65">
        <f ca="1">IF(ISBLANK(Resultados!$C586),"",
IF(ROW()-1=3,Resultados!$H586,INDIRECT(ADDRESS(ROW()-1,COLUMN()))+Resultados!$H586))</f>
        <v>48748.114285714342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96">
        <v>44176</v>
      </c>
      <c r="C587" s="97">
        <v>44181</v>
      </c>
      <c r="D587" s="98" t="s">
        <v>184</v>
      </c>
      <c r="E587" s="99">
        <v>100</v>
      </c>
      <c r="F587" s="100">
        <v>72.77</v>
      </c>
      <c r="G587" s="100">
        <v>74.45</v>
      </c>
      <c r="H587" s="70">
        <f>IF(OR(Resultados!$F587="",Resultados!$G587=""),"",(Resultados!$G587-Resultados!$F587)*Resultados!$E587)</f>
        <v>168.00000000000068</v>
      </c>
      <c r="I587" s="70">
        <f ca="1">IF(ISBLANK(Resultados!$C587),"",
IF(ROW()-1=3,Resultados!$H587,INDIRECT(ADDRESS(ROW()-1,COLUMN()))+Resultados!$H587))</f>
        <v>48916.114285714342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91">
        <v>44176</v>
      </c>
      <c r="C588" s="92">
        <v>44182</v>
      </c>
      <c r="D588" s="93" t="s">
        <v>167</v>
      </c>
      <c r="E588" s="94">
        <v>400</v>
      </c>
      <c r="F588" s="95">
        <v>19.68</v>
      </c>
      <c r="G588" s="95">
        <v>20.05</v>
      </c>
      <c r="H588" s="65">
        <f>IF(OR(Resultados!$F588="",Resultados!$G588=""),"",(Resultados!$G588-Resultados!$F588)*Resultados!$E588)</f>
        <v>148.0000000000004</v>
      </c>
      <c r="I588" s="65">
        <f ca="1">IF(ISBLANK(Resultados!$C588),"",
IF(ROW()-1=3,Resultados!$H588,INDIRECT(ADDRESS(ROW()-1,COLUMN()))+Resultados!$H588))</f>
        <v>49064.114285714342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96">
        <v>44159</v>
      </c>
      <c r="C589" s="97">
        <v>44182</v>
      </c>
      <c r="D589" s="98" t="s">
        <v>69</v>
      </c>
      <c r="E589" s="99">
        <v>200</v>
      </c>
      <c r="F589" s="100">
        <v>29.66</v>
      </c>
      <c r="G589" s="100">
        <v>31.65</v>
      </c>
      <c r="H589" s="70">
        <f>IF(OR(Resultados!$F589="",Resultados!$G589=""),"",(Resultados!$G589-Resultados!$F589)*Resultados!$E589)</f>
        <v>397.99999999999966</v>
      </c>
      <c r="I589" s="70">
        <f ca="1">IF(ISBLANK(Resultados!$C589),"",
IF(ROW()-1=3,Resultados!$H589,INDIRECT(ADDRESS(ROW()-1,COLUMN()))+Resultados!$H589))</f>
        <v>49462.114285714342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91">
        <v>44159</v>
      </c>
      <c r="C590" s="92">
        <v>44182</v>
      </c>
      <c r="D590" s="93" t="s">
        <v>187</v>
      </c>
      <c r="E590" s="94">
        <v>500</v>
      </c>
      <c r="F590" s="95">
        <v>12.21</v>
      </c>
      <c r="G590" s="95">
        <v>13.7</v>
      </c>
      <c r="H590" s="65">
        <f>IF(OR(Resultados!$F590="",Resultados!$G590=""),"",(Resultados!$G590-Resultados!$F590)*Resultados!$E590)</f>
        <v>744.9999999999992</v>
      </c>
      <c r="I590" s="65">
        <f ca="1">IF(ISBLANK(Resultados!$C590),"",
IF(ROW()-1=3,Resultados!$H590,INDIRECT(ADDRESS(ROW()-1,COLUMN()))+Resultados!$H590))</f>
        <v>50207.114285714342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96">
        <v>44180</v>
      </c>
      <c r="C591" s="97">
        <v>44183</v>
      </c>
      <c r="D591" s="98" t="s">
        <v>194</v>
      </c>
      <c r="E591" s="99">
        <v>600</v>
      </c>
      <c r="F591" s="100">
        <v>10.91</v>
      </c>
      <c r="G591" s="100">
        <v>11.4</v>
      </c>
      <c r="H591" s="70">
        <f>IF(OR(Resultados!$F591="",Resultados!$G591=""),"",(Resultados!$G591-Resultados!$F591)*Resultados!$E591)</f>
        <v>294.00000000000011</v>
      </c>
      <c r="I591" s="70">
        <f ca="1">IF(ISBLANK(Resultados!$C591),"",
IF(ROW()-1=3,Resultados!$H591,INDIRECT(ADDRESS(ROW()-1,COLUMN()))+Resultados!$H591))</f>
        <v>50501.114285714342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91">
        <v>44159</v>
      </c>
      <c r="C592" s="92">
        <v>44183</v>
      </c>
      <c r="D592" s="93" t="s">
        <v>177</v>
      </c>
      <c r="E592" s="94">
        <v>500</v>
      </c>
      <c r="F592" s="95">
        <v>10.51</v>
      </c>
      <c r="G592" s="95">
        <v>10.54</v>
      </c>
      <c r="H592" s="65">
        <f>IF(OR(Resultados!$F592="",Resultados!$G592=""),"",(Resultados!$G592-Resultados!$F592)*Resultados!$E592)</f>
        <v>14.99999999999968</v>
      </c>
      <c r="I592" s="65">
        <f ca="1">IF(ISBLANK(Resultados!$C592),"",
IF(ROW()-1=3,Resultados!$H592,INDIRECT(ADDRESS(ROW()-1,COLUMN()))+Resultados!$H592))</f>
        <v>50516.114285714342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96">
        <v>44175</v>
      </c>
      <c r="C593" s="97">
        <v>44183</v>
      </c>
      <c r="D593" s="98" t="s">
        <v>131</v>
      </c>
      <c r="E593" s="99">
        <v>600</v>
      </c>
      <c r="F593" s="100">
        <v>25.53</v>
      </c>
      <c r="G593" s="100">
        <v>24.18</v>
      </c>
      <c r="H593" s="70">
        <f>IF(OR(Resultados!$F593="",Resultados!$G593=""),"",(Resultados!$G593-Resultados!$F593)*Resultados!$E593)</f>
        <v>-810.00000000000091</v>
      </c>
      <c r="I593" s="70">
        <f ca="1">IF(ISBLANK(Resultados!$C593),"",
IF(ROW()-1=3,Resultados!$H593,INDIRECT(ADDRESS(ROW()-1,COLUMN()))+Resultados!$H593))</f>
        <v>49706.114285714342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91">
        <v>44166</v>
      </c>
      <c r="C594" s="92">
        <v>44186</v>
      </c>
      <c r="D594" s="93" t="s">
        <v>112</v>
      </c>
      <c r="E594" s="94">
        <v>700</v>
      </c>
      <c r="F594" s="95">
        <v>7.51</v>
      </c>
      <c r="G594" s="95">
        <v>7.74</v>
      </c>
      <c r="H594" s="65">
        <f>IF(OR(Resultados!$F594="",Resultados!$G594=""),"",(Resultados!$G594-Resultados!$F594)*Resultados!$E594)</f>
        <v>161.00000000000028</v>
      </c>
      <c r="I594" s="65">
        <f ca="1">IF(ISBLANK(Resultados!$C594),"",
IF(ROW()-1=3,Resultados!$H594,INDIRECT(ADDRESS(ROW()-1,COLUMN()))+Resultados!$H594))</f>
        <v>49867.114285714342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96">
        <v>44167</v>
      </c>
      <c r="C595" s="97">
        <v>44186</v>
      </c>
      <c r="D595" s="98" t="s">
        <v>74</v>
      </c>
      <c r="E595" s="99">
        <v>500</v>
      </c>
      <c r="F595" s="100">
        <v>10.35</v>
      </c>
      <c r="G595" s="100">
        <v>10</v>
      </c>
      <c r="H595" s="70">
        <f>IF(OR(Resultados!$F595="",Resultados!$G595=""),"",(Resultados!$G595-Resultados!$F595)*Resultados!$E595)</f>
        <v>-174.99999999999983</v>
      </c>
      <c r="I595" s="70">
        <f ca="1">IF(ISBLANK(Resultados!$C595),"",
IF(ROW()-1=3,Resultados!$H595,INDIRECT(ADDRESS(ROW()-1,COLUMN()))+Resultados!$H595))</f>
        <v>49692.114285714342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91">
        <v>44159</v>
      </c>
      <c r="C596" s="92">
        <v>44186</v>
      </c>
      <c r="D596" s="93" t="s">
        <v>166</v>
      </c>
      <c r="E596" s="94">
        <v>500</v>
      </c>
      <c r="F596" s="95">
        <v>9.66</v>
      </c>
      <c r="G596" s="95">
        <v>9.67</v>
      </c>
      <c r="H596" s="65">
        <f>IF(OR(Resultados!$F596="",Resultados!$G596=""),"",(Resultados!$G596-Resultados!$F596)*Resultados!$E596)</f>
        <v>4.9999999999998934</v>
      </c>
      <c r="I596" s="65">
        <f ca="1">IF(ISBLANK(Resultados!$C596),"",
IF(ROW()-1=3,Resultados!$H596,INDIRECT(ADDRESS(ROW()-1,COLUMN()))+Resultados!$H596))</f>
        <v>49697.114285714342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96">
        <v>44169</v>
      </c>
      <c r="C597" s="97">
        <v>44186</v>
      </c>
      <c r="D597" s="98" t="s">
        <v>91</v>
      </c>
      <c r="E597" s="99">
        <v>400</v>
      </c>
      <c r="F597" s="100">
        <v>16.34</v>
      </c>
      <c r="G597" s="100">
        <v>15.79</v>
      </c>
      <c r="H597" s="70">
        <f>IF(OR(Resultados!$F597="",Resultados!$G597=""),"",(Resultados!$G597-Resultados!$F597)*Resultados!$E597)</f>
        <v>-220.00000000000028</v>
      </c>
      <c r="I597" s="70">
        <f ca="1">IF(ISBLANK(Resultados!$C597),"",
IF(ROW()-1=3,Resultados!$H597,INDIRECT(ADDRESS(ROW()-1,COLUMN()))+Resultados!$H597))</f>
        <v>49477.114285714342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91">
        <v>44167</v>
      </c>
      <c r="C598" s="92">
        <v>44186</v>
      </c>
      <c r="D598" s="93" t="s">
        <v>185</v>
      </c>
      <c r="E598" s="94">
        <v>300</v>
      </c>
      <c r="F598" s="95">
        <v>15.69</v>
      </c>
      <c r="G598" s="95">
        <v>15.49</v>
      </c>
      <c r="H598" s="65">
        <f>IF(OR(Resultados!$F598="",Resultados!$G598=""),"",(Resultados!$G598-Resultados!$F598)*Resultados!$E598)</f>
        <v>-59.999999999999787</v>
      </c>
      <c r="I598" s="65">
        <f ca="1">IF(ISBLANK(Resultados!$C598),"",
IF(ROW()-1=3,Resultados!$H598,INDIRECT(ADDRESS(ROW()-1,COLUMN()))+Resultados!$H598))</f>
        <v>49417.114285714342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96">
        <v>44176</v>
      </c>
      <c r="C599" s="97">
        <v>44193</v>
      </c>
      <c r="D599" s="98" t="s">
        <v>145</v>
      </c>
      <c r="E599" s="99">
        <v>100</v>
      </c>
      <c r="F599" s="100">
        <v>72.13</v>
      </c>
      <c r="G599" s="100">
        <v>75.98</v>
      </c>
      <c r="H599" s="70">
        <f>IF(OR(Resultados!$F599="",Resultados!$G599=""),"",(Resultados!$G599-Resultados!$F599)*Resultados!$E599)</f>
        <v>385.00000000000085</v>
      </c>
      <c r="I599" s="70">
        <f ca="1">IF(ISBLANK(Resultados!$C599),"",
IF(ROW()-1=3,Resultados!$H599,INDIRECT(ADDRESS(ROW()-1,COLUMN()))+Resultados!$H599))</f>
        <v>49802.114285714342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91">
        <v>44166</v>
      </c>
      <c r="C600" s="92">
        <v>44201</v>
      </c>
      <c r="D600" s="93" t="s">
        <v>141</v>
      </c>
      <c r="E600" s="94">
        <v>200</v>
      </c>
      <c r="F600" s="95">
        <v>25.65</v>
      </c>
      <c r="G600" s="95">
        <v>26.18</v>
      </c>
      <c r="H600" s="65">
        <f>IF(OR(Resultados!$F600="",Resultados!$G600=""),"",(Resultados!$G600-Resultados!$F600)*Resultados!$E600)</f>
        <v>106.00000000000023</v>
      </c>
      <c r="I600" s="65">
        <f ca="1">IF(ISBLANK(Resultados!$C600),"",
IF(ROW()-1=3,Resultados!$H600,INDIRECT(ADDRESS(ROW()-1,COLUMN()))+Resultados!$H600))</f>
        <v>49908.114285714342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96">
        <v>44176</v>
      </c>
      <c r="C601" s="97">
        <v>44201</v>
      </c>
      <c r="D601" s="98" t="s">
        <v>103</v>
      </c>
      <c r="E601" s="99">
        <v>300</v>
      </c>
      <c r="F601" s="100">
        <v>44.99</v>
      </c>
      <c r="G601" s="100">
        <v>42.1</v>
      </c>
      <c r="H601" s="70">
        <f>IF(OR(Resultados!$F601="",Resultados!$G601=""),"",(Resultados!$G601-Resultados!$F601)*Resultados!$E601)</f>
        <v>-867.00000000000023</v>
      </c>
      <c r="I601" s="70">
        <f ca="1">IF(ISBLANK(Resultados!$C601),"",
IF(ROW()-1=3,Resultados!$H601,INDIRECT(ADDRESS(ROW()-1,COLUMN()))+Resultados!$H601))</f>
        <v>49041.114285714342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91">
        <v>44176</v>
      </c>
      <c r="C602" s="92">
        <v>44201</v>
      </c>
      <c r="D602" s="93" t="s">
        <v>145</v>
      </c>
      <c r="E602" s="94">
        <v>100</v>
      </c>
      <c r="F602" s="95">
        <v>69.489999999999995</v>
      </c>
      <c r="G602" s="95">
        <v>71.97</v>
      </c>
      <c r="H602" s="65">
        <f>IF(OR(Resultados!$F602="",Resultados!$G602=""),"",(Resultados!$G602-Resultados!$F602)*Resultados!$E602)</f>
        <v>248.0000000000004</v>
      </c>
      <c r="I602" s="65">
        <f ca="1">IF(ISBLANK(Resultados!$C602),"",
IF(ROW()-1=3,Resultados!$H602,INDIRECT(ADDRESS(ROW()-1,COLUMN()))+Resultados!$H602))</f>
        <v>49289.114285714342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96">
        <v>44201</v>
      </c>
      <c r="C603" s="97">
        <v>44202</v>
      </c>
      <c r="D603" s="98" t="s">
        <v>196</v>
      </c>
      <c r="E603" s="99">
        <v>200</v>
      </c>
      <c r="F603" s="100">
        <v>76.73</v>
      </c>
      <c r="G603" s="100">
        <v>81.680000000000007</v>
      </c>
      <c r="H603" s="70">
        <f>IF(OR(Resultados!$F603="",Resultados!$G603=""),"",(Resultados!$G603-Resultados!$F603)*Resultados!$E603)</f>
        <v>990.00000000000057</v>
      </c>
      <c r="I603" s="70">
        <f ca="1">IF(ISBLANK(Resultados!$C603),"",
IF(ROW()-1=3,Resultados!$H603,INDIRECT(ADDRESS(ROW()-1,COLUMN()))+Resultados!$H603))</f>
        <v>50279.114285714342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91">
        <v>44201</v>
      </c>
      <c r="C604" s="92">
        <v>44202</v>
      </c>
      <c r="D604" s="93" t="s">
        <v>156</v>
      </c>
      <c r="E604" s="94">
        <v>200</v>
      </c>
      <c r="F604" s="95">
        <v>67.2</v>
      </c>
      <c r="G604" s="95">
        <v>70.95</v>
      </c>
      <c r="H604" s="65">
        <f>IF(OR(Resultados!$F604="",Resultados!$G604=""),"",(Resultados!$G604-Resultados!$F604)*Resultados!$E604)</f>
        <v>750</v>
      </c>
      <c r="I604" s="65">
        <f ca="1">IF(ISBLANK(Resultados!$C604),"",
IF(ROW()-1=3,Resultados!$H604,INDIRECT(ADDRESS(ROW()-1,COLUMN()))+Resultados!$H604))</f>
        <v>51029.114285714342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96">
        <v>44176</v>
      </c>
      <c r="C605" s="97">
        <v>44203</v>
      </c>
      <c r="D605" s="98" t="s">
        <v>167</v>
      </c>
      <c r="E605" s="99">
        <v>400</v>
      </c>
      <c r="F605" s="100">
        <v>19.68</v>
      </c>
      <c r="G605" s="100">
        <v>18.7</v>
      </c>
      <c r="H605" s="70">
        <f>IF(OR(Resultados!$F605="",Resultados!$G605=""),"",(Resultados!$G605-Resultados!$F605)*Resultados!$E605)</f>
        <v>-392.00000000000017</v>
      </c>
      <c r="I605" s="70">
        <f ca="1">IF(ISBLANK(Resultados!$C605),"",
IF(ROW()-1=3,Resultados!$H605,INDIRECT(ADDRESS(ROW()-1,COLUMN()))+Resultados!$H605))</f>
        <v>50637.114285714342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91">
        <v>44202</v>
      </c>
      <c r="C606" s="92">
        <v>44203</v>
      </c>
      <c r="D606" s="93" t="s">
        <v>207</v>
      </c>
      <c r="E606" s="94">
        <v>58</v>
      </c>
      <c r="F606" s="95">
        <v>215.36</v>
      </c>
      <c r="G606" s="95">
        <v>222.3</v>
      </c>
      <c r="H606" s="65">
        <f>IF(OR(Resultados!$F606="",Resultados!$G606=""),"",(Resultados!$G606-Resultados!$F606)*Resultados!$E606)</f>
        <v>402.51999999999987</v>
      </c>
      <c r="I606" s="65">
        <f ca="1">IF(ISBLANK(Resultados!$C606),"",
IF(ROW()-1=3,Resultados!$H606,INDIRECT(ADDRESS(ROW()-1,COLUMN()))+Resultados!$H606))</f>
        <v>51039.634285714339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96">
        <v>44202</v>
      </c>
      <c r="C607" s="97">
        <v>44204</v>
      </c>
      <c r="D607" s="98" t="s">
        <v>199</v>
      </c>
      <c r="E607" s="99">
        <v>108</v>
      </c>
      <c r="F607" s="100">
        <v>116.06</v>
      </c>
      <c r="G607" s="100">
        <v>120</v>
      </c>
      <c r="H607" s="70">
        <f>IF(OR(Resultados!$F607="",Resultados!$G607=""),"",(Resultados!$G607-Resultados!$F607)*Resultados!$E607)</f>
        <v>425.51999999999975</v>
      </c>
      <c r="I607" s="70">
        <f ca="1">IF(ISBLANK(Resultados!$C607),"",
IF(ROW()-1=3,Resultados!$H607,INDIRECT(ADDRESS(ROW()-1,COLUMN()))+Resultados!$H607))</f>
        <v>51465.154285714336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91">
        <v>44204</v>
      </c>
      <c r="C608" s="92">
        <v>44204</v>
      </c>
      <c r="D608" s="93" t="s">
        <v>208</v>
      </c>
      <c r="E608" s="94">
        <v>1000</v>
      </c>
      <c r="F608" s="95">
        <v>8.4600000000000009</v>
      </c>
      <c r="G608" s="95">
        <v>8.84</v>
      </c>
      <c r="H608" s="65">
        <f>IF(OR(Resultados!$F608="",Resultados!$G608=""),"",(Resultados!$G608-Resultados!$F608)*Resultados!$E608)</f>
        <v>379.99999999999898</v>
      </c>
      <c r="I608" s="65">
        <f ca="1">IF(ISBLANK(Resultados!$C608),"",
IF(ROW()-1=3,Resultados!$H608,INDIRECT(ADDRESS(ROW()-1,COLUMN()))+Resultados!$H608))</f>
        <v>51845.154285714336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96">
        <v>44204</v>
      </c>
      <c r="C609" s="97">
        <v>44204</v>
      </c>
      <c r="D609" s="98" t="s">
        <v>209</v>
      </c>
      <c r="E609" s="99">
        <v>1100</v>
      </c>
      <c r="F609" s="100">
        <v>4.66</v>
      </c>
      <c r="G609" s="100">
        <v>4.84</v>
      </c>
      <c r="H609" s="70">
        <f>IF(OR(Resultados!$F609="",Resultados!$G609=""),"",(Resultados!$G609-Resultados!$F609)*Resultados!$E609)</f>
        <v>197.99999999999969</v>
      </c>
      <c r="I609" s="70">
        <f ca="1">IF(ISBLANK(Resultados!$C609),"",
IF(ROW()-1=3,Resultados!$H609,INDIRECT(ADDRESS(ROW()-1,COLUMN()))+Resultados!$H609))</f>
        <v>52043.154285714336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91">
        <v>44180</v>
      </c>
      <c r="C610" s="92">
        <v>44207</v>
      </c>
      <c r="D610" s="93" t="s">
        <v>194</v>
      </c>
      <c r="E610" s="94">
        <v>600</v>
      </c>
      <c r="F610" s="95">
        <v>10.91</v>
      </c>
      <c r="G610" s="95">
        <v>12.38</v>
      </c>
      <c r="H610" s="65">
        <f>IF(OR(Resultados!$F610="",Resultados!$G610=""),"",(Resultados!$G610-Resultados!$F610)*Resultados!$E610)</f>
        <v>882.00000000000034</v>
      </c>
      <c r="I610" s="65">
        <f ca="1">IF(ISBLANK(Resultados!$C610),"",
IF(ROW()-1=3,Resultados!$H610,INDIRECT(ADDRESS(ROW()-1,COLUMN()))+Resultados!$H610))</f>
        <v>52925.154285714336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96">
        <v>44202</v>
      </c>
      <c r="C611" s="97">
        <v>44208</v>
      </c>
      <c r="D611" s="98" t="s">
        <v>132</v>
      </c>
      <c r="E611" s="99">
        <v>500</v>
      </c>
      <c r="F611" s="100">
        <v>42.91</v>
      </c>
      <c r="G611" s="100">
        <v>41.46</v>
      </c>
      <c r="H611" s="70">
        <f>IF(OR(Resultados!$F611="",Resultados!$G611=""),"",(Resultados!$G611-Resultados!$F611)*Resultados!$E611)</f>
        <v>-724.99999999999784</v>
      </c>
      <c r="I611" s="70">
        <f ca="1">IF(ISBLANK(Resultados!$C611),"",
IF(ROW()-1=3,Resultados!$H611,INDIRECT(ADDRESS(ROW()-1,COLUMN()))+Resultados!$H611))</f>
        <v>52200.154285714336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91">
        <v>44203</v>
      </c>
      <c r="C612" s="92">
        <v>44208</v>
      </c>
      <c r="D612" s="93" t="s">
        <v>210</v>
      </c>
      <c r="E612" s="94">
        <v>400</v>
      </c>
      <c r="F612" s="95">
        <v>63.04</v>
      </c>
      <c r="G612" s="95">
        <v>61.99</v>
      </c>
      <c r="H612" s="65">
        <f>IF(OR(Resultados!$F612="",Resultados!$G612=""),"",(Resultados!$G612-Resultados!$F612)*Resultados!$E612)</f>
        <v>-419.99999999999886</v>
      </c>
      <c r="I612" s="65">
        <f ca="1">IF(ISBLANK(Resultados!$C612),"",
IF(ROW()-1=3,Resultados!$H612,INDIRECT(ADDRESS(ROW()-1,COLUMN()))+Resultados!$H612))</f>
        <v>51780.154285714336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96">
        <v>44208</v>
      </c>
      <c r="C613" s="97">
        <v>44209</v>
      </c>
      <c r="D613" s="98" t="s">
        <v>184</v>
      </c>
      <c r="E613" s="99">
        <v>100</v>
      </c>
      <c r="F613" s="100">
        <v>76.92</v>
      </c>
      <c r="G613" s="100">
        <v>79.489999999999995</v>
      </c>
      <c r="H613" s="70">
        <f>IF(OR(Resultados!$F613="",Resultados!$G613=""),"",(Resultados!$G613-Resultados!$F613)*Resultados!$E613)</f>
        <v>256.99999999999932</v>
      </c>
      <c r="I613" s="70">
        <f ca="1">IF(ISBLANK(Resultados!$C613),"",
IF(ROW()-1=3,Resultados!$H613,INDIRECT(ADDRESS(ROW()-1,COLUMN()))+Resultados!$H613))</f>
        <v>52037.154285714336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91">
        <v>44203</v>
      </c>
      <c r="C614" s="92">
        <v>44209</v>
      </c>
      <c r="D614" s="93" t="s">
        <v>101</v>
      </c>
      <c r="E614" s="94">
        <v>1000</v>
      </c>
      <c r="F614" s="95">
        <v>24.47</v>
      </c>
      <c r="G614" s="95">
        <v>23.16</v>
      </c>
      <c r="H614" s="65">
        <f>IF(OR(Resultados!$F614="",Resultados!$G614=""),"",(Resultados!$G614-Resultados!$F614)*Resultados!$E614)</f>
        <v>-1309.9999999999986</v>
      </c>
      <c r="I614" s="65">
        <f ca="1">IF(ISBLANK(Resultados!$C614),"",
IF(ROW()-1=3,Resultados!$H614,INDIRECT(ADDRESS(ROW()-1,COLUMN()))+Resultados!$H614))</f>
        <v>50727.154285714336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96">
        <v>44208</v>
      </c>
      <c r="C615" s="97">
        <v>44210</v>
      </c>
      <c r="D615" s="98" t="s">
        <v>174</v>
      </c>
      <c r="E615" s="99">
        <v>700</v>
      </c>
      <c r="F615" s="100">
        <v>9.16</v>
      </c>
      <c r="G615" s="100">
        <v>9.82</v>
      </c>
      <c r="H615" s="70">
        <f>IF(OR(Resultados!$F615="",Resultados!$G615=""),"",(Resultados!$G615-Resultados!$F615)*Resultados!$E615)</f>
        <v>462.00000000000011</v>
      </c>
      <c r="I615" s="70">
        <f ca="1">IF(ISBLANK(Resultados!$C615),"",
IF(ROW()-1=3,Resultados!$H615,INDIRECT(ADDRESS(ROW()-1,COLUMN()))+Resultados!$H615))</f>
        <v>51189.154285714336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91">
        <v>44208</v>
      </c>
      <c r="C616" s="92">
        <v>44210</v>
      </c>
      <c r="D616" s="93" t="s">
        <v>66</v>
      </c>
      <c r="E616" s="94">
        <v>100</v>
      </c>
      <c r="F616" s="95">
        <v>72.73</v>
      </c>
      <c r="G616" s="95">
        <v>75.989999999999995</v>
      </c>
      <c r="H616" s="65">
        <f>IF(OR(Resultados!$F616="",Resultados!$G616=""),"",(Resultados!$G616-Resultados!$F616)*Resultados!$E616)</f>
        <v>325.99999999999909</v>
      </c>
      <c r="I616" s="65">
        <f ca="1">IF(ISBLANK(Resultados!$C616),"",
IF(ROW()-1=3,Resultados!$H616,INDIRECT(ADDRESS(ROW()-1,COLUMN()))+Resultados!$H616))</f>
        <v>51515.154285714336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96">
        <v>44202</v>
      </c>
      <c r="C617" s="97">
        <v>44210</v>
      </c>
      <c r="D617" s="98" t="s">
        <v>207</v>
      </c>
      <c r="E617" s="99">
        <v>58</v>
      </c>
      <c r="F617" s="100">
        <v>215.36</v>
      </c>
      <c r="G617" s="100">
        <v>214.29</v>
      </c>
      <c r="H617" s="70">
        <f>IF(OR(Resultados!$F617="",Resultados!$G617=""),"",(Resultados!$G617-Resultados!$F617)*Resultados!$E617)</f>
        <v>-62.060000000001253</v>
      </c>
      <c r="I617" s="70">
        <f ca="1">IF(ISBLANK(Resultados!$C617),"",
IF(ROW()-1=3,Resultados!$H617,INDIRECT(ADDRESS(ROW()-1,COLUMN()))+Resultados!$H617))</f>
        <v>51453.094285714338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91">
        <v>44202</v>
      </c>
      <c r="C618" s="92">
        <v>44211</v>
      </c>
      <c r="D618" s="93" t="s">
        <v>199</v>
      </c>
      <c r="E618" s="94">
        <v>107</v>
      </c>
      <c r="F618" s="95">
        <v>116.06</v>
      </c>
      <c r="G618" s="95">
        <v>115.99</v>
      </c>
      <c r="H618" s="65">
        <f>IF(OR(Resultados!$F618="",Resultados!$G618=""),"",(Resultados!$G618-Resultados!$F618)*Resultados!$E618)</f>
        <v>-7.4900000000007907</v>
      </c>
      <c r="I618" s="65">
        <f ca="1">IF(ISBLANK(Resultados!$C618),"",
IF(ROW()-1=3,Resultados!$H618,INDIRECT(ADDRESS(ROW()-1,COLUMN()))+Resultados!$H618))</f>
        <v>51445.60428571434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96">
        <v>44201</v>
      </c>
      <c r="C619" s="97">
        <v>44211</v>
      </c>
      <c r="D619" s="98" t="s">
        <v>156</v>
      </c>
      <c r="E619" s="99">
        <v>200</v>
      </c>
      <c r="F619" s="100">
        <v>67.2</v>
      </c>
      <c r="G619" s="100">
        <v>71.42</v>
      </c>
      <c r="H619" s="70">
        <f>IF(OR(Resultados!$F619="",Resultados!$G619=""),"",(Resultados!$G619-Resultados!$F619)*Resultados!$E619)</f>
        <v>843.99999999999977</v>
      </c>
      <c r="I619" s="70">
        <f ca="1">IF(ISBLANK(Resultados!$C619),"",
IF(ROW()-1=3,Resultados!$H619,INDIRECT(ADDRESS(ROW()-1,COLUMN()))+Resultados!$H619))</f>
        <v>52289.60428571434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91">
        <v>44208</v>
      </c>
      <c r="C620" s="92">
        <v>44211</v>
      </c>
      <c r="D620" s="93" t="s">
        <v>66</v>
      </c>
      <c r="E620" s="94">
        <v>100</v>
      </c>
      <c r="F620" s="95">
        <v>72.73</v>
      </c>
      <c r="G620" s="95">
        <v>81.489999999999995</v>
      </c>
      <c r="H620" s="65">
        <f>IF(OR(Resultados!$F620="",Resultados!$G620=""),"",(Resultados!$G620-Resultados!$F620)*Resultados!$E620)</f>
        <v>875.99999999999909</v>
      </c>
      <c r="I620" s="65">
        <f ca="1">IF(ISBLANK(Resultados!$C620),"",
IF(ROW()-1=3,Resultados!$H620,INDIRECT(ADDRESS(ROW()-1,COLUMN()))+Resultados!$H620))</f>
        <v>53165.60428571434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96">
        <v>44201</v>
      </c>
      <c r="C621" s="97">
        <v>44211</v>
      </c>
      <c r="D621" s="98" t="s">
        <v>196</v>
      </c>
      <c r="E621" s="99">
        <v>100</v>
      </c>
      <c r="F621" s="100">
        <v>76.73</v>
      </c>
      <c r="G621" s="100">
        <v>85.98</v>
      </c>
      <c r="H621" s="70">
        <f>IF(OR(Resultados!$F621="",Resultados!$G621=""),"",(Resultados!$G621-Resultados!$F621)*Resultados!$E621)</f>
        <v>925</v>
      </c>
      <c r="I621" s="70">
        <f ca="1">IF(ISBLANK(Resultados!$C621),"",
IF(ROW()-1=3,Resultados!$H621,INDIRECT(ADDRESS(ROW()-1,COLUMN()))+Resultados!$H621))</f>
        <v>54090.60428571434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91">
        <v>44209</v>
      </c>
      <c r="C622" s="92">
        <v>44215</v>
      </c>
      <c r="D622" s="93" t="s">
        <v>185</v>
      </c>
      <c r="E622" s="94">
        <v>1500</v>
      </c>
      <c r="F622" s="95">
        <v>16.7</v>
      </c>
      <c r="G622" s="95">
        <v>16.079999999999998</v>
      </c>
      <c r="H622" s="65">
        <f>IF(OR(Resultados!$F622="",Resultados!$G622=""),"",(Resultados!$G622-Resultados!$F622)*Resultados!$E622)</f>
        <v>-930.00000000000148</v>
      </c>
      <c r="I622" s="65">
        <f ca="1">IF(ISBLANK(Resultados!$C622),"",
IF(ROW()-1=3,Resultados!$H622,INDIRECT(ADDRESS(ROW()-1,COLUMN()))+Resultados!$H622))</f>
        <v>53160.60428571434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96">
        <v>44204</v>
      </c>
      <c r="C623" s="97">
        <v>44215</v>
      </c>
      <c r="D623" s="98" t="s">
        <v>209</v>
      </c>
      <c r="E623" s="99">
        <v>1000</v>
      </c>
      <c r="F623" s="100">
        <v>4.66</v>
      </c>
      <c r="G623" s="100">
        <v>4.54</v>
      </c>
      <c r="H623" s="70">
        <f>IF(OR(Resultados!$F623="",Resultados!$G623=""),"",(Resultados!$G623-Resultados!$F623)*Resultados!$E623)</f>
        <v>-120.00000000000011</v>
      </c>
      <c r="I623" s="70">
        <f ca="1">IF(ISBLANK(Resultados!$C623),"",
IF(ROW()-1=3,Resultados!$H623,INDIRECT(ADDRESS(ROW()-1,COLUMN()))+Resultados!$H623))</f>
        <v>53040.60428571434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91">
        <v>44210</v>
      </c>
      <c r="C624" s="92">
        <v>44217</v>
      </c>
      <c r="D624" s="93" t="s">
        <v>162</v>
      </c>
      <c r="E624" s="94">
        <v>400</v>
      </c>
      <c r="F624" s="95">
        <v>40.71</v>
      </c>
      <c r="G624" s="95">
        <v>38.15</v>
      </c>
      <c r="H624" s="65">
        <f>IF(OR(Resultados!$F624="",Resultados!$G624=""),"",(Resultados!$G624-Resultados!$F624)*Resultados!$E624)</f>
        <v>-1024.0000000000009</v>
      </c>
      <c r="I624" s="65">
        <f ca="1">IF(ISBLANK(Resultados!$C624),"",
IF(ROW()-1=3,Resultados!$H624,INDIRECT(ADDRESS(ROW()-1,COLUMN()))+Resultados!$H624))</f>
        <v>52016.60428571434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96">
        <v>44214</v>
      </c>
      <c r="C625" s="97">
        <v>44217</v>
      </c>
      <c r="D625" s="98" t="s">
        <v>94</v>
      </c>
      <c r="E625" s="99">
        <v>500</v>
      </c>
      <c r="F625" s="100">
        <v>24.52</v>
      </c>
      <c r="G625" s="100">
        <v>25.29</v>
      </c>
      <c r="H625" s="70">
        <f>IF(OR(Resultados!$F625="",Resultados!$G625=""),"",(Resultados!$G625-Resultados!$F625)*Resultados!$E625)</f>
        <v>384.99999999999977</v>
      </c>
      <c r="I625" s="70">
        <f ca="1">IF(ISBLANK(Resultados!$C625),"",
IF(ROW()-1=3,Resultados!$H625,INDIRECT(ADDRESS(ROW()-1,COLUMN()))+Resultados!$H625))</f>
        <v>52401.60428571434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91">
        <v>44208</v>
      </c>
      <c r="C626" s="92">
        <v>44217</v>
      </c>
      <c r="D626" s="93" t="s">
        <v>174</v>
      </c>
      <c r="E626" s="94">
        <v>600</v>
      </c>
      <c r="F626" s="95">
        <v>9.16</v>
      </c>
      <c r="G626" s="95">
        <v>8.99</v>
      </c>
      <c r="H626" s="65">
        <f>IF(OR(Resultados!$F626="",Resultados!$G626=""),"",(Resultados!$G626-Resultados!$F626)*Resultados!$E626)</f>
        <v>-101.99999999999996</v>
      </c>
      <c r="I626" s="65">
        <f ca="1">IF(ISBLANK(Resultados!$C626),"",
IF(ROW()-1=3,Resultados!$H626,INDIRECT(ADDRESS(ROW()-1,COLUMN()))+Resultados!$H626))</f>
        <v>52299.60428571434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96">
        <v>44176</v>
      </c>
      <c r="C627" s="97">
        <v>44218</v>
      </c>
      <c r="D627" s="98" t="s">
        <v>184</v>
      </c>
      <c r="E627" s="99">
        <v>100</v>
      </c>
      <c r="F627" s="100">
        <v>72.77</v>
      </c>
      <c r="G627" s="100">
        <v>74.989999999999995</v>
      </c>
      <c r="H627" s="70">
        <f>IF(OR(Resultados!$F627="",Resultados!$G627=""),"",(Resultados!$G627-Resultados!$F627)*Resultados!$E627)</f>
        <v>221.99999999999989</v>
      </c>
      <c r="I627" s="70">
        <f ca="1">IF(ISBLANK(Resultados!$C627),"",
IF(ROW()-1=3,Resultados!$H627,INDIRECT(ADDRESS(ROW()-1,COLUMN()))+Resultados!$H627))</f>
        <v>52521.60428571434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91">
        <v>44203</v>
      </c>
      <c r="C628" s="92">
        <v>44218</v>
      </c>
      <c r="D628" s="93" t="s">
        <v>120</v>
      </c>
      <c r="E628" s="94">
        <v>2000</v>
      </c>
      <c r="F628" s="95">
        <v>4.9000000000000004</v>
      </c>
      <c r="G628" s="95">
        <v>4.49</v>
      </c>
      <c r="H628" s="65">
        <f>IF(OR(Resultados!$F628="",Resultados!$G628=""),"",(Resultados!$G628-Resultados!$F628)*Resultados!$E628)</f>
        <v>-820.00000000000023</v>
      </c>
      <c r="I628" s="65">
        <f ca="1">IF(ISBLANK(Resultados!$C628),"",
IF(ROW()-1=3,Resultados!$H628,INDIRECT(ADDRESS(ROW()-1,COLUMN()))+Resultados!$H628))</f>
        <v>51701.60428571434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96">
        <v>44215</v>
      </c>
      <c r="C629" s="97">
        <v>44218</v>
      </c>
      <c r="D629" s="98" t="s">
        <v>84</v>
      </c>
      <c r="E629" s="99">
        <v>600</v>
      </c>
      <c r="F629" s="100">
        <v>35.71</v>
      </c>
      <c r="G629" s="100">
        <v>33.659999999999997</v>
      </c>
      <c r="H629" s="70">
        <f>IF(OR(Resultados!$F629="",Resultados!$G629=""),"",(Resultados!$G629-Resultados!$F629)*Resultados!$E629)</f>
        <v>-1230.0000000000025</v>
      </c>
      <c r="I629" s="70">
        <f ca="1">IF(ISBLANK(Resultados!$C629),"",
IF(ROW()-1=3,Resultados!$H629,INDIRECT(ADDRESS(ROW()-1,COLUMN()))+Resultados!$H629))</f>
        <v>50471.60428571434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91">
        <v>44216</v>
      </c>
      <c r="C630" s="92">
        <v>44218</v>
      </c>
      <c r="D630" s="93" t="s">
        <v>175</v>
      </c>
      <c r="E630" s="94">
        <v>2400</v>
      </c>
      <c r="F630" s="95">
        <v>6.26</v>
      </c>
      <c r="G630" s="95">
        <v>5.99</v>
      </c>
      <c r="H630" s="65">
        <f>IF(OR(Resultados!$F630="",Resultados!$G630=""),"",(Resultados!$G630-Resultados!$F630)*Resultados!$E630)</f>
        <v>-647.99999999999898</v>
      </c>
      <c r="I630" s="65">
        <f ca="1">IF(ISBLANK(Resultados!$C630),"",
IF(ROW()-1=3,Resultados!$H630,INDIRECT(ADDRESS(ROW()-1,COLUMN()))+Resultados!$H630))</f>
        <v>49823.60428571434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96">
        <v>44208</v>
      </c>
      <c r="C631" s="97">
        <v>44218</v>
      </c>
      <c r="D631" s="98" t="s">
        <v>184</v>
      </c>
      <c r="E631" s="99">
        <v>100</v>
      </c>
      <c r="F631" s="100">
        <v>76.92</v>
      </c>
      <c r="G631" s="100">
        <v>74.989999999999995</v>
      </c>
      <c r="H631" s="70">
        <f>IF(OR(Resultados!$F631="",Resultados!$G631=""),"",(Resultados!$G631-Resultados!$F631)*Resultados!$E631)</f>
        <v>-193.00000000000068</v>
      </c>
      <c r="I631" s="70">
        <f ca="1">IF(ISBLANK(Resultados!$C631),"",
IF(ROW()-1=3,Resultados!$H631,INDIRECT(ADDRESS(ROW()-1,COLUMN()))+Resultados!$H631))</f>
        <v>49630.60428571434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91">
        <v>44210</v>
      </c>
      <c r="C632" s="92">
        <v>44218</v>
      </c>
      <c r="D632" s="93" t="s">
        <v>211</v>
      </c>
      <c r="E632" s="94">
        <v>182</v>
      </c>
      <c r="F632" s="95">
        <v>137.38</v>
      </c>
      <c r="G632" s="95">
        <v>130.55000000000001</v>
      </c>
      <c r="H632" s="65">
        <f>IF(OR(Resultados!$F632="",Resultados!$G632=""),"",(Resultados!$G632-Resultados!$F632)*Resultados!$E632)</f>
        <v>-1243.0599999999972</v>
      </c>
      <c r="I632" s="65">
        <f ca="1">IF(ISBLANK(Resultados!$C632),"",
IF(ROW()-1=3,Resultados!$H632,INDIRECT(ADDRESS(ROW()-1,COLUMN()))+Resultados!$H632))</f>
        <v>48387.544285714343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96">
        <v>44222</v>
      </c>
      <c r="C633" s="97">
        <v>44223</v>
      </c>
      <c r="D633" s="98" t="s">
        <v>171</v>
      </c>
      <c r="E633" s="99">
        <v>3300</v>
      </c>
      <c r="F633" s="100">
        <v>3.75</v>
      </c>
      <c r="G633" s="100">
        <v>3.57</v>
      </c>
      <c r="H633" s="70">
        <f>IF(OR(Resultados!$F633="",Resultados!$G633=""),"",(Resultados!$G633-Resultados!$F633)*Resultados!$E633)</f>
        <v>-594.00000000000057</v>
      </c>
      <c r="I633" s="70">
        <f ca="1">IF(ISBLANK(Resultados!$C633),"",
IF(ROW()-1=3,Resultados!$H633,INDIRECT(ADDRESS(ROW()-1,COLUMN()))+Resultados!$H633))</f>
        <v>47793.544285714343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91">
        <v>44223</v>
      </c>
      <c r="C634" s="92">
        <v>44224</v>
      </c>
      <c r="D634" s="93" t="s">
        <v>212</v>
      </c>
      <c r="E634" s="94">
        <v>200</v>
      </c>
      <c r="F634" s="95">
        <v>40.04</v>
      </c>
      <c r="G634" s="95">
        <v>43.34</v>
      </c>
      <c r="H634" s="65">
        <f>IF(OR(Resultados!$F634="",Resultados!$G634=""),"",(Resultados!$G634-Resultados!$F634)*Resultados!$E634)</f>
        <v>660.00000000000091</v>
      </c>
      <c r="I634" s="65">
        <f ca="1">IF(ISBLANK(Resultados!$C634),"",
IF(ROW()-1=3,Resultados!$H634,INDIRECT(ADDRESS(ROW()-1,COLUMN()))+Resultados!$H634))</f>
        <v>48453.544285714343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96">
        <v>44214</v>
      </c>
      <c r="C635" s="97">
        <v>44224</v>
      </c>
      <c r="D635" s="98" t="s">
        <v>74</v>
      </c>
      <c r="E635" s="99">
        <v>700</v>
      </c>
      <c r="F635" s="100">
        <v>9.52</v>
      </c>
      <c r="G635" s="100">
        <v>9.89</v>
      </c>
      <c r="H635" s="70">
        <f>IF(OR(Resultados!$F635="",Resultados!$G635=""),"",(Resultados!$G635-Resultados!$F635)*Resultados!$E635)</f>
        <v>259.00000000000068</v>
      </c>
      <c r="I635" s="70">
        <f ca="1">IF(ISBLANK(Resultados!$C635),"",
IF(ROW()-1=3,Resultados!$H635,INDIRECT(ADDRESS(ROW()-1,COLUMN()))+Resultados!$H635))</f>
        <v>48712.544285714343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91">
        <v>44214</v>
      </c>
      <c r="C636" s="92">
        <v>44228</v>
      </c>
      <c r="D636" s="93" t="s">
        <v>94</v>
      </c>
      <c r="E636" s="94">
        <v>400</v>
      </c>
      <c r="F636" s="95">
        <v>24.52</v>
      </c>
      <c r="G636" s="95">
        <v>24.79</v>
      </c>
      <c r="H636" s="65">
        <f>IF(OR(Resultados!$F636="",Resultados!$G636=""),"",(Resultados!$G636-Resultados!$F636)*Resultados!$E636)</f>
        <v>107.99999999999983</v>
      </c>
      <c r="I636" s="65">
        <f ca="1">IF(ISBLANK(Resultados!$C636),"",
IF(ROW()-1=3,Resultados!$H636,INDIRECT(ADDRESS(ROW()-1,COLUMN()))+Resultados!$H636))</f>
        <v>48820.544285714343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96">
        <v>44204</v>
      </c>
      <c r="C637" s="97">
        <v>44228</v>
      </c>
      <c r="D637" s="98" t="s">
        <v>208</v>
      </c>
      <c r="E637" s="99">
        <v>1000</v>
      </c>
      <c r="F637" s="100">
        <v>8.4600000000000009</v>
      </c>
      <c r="G637" s="100">
        <v>8.39</v>
      </c>
      <c r="H637" s="70">
        <f>IF(OR(Resultados!$F637="",Resultados!$G637=""),"",(Resultados!$G637-Resultados!$F637)*Resultados!$E637)</f>
        <v>-70.000000000000284</v>
      </c>
      <c r="I637" s="70">
        <f ca="1">IF(ISBLANK(Resultados!$C637),"",
IF(ROW()-1=3,Resultados!$H637,INDIRECT(ADDRESS(ROW()-1,COLUMN()))+Resultados!$H637))</f>
        <v>48750.544285714343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91">
        <v>44223</v>
      </c>
      <c r="C638" s="92">
        <v>44229</v>
      </c>
      <c r="D638" s="93" t="s">
        <v>83</v>
      </c>
      <c r="E638" s="94">
        <v>600</v>
      </c>
      <c r="F638" s="95">
        <v>10.78</v>
      </c>
      <c r="G638" s="95">
        <v>11.42</v>
      </c>
      <c r="H638" s="65">
        <f>IF(OR(Resultados!$F638="",Resultados!$G638=""),"",(Resultados!$G638-Resultados!$F638)*Resultados!$E638)</f>
        <v>384.00000000000034</v>
      </c>
      <c r="I638" s="65">
        <f ca="1">IF(ISBLANK(Resultados!$C638),"",
IF(ROW()-1=3,Resultados!$H638,INDIRECT(ADDRESS(ROW()-1,COLUMN()))+Resultados!$H638))</f>
        <v>49134.544285714343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96">
        <v>44224</v>
      </c>
      <c r="C639" s="97">
        <v>44229</v>
      </c>
      <c r="D639" s="98" t="s">
        <v>213</v>
      </c>
      <c r="E639" s="99">
        <v>93</v>
      </c>
      <c r="F639" s="100">
        <v>132.99</v>
      </c>
      <c r="G639" s="100">
        <v>136.99</v>
      </c>
      <c r="H639" s="70">
        <f>IF(OR(Resultados!$F639="",Resultados!$G639=""),"",(Resultados!$G639-Resultados!$F639)*Resultados!$E639)</f>
        <v>372</v>
      </c>
      <c r="I639" s="70">
        <f ca="1">IF(ISBLANK(Resultados!$C639),"",
IF(ROW()-1=3,Resultados!$H639,INDIRECT(ADDRESS(ROW()-1,COLUMN()))+Resultados!$H639))</f>
        <v>49506.544285714343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91">
        <v>44222</v>
      </c>
      <c r="C640" s="92">
        <v>44231</v>
      </c>
      <c r="D640" s="93" t="s">
        <v>209</v>
      </c>
      <c r="E640" s="94">
        <v>1400</v>
      </c>
      <c r="F640" s="95">
        <v>4.5599999999999996</v>
      </c>
      <c r="G640" s="95">
        <v>4.79</v>
      </c>
      <c r="H640" s="65">
        <f>IF(OR(Resultados!$F640="",Resultados!$G640=""),"",(Resultados!$G640-Resultados!$F640)*Resultados!$E640)</f>
        <v>322.00000000000057</v>
      </c>
      <c r="I640" s="65">
        <f ca="1">IF(ISBLANK(Resultados!$C640),"",
IF(ROW()-1=3,Resultados!$H640,INDIRECT(ADDRESS(ROW()-1,COLUMN()))+Resultados!$H640))</f>
        <v>49828.544285714343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96">
        <v>44230</v>
      </c>
      <c r="C641" s="97">
        <v>44231</v>
      </c>
      <c r="D641" s="98" t="s">
        <v>205</v>
      </c>
      <c r="E641" s="99">
        <v>1100</v>
      </c>
      <c r="F641" s="100">
        <v>22.24</v>
      </c>
      <c r="G641" s="100">
        <v>21.4</v>
      </c>
      <c r="H641" s="70">
        <f>IF(OR(Resultados!$F641="",Resultados!$G641=""),"",(Resultados!$G641-Resultados!$F641)*Resultados!$E641)</f>
        <v>-923.99999999999989</v>
      </c>
      <c r="I641" s="70">
        <f ca="1">IF(ISBLANK(Resultados!$C641),"",
IF(ROW()-1=3,Resultados!$H641,INDIRECT(ADDRESS(ROW()-1,COLUMN()))+Resultados!$H641))</f>
        <v>48904.544285714343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91">
        <v>44223</v>
      </c>
      <c r="C642" s="92">
        <v>44232</v>
      </c>
      <c r="D642" s="93" t="s">
        <v>78</v>
      </c>
      <c r="E642" s="94">
        <v>400</v>
      </c>
      <c r="F642" s="95">
        <v>49.89</v>
      </c>
      <c r="G642" s="95">
        <v>49.99</v>
      </c>
      <c r="H642" s="65">
        <f>IF(OR(Resultados!$F642="",Resultados!$G642=""),"",(Resultados!$G642-Resultados!$F642)*Resultados!$E642)</f>
        <v>40.000000000000568</v>
      </c>
      <c r="I642" s="65">
        <f ca="1">IF(ISBLANK(Resultados!$C642),"",
IF(ROW()-1=3,Resultados!$H642,INDIRECT(ADDRESS(ROW()-1,COLUMN()))+Resultados!$H642))</f>
        <v>48944.544285714343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96">
        <v>44224</v>
      </c>
      <c r="C643" s="97">
        <v>44235</v>
      </c>
      <c r="D643" s="98" t="s">
        <v>101</v>
      </c>
      <c r="E643" s="99">
        <v>500</v>
      </c>
      <c r="F643" s="100">
        <v>22.94</v>
      </c>
      <c r="G643" s="100">
        <v>23.89</v>
      </c>
      <c r="H643" s="70">
        <f>IF(OR(Resultados!$F643="",Resultados!$G643=""),"",(Resultados!$G643-Resultados!$F643)*Resultados!$E643)</f>
        <v>474.99999999999966</v>
      </c>
      <c r="I643" s="70">
        <f ca="1">IF(ISBLANK(Resultados!$C643),"",
IF(ROW()-1=3,Resultados!$H643,INDIRECT(ADDRESS(ROW()-1,COLUMN()))+Resultados!$H643))</f>
        <v>49419.544285714343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91">
        <v>44214</v>
      </c>
      <c r="C644" s="92">
        <v>44236</v>
      </c>
      <c r="D644" s="93" t="s">
        <v>74</v>
      </c>
      <c r="E644" s="94">
        <v>600</v>
      </c>
      <c r="F644" s="95">
        <v>9.52</v>
      </c>
      <c r="G644" s="95">
        <v>9.59</v>
      </c>
      <c r="H644" s="65">
        <f>IF(OR(Resultados!$F644="",Resultados!$G644=""),"",(Resultados!$G644-Resultados!$F644)*Resultados!$E644)</f>
        <v>42.000000000000171</v>
      </c>
      <c r="I644" s="65">
        <f ca="1">IF(ISBLANK(Resultados!$C644),"",
IF(ROW()-1=3,Resultados!$H644,INDIRECT(ADDRESS(ROW()-1,COLUMN()))+Resultados!$H644))</f>
        <v>49461.544285714343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96">
        <v>44222</v>
      </c>
      <c r="C645" s="97">
        <v>44236</v>
      </c>
      <c r="D645" s="98" t="s">
        <v>209</v>
      </c>
      <c r="E645" s="99">
        <v>1300</v>
      </c>
      <c r="F645" s="100">
        <v>4.5599999999999996</v>
      </c>
      <c r="G645" s="100">
        <v>4.46</v>
      </c>
      <c r="H645" s="70">
        <f>IF(OR(Resultados!$F645="",Resultados!$G645=""),"",(Resultados!$G645-Resultados!$F645)*Resultados!$E645)</f>
        <v>-129.99999999999955</v>
      </c>
      <c r="I645" s="70">
        <f ca="1">IF(ISBLANK(Resultados!$C645),"",
IF(ROW()-1=3,Resultados!$H645,INDIRECT(ADDRESS(ROW()-1,COLUMN()))+Resultados!$H645))</f>
        <v>49331.544285714343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91">
        <v>44223</v>
      </c>
      <c r="C646" s="92">
        <v>44236</v>
      </c>
      <c r="D646" s="93" t="s">
        <v>83</v>
      </c>
      <c r="E646" s="94">
        <v>500</v>
      </c>
      <c r="F646" s="95">
        <v>10.78</v>
      </c>
      <c r="G646" s="95">
        <v>10.94</v>
      </c>
      <c r="H646" s="65">
        <f>IF(OR(Resultados!$F646="",Resultados!$G646=""),"",(Resultados!$G646-Resultados!$F646)*Resultados!$E646)</f>
        <v>80.000000000000071</v>
      </c>
      <c r="I646" s="65">
        <f ca="1">IF(ISBLANK(Resultados!$C646),"",
IF(ROW()-1=3,Resultados!$H646,INDIRECT(ADDRESS(ROW()-1,COLUMN()))+Resultados!$H646))</f>
        <v>49411.544285714343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96">
        <v>44224</v>
      </c>
      <c r="C647" s="97">
        <v>44237</v>
      </c>
      <c r="D647" s="98" t="s">
        <v>214</v>
      </c>
      <c r="E647" s="99">
        <v>1400</v>
      </c>
      <c r="F647" s="100">
        <v>17.920000000000002</v>
      </c>
      <c r="G647" s="100">
        <v>17.02</v>
      </c>
      <c r="H647" s="70">
        <f>IF(OR(Resultados!$F647="",Resultados!$G647=""),"",(Resultados!$G647-Resultados!$F647)*Resultados!$E647)</f>
        <v>-1260.000000000003</v>
      </c>
      <c r="I647" s="70">
        <f ca="1">IF(ISBLANK(Resultados!$C647),"",
IF(ROW()-1=3,Resultados!$H647,INDIRECT(ADDRESS(ROW()-1,COLUMN()))+Resultados!$H647))</f>
        <v>48151.544285714343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91">
        <v>44231</v>
      </c>
      <c r="C648" s="92">
        <v>44239</v>
      </c>
      <c r="D648" s="93" t="s">
        <v>215</v>
      </c>
      <c r="E648" s="94">
        <v>400</v>
      </c>
      <c r="F648" s="95">
        <v>25.33</v>
      </c>
      <c r="G648" s="95">
        <v>26.95</v>
      </c>
      <c r="H648" s="65">
        <f>IF(OR(Resultados!$F648="",Resultados!$G648=""),"",(Resultados!$G648-Resultados!$F648)*Resultados!$E648)</f>
        <v>648.00000000000045</v>
      </c>
      <c r="I648" s="65">
        <f ca="1">IF(ISBLANK(Resultados!$C648),"",
IF(ROW()-1=3,Resultados!$H648,INDIRECT(ADDRESS(ROW()-1,COLUMN()))+Resultados!$H648))</f>
        <v>48799.544285714343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96">
        <v>44224</v>
      </c>
      <c r="C649" s="97">
        <v>44245</v>
      </c>
      <c r="D649" s="98" t="s">
        <v>101</v>
      </c>
      <c r="E649" s="99">
        <v>500</v>
      </c>
      <c r="F649" s="100">
        <v>22.94</v>
      </c>
      <c r="G649" s="100">
        <v>22.59</v>
      </c>
      <c r="H649" s="70">
        <f>IF(OR(Resultados!$F649="",Resultados!$G649=""),"",(Resultados!$G649-Resultados!$F649)*Resultados!$E649)</f>
        <v>-175.00000000000071</v>
      </c>
      <c r="I649" s="70">
        <f ca="1">IF(ISBLANK(Resultados!$C649),"",
IF(ROW()-1=3,Resultados!$H649,INDIRECT(ADDRESS(ROW()-1,COLUMN()))+Resultados!$H649))</f>
        <v>48624.544285714343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91">
        <v>44235</v>
      </c>
      <c r="C650" s="92">
        <v>44245</v>
      </c>
      <c r="D650" s="93" t="s">
        <v>94</v>
      </c>
      <c r="E650" s="94">
        <v>1000</v>
      </c>
      <c r="F650" s="95">
        <v>26.23</v>
      </c>
      <c r="G650" s="95">
        <v>24.98</v>
      </c>
      <c r="H650" s="65">
        <f>IF(OR(Resultados!$F650="",Resultados!$G650=""),"",(Resultados!$G650-Resultados!$F650)*Resultados!$E650)</f>
        <v>-1250</v>
      </c>
      <c r="I650" s="65">
        <f ca="1">IF(ISBLANK(Resultados!$C650),"",
IF(ROW()-1=3,Resultados!$H650,INDIRECT(ADDRESS(ROW()-1,COLUMN()))+Resultados!$H650))</f>
        <v>47374.544285714343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96">
        <v>44224</v>
      </c>
      <c r="C651" s="97">
        <v>44249</v>
      </c>
      <c r="D651" s="98" t="s">
        <v>213</v>
      </c>
      <c r="E651" s="99">
        <v>93</v>
      </c>
      <c r="F651" s="100">
        <v>132.99</v>
      </c>
      <c r="G651" s="100">
        <v>130.6</v>
      </c>
      <c r="H651" s="70">
        <f>IF(OR(Resultados!$F651="",Resultados!$G651=""),"",(Resultados!$G651-Resultados!$F651)*Resultados!$E651)</f>
        <v>-222.27000000000137</v>
      </c>
      <c r="I651" s="70">
        <f ca="1">IF(ISBLANK(Resultados!$C651),"",
IF(ROW()-1=3,Resultados!$H651,INDIRECT(ADDRESS(ROW()-1,COLUMN()))+Resultados!$H651))</f>
        <v>47152.274285714338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91">
        <v>44229</v>
      </c>
      <c r="C652" s="92">
        <v>44249</v>
      </c>
      <c r="D652" s="93" t="s">
        <v>199</v>
      </c>
      <c r="E652" s="94">
        <v>215</v>
      </c>
      <c r="F652" s="95">
        <v>115.29</v>
      </c>
      <c r="G652" s="95">
        <v>109.24</v>
      </c>
      <c r="H652" s="65">
        <f>IF(OR(Resultados!$F652="",Resultados!$G652=""),"",(Resultados!$G652-Resultados!$F652)*Resultados!$E652)</f>
        <v>-1300.7500000000025</v>
      </c>
      <c r="I652" s="65">
        <f ca="1">IF(ISBLANK(Resultados!$C652),"",
IF(ROW()-1=3,Resultados!$H652,INDIRECT(ADDRESS(ROW()-1,COLUMN()))+Resultados!$H652))</f>
        <v>45851.524285714338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96">
        <v>44231</v>
      </c>
      <c r="C653" s="97">
        <v>44249</v>
      </c>
      <c r="D653" s="98" t="s">
        <v>215</v>
      </c>
      <c r="E653" s="99">
        <v>300</v>
      </c>
      <c r="F653" s="100">
        <v>25.33</v>
      </c>
      <c r="G653" s="100">
        <v>25.99</v>
      </c>
      <c r="H653" s="70">
        <f>IF(OR(Resultados!$F653="",Resultados!$G653=""),"",(Resultados!$G653-Resultados!$F653)*Resultados!$E653)</f>
        <v>198.00000000000006</v>
      </c>
      <c r="I653" s="70">
        <f ca="1">IF(ISBLANK(Resultados!$C653),"",
IF(ROW()-1=3,Resultados!$H653,INDIRECT(ADDRESS(ROW()-1,COLUMN()))+Resultados!$H653))</f>
        <v>46049.524285714338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91">
        <v>44223</v>
      </c>
      <c r="C654" s="92">
        <v>44253</v>
      </c>
      <c r="D654" s="93" t="s">
        <v>212</v>
      </c>
      <c r="E654" s="94">
        <v>100</v>
      </c>
      <c r="F654" s="95">
        <v>40.04</v>
      </c>
      <c r="G654" s="95">
        <v>40.99</v>
      </c>
      <c r="H654" s="65">
        <f>IF(OR(Resultados!$F654="",Resultados!$G654=""),"",(Resultados!$G654-Resultados!$F654)*Resultados!$E654)</f>
        <v>95.000000000000284</v>
      </c>
      <c r="I654" s="65">
        <f ca="1">IF(ISBLANK(Resultados!$C654),"",
IF(ROW()-1=3,Resultados!$H654,INDIRECT(ADDRESS(ROW()-1,COLUMN()))+Resultados!$H654))</f>
        <v>46144.524285714338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96">
        <v>44250</v>
      </c>
      <c r="C655" s="97">
        <v>44253</v>
      </c>
      <c r="D655" s="98" t="s">
        <v>199</v>
      </c>
      <c r="E655" s="99">
        <v>225</v>
      </c>
      <c r="F655" s="100">
        <v>110.56</v>
      </c>
      <c r="G655" s="100">
        <v>107.35</v>
      </c>
      <c r="H655" s="70">
        <f>IF(OR(Resultados!$F655="",Resultados!$G655=""),"",(Resultados!$G655-Resultados!$F655)*Resultados!$E655)</f>
        <v>-722.25000000000182</v>
      </c>
      <c r="I655" s="70">
        <f ca="1">IF(ISBLANK(Resultados!$C655),"",
IF(ROW()-1=3,Resultados!$H655,INDIRECT(ADDRESS(ROW()-1,COLUMN()))+Resultados!$H655))</f>
        <v>45422.274285714338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91">
        <v>44252</v>
      </c>
      <c r="C656" s="92">
        <v>44253</v>
      </c>
      <c r="D656" s="93" t="s">
        <v>83</v>
      </c>
      <c r="E656" s="94">
        <v>1200</v>
      </c>
      <c r="F656" s="95">
        <v>10.33</v>
      </c>
      <c r="G656" s="95">
        <v>9.76</v>
      </c>
      <c r="H656" s="65">
        <f>IF(OR(Resultados!$F656="",Resultados!$G656=""),"",(Resultados!$G656-Resultados!$F656)*Resultados!$E656)</f>
        <v>-684.00000000000034</v>
      </c>
      <c r="I656" s="65">
        <f ca="1">IF(ISBLANK(Resultados!$C656),"",
IF(ROW()-1=3,Resultados!$H656,INDIRECT(ADDRESS(ROW()-1,COLUMN()))+Resultados!$H656))</f>
        <v>44738.274285714338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96">
        <v>44251</v>
      </c>
      <c r="C657" s="97">
        <v>44253</v>
      </c>
      <c r="D657" s="98" t="s">
        <v>213</v>
      </c>
      <c r="E657" s="99">
        <v>184</v>
      </c>
      <c r="F657" s="100">
        <v>134.06</v>
      </c>
      <c r="G657" s="100">
        <v>127.99</v>
      </c>
      <c r="H657" s="70">
        <f>IF(OR(Resultados!$F657="",Resultados!$G657=""),"",(Resultados!$G657-Resultados!$F657)*Resultados!$E657)</f>
        <v>-1116.8800000000015</v>
      </c>
      <c r="I657" s="70">
        <f ca="1">IF(ISBLANK(Resultados!$C657),"",
IF(ROW()-1=3,Resultados!$H657,INDIRECT(ADDRESS(ROW()-1,COLUMN()))+Resultados!$H657))</f>
        <v>43621.394285714334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91">
        <v>44256</v>
      </c>
      <c r="C658" s="92">
        <v>44257</v>
      </c>
      <c r="D658" s="93" t="s">
        <v>167</v>
      </c>
      <c r="E658" s="94">
        <v>700</v>
      </c>
      <c r="F658" s="95">
        <v>17.66</v>
      </c>
      <c r="G658" s="95">
        <v>17.59</v>
      </c>
      <c r="H658" s="65">
        <f>IF(OR(Resultados!$F658="",Resultados!$G658=""),"",(Resultados!$G658-Resultados!$F658)*Resultados!$E658)</f>
        <v>-49.000000000000199</v>
      </c>
      <c r="I658" s="65">
        <f ca="1">IF(ISBLANK(Resultados!$C658),"",
IF(ROW()-1=3,Resultados!$H658,INDIRECT(ADDRESS(ROW()-1,COLUMN()))+Resultados!$H658))</f>
        <v>43572.394285714334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96">
        <v>44235</v>
      </c>
      <c r="C659" s="97">
        <v>44259</v>
      </c>
      <c r="D659" s="98" t="s">
        <v>156</v>
      </c>
      <c r="E659" s="99">
        <v>200</v>
      </c>
      <c r="F659" s="100">
        <v>64.28</v>
      </c>
      <c r="G659" s="100">
        <v>67.3</v>
      </c>
      <c r="H659" s="70">
        <f>IF(OR(Resultados!$F659="",Resultados!$G659=""),"",(Resultados!$G659-Resultados!$F659)*Resultados!$E659)</f>
        <v>603.9999999999992</v>
      </c>
      <c r="I659" s="70">
        <f ca="1">IF(ISBLANK(Resultados!$C659),"",
IF(ROW()-1=3,Resultados!$H659,INDIRECT(ADDRESS(ROW()-1,COLUMN()))+Resultados!$H659))</f>
        <v>44176.394285714334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91">
        <v>44235</v>
      </c>
      <c r="C660" s="92">
        <v>44259</v>
      </c>
      <c r="D660" s="93" t="s">
        <v>156</v>
      </c>
      <c r="E660" s="94">
        <v>200</v>
      </c>
      <c r="F660" s="95">
        <v>64.28</v>
      </c>
      <c r="G660" s="95">
        <v>63.89</v>
      </c>
      <c r="H660" s="65">
        <f>IF(OR(Resultados!$F660="",Resultados!$G660=""),"",(Resultados!$G660-Resultados!$F660)*Resultados!$E660)</f>
        <v>-78.000000000000114</v>
      </c>
      <c r="I660" s="65">
        <f ca="1">IF(ISBLANK(Resultados!$C660),"",
IF(ROW()-1=3,Resultados!$H660,INDIRECT(ADDRESS(ROW()-1,COLUMN()))+Resultados!$H660))</f>
        <v>44098.394285714334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96">
        <v>44258</v>
      </c>
      <c r="C661" s="97">
        <v>44260</v>
      </c>
      <c r="D661" s="98" t="s">
        <v>110</v>
      </c>
      <c r="E661" s="99">
        <v>100</v>
      </c>
      <c r="F661" s="100">
        <v>88.9</v>
      </c>
      <c r="G661" s="100">
        <v>94.8</v>
      </c>
      <c r="H661" s="70">
        <f>IF(OR(Resultados!$F661="",Resultados!$G661=""),"",(Resultados!$G661-Resultados!$F661)*Resultados!$E661)</f>
        <v>589.99999999999909</v>
      </c>
      <c r="I661" s="70">
        <f ca="1">IF(ISBLANK(Resultados!$C661),"",
IF(ROW()-1=3,Resultados!$H661,INDIRECT(ADDRESS(ROW()-1,COLUMN()))+Resultados!$H661))</f>
        <v>44688.394285714334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91">
        <v>44256</v>
      </c>
      <c r="C662" s="92">
        <v>44260</v>
      </c>
      <c r="D662" s="93" t="s">
        <v>152</v>
      </c>
      <c r="E662" s="94">
        <v>200</v>
      </c>
      <c r="F662" s="95">
        <v>54.94</v>
      </c>
      <c r="G662" s="95">
        <v>49.75</v>
      </c>
      <c r="H662" s="65">
        <f>IF(OR(Resultados!$F662="",Resultados!$G662=""),"",(Resultados!$G662-Resultados!$F662)*Resultados!$E662)</f>
        <v>-1037.9999999999995</v>
      </c>
      <c r="I662" s="65">
        <f ca="1">IF(ISBLANK(Resultados!$C662),"",
IF(ROW()-1=3,Resultados!$H662,INDIRECT(ADDRESS(ROW()-1,COLUMN()))+Resultados!$H662))</f>
        <v>43650.394285714334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96">
        <v>44260</v>
      </c>
      <c r="C663" s="97">
        <v>44263</v>
      </c>
      <c r="D663" s="98" t="s">
        <v>208</v>
      </c>
      <c r="E663" s="99">
        <v>1500</v>
      </c>
      <c r="F663" s="100">
        <v>8.01</v>
      </c>
      <c r="G663" s="100">
        <v>7.48</v>
      </c>
      <c r="H663" s="70">
        <f>IF(OR(Resultados!$F663="",Resultados!$G663=""),"",(Resultados!$G663-Resultados!$F663)*Resultados!$E663)</f>
        <v>-794.99999999999909</v>
      </c>
      <c r="I663" s="70">
        <f ca="1">IF(ISBLANK(Resultados!$C663),"",
IF(ROW()-1=3,Resultados!$H663,INDIRECT(ADDRESS(ROW()-1,COLUMN()))+Resultados!$H663))</f>
        <v>42855.394285714334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91">
        <v>44256</v>
      </c>
      <c r="C664" s="92">
        <v>44264</v>
      </c>
      <c r="D664" s="93" t="s">
        <v>215</v>
      </c>
      <c r="E664" s="94">
        <v>500</v>
      </c>
      <c r="F664" s="95">
        <v>27.1</v>
      </c>
      <c r="G664" s="95">
        <v>27.89</v>
      </c>
      <c r="H664" s="65">
        <f>IF(OR(Resultados!$F664="",Resultados!$G664=""),"",(Resultados!$G664-Resultados!$F664)*Resultados!$E664)</f>
        <v>394.99999999999955</v>
      </c>
      <c r="I664" s="65">
        <f ca="1">IF(ISBLANK(Resultados!$C664),"",
IF(ROW()-1=3,Resultados!$H664,INDIRECT(ADDRESS(ROW()-1,COLUMN()))+Resultados!$H664))</f>
        <v>43250.394285714334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96">
        <v>44256</v>
      </c>
      <c r="C665" s="97">
        <v>44265</v>
      </c>
      <c r="D665" s="98" t="s">
        <v>215</v>
      </c>
      <c r="E665" s="99">
        <v>400</v>
      </c>
      <c r="F665" s="100">
        <v>27.1</v>
      </c>
      <c r="G665" s="100">
        <v>26.69</v>
      </c>
      <c r="H665" s="70">
        <f>IF(OR(Resultados!$F665="",Resultados!$G665=""),"",(Resultados!$G665-Resultados!$F665)*Resultados!$E665)</f>
        <v>-164.00000000000006</v>
      </c>
      <c r="I665" s="70">
        <f ca="1">IF(ISBLANK(Resultados!$C665),"",
IF(ROW()-1=3,Resultados!$H665,INDIRECT(ADDRESS(ROW()-1,COLUMN()))+Resultados!$H665))</f>
        <v>43086.394285714334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91">
        <v>44259</v>
      </c>
      <c r="C666" s="92">
        <v>44265</v>
      </c>
      <c r="D666" s="93" t="s">
        <v>174</v>
      </c>
      <c r="E666" s="94">
        <v>500</v>
      </c>
      <c r="F666" s="95">
        <v>12.78</v>
      </c>
      <c r="G666" s="95">
        <v>13.49</v>
      </c>
      <c r="H666" s="65">
        <f>IF(OR(Resultados!$F666="",Resultados!$G666=""),"",(Resultados!$G666-Resultados!$F666)*Resultados!$E666)</f>
        <v>355.00000000000045</v>
      </c>
      <c r="I666" s="65">
        <f ca="1">IF(ISBLANK(Resultados!$C666),"",
IF(ROW()-1=3,Resultados!$H666,INDIRECT(ADDRESS(ROW()-1,COLUMN()))+Resultados!$H666))</f>
        <v>43441.394285714334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96">
        <v>44272</v>
      </c>
      <c r="C667" s="97">
        <v>44272</v>
      </c>
      <c r="D667" s="98" t="s">
        <v>133</v>
      </c>
      <c r="E667" s="99">
        <v>200</v>
      </c>
      <c r="F667" s="100">
        <v>26.73</v>
      </c>
      <c r="G667" s="100">
        <v>28.05</v>
      </c>
      <c r="H667" s="70">
        <f>IF(OR(Resultados!$F667="",Resultados!$G667=""),"",(Resultados!$G667-Resultados!$F667)*Resultados!$E667)</f>
        <v>264.00000000000006</v>
      </c>
      <c r="I667" s="70">
        <f ca="1">IF(ISBLANK(Resultados!$C667),"",
IF(ROW()-1=3,Resultados!$H667,INDIRECT(ADDRESS(ROW()-1,COLUMN()))+Resultados!$H667))</f>
        <v>43705.394285714334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91">
        <v>44266</v>
      </c>
      <c r="C668" s="92">
        <v>44272</v>
      </c>
      <c r="D668" s="93" t="s">
        <v>132</v>
      </c>
      <c r="E668" s="94">
        <v>200</v>
      </c>
      <c r="F668" s="95">
        <v>39.1</v>
      </c>
      <c r="G668" s="95">
        <v>41.19</v>
      </c>
      <c r="H668" s="65">
        <f>IF(OR(Resultados!$F668="",Resultados!$G668=""),"",(Resultados!$G668-Resultados!$F668)*Resultados!$E668)</f>
        <v>417.99999999999926</v>
      </c>
      <c r="I668" s="65">
        <f ca="1">IF(ISBLANK(Resultados!$C668),"",
IF(ROW()-1=3,Resultados!$H668,INDIRECT(ADDRESS(ROW()-1,COLUMN()))+Resultados!$H668))</f>
        <v>44123.394285714334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96">
        <v>44270</v>
      </c>
      <c r="C669" s="97">
        <v>44273</v>
      </c>
      <c r="D669" s="98" t="s">
        <v>91</v>
      </c>
      <c r="E669" s="99">
        <v>400</v>
      </c>
      <c r="F669" s="100">
        <v>16.41</v>
      </c>
      <c r="G669" s="100">
        <v>17.190000000000001</v>
      </c>
      <c r="H669" s="70">
        <f>IF(OR(Resultados!$F669="",Resultados!$G669=""),"",(Resultados!$G669-Resultados!$F669)*Resultados!$E669)</f>
        <v>312.00000000000045</v>
      </c>
      <c r="I669" s="70">
        <f ca="1">IF(ISBLANK(Resultados!$C669),"",
IF(ROW()-1=3,Resultados!$H669,INDIRECT(ADDRESS(ROW()-1,COLUMN()))+Resultados!$H669))</f>
        <v>44435.394285714334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91">
        <v>44258</v>
      </c>
      <c r="C670" s="92">
        <v>44273</v>
      </c>
      <c r="D670" s="93" t="s">
        <v>110</v>
      </c>
      <c r="E670" s="94">
        <v>100</v>
      </c>
      <c r="F670" s="95">
        <v>88.9</v>
      </c>
      <c r="G670" s="95">
        <v>89.49</v>
      </c>
      <c r="H670" s="65">
        <f>IF(OR(Resultados!$F670="",Resultados!$G670=""),"",(Resultados!$G670-Resultados!$F670)*Resultados!$E670)</f>
        <v>58.99999999999892</v>
      </c>
      <c r="I670" s="65">
        <f ca="1">IF(ISBLANK(Resultados!$C670),"",
IF(ROW()-1=3,Resultados!$H670,INDIRECT(ADDRESS(ROW()-1,COLUMN()))+Resultados!$H670))</f>
        <v>44494.394285714334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96">
        <v>44272</v>
      </c>
      <c r="C671" s="97">
        <v>44273</v>
      </c>
      <c r="D671" s="98" t="s">
        <v>133</v>
      </c>
      <c r="E671" s="99">
        <v>200</v>
      </c>
      <c r="F671" s="100">
        <v>26.73</v>
      </c>
      <c r="G671" s="100">
        <v>25.99</v>
      </c>
      <c r="H671" s="70">
        <f>IF(OR(Resultados!$F671="",Resultados!$G671=""),"",(Resultados!$G671-Resultados!$F671)*Resultados!$E671)</f>
        <v>-148.0000000000004</v>
      </c>
      <c r="I671" s="70">
        <f ca="1">IF(ISBLANK(Resultados!$C671),"",
IF(ROW()-1=3,Resultados!$H671,INDIRECT(ADDRESS(ROW()-1,COLUMN()))+Resultados!$H671))</f>
        <v>44346.394285714334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91">
        <v>44259</v>
      </c>
      <c r="C672" s="92">
        <v>44274</v>
      </c>
      <c r="D672" s="93" t="s">
        <v>174</v>
      </c>
      <c r="E672" s="94">
        <v>500</v>
      </c>
      <c r="F672" s="95">
        <v>12.78</v>
      </c>
      <c r="G672" s="95">
        <v>13.69</v>
      </c>
      <c r="H672" s="65">
        <f>IF(OR(Resultados!$F672="",Resultados!$G672=""),"",(Resultados!$G672-Resultados!$F672)*Resultados!$E672)</f>
        <v>455.00000000000006</v>
      </c>
      <c r="I672" s="65">
        <f ca="1">IF(ISBLANK(Resultados!$C672),"",
IF(ROW()-1=3,Resultados!$H672,INDIRECT(ADDRESS(ROW()-1,COLUMN()))+Resultados!$H672))</f>
        <v>44801.394285714334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96">
        <v>44266</v>
      </c>
      <c r="C673" s="97">
        <v>44278</v>
      </c>
      <c r="D673" s="98" t="s">
        <v>147</v>
      </c>
      <c r="E673" s="99">
        <v>700</v>
      </c>
      <c r="F673" s="100">
        <v>16.63</v>
      </c>
      <c r="G673" s="100">
        <v>15.99</v>
      </c>
      <c r="H673" s="70">
        <f>IF(OR(Resultados!$F673="",Resultados!$G673=""),"",(Resultados!$G673-Resultados!$F673)*Resultados!$E673)</f>
        <v>-447.99999999999915</v>
      </c>
      <c r="I673" s="70">
        <f ca="1">IF(ISBLANK(Resultados!$C673),"",
IF(ROW()-1=3,Resultados!$H673,INDIRECT(ADDRESS(ROW()-1,COLUMN()))+Resultados!$H673))</f>
        <v>44353.394285714334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91">
        <v>44272</v>
      </c>
      <c r="C674" s="92">
        <v>44279</v>
      </c>
      <c r="D674" s="93" t="s">
        <v>115</v>
      </c>
      <c r="E674" s="94">
        <v>500</v>
      </c>
      <c r="F674" s="95">
        <v>22.65</v>
      </c>
      <c r="G674" s="95">
        <v>21.29</v>
      </c>
      <c r="H674" s="65">
        <f>IF(OR(Resultados!$F674="",Resultados!$G674=""),"",(Resultados!$G674-Resultados!$F674)*Resultados!$E674)</f>
        <v>-679.99999999999977</v>
      </c>
      <c r="I674" s="65">
        <f ca="1">IF(ISBLANK(Resultados!$C674),"",
IF(ROW()-1=3,Resultados!$H674,INDIRECT(ADDRESS(ROW()-1,COLUMN()))+Resultados!$H674))</f>
        <v>43673.394285714334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96">
        <v>44270</v>
      </c>
      <c r="C675" s="97">
        <v>44280</v>
      </c>
      <c r="D675" s="98" t="s">
        <v>91</v>
      </c>
      <c r="E675" s="99">
        <v>300</v>
      </c>
      <c r="F675" s="100">
        <v>16.41</v>
      </c>
      <c r="G675" s="100">
        <v>16.87</v>
      </c>
      <c r="H675" s="70">
        <f>IF(OR(Resultados!$F675="",Resultados!$G675=""),"",(Resultados!$G675-Resultados!$F675)*Resultados!$E675)</f>
        <v>138.00000000000026</v>
      </c>
      <c r="I675" s="70">
        <f ca="1">IF(ISBLANK(Resultados!$C675),"",
IF(ROW()-1=3,Resultados!$H675,INDIRECT(ADDRESS(ROW()-1,COLUMN()))+Resultados!$H675))</f>
        <v>43811.394285714334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91">
        <v>44266</v>
      </c>
      <c r="C676" s="92">
        <v>44279</v>
      </c>
      <c r="D676" s="93" t="s">
        <v>132</v>
      </c>
      <c r="E676" s="94">
        <v>200</v>
      </c>
      <c r="F676" s="95">
        <v>39.1</v>
      </c>
      <c r="G676" s="95">
        <v>40.99</v>
      </c>
      <c r="H676" s="65">
        <f>IF(OR(Resultados!$F676="",Resultados!$G676=""),"",(Resultados!$G676-Resultados!$F676)*Resultados!$E676)</f>
        <v>378.00000000000011</v>
      </c>
      <c r="I676" s="65">
        <f ca="1">IF(ISBLANK(Resultados!$C676),"",
IF(ROW()-1=3,Resultados!$H676,INDIRECT(ADDRESS(ROW()-1,COLUMN()))+Resultados!$H676))</f>
        <v>44189.394285714334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96">
        <v>44270</v>
      </c>
      <c r="C677" s="97">
        <v>44287</v>
      </c>
      <c r="D677" s="98" t="s">
        <v>196</v>
      </c>
      <c r="E677" s="99">
        <v>100</v>
      </c>
      <c r="F677" s="100">
        <v>72.95</v>
      </c>
      <c r="G677" s="100">
        <v>76.989999999999995</v>
      </c>
      <c r="H677" s="70">
        <f>IF(OR(Resultados!$F677="",Resultados!$G677=""),"",(Resultados!$G677-Resultados!$F677)*Resultados!$E677)</f>
        <v>403.9999999999992</v>
      </c>
      <c r="I677" s="70">
        <f ca="1">IF(ISBLANK(Resultados!$C677),"",
IF(ROW()-1=3,Resultados!$H677,INDIRECT(ADDRESS(ROW()-1,COLUMN()))+Resultados!$H677))</f>
        <v>44593.394285714334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91">
        <v>44284</v>
      </c>
      <c r="C678" s="92">
        <v>44291</v>
      </c>
      <c r="D678" s="93" t="s">
        <v>95</v>
      </c>
      <c r="E678" s="94">
        <v>200</v>
      </c>
      <c r="F678" s="95">
        <v>38.840000000000003</v>
      </c>
      <c r="G678" s="95">
        <v>41.19</v>
      </c>
      <c r="H678" s="65">
        <f>IF(OR(Resultados!$F678="",Resultados!$G678=""),"",(Resultados!$G678-Resultados!$F678)*Resultados!$E678)</f>
        <v>469.99999999999886</v>
      </c>
      <c r="I678" s="65">
        <f ca="1">IF(ISBLANK(Resultados!$C678),"",
IF(ROW()-1=3,Resultados!$H678,INDIRECT(ADDRESS(ROW()-1,COLUMN()))+Resultados!$H678))</f>
        <v>45063.394285714334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96">
        <v>44294</v>
      </c>
      <c r="C679" s="97">
        <v>44285</v>
      </c>
      <c r="D679" s="98" t="s">
        <v>131</v>
      </c>
      <c r="E679" s="99">
        <v>500</v>
      </c>
      <c r="F679" s="100">
        <v>24.22</v>
      </c>
      <c r="G679" s="100">
        <v>23.19</v>
      </c>
      <c r="H679" s="70">
        <f>IF(OR(Resultados!$F679="",Resultados!$G679=""),"",(Resultados!$G679-Resultados!$F679)*Resultados!$E679)</f>
        <v>-514.99999999999875</v>
      </c>
      <c r="I679" s="70">
        <f ca="1">IF(ISBLANK(Resultados!$C679),"",
IF(ROW()-1=3,Resultados!$H679,INDIRECT(ADDRESS(ROW()-1,COLUMN()))+Resultados!$H679))</f>
        <v>44548.394285714334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91">
        <v>44291</v>
      </c>
      <c r="C680" s="92">
        <v>44295</v>
      </c>
      <c r="D680" s="93" t="s">
        <v>132</v>
      </c>
      <c r="E680" s="94">
        <v>200</v>
      </c>
      <c r="F680" s="95">
        <v>41.81</v>
      </c>
      <c r="G680" s="95">
        <v>43.69</v>
      </c>
      <c r="H680" s="65">
        <f>IF(OR(Resultados!$F680="",Resultados!$G680=""),"",(Resultados!$G680-Resultados!$F680)*Resultados!$E680)</f>
        <v>375.99999999999909</v>
      </c>
      <c r="I680" s="65">
        <f ca="1">IF(ISBLANK(Resultados!$C680),"",
IF(ROW()-1=3,Resultados!$H680,INDIRECT(ADDRESS(ROW()-1,COLUMN()))+Resultados!$H680))</f>
        <v>44924.394285714334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96">
        <v>44285</v>
      </c>
      <c r="C681" s="97">
        <v>44295</v>
      </c>
      <c r="D681" s="98" t="s">
        <v>68</v>
      </c>
      <c r="E681" s="99">
        <v>200</v>
      </c>
      <c r="F681" s="100">
        <v>93.88</v>
      </c>
      <c r="G681" s="100">
        <v>88.55</v>
      </c>
      <c r="H681" s="70">
        <f>IF(OR(Resultados!$F681="",Resultados!$G681=""),"",(Resultados!$G681-Resultados!$F681)*Resultados!$E681)</f>
        <v>-1065.9999999999995</v>
      </c>
      <c r="I681" s="70">
        <f ca="1">IF(ISBLANK(Resultados!$C681),"",
IF(ROW()-1=3,Resultados!$H681,INDIRECT(ADDRESS(ROW()-1,COLUMN()))+Resultados!$H681))</f>
        <v>43858.394285714334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91">
        <v>44293</v>
      </c>
      <c r="C682" s="92">
        <v>44298</v>
      </c>
      <c r="D682" s="93" t="s">
        <v>106</v>
      </c>
      <c r="E682" s="94">
        <v>600</v>
      </c>
      <c r="F682" s="95">
        <v>10.63</v>
      </c>
      <c r="G682" s="95">
        <v>11.07</v>
      </c>
      <c r="H682" s="65">
        <f>IF(OR(Resultados!$F682="",Resultados!$G682=""),"",(Resultados!$G682-Resultados!$F682)*Resultados!$E682)</f>
        <v>263.99999999999972</v>
      </c>
      <c r="I682" s="65">
        <f ca="1">IF(ISBLANK(Resultados!$C682),"",
IF(ROW()-1=3,Resultados!$H682,INDIRECT(ADDRESS(ROW()-1,COLUMN()))+Resultados!$H682))</f>
        <v>44122.394285714334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96">
        <v>44298</v>
      </c>
      <c r="C683" s="101">
        <v>44299</v>
      </c>
      <c r="D683" s="98" t="s">
        <v>216</v>
      </c>
      <c r="E683" s="99">
        <v>49</v>
      </c>
      <c r="F683" s="100">
        <v>125.77</v>
      </c>
      <c r="G683" s="100">
        <v>134.30000000000001</v>
      </c>
      <c r="H683" s="70">
        <f>IF(OR(Resultados!$F683="",Resultados!$G683=""),"",(Resultados!$G683-Resultados!$F683)*Resultados!$E683)</f>
        <v>417.97000000000077</v>
      </c>
      <c r="I683" s="70">
        <f ca="1">IF(ISBLANK(Resultados!$C683),"",
IF(ROW()-1=3,Resultados!$H683,INDIRECT(ADDRESS(ROW()-1,COLUMN()))+Resultados!$H683))</f>
        <v>44540.364285714335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91">
        <v>44299</v>
      </c>
      <c r="C684" s="92">
        <v>44301</v>
      </c>
      <c r="D684" s="93" t="s">
        <v>214</v>
      </c>
      <c r="E684" s="94">
        <v>700</v>
      </c>
      <c r="F684" s="95">
        <v>17.170000000000002</v>
      </c>
      <c r="G684" s="95">
        <v>20.53</v>
      </c>
      <c r="H684" s="65">
        <f>IF(OR(Resultados!$F684="",Resultados!$G684=""),"",(Resultados!$G684-Resultados!$F684)*Resultados!$E684)</f>
        <v>2351.9999999999995</v>
      </c>
      <c r="I684" s="65">
        <f ca="1">IF(ISBLANK(Resultados!$C684),"",
IF(ROW()-1=3,Resultados!$H684,INDIRECT(ADDRESS(ROW()-1,COLUMN()))+Resultados!$H684))</f>
        <v>46892.364285714335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96">
        <v>44292</v>
      </c>
      <c r="C685" s="97">
        <v>44302</v>
      </c>
      <c r="D685" s="98" t="s">
        <v>164</v>
      </c>
      <c r="E685" s="99">
        <v>700</v>
      </c>
      <c r="F685" s="100">
        <v>8.26</v>
      </c>
      <c r="G685" s="100">
        <v>8.75</v>
      </c>
      <c r="H685" s="70">
        <f>IF(OR(Resultados!$F685="",Resultados!$G685=""),"",(Resultados!$G685-Resultados!$F685)*Resultados!$E685)</f>
        <v>343.00000000000017</v>
      </c>
      <c r="I685" s="70">
        <f ca="1">IF(ISBLANK(Resultados!$C685),"",
IF(ROW()-1=3,Resultados!$H685,INDIRECT(ADDRESS(ROW()-1,COLUMN()))+Resultados!$H685))</f>
        <v>47235.364285714335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91">
        <v>44299</v>
      </c>
      <c r="C686" s="92">
        <v>44305</v>
      </c>
      <c r="D686" s="93" t="s">
        <v>217</v>
      </c>
      <c r="E686" s="94">
        <v>200</v>
      </c>
      <c r="F686" s="95">
        <v>27.09</v>
      </c>
      <c r="G686" s="95">
        <v>28.29</v>
      </c>
      <c r="H686" s="65">
        <f>IF(OR(Resultados!$F686="",Resultados!$G686=""),"",(Resultados!$G686-Resultados!$F686)*Resultados!$E686)</f>
        <v>239.99999999999986</v>
      </c>
      <c r="I686" s="65">
        <f ca="1">IF(ISBLANK(Resultados!$C686),"",
IF(ROW()-1=3,Resultados!$H686,INDIRECT(ADDRESS(ROW()-1,COLUMN()))+Resultados!$H686))</f>
        <v>47475.364285714335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96">
        <v>44298</v>
      </c>
      <c r="C687" s="97">
        <v>44305</v>
      </c>
      <c r="D687" s="98" t="s">
        <v>216</v>
      </c>
      <c r="E687" s="99">
        <v>48</v>
      </c>
      <c r="F687" s="100">
        <v>125.77</v>
      </c>
      <c r="G687" s="100">
        <v>126.2</v>
      </c>
      <c r="H687" s="70">
        <f>IF(OR(Resultados!$F687="",Resultados!$G687=""),"",(Resultados!$G687-Resultados!$F687)*Resultados!$E687)</f>
        <v>20.640000000000327</v>
      </c>
      <c r="I687" s="70">
        <f ca="1">IF(ISBLANK(Resultados!$C687),"",
IF(ROW()-1=3,Resultados!$H687,INDIRECT(ADDRESS(ROW()-1,COLUMN()))+Resultados!$H687))</f>
        <v>47496.004285714334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91">
        <v>44273</v>
      </c>
      <c r="C688" s="92">
        <v>44305</v>
      </c>
      <c r="D688" s="93" t="s">
        <v>93</v>
      </c>
      <c r="E688" s="94">
        <v>500</v>
      </c>
      <c r="F688" s="95">
        <v>24.66</v>
      </c>
      <c r="G688" s="95">
        <v>23.46</v>
      </c>
      <c r="H688" s="65">
        <f>IF(OR(Resultados!$F688="",Resultados!$G688=""),"",(Resultados!$G688-Resultados!$F688)*Resultados!$E688)</f>
        <v>-599.99999999999966</v>
      </c>
      <c r="I688" s="65">
        <f ca="1">IF(ISBLANK(Resultados!$C688),"",
IF(ROW()-1=3,Resultados!$H688,INDIRECT(ADDRESS(ROW()-1,COLUMN()))+Resultados!$H688))</f>
        <v>46896.004285714334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96">
        <v>44291</v>
      </c>
      <c r="C689" s="97">
        <v>44306</v>
      </c>
      <c r="D689" s="98" t="s">
        <v>132</v>
      </c>
      <c r="E689" s="99">
        <v>200</v>
      </c>
      <c r="F689" s="100">
        <v>41.81</v>
      </c>
      <c r="G689" s="100">
        <v>40.97</v>
      </c>
      <c r="H689" s="70">
        <f>IF(OR(Resultados!$F689="",Resultados!$G689=""),"",(Resultados!$G689-Resultados!$F689)*Resultados!$E689)</f>
        <v>-168.00000000000068</v>
      </c>
      <c r="I689" s="70">
        <f ca="1">IF(ISBLANK(Resultados!$C689),"",
IF(ROW()-1=3,Resultados!$H689,INDIRECT(ADDRESS(ROW()-1,COLUMN()))+Resultados!$H689))</f>
        <v>46728.004285714334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91">
        <v>44270</v>
      </c>
      <c r="C690" s="92">
        <v>44306</v>
      </c>
      <c r="D690" s="93" t="s">
        <v>196</v>
      </c>
      <c r="E690" s="94">
        <v>100</v>
      </c>
      <c r="F690" s="95">
        <v>72.95</v>
      </c>
      <c r="G690" s="95">
        <v>73.989999999999995</v>
      </c>
      <c r="H690" s="65">
        <f>IF(OR(Resultados!$F690="",Resultados!$G690=""),"",(Resultados!$G690-Resultados!$F690)*Resultados!$E690)</f>
        <v>103.9999999999992</v>
      </c>
      <c r="I690" s="65">
        <f ca="1">IF(ISBLANK(Resultados!$C690),"",
IF(ROW()-1=3,Resultados!$H690,INDIRECT(ADDRESS(ROW()-1,COLUMN()))+Resultados!$H690))</f>
        <v>46832.004285714334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96">
        <v>44284</v>
      </c>
      <c r="C691" s="97">
        <v>44308</v>
      </c>
      <c r="D691" s="98" t="s">
        <v>95</v>
      </c>
      <c r="E691" s="99">
        <v>100</v>
      </c>
      <c r="F691" s="100">
        <v>38.840000000000003</v>
      </c>
      <c r="G691" s="100">
        <v>49.99</v>
      </c>
      <c r="H691" s="70">
        <f>IF(OR(Resultados!$F691="",Resultados!$G691=""),"",(Resultados!$G691-Resultados!$F691)*Resultados!$E691)</f>
        <v>1114.9999999999998</v>
      </c>
      <c r="I691" s="70">
        <f ca="1">IF(ISBLANK(Resultados!$C691),"",
IF(ROW()-1=3,Resultados!$H691,INDIRECT(ADDRESS(ROW()-1,COLUMN()))+Resultados!$H691))</f>
        <v>47947.004285714334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91">
        <v>44306</v>
      </c>
      <c r="C692" s="92">
        <v>44308</v>
      </c>
      <c r="D692" s="93" t="s">
        <v>218</v>
      </c>
      <c r="E692" s="94">
        <v>100</v>
      </c>
      <c r="F692" s="95">
        <v>27.93</v>
      </c>
      <c r="G692" s="95">
        <v>29.49</v>
      </c>
      <c r="H692" s="65">
        <f>IF(OR(Resultados!$F692="",Resultados!$G692=""),"",(Resultados!$G692-Resultados!$F692)*Resultados!$E692)</f>
        <v>155.99999999999989</v>
      </c>
      <c r="I692" s="65">
        <f ca="1">IF(ISBLANK(Resultados!$C692),"",
IF(ROW()-1=3,Resultados!$H692,INDIRECT(ADDRESS(ROW()-1,COLUMN()))+Resultados!$H692))</f>
        <v>48103.004285714334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96">
        <v>44305</v>
      </c>
      <c r="C693" s="97">
        <v>44309</v>
      </c>
      <c r="D693" s="98" t="s">
        <v>105</v>
      </c>
      <c r="E693" s="99">
        <v>400</v>
      </c>
      <c r="F693" s="100">
        <v>28.23</v>
      </c>
      <c r="G693" s="100">
        <v>26.31</v>
      </c>
      <c r="H693" s="70">
        <f>IF(OR(Resultados!$F693="",Resultados!$G693=""),"",(Resultados!$G693-Resultados!$F693)*Resultados!$E693)</f>
        <v>-768.00000000000068</v>
      </c>
      <c r="I693" s="70">
        <f ca="1">IF(ISBLANK(Resultados!$C693),"",
IF(ROW()-1=3,Resultados!$H693,INDIRECT(ADDRESS(ROW()-1,COLUMN()))+Resultados!$H693))</f>
        <v>47335.004285714334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91">
        <v>44305</v>
      </c>
      <c r="C694" s="92">
        <v>44309</v>
      </c>
      <c r="D694" s="93" t="s">
        <v>193</v>
      </c>
      <c r="E694" s="94">
        <v>500</v>
      </c>
      <c r="F694" s="95">
        <v>21.86</v>
      </c>
      <c r="G694" s="95">
        <v>20.8</v>
      </c>
      <c r="H694" s="65">
        <f>IF(OR(Resultados!$F694="",Resultados!$G694=""),"",(Resultados!$G694-Resultados!$F694)*Resultados!$E694)</f>
        <v>-529.99999999999932</v>
      </c>
      <c r="I694" s="65">
        <f ca="1">IF(ISBLANK(Resultados!$C694),"",
IF(ROW()-1=3,Resultados!$H694,INDIRECT(ADDRESS(ROW()-1,COLUMN()))+Resultados!$H694))</f>
        <v>46805.004285714334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96">
        <v>44292</v>
      </c>
      <c r="C695" s="97">
        <v>44309</v>
      </c>
      <c r="D695" s="98" t="s">
        <v>164</v>
      </c>
      <c r="E695" s="99">
        <v>700</v>
      </c>
      <c r="F695" s="100">
        <v>7.78</v>
      </c>
      <c r="G695" s="100">
        <v>8.01</v>
      </c>
      <c r="H695" s="70">
        <f>IF(OR(Resultados!$F695="",Resultados!$G695=""),"",(Resultados!$G695-Resultados!$F695)*Resultados!$E695)</f>
        <v>160.99999999999969</v>
      </c>
      <c r="I695" s="70">
        <f ca="1">IF(ISBLANK(Resultados!$C695),"",
IF(ROW()-1=3,Resultados!$H695,INDIRECT(ADDRESS(ROW()-1,COLUMN()))+Resultados!$H695))</f>
        <v>46966.004285714334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B696" s="91">
        <v>44302</v>
      </c>
      <c r="C696" s="92">
        <v>44312</v>
      </c>
      <c r="D696" s="93" t="s">
        <v>84</v>
      </c>
      <c r="E696" s="94">
        <v>200</v>
      </c>
      <c r="F696" s="95">
        <v>35.44</v>
      </c>
      <c r="G696" s="95">
        <v>36.19</v>
      </c>
      <c r="H696" s="65">
        <f>IF(OR(Resultados!$F696="",Resultados!$G696=""),"",(Resultados!$G696-Resultados!$F696)*Resultados!$E696)</f>
        <v>150</v>
      </c>
      <c r="I696" s="65">
        <f ca="1">IF(ISBLANK(Resultados!$C696),"",
IF(ROW()-1=3,Resultados!$H696,INDIRECT(ADDRESS(ROW()-1,COLUMN()))+Resultados!$H696))</f>
        <v>47116.004285714334</v>
      </c>
    </row>
    <row r="697" spans="1:26" ht="15.75" customHeight="1">
      <c r="B697" s="96">
        <v>44301</v>
      </c>
      <c r="C697" s="97">
        <v>44312</v>
      </c>
      <c r="D697" s="98" t="s">
        <v>179</v>
      </c>
      <c r="E697" s="99">
        <v>800</v>
      </c>
      <c r="F697" s="100">
        <v>13.89</v>
      </c>
      <c r="G697" s="100">
        <v>13.05</v>
      </c>
      <c r="H697" s="70">
        <f>IF(OR(Resultados!$F697="",Resultados!$G697=""),"",(Resultados!$G697-Resultados!$F697)*Resultados!$E697)</f>
        <v>-671.99999999999989</v>
      </c>
      <c r="I697" s="70">
        <f ca="1">IF(ISBLANK(Resultados!$C697),"",
IF(ROW()-1=3,Resultados!$H697,INDIRECT(ADDRESS(ROW()-1,COLUMN()))+Resultados!$H697))</f>
        <v>46444.004285714334</v>
      </c>
    </row>
    <row r="698" spans="1:26" ht="15.75" customHeight="1">
      <c r="B698" s="91">
        <v>44293</v>
      </c>
      <c r="C698" s="92">
        <v>44313</v>
      </c>
      <c r="D698" s="93" t="s">
        <v>106</v>
      </c>
      <c r="E698" s="94">
        <v>500</v>
      </c>
      <c r="F698" s="95">
        <v>9.9</v>
      </c>
      <c r="G698" s="95">
        <v>10.39</v>
      </c>
      <c r="H698" s="65">
        <f>IF(OR(Resultados!$F698="",Resultados!$G698=""),"",(Resultados!$G698-Resultados!$F698)*Resultados!$E698)</f>
        <v>245.00000000000011</v>
      </c>
      <c r="I698" s="65">
        <f ca="1">IF(ISBLANK(Resultados!$C698),"",
IF(ROW()-1=3,Resultados!$H698,INDIRECT(ADDRESS(ROW()-1,COLUMN()))+Resultados!$H698))</f>
        <v>46689.004285714334</v>
      </c>
    </row>
    <row r="699" spans="1:26" ht="15.75" customHeight="1">
      <c r="B699" s="96">
        <v>44302</v>
      </c>
      <c r="C699" s="97">
        <v>44313</v>
      </c>
      <c r="D699" s="98" t="s">
        <v>219</v>
      </c>
      <c r="E699" s="99">
        <v>400</v>
      </c>
      <c r="F699" s="100">
        <v>28.41</v>
      </c>
      <c r="G699" s="100">
        <v>26.25</v>
      </c>
      <c r="H699" s="70">
        <f>IF(OR(Resultados!$F699="",Resultados!$G699=""),"",(Resultados!$G699-Resultados!$F699)*Resultados!$E699)</f>
        <v>-864</v>
      </c>
      <c r="I699" s="70">
        <f ca="1">IF(ISBLANK(Resultados!$C699),"",
IF(ROW()-1=3,Resultados!$H699,INDIRECT(ADDRESS(ROW()-1,COLUMN()))+Resultados!$H699))</f>
        <v>45825.004285714334</v>
      </c>
    </row>
    <row r="700" spans="1:26" ht="15.75" customHeight="1">
      <c r="B700" s="91">
        <v>44286</v>
      </c>
      <c r="C700" s="92">
        <v>44313</v>
      </c>
      <c r="D700" s="93" t="s">
        <v>213</v>
      </c>
      <c r="E700" s="94">
        <v>180</v>
      </c>
      <c r="F700" s="95">
        <v>135.25</v>
      </c>
      <c r="G700" s="95">
        <v>137.99</v>
      </c>
      <c r="H700" s="65">
        <f>IF(OR(Resultados!$F700="",Resultados!$G700=""),"",(Resultados!$G700-Resultados!$F700)*Resultados!$E700)</f>
        <v>493.20000000000164</v>
      </c>
      <c r="I700" s="65">
        <f ca="1">IF(ISBLANK(Resultados!$C700),"",
IF(ROW()-1=3,Resultados!$H700,INDIRECT(ADDRESS(ROW()-1,COLUMN()))+Resultados!$H700))</f>
        <v>46318.204285714339</v>
      </c>
    </row>
    <row r="701" spans="1:26" ht="15.75" customHeight="1">
      <c r="B701" s="96">
        <v>44302</v>
      </c>
      <c r="C701" s="97">
        <v>44315</v>
      </c>
      <c r="D701" s="98" t="s">
        <v>202</v>
      </c>
      <c r="E701" s="99">
        <v>200</v>
      </c>
      <c r="F701" s="100">
        <v>25.84</v>
      </c>
      <c r="G701" s="100">
        <v>26.49</v>
      </c>
      <c r="H701" s="70">
        <f>IF(OR(Resultados!$F701="",Resultados!$G701=""),"",(Resultados!$G701-Resultados!$F701)*Resultados!$E701)</f>
        <v>129.99999999999972</v>
      </c>
      <c r="I701" s="70">
        <f ca="1">IF(ISBLANK(Resultados!$C701),"",
IF(ROW()-1=3,Resultados!$H701,INDIRECT(ADDRESS(ROW()-1,COLUMN()))+Resultados!$H701))</f>
        <v>46448.204285714339</v>
      </c>
    </row>
    <row r="702" spans="1:26" ht="15.75" customHeight="1">
      <c r="B702" s="91">
        <v>44301</v>
      </c>
      <c r="C702" s="92">
        <v>44315</v>
      </c>
      <c r="D702" s="93" t="s">
        <v>220</v>
      </c>
      <c r="E702" s="94">
        <v>200</v>
      </c>
      <c r="F702" s="95">
        <v>38.21</v>
      </c>
      <c r="G702" s="95">
        <v>40.700000000000003</v>
      </c>
      <c r="H702" s="65">
        <f>IF(OR(Resultados!$F702="",Resultados!$G702=""),"",(Resultados!$G702-Resultados!$F702)*Resultados!$E702)</f>
        <v>498.0000000000004</v>
      </c>
      <c r="I702" s="65">
        <f ca="1">IF(ISBLANK(Resultados!$C702),"",
IF(ROW()-1=3,Resultados!$H702,INDIRECT(ADDRESS(ROW()-1,COLUMN()))+Resultados!$H702))</f>
        <v>46946.204285714339</v>
      </c>
    </row>
    <row r="703" spans="1:26" ht="15.75" customHeight="1">
      <c r="B703" s="96">
        <v>44299</v>
      </c>
      <c r="C703" s="97">
        <v>44315</v>
      </c>
      <c r="D703" s="98" t="s">
        <v>217</v>
      </c>
      <c r="E703" s="99">
        <v>200</v>
      </c>
      <c r="F703" s="100">
        <v>26.97</v>
      </c>
      <c r="G703" s="100">
        <v>26.37</v>
      </c>
      <c r="H703" s="70">
        <f>IF(OR(Resultados!$F703="",Resultados!$G703=""),"",(Resultados!$G703-Resultados!$F703)*Resultados!$E703)</f>
        <v>-119.99999999999957</v>
      </c>
      <c r="I703" s="70">
        <f ca="1">IF(ISBLANK(Resultados!$C703),"",
IF(ROW()-1=3,Resultados!$H703,INDIRECT(ADDRESS(ROW()-1,COLUMN()))+Resultados!$H703))</f>
        <v>46826.204285714339</v>
      </c>
    </row>
    <row r="704" spans="1:26" ht="15.75" customHeight="1">
      <c r="B704" s="91">
        <v>44302</v>
      </c>
      <c r="C704" s="92">
        <v>44319</v>
      </c>
      <c r="D704" s="93" t="s">
        <v>84</v>
      </c>
      <c r="E704" s="94">
        <v>100</v>
      </c>
      <c r="F704" s="95">
        <v>35.44</v>
      </c>
      <c r="G704" s="95">
        <v>34.03</v>
      </c>
      <c r="H704" s="65">
        <f>IF(OR(Resultados!$F704="",Resultados!$G704=""),"",(Resultados!$G704-Resultados!$F704)*Resultados!$E704)</f>
        <v>-140.99999999999966</v>
      </c>
      <c r="I704" s="65">
        <f ca="1">IF(ISBLANK(Resultados!$C704),"",
IF(ROW()-1=3,Resultados!$H704,INDIRECT(ADDRESS(ROW()-1,COLUMN()))+Resultados!$H704))</f>
        <v>46685.204285714339</v>
      </c>
    </row>
    <row r="705" spans="2:9" ht="15.75" customHeight="1">
      <c r="B705" s="96">
        <v>44272</v>
      </c>
      <c r="C705" s="97">
        <v>44319</v>
      </c>
      <c r="D705" s="98" t="s">
        <v>199</v>
      </c>
      <c r="E705" s="99">
        <v>200</v>
      </c>
      <c r="F705" s="100">
        <v>111.18</v>
      </c>
      <c r="G705" s="100">
        <v>113.99</v>
      </c>
      <c r="H705" s="70">
        <f>IF(OR(Resultados!$F705="",Resultados!$G705=""),"",(Resultados!$G705-Resultados!$F705)*Resultados!$E705)</f>
        <v>561.99999999999761</v>
      </c>
      <c r="I705" s="70">
        <f ca="1">IF(ISBLANK(Resultados!$C705),"",
IF(ROW()-1=3,Resultados!$H705,INDIRECT(ADDRESS(ROW()-1,COLUMN()))+Resultados!$H705))</f>
        <v>47247.204285714339</v>
      </c>
    </row>
    <row r="706" spans="2:9" ht="15.75" customHeight="1">
      <c r="B706" s="91">
        <v>44302</v>
      </c>
      <c r="C706" s="92">
        <v>44320</v>
      </c>
      <c r="D706" s="93" t="s">
        <v>202</v>
      </c>
      <c r="E706" s="94">
        <v>200</v>
      </c>
      <c r="F706" s="95">
        <v>25.84</v>
      </c>
      <c r="G706" s="95">
        <v>25.49</v>
      </c>
      <c r="H706" s="65">
        <f>IF(OR(Resultados!$F706="",Resultados!$G706=""),"",(Resultados!$G706-Resultados!$F706)*Resultados!$E706)</f>
        <v>-70.000000000000284</v>
      </c>
      <c r="I706" s="65">
        <f ca="1">IF(ISBLANK(Resultados!$C706),"",
IF(ROW()-1=3,Resultados!$H706,INDIRECT(ADDRESS(ROW()-1,COLUMN()))+Resultados!$H706))</f>
        <v>47177.204285714339</v>
      </c>
    </row>
    <row r="707" spans="2:9" ht="15.75" customHeight="1">
      <c r="B707" s="96">
        <v>44306</v>
      </c>
      <c r="C707" s="97">
        <v>44322</v>
      </c>
      <c r="D707" s="98" t="s">
        <v>218</v>
      </c>
      <c r="E707" s="99">
        <v>100</v>
      </c>
      <c r="F707" s="100">
        <v>27.93</v>
      </c>
      <c r="G707" s="100">
        <v>25.15</v>
      </c>
      <c r="H707" s="70">
        <f>IF(OR(Resultados!$F707="",Resultados!$G707=""),"",(Resultados!$G707-Resultados!$F707)*Resultados!$E707)</f>
        <v>-278.00000000000011</v>
      </c>
      <c r="I707" s="70">
        <f ca="1">IF(ISBLANK(Resultados!$C707),"",
IF(ROW()-1=3,Resultados!$H707,INDIRECT(ADDRESS(ROW()-1,COLUMN()))+Resultados!$H707))</f>
        <v>46899.204285714339</v>
      </c>
    </row>
    <row r="708" spans="2:9" ht="15.75" customHeight="1">
      <c r="B708" s="91">
        <v>44321</v>
      </c>
      <c r="C708" s="92">
        <v>44323</v>
      </c>
      <c r="D708" s="93" t="s">
        <v>53</v>
      </c>
      <c r="E708" s="94">
        <v>100</v>
      </c>
      <c r="F708" s="95">
        <v>78.040000000000006</v>
      </c>
      <c r="G708" s="95">
        <v>81.489999999999995</v>
      </c>
      <c r="H708" s="65">
        <f>IF(OR(Resultados!$F708="",Resultados!$G708=""),"",(Resultados!$G708-Resultados!$F708)*Resultados!$E708)</f>
        <v>344.99999999999886</v>
      </c>
      <c r="I708" s="65">
        <f ca="1">IF(ISBLANK(Resultados!$C708),"",
IF(ROW()-1=3,Resultados!$H708,INDIRECT(ADDRESS(ROW()-1,COLUMN()))+Resultados!$H708))</f>
        <v>47244.204285714339</v>
      </c>
    </row>
    <row r="709" spans="2:9" ht="15.75" customHeight="1">
      <c r="B709" s="96">
        <v>44323</v>
      </c>
      <c r="C709" s="97">
        <v>44326</v>
      </c>
      <c r="D709" s="98" t="s">
        <v>174</v>
      </c>
      <c r="E709" s="99">
        <v>400</v>
      </c>
      <c r="F709" s="100">
        <v>16.28</v>
      </c>
      <c r="G709" s="100">
        <v>17.18</v>
      </c>
      <c r="H709" s="70">
        <f>IF(OR(Resultados!$F709="",Resultados!$G709=""),"",(Resultados!$G709-Resultados!$F709)*Resultados!$E709)</f>
        <v>359.99999999999943</v>
      </c>
      <c r="I709" s="70">
        <f ca="1">IF(ISBLANK(Resultados!$C709),"",
IF(ROW()-1=3,Resultados!$H709,INDIRECT(ADDRESS(ROW()-1,COLUMN()))+Resultados!$H709))</f>
        <v>47604.204285714339</v>
      </c>
    </row>
    <row r="710" spans="2:9" ht="15.75" customHeight="1">
      <c r="B710" s="96">
        <v>44320</v>
      </c>
      <c r="C710" s="97">
        <v>44327</v>
      </c>
      <c r="D710" s="98" t="s">
        <v>221</v>
      </c>
      <c r="E710" s="99">
        <v>600</v>
      </c>
      <c r="F710" s="100">
        <v>14.74</v>
      </c>
      <c r="G710" s="100">
        <v>13.58</v>
      </c>
      <c r="H710" s="70">
        <f>IF(OR(Resultados!$F710="",Resultados!$G710=""),"",(Resultados!$G710-Resultados!$F710)*Resultados!$E710)</f>
        <v>-696.00000000000011</v>
      </c>
      <c r="I710" s="70">
        <f ca="1">IF(ISBLANK(Resultados!$C710),"",
IF(ROW()-1=3,Resultados!$H710,INDIRECT(ADDRESS(ROW()-1,COLUMN()))+Resultados!$H710))</f>
        <v>46908.204285714339</v>
      </c>
    </row>
    <row r="711" spans="2:9" ht="15.75" customHeight="1">
      <c r="B711" s="91">
        <v>44321</v>
      </c>
      <c r="C711" s="92">
        <v>44328</v>
      </c>
      <c r="D711" s="93" t="s">
        <v>81</v>
      </c>
      <c r="E711" s="94">
        <v>300</v>
      </c>
      <c r="F711" s="95">
        <v>23.21</v>
      </c>
      <c r="G711" s="95">
        <v>25.2</v>
      </c>
      <c r="H711" s="65">
        <f>IF(OR(Resultados!$F711="",Resultados!$G711=""),"",(Resultados!$G711-Resultados!$F711)*Resultados!$E711)</f>
        <v>596.99999999999955</v>
      </c>
      <c r="I711" s="65">
        <f ca="1">IF(ISBLANK(Resultados!$C711),"",
IF(ROW()-1=3,Resultados!$H711,INDIRECT(ADDRESS(ROW()-1,COLUMN()))+Resultados!$H711))</f>
        <v>47505.204285714339</v>
      </c>
    </row>
    <row r="712" spans="2:9" ht="15.75" customHeight="1">
      <c r="B712" s="96">
        <v>44323</v>
      </c>
      <c r="C712" s="97">
        <v>44328</v>
      </c>
      <c r="D712" s="98" t="s">
        <v>222</v>
      </c>
      <c r="E712" s="99">
        <v>100</v>
      </c>
      <c r="F712" s="100">
        <v>71.33</v>
      </c>
      <c r="G712" s="100">
        <v>74.930000000000007</v>
      </c>
      <c r="H712" s="70">
        <f>IF(OR(Resultados!$F712="",Resultados!$G712=""),"",(Resultados!$G712-Resultados!$F712)*Resultados!$E712)</f>
        <v>360.00000000000085</v>
      </c>
      <c r="I712" s="70">
        <f ca="1">IF(ISBLANK(Resultados!$C712),"",
IF(ROW()-1=3,Resultados!$H712,INDIRECT(ADDRESS(ROW()-1,COLUMN()))+Resultados!$H712))</f>
        <v>47865.204285714339</v>
      </c>
    </row>
    <row r="713" spans="2:9" ht="15.75" customHeight="1">
      <c r="B713" s="91">
        <v>44323</v>
      </c>
      <c r="C713" s="92">
        <v>44328</v>
      </c>
      <c r="D713" s="93" t="s">
        <v>108</v>
      </c>
      <c r="E713" s="94">
        <v>700</v>
      </c>
      <c r="F713" s="95">
        <v>8.82</v>
      </c>
      <c r="G713" s="95">
        <v>9.19</v>
      </c>
      <c r="H713" s="65">
        <f>IF(OR(Resultados!$F713="",Resultados!$G713=""),"",(Resultados!$G713-Resultados!$F713)*Resultados!$E713)</f>
        <v>258.99999999999943</v>
      </c>
      <c r="I713" s="65">
        <f ca="1">IF(ISBLANK(Resultados!$C713),"",
IF(ROW()-1=3,Resultados!$H713,INDIRECT(ADDRESS(ROW()-1,COLUMN()))+Resultados!$H713))</f>
        <v>48124.204285714339</v>
      </c>
    </row>
    <row r="714" spans="2:9" ht="15.75" customHeight="1">
      <c r="B714" s="91">
        <v>44323</v>
      </c>
      <c r="C714" s="92">
        <v>44328</v>
      </c>
      <c r="D714" s="93" t="s">
        <v>174</v>
      </c>
      <c r="E714" s="94">
        <v>400</v>
      </c>
      <c r="F714" s="95">
        <v>16.28</v>
      </c>
      <c r="G714" s="95">
        <v>15.38</v>
      </c>
      <c r="H714" s="65">
        <f>IF(OR(Resultados!$F714="",Resultados!$G714=""),"",(Resultados!$G714-Resultados!$F714)*Resultados!$E714)</f>
        <v>-360.00000000000011</v>
      </c>
      <c r="I714" s="65">
        <f ca="1">IF(ISBLANK(Resultados!$C714),"",
IF(ROW()-1=3,Resultados!$H714,INDIRECT(ADDRESS(ROW()-1,COLUMN()))+Resultados!$H714))</f>
        <v>47764.204285714339</v>
      </c>
    </row>
    <row r="715" spans="2:9" ht="15.75" customHeight="1">
      <c r="B715" s="96">
        <v>44323</v>
      </c>
      <c r="C715" s="97">
        <v>44329</v>
      </c>
      <c r="D715" s="98" t="s">
        <v>108</v>
      </c>
      <c r="E715" s="99">
        <v>700</v>
      </c>
      <c r="F715" s="100">
        <v>8.82</v>
      </c>
      <c r="G715" s="100">
        <v>8.69</v>
      </c>
      <c r="H715" s="70">
        <f>IF(OR(Resultados!$F715="",Resultados!$G715=""),"",(Resultados!$G715-Resultados!$F715)*Resultados!$E715)</f>
        <v>-91.00000000000054</v>
      </c>
      <c r="I715" s="70">
        <f ca="1">IF(ISBLANK(Resultados!$C715),"",
IF(ROW()-1=3,Resultados!$H715,INDIRECT(ADDRESS(ROW()-1,COLUMN()))+Resultados!$H715))</f>
        <v>47673.204285714339</v>
      </c>
    </row>
    <row r="716" spans="2:9" ht="15.75" customHeight="1">
      <c r="B716" s="91">
        <v>44315</v>
      </c>
      <c r="C716" s="92">
        <v>44334</v>
      </c>
      <c r="D716" s="93" t="s">
        <v>140</v>
      </c>
      <c r="E716" s="94">
        <v>600</v>
      </c>
      <c r="F716" s="95">
        <v>20.14</v>
      </c>
      <c r="G716" s="95">
        <v>18.739999999999998</v>
      </c>
      <c r="H716" s="65">
        <f>IF(OR(Resultados!$F716="",Resultados!$G716=""),"",(Resultados!$G716-Resultados!$F716)*Resultados!$E716)</f>
        <v>-840.00000000000125</v>
      </c>
      <c r="I716" s="65">
        <f ca="1">IF(ISBLANK(Resultados!$C716),"",
IF(ROW()-1=3,Resultados!$H716,INDIRECT(ADDRESS(ROW()-1,COLUMN()))+Resultados!$H716))</f>
        <v>46833.204285714339</v>
      </c>
    </row>
    <row r="717" spans="2:9" ht="15.75" customHeight="1">
      <c r="B717" s="91">
        <v>44323</v>
      </c>
      <c r="C717" s="92">
        <v>44334</v>
      </c>
      <c r="D717" s="93" t="s">
        <v>222</v>
      </c>
      <c r="E717" s="94">
        <v>100</v>
      </c>
      <c r="F717" s="95">
        <v>71.33</v>
      </c>
      <c r="G717" s="95">
        <v>70.489999999999995</v>
      </c>
      <c r="H717" s="65">
        <f>IF(OR(Resultados!$F717="",Resultados!$G717=""),"",(Resultados!$G717-Resultados!$F717)*Resultados!$E717)</f>
        <v>-84.000000000000341</v>
      </c>
      <c r="I717" s="65">
        <f ca="1">IF(ISBLANK(Resultados!$C717),"",
IF(ROW()-1=3,Resultados!$H717,INDIRECT(ADDRESS(ROW()-1,COLUMN()))+Resultados!$H717))</f>
        <v>46749.204285714339</v>
      </c>
    </row>
    <row r="718" spans="2:9" ht="15.75" customHeight="1">
      <c r="B718" s="96">
        <v>44333</v>
      </c>
      <c r="C718" s="97">
        <v>44336</v>
      </c>
      <c r="D718" s="98" t="s">
        <v>95</v>
      </c>
      <c r="E718" s="99">
        <v>200</v>
      </c>
      <c r="F718" s="100">
        <v>53.5</v>
      </c>
      <c r="G718" s="100">
        <v>49.91</v>
      </c>
      <c r="H718" s="70">
        <f>IF(OR(Resultados!$F718="",Resultados!$G718=""),"",(Resultados!$G718-Resultados!$F718)*Resultados!$E718)</f>
        <v>-718.00000000000068</v>
      </c>
      <c r="I718" s="70">
        <f ca="1">IF(ISBLANK(Resultados!$C718),"",
IF(ROW()-1=3,Resultados!$H718,INDIRECT(ADDRESS(ROW()-1,COLUMN()))+Resultados!$H718))</f>
        <v>46031.204285714339</v>
      </c>
    </row>
    <row r="719" spans="2:9" ht="15.75" customHeight="1">
      <c r="B719" s="91">
        <v>44301</v>
      </c>
      <c r="C719" s="92">
        <v>44341</v>
      </c>
      <c r="D719" s="93" t="s">
        <v>220</v>
      </c>
      <c r="E719" s="94">
        <v>100</v>
      </c>
      <c r="F719" s="95">
        <v>38.21</v>
      </c>
      <c r="G719" s="95">
        <v>48.9</v>
      </c>
      <c r="H719" s="65">
        <f>IF(OR(Resultados!$F719="",Resultados!$G719=""),"",(Resultados!$G719-Resultados!$F719)*Resultados!$E719)</f>
        <v>1068.9999999999998</v>
      </c>
      <c r="I719" s="65">
        <f ca="1">IF(ISBLANK(Resultados!$C719),"",
IF(ROW()-1=3,Resultados!$H719,INDIRECT(ADDRESS(ROW()-1,COLUMN()))+Resultados!$H719))</f>
        <v>47100.204285714339</v>
      </c>
    </row>
    <row r="720" spans="2:9" ht="15.75" customHeight="1">
      <c r="B720" s="91">
        <v>44333</v>
      </c>
      <c r="C720" s="92">
        <v>44341</v>
      </c>
      <c r="D720" s="93" t="s">
        <v>223</v>
      </c>
      <c r="E720" s="94">
        <v>42</v>
      </c>
      <c r="F720" s="95">
        <v>116.38</v>
      </c>
      <c r="G720" s="95">
        <v>123.79</v>
      </c>
      <c r="H720" s="65">
        <f>IF(OR(Resultados!$F720="",Resultados!$G720=""),"",(Resultados!$G720-Resultados!$F720)*Resultados!$E720)</f>
        <v>311.22000000000048</v>
      </c>
      <c r="I720" s="65">
        <f ca="1">IF(ISBLANK(Resultados!$C720),"",
IF(ROW()-1=3,Resultados!$H720,INDIRECT(ADDRESS(ROW()-1,COLUMN()))+Resultados!$H720))</f>
        <v>47411.42428571434</v>
      </c>
    </row>
    <row r="721" spans="2:9" ht="15.75" customHeight="1">
      <c r="B721" s="96">
        <v>44336</v>
      </c>
      <c r="C721" s="97">
        <v>44342</v>
      </c>
      <c r="D721" s="98" t="s">
        <v>224</v>
      </c>
      <c r="E721" s="99">
        <v>500</v>
      </c>
      <c r="F721" s="100">
        <v>25.96</v>
      </c>
      <c r="G721" s="100">
        <v>24.93</v>
      </c>
      <c r="H721" s="70">
        <f>IF(OR(Resultados!$F721="",Resultados!$G721=""),"",(Resultados!$G721-Resultados!$F721)*Resultados!$E721)</f>
        <v>-515.00000000000057</v>
      </c>
      <c r="I721" s="70">
        <f ca="1">IF(ISBLANK(Resultados!$C721),"",
IF(ROW()-1=3,Resultados!$H721,INDIRECT(ADDRESS(ROW()-1,COLUMN()))+Resultados!$H721))</f>
        <v>46896.42428571434</v>
      </c>
    </row>
    <row r="722" spans="2:9" ht="15.75" customHeight="1">
      <c r="B722" s="91">
        <v>44340</v>
      </c>
      <c r="C722" s="92">
        <v>44343</v>
      </c>
      <c r="D722" s="93" t="s">
        <v>185</v>
      </c>
      <c r="E722" s="94">
        <v>700</v>
      </c>
      <c r="F722" s="95">
        <v>17.87</v>
      </c>
      <c r="G722" s="95">
        <v>17.16</v>
      </c>
      <c r="H722" s="65">
        <f>IF(OR(Resultados!$F722="",Resultados!$G722=""),"",(Resultados!$G722-Resultados!$F722)*Resultados!$E722)</f>
        <v>-497.00000000000057</v>
      </c>
      <c r="I722" s="65">
        <f ca="1">IF(ISBLANK(Resultados!$C722),"",
IF(ROW()-1=3,Resultados!$H722,INDIRECT(ADDRESS(ROW()-1,COLUMN()))+Resultados!$H722))</f>
        <v>46399.42428571434</v>
      </c>
    </row>
    <row r="723" spans="2:9" ht="15.75" customHeight="1">
      <c r="B723" s="91">
        <v>44330</v>
      </c>
      <c r="C723" s="92">
        <v>44343</v>
      </c>
      <c r="D723" s="93" t="s">
        <v>141</v>
      </c>
      <c r="E723" s="94">
        <v>300</v>
      </c>
      <c r="F723" s="95">
        <v>24.93</v>
      </c>
      <c r="G723" s="95">
        <v>26.36</v>
      </c>
      <c r="H723" s="65">
        <f>IF(OR(Resultados!$F723="",Resultados!$G723=""),"",(Resultados!$G723-Resultados!$F723)*Resultados!$E723)</f>
        <v>428.99999999999989</v>
      </c>
      <c r="I723" s="65">
        <f ca="1">IF(ISBLANK(Resultados!$C723),"",
IF(ROW()-1=3,Resultados!$H723,INDIRECT(ADDRESS(ROW()-1,COLUMN()))+Resultados!$H723))</f>
        <v>46828.42428571434</v>
      </c>
    </row>
    <row r="724" spans="2:9" ht="15.75" customHeight="1">
      <c r="B724" s="96">
        <v>44341</v>
      </c>
      <c r="C724" s="97">
        <v>44343</v>
      </c>
      <c r="D724" s="98" t="s">
        <v>213</v>
      </c>
      <c r="E724" s="99">
        <v>85</v>
      </c>
      <c r="F724" s="100">
        <v>144.65</v>
      </c>
      <c r="G724" s="100">
        <v>147.49</v>
      </c>
      <c r="H724" s="70">
        <f>IF(OR(Resultados!$F724="",Resultados!$G724=""),"",(Resultados!$G724-Resultados!$F724)*Resultados!$E724)</f>
        <v>241.40000000000029</v>
      </c>
      <c r="I724" s="70">
        <f ca="1">IF(ISBLANK(Resultados!$C724),"",
IF(ROW()-1=3,Resultados!$H724,INDIRECT(ADDRESS(ROW()-1,COLUMN()))+Resultados!$H724))</f>
        <v>47069.824285714341</v>
      </c>
    </row>
    <row r="725" spans="2:9" ht="15.75" customHeight="1">
      <c r="B725" s="91">
        <v>44340</v>
      </c>
      <c r="C725" s="92">
        <v>44347</v>
      </c>
      <c r="D725" s="93" t="s">
        <v>100</v>
      </c>
      <c r="E725" s="94">
        <v>400</v>
      </c>
      <c r="F725" s="95">
        <v>17.809999999999999</v>
      </c>
      <c r="G725" s="95">
        <v>18.64</v>
      </c>
      <c r="H725" s="65">
        <f>IF(OR(Resultados!$F725="",Resultados!$G725=""),"",(Resultados!$G725-Resultados!$F725)*Resultados!$E725)</f>
        <v>332.00000000000074</v>
      </c>
      <c r="I725" s="65">
        <f ca="1">IF(ISBLANK(Resultados!$C725),"",
IF(ROW()-1=3,Resultados!$H725,INDIRECT(ADDRESS(ROW()-1,COLUMN()))+Resultados!$H725))</f>
        <v>47401.824285714341</v>
      </c>
    </row>
    <row r="726" spans="2:9" ht="15.75" customHeight="1">
      <c r="B726" s="91">
        <v>44323</v>
      </c>
      <c r="C726" s="92">
        <v>44348</v>
      </c>
      <c r="D726" s="93" t="s">
        <v>199</v>
      </c>
      <c r="E726" s="94">
        <v>105</v>
      </c>
      <c r="F726" s="95">
        <v>117.44</v>
      </c>
      <c r="G726" s="95">
        <v>122.49</v>
      </c>
      <c r="H726" s="65">
        <f>IF(OR(Resultados!$F726="",Resultados!$G726=""),"",(Resultados!$G726-Resultados!$F726)*Resultados!$E726)</f>
        <v>530.24999999999966</v>
      </c>
      <c r="I726" s="65">
        <f ca="1">IF(ISBLANK(Resultados!$C726),"",
IF(ROW()-1=3,Resultados!$H726,INDIRECT(ADDRESS(ROW()-1,COLUMN()))+Resultados!$H726))</f>
        <v>47932.074285714341</v>
      </c>
    </row>
    <row r="727" spans="2:9" ht="15.75" customHeight="1">
      <c r="B727" s="96">
        <v>44344</v>
      </c>
      <c r="C727" s="97">
        <v>44348</v>
      </c>
      <c r="D727" s="98" t="s">
        <v>84</v>
      </c>
      <c r="E727" s="99">
        <v>200</v>
      </c>
      <c r="F727" s="100">
        <v>36.21</v>
      </c>
      <c r="G727" s="100">
        <v>37.340000000000003</v>
      </c>
      <c r="H727" s="70">
        <f>IF(OR(Resultados!$F727="",Resultados!$G727=""),"",(Resultados!$G727-Resultados!$F727)*Resultados!$E727)</f>
        <v>226.00000000000051</v>
      </c>
      <c r="I727" s="70">
        <f ca="1">IF(ISBLANK(Resultados!$C727),"",
IF(ROW()-1=3,Resultados!$H727,INDIRECT(ADDRESS(ROW()-1,COLUMN()))+Resultados!$H727))</f>
        <v>48158.074285714341</v>
      </c>
    </row>
    <row r="728" spans="2:9" ht="15.75" customHeight="1">
      <c r="B728" s="91">
        <v>44340</v>
      </c>
      <c r="C728" s="92">
        <v>44348</v>
      </c>
      <c r="D728" s="93" t="s">
        <v>104</v>
      </c>
      <c r="E728" s="94">
        <v>500</v>
      </c>
      <c r="F728" s="95">
        <v>12.46</v>
      </c>
      <c r="G728" s="95">
        <v>13.22</v>
      </c>
      <c r="H728" s="65">
        <f>IF(OR(Resultados!$F728="",Resultados!$G728=""),"",(Resultados!$G728-Resultados!$F728)*Resultados!$E728)</f>
        <v>379.99999999999989</v>
      </c>
      <c r="I728" s="65">
        <f ca="1">IF(ISBLANK(Resultados!$C728),"",
IF(ROW()-1=3,Resultados!$H728,INDIRECT(ADDRESS(ROW()-1,COLUMN()))+Resultados!$H728))</f>
        <v>48538.074285714341</v>
      </c>
    </row>
    <row r="729" spans="2:9" ht="15.75" customHeight="1">
      <c r="B729" s="91">
        <v>44333</v>
      </c>
      <c r="C729" s="92">
        <v>44351</v>
      </c>
      <c r="D729" s="93" t="s">
        <v>163</v>
      </c>
      <c r="E729" s="94">
        <v>700</v>
      </c>
      <c r="F729" s="95">
        <v>7.46</v>
      </c>
      <c r="G729" s="95">
        <v>7.94</v>
      </c>
      <c r="H729" s="65">
        <f>IF(OR(Resultados!$F729="",Resultados!$G729=""),"",(Resultados!$G729-Resultados!$F729)*Resultados!$E729)</f>
        <v>336.00000000000028</v>
      </c>
      <c r="I729" s="65">
        <f ca="1">IF(ISBLANK(Resultados!$C729),"",
IF(ROW()-1=3,Resultados!$H729,INDIRECT(ADDRESS(ROW()-1,COLUMN()))+Resultados!$H729))</f>
        <v>48874.074285714341</v>
      </c>
    </row>
    <row r="730" spans="2:9" ht="15.75" customHeight="1">
      <c r="B730" s="91">
        <v>44343</v>
      </c>
      <c r="C730" s="92">
        <v>44351</v>
      </c>
      <c r="D730" s="93" t="s">
        <v>120</v>
      </c>
      <c r="E730" s="94">
        <v>1200</v>
      </c>
      <c r="F730" s="95">
        <v>4.26</v>
      </c>
      <c r="G730" s="95">
        <v>4.47</v>
      </c>
      <c r="H730" s="65">
        <f>IF(OR(Resultados!$F730="",Resultados!$G730=""),"",(Resultados!$G730-Resultados!$F730)*Resultados!$E730)</f>
        <v>251.99999999999994</v>
      </c>
      <c r="I730" s="65">
        <f ca="1">IF(ISBLANK(Resultados!$C730),"",
IF(ROW()-1=3,Resultados!$H730,INDIRECT(ADDRESS(ROW()-1,COLUMN()))+Resultados!$H730))</f>
        <v>49126.074285714341</v>
      </c>
    </row>
    <row r="731" spans="2:9" ht="15.75" customHeight="1">
      <c r="B731" s="91">
        <v>44347</v>
      </c>
      <c r="C731" s="92">
        <v>44351</v>
      </c>
      <c r="D731" s="93" t="s">
        <v>171</v>
      </c>
      <c r="E731" s="94">
        <v>1500</v>
      </c>
      <c r="F731" s="95">
        <v>4</v>
      </c>
      <c r="G731" s="95">
        <v>4.2699999999999996</v>
      </c>
      <c r="H731" s="65">
        <f>IF(OR(Resultados!$F731="",Resultados!$G731=""),"",(Resultados!$G731-Resultados!$F731)*Resultados!$E731)</f>
        <v>404.99999999999937</v>
      </c>
      <c r="I731" s="65">
        <f ca="1">IF(ISBLANK(Resultados!$C731),"",
IF(ROW()-1=3,Resultados!$H731,INDIRECT(ADDRESS(ROW()-1,COLUMN()))+Resultados!$H731))</f>
        <v>49531.074285714341</v>
      </c>
    </row>
    <row r="732" spans="2:9" ht="15.75" customHeight="1">
      <c r="B732" s="91">
        <v>44344</v>
      </c>
      <c r="C732" s="92">
        <v>44351</v>
      </c>
      <c r="D732" s="93" t="s">
        <v>84</v>
      </c>
      <c r="E732" s="94">
        <v>100</v>
      </c>
      <c r="F732" s="95">
        <v>36.21</v>
      </c>
      <c r="G732" s="95">
        <v>35.89</v>
      </c>
      <c r="H732" s="65">
        <f>IF(OR(Resultados!$F732="",Resultados!$G732=""),"",(Resultados!$G732-Resultados!$F732)*Resultados!$E732)</f>
        <v>-32.000000000000028</v>
      </c>
      <c r="I732" s="65">
        <f ca="1">IF(ISBLANK(Resultados!$C732),"",
IF(ROW()-1=3,Resultados!$H732,INDIRECT(ADDRESS(ROW()-1,COLUMN()))+Resultados!$H732))</f>
        <v>49499.074285714341</v>
      </c>
    </row>
    <row r="733" spans="2:9" ht="15.75" customHeight="1">
      <c r="B733" s="91">
        <v>44351</v>
      </c>
      <c r="C733" s="92">
        <v>44354</v>
      </c>
      <c r="D733" s="93" t="s">
        <v>158</v>
      </c>
      <c r="E733" s="94">
        <v>100</v>
      </c>
      <c r="F733" s="95">
        <v>54.4</v>
      </c>
      <c r="G733" s="95">
        <v>57.13</v>
      </c>
      <c r="H733" s="65">
        <f>IF(OR(Resultados!$F733="",Resultados!$G733=""),"",(Resultados!$G733-Resultados!$F733)*Resultados!$E733)</f>
        <v>273.0000000000004</v>
      </c>
      <c r="I733" s="65">
        <f ca="1">IF(ISBLANK(Resultados!$C733),"",
IF(ROW()-1=3,Resultados!$H733,INDIRECT(ADDRESS(ROW()-1,COLUMN()))+Resultados!$H733))</f>
        <v>49772.074285714341</v>
      </c>
    </row>
    <row r="734" spans="2:9" ht="15.75" customHeight="1">
      <c r="B734" s="91">
        <v>44348</v>
      </c>
      <c r="C734" s="92">
        <v>44354</v>
      </c>
      <c r="D734" s="93" t="s">
        <v>73</v>
      </c>
      <c r="E734" s="94">
        <v>300</v>
      </c>
      <c r="F734" s="95">
        <v>33.840000000000003</v>
      </c>
      <c r="G734" s="95">
        <v>32.18</v>
      </c>
      <c r="H734" s="65">
        <f>IF(OR(Resultados!$F734="",Resultados!$G734=""),"",(Resultados!$G734-Resultados!$F734)*Resultados!$E734)</f>
        <v>-498.00000000000114</v>
      </c>
      <c r="I734" s="65">
        <f ca="1">IF(ISBLANK(Resultados!$C734),"",
IF(ROW()-1=3,Resultados!$H734,INDIRECT(ADDRESS(ROW()-1,COLUMN()))+Resultados!$H734))</f>
        <v>49274.074285714341</v>
      </c>
    </row>
    <row r="735" spans="2:9" ht="15.75" customHeight="1">
      <c r="B735" s="91">
        <v>44321</v>
      </c>
      <c r="C735" s="92">
        <v>44356</v>
      </c>
      <c r="D735" s="93" t="s">
        <v>81</v>
      </c>
      <c r="E735" s="94">
        <v>200</v>
      </c>
      <c r="F735" s="95">
        <v>23.21</v>
      </c>
      <c r="G735" s="95">
        <v>27.75</v>
      </c>
      <c r="H735" s="65">
        <f>IF(OR(Resultados!$F735="",Resultados!$G735=""),"",(Resultados!$G735-Resultados!$F735)*Resultados!$E735)</f>
        <v>907.99999999999977</v>
      </c>
      <c r="I735" s="65">
        <f ca="1">IF(ISBLANK(Resultados!$C735),"",
IF(ROW()-1=3,Resultados!$H735,INDIRECT(ADDRESS(ROW()-1,COLUMN()))+Resultados!$H735))</f>
        <v>50182.074285714341</v>
      </c>
    </row>
    <row r="736" spans="2:9" ht="15.75" customHeight="1">
      <c r="B736" s="91">
        <v>44323</v>
      </c>
      <c r="C736" s="92">
        <v>44356</v>
      </c>
      <c r="D736" s="93" t="s">
        <v>199</v>
      </c>
      <c r="E736" s="94">
        <v>105</v>
      </c>
      <c r="F736" s="95">
        <v>117.44</v>
      </c>
      <c r="G736" s="95">
        <v>124.29</v>
      </c>
      <c r="H736" s="65">
        <f>IF(OR(Resultados!$F736="",Resultados!$G736=""),"",(Resultados!$G736-Resultados!$F736)*Resultados!$E736)</f>
        <v>719.25000000000091</v>
      </c>
      <c r="I736" s="65">
        <f ca="1">IF(ISBLANK(Resultados!$C736),"",
IF(ROW()-1=3,Resultados!$H736,INDIRECT(ADDRESS(ROW()-1,COLUMN()))+Resultados!$H736))</f>
        <v>50901.324285714341</v>
      </c>
    </row>
    <row r="737" spans="2:9" ht="15.75" customHeight="1">
      <c r="B737" s="91">
        <v>44340</v>
      </c>
      <c r="C737" s="92">
        <v>44357</v>
      </c>
      <c r="D737" s="93" t="s">
        <v>104</v>
      </c>
      <c r="E737" s="94">
        <v>500</v>
      </c>
      <c r="F737" s="95">
        <v>12.46</v>
      </c>
      <c r="G737" s="95">
        <v>14.74</v>
      </c>
      <c r="H737" s="65">
        <f>IF(OR(Resultados!$F737="",Resultados!$G737=""),"",(Resultados!$G737-Resultados!$F737)*Resultados!$E737)</f>
        <v>1139.9999999999998</v>
      </c>
      <c r="I737" s="65">
        <f ca="1">IF(ISBLANK(Resultados!$C737),"",
IF(ROW()-1=3,Resultados!$H737,INDIRECT(ADDRESS(ROW()-1,COLUMN()))+Resultados!$H737))</f>
        <v>52041.324285714341</v>
      </c>
    </row>
    <row r="738" spans="2:9" ht="15.75" customHeight="1">
      <c r="B738" s="91">
        <v>44333</v>
      </c>
      <c r="C738" s="92">
        <v>44358</v>
      </c>
      <c r="D738" s="93" t="s">
        <v>163</v>
      </c>
      <c r="E738" s="94">
        <v>600</v>
      </c>
      <c r="F738" s="95">
        <v>7.46</v>
      </c>
      <c r="G738" s="95">
        <v>7.46</v>
      </c>
      <c r="H738" s="65">
        <f>IF(OR(Resultados!$F738="",Resultados!$G738=""),"",(Resultados!$G738-Resultados!$F738)*Resultados!$E738)</f>
        <v>0</v>
      </c>
      <c r="I738" s="65">
        <f ca="1">IF(ISBLANK(Resultados!$C738),"",
IF(ROW()-1=3,Resultados!$H738,INDIRECT(ADDRESS(ROW()-1,COLUMN()))+Resultados!$H738))</f>
        <v>52041.324285714341</v>
      </c>
    </row>
    <row r="739" spans="2:9" ht="15.75" customHeight="1">
      <c r="B739" s="91">
        <v>44333</v>
      </c>
      <c r="C739" s="92">
        <v>44358</v>
      </c>
      <c r="D739" s="93" t="s">
        <v>225</v>
      </c>
      <c r="E739" s="94">
        <v>42</v>
      </c>
      <c r="F739" s="95">
        <v>116.38</v>
      </c>
      <c r="G739" s="95">
        <v>118.92</v>
      </c>
      <c r="H739" s="65">
        <f>IF(OR(Resultados!$F739="",Resultados!$G739=""),"",(Resultados!$G739-Resultados!$F739)*Resultados!$E739)</f>
        <v>106.68000000000026</v>
      </c>
      <c r="I739" s="65">
        <f ca="1">IF(ISBLANK(Resultados!$C739),"",
IF(ROW()-1=3,Resultados!$H739,INDIRECT(ADDRESS(ROW()-1,COLUMN()))+Resultados!$H739))</f>
        <v>52148.004285714342</v>
      </c>
    </row>
    <row r="740" spans="2:9" ht="15.75" customHeight="1">
      <c r="B740" s="91">
        <v>44343</v>
      </c>
      <c r="C740" s="92">
        <v>44358</v>
      </c>
      <c r="D740" s="93" t="s">
        <v>120</v>
      </c>
      <c r="E740" s="94">
        <v>1100</v>
      </c>
      <c r="F740" s="95">
        <v>4.26</v>
      </c>
      <c r="G740" s="95">
        <v>4.29</v>
      </c>
      <c r="H740" s="65">
        <f>IF(OR(Resultados!$F740="",Resultados!$G740=""),"",(Resultados!$G740-Resultados!$F740)*Resultados!$E740)</f>
        <v>33.00000000000027</v>
      </c>
      <c r="I740" s="65">
        <f ca="1">IF(ISBLANK(Resultados!$C740),"",
IF(ROW()-1=3,Resultados!$H740,INDIRECT(ADDRESS(ROW()-1,COLUMN()))+Resultados!$H740))</f>
        <v>52181.004285714342</v>
      </c>
    </row>
    <row r="741" spans="2:9" ht="15.75" customHeight="1">
      <c r="B741" s="91">
        <v>44340</v>
      </c>
      <c r="C741" s="92">
        <v>44362</v>
      </c>
      <c r="D741" s="93" t="s">
        <v>100</v>
      </c>
      <c r="E741" s="94">
        <v>300</v>
      </c>
      <c r="F741" s="95">
        <v>17.809999999999999</v>
      </c>
      <c r="G741" s="95">
        <v>17.940000000000001</v>
      </c>
      <c r="H741" s="65">
        <f>IF(OR(Resultados!$F741="",Resultados!$G741=""),"",(Resultados!$G741-Resultados!$F741)*Resultados!$E741)</f>
        <v>39.000000000000767</v>
      </c>
      <c r="I741" s="65">
        <f ca="1">IF(ISBLANK(Resultados!$C741),"",
IF(ROW()-1=3,Resultados!$H741,INDIRECT(ADDRESS(ROW()-1,COLUMN()))+Resultados!$H741))</f>
        <v>52220.004285714342</v>
      </c>
    </row>
    <row r="742" spans="2:9" ht="15.75" customHeight="1">
      <c r="B742" s="91">
        <v>44348</v>
      </c>
      <c r="C742" s="92">
        <v>44365</v>
      </c>
      <c r="D742" s="93" t="s">
        <v>202</v>
      </c>
      <c r="E742" s="94">
        <v>400</v>
      </c>
      <c r="F742" s="95">
        <v>27.35</v>
      </c>
      <c r="G742" s="95">
        <v>26.49</v>
      </c>
      <c r="H742" s="65">
        <f>IF(OR(Resultados!$F742="",Resultados!$G742=""),"",(Resultados!$G742-Resultados!$F742)*Resultados!$E742)</f>
        <v>-344.00000000000119</v>
      </c>
      <c r="I742" s="65">
        <f ca="1">IF(ISBLANK(Resultados!$C742),"",
IF(ROW()-1=3,Resultados!$H742,INDIRECT(ADDRESS(ROW()-1,COLUMN()))+Resultados!$H742))</f>
        <v>51876.004285714342</v>
      </c>
    </row>
    <row r="743" spans="2:9" ht="15.75" customHeight="1">
      <c r="B743" s="91">
        <v>44355</v>
      </c>
      <c r="C743" s="92">
        <v>44365</v>
      </c>
      <c r="D743" s="93" t="s">
        <v>79</v>
      </c>
      <c r="E743" s="94">
        <v>400</v>
      </c>
      <c r="F743" s="95">
        <v>27.68</v>
      </c>
      <c r="G743" s="95">
        <v>25.99</v>
      </c>
      <c r="H743" s="65">
        <f>IF(OR(Resultados!$F743="",Resultados!$G743=""),"",(Resultados!$G743-Resultados!$F743)*Resultados!$E743)</f>
        <v>-676.00000000000045</v>
      </c>
      <c r="I743" s="65">
        <f ca="1">IF(ISBLANK(Resultados!$C743),"",
IF(ROW()-1=3,Resultados!$H743,INDIRECT(ADDRESS(ROW()-1,COLUMN()))+Resultados!$H743))</f>
        <v>51200.004285714342</v>
      </c>
    </row>
    <row r="744" spans="2:9" ht="15.75" customHeight="1">
      <c r="B744" s="91">
        <v>44330</v>
      </c>
      <c r="C744" s="92">
        <v>44365</v>
      </c>
      <c r="D744" s="93" t="s">
        <v>141</v>
      </c>
      <c r="E744" s="94">
        <v>200</v>
      </c>
      <c r="F744" s="95">
        <v>24.93</v>
      </c>
      <c r="G744" s="95">
        <v>27.48</v>
      </c>
      <c r="H744" s="65">
        <f>IF(OR(Resultados!$F744="",Resultados!$G744=""),"",(Resultados!$G744-Resultados!$F744)*Resultados!$E744)</f>
        <v>510.00000000000011</v>
      </c>
      <c r="I744" s="65">
        <f ca="1">IF(ISBLANK(Resultados!$C744),"",
IF(ROW()-1=3,Resultados!$H744,INDIRECT(ADDRESS(ROW()-1,COLUMN()))+Resultados!$H744))</f>
        <v>51710.004285714342</v>
      </c>
    </row>
    <row r="745" spans="2:9" ht="15.75" customHeight="1">
      <c r="B745" s="91">
        <v>44321</v>
      </c>
      <c r="C745" s="92">
        <v>44368</v>
      </c>
      <c r="D745" s="93" t="s">
        <v>53</v>
      </c>
      <c r="E745" s="94">
        <v>100</v>
      </c>
      <c r="F745" s="95">
        <v>78.040000000000006</v>
      </c>
      <c r="G745" s="95">
        <v>94.84</v>
      </c>
      <c r="H745" s="65">
        <f>IF(OR(Resultados!$F745="",Resultados!$G745=""),"",(Resultados!$G745-Resultados!$F745)*Resultados!$E745)</f>
        <v>1679.9999999999998</v>
      </c>
      <c r="I745" s="65">
        <f ca="1">IF(ISBLANK(Resultados!$C745),"",
IF(ROW()-1=3,Resultados!$H745,INDIRECT(ADDRESS(ROW()-1,COLUMN()))+Resultados!$H745))</f>
        <v>53390.004285714342</v>
      </c>
    </row>
    <row r="746" spans="2:9" ht="15.75" customHeight="1">
      <c r="B746" s="91">
        <v>44347</v>
      </c>
      <c r="C746" s="92">
        <v>44375</v>
      </c>
      <c r="D746" s="93" t="s">
        <v>171</v>
      </c>
      <c r="E746" s="94">
        <v>1500</v>
      </c>
      <c r="F746" s="95">
        <v>4</v>
      </c>
      <c r="G746" s="95">
        <v>4.24</v>
      </c>
      <c r="H746" s="65">
        <f>IF(OR(Resultados!$F746="",Resultados!$G746=""),"",(Resultados!$G746-Resultados!$F746)*Resultados!$E746)</f>
        <v>360.00000000000034</v>
      </c>
      <c r="I746" s="65">
        <f ca="1">IF(ISBLANK(Resultados!$C746),"",
IF(ROW()-1=3,Resultados!$H746,INDIRECT(ADDRESS(ROW()-1,COLUMN()))+Resultados!$H746))</f>
        <v>53750.004285714342</v>
      </c>
    </row>
    <row r="747" spans="2:9" ht="15.75" customHeight="1">
      <c r="B747" s="91">
        <v>44365</v>
      </c>
      <c r="C747" s="92">
        <v>44376</v>
      </c>
      <c r="D747" s="93" t="s">
        <v>206</v>
      </c>
      <c r="E747" s="94">
        <v>800</v>
      </c>
      <c r="F747" s="95">
        <v>14.78</v>
      </c>
      <c r="G747" s="95">
        <v>14.06</v>
      </c>
      <c r="H747" s="65">
        <f>IF(OR(Resultados!$F747="",Resultados!$G747=""),"",(Resultados!$G747-Resultados!$F747)*Resultados!$E747)</f>
        <v>-575.99999999999909</v>
      </c>
      <c r="I747" s="65">
        <f ca="1">IF(ISBLANK(Resultados!$C747),"",
IF(ROW()-1=3,Resultados!$H747,INDIRECT(ADDRESS(ROW()-1,COLUMN()))+Resultados!$H747))</f>
        <v>53174.004285714342</v>
      </c>
    </row>
    <row r="748" spans="2:9" ht="15.75" customHeight="1">
      <c r="B748" s="91">
        <v>44341</v>
      </c>
      <c r="C748" s="92">
        <v>44376</v>
      </c>
      <c r="D748" s="93" t="s">
        <v>213</v>
      </c>
      <c r="E748" s="94">
        <v>85</v>
      </c>
      <c r="F748" s="95">
        <v>144.65</v>
      </c>
      <c r="G748" s="95">
        <v>149.49</v>
      </c>
      <c r="H748" s="65">
        <f>IF(OR(Resultados!$F748="",Resultados!$G748=""),"",(Resultados!$G748-Resultados!$F748)*Resultados!$E748)</f>
        <v>411.40000000000032</v>
      </c>
      <c r="I748" s="65">
        <f ca="1">IF(ISBLANK(Resultados!$C748),"",
IF(ROW()-1=3,Resultados!$H748,INDIRECT(ADDRESS(ROW()-1,COLUMN()))+Resultados!$H748))</f>
        <v>53585.404285714343</v>
      </c>
    </row>
    <row r="749" spans="2:9" ht="15.75" customHeight="1">
      <c r="B749" s="91">
        <v>44355</v>
      </c>
      <c r="C749" s="92">
        <v>44376</v>
      </c>
      <c r="D749" s="93" t="s">
        <v>226</v>
      </c>
      <c r="E749" s="94">
        <v>1400</v>
      </c>
      <c r="F749" s="95">
        <v>8.66</v>
      </c>
      <c r="G749" s="95">
        <v>8.1199999999999992</v>
      </c>
      <c r="H749" s="65">
        <f>IF(OR(Resultados!$F749="",Resultados!$G749=""),"",(Resultados!$G749-Resultados!$F749)*Resultados!$E749)</f>
        <v>-756.00000000000125</v>
      </c>
      <c r="I749" s="65">
        <f ca="1">IF(ISBLANK(Resultados!$C749),"",
IF(ROW()-1=3,Resultados!$H749,INDIRECT(ADDRESS(ROW()-1,COLUMN()))+Resultados!$H749))</f>
        <v>52829.404285714343</v>
      </c>
    </row>
    <row r="750" spans="2:9" ht="15.75" customHeight="1">
      <c r="B750" s="91">
        <v>44370</v>
      </c>
      <c r="C750" s="92">
        <v>44378</v>
      </c>
      <c r="D750" s="93" t="s">
        <v>220</v>
      </c>
      <c r="E750" s="94">
        <v>100</v>
      </c>
      <c r="F750" s="95">
        <v>55.07</v>
      </c>
      <c r="G750" s="95">
        <v>59</v>
      </c>
      <c r="H750" s="65">
        <f>IF(OR(Resultados!$F750="",Resultados!$G750=""),"",(Resultados!$G750-Resultados!$F750)*Resultados!$E750)</f>
        <v>393</v>
      </c>
      <c r="I750" s="65">
        <f ca="1">IF(ISBLANK(Resultados!$C750),"",
IF(ROW()-1=3,Resultados!$H750,INDIRECT(ADDRESS(ROW()-1,COLUMN()))+Resultados!$H750))</f>
        <v>53222.404285714343</v>
      </c>
    </row>
    <row r="751" spans="2:9" ht="15.75" customHeight="1">
      <c r="B751" s="91">
        <v>44361</v>
      </c>
      <c r="C751" s="92">
        <v>44383</v>
      </c>
      <c r="D751" s="93" t="s">
        <v>88</v>
      </c>
      <c r="E751" s="94">
        <v>100</v>
      </c>
      <c r="F751" s="95">
        <v>49.5</v>
      </c>
      <c r="G751" s="95">
        <v>52.38</v>
      </c>
      <c r="H751" s="65">
        <f>IF(OR(Resultados!$F751="",Resultados!$G751=""),"",(Resultados!$G751-Resultados!$F751)*Resultados!$E751)</f>
        <v>288.00000000000023</v>
      </c>
      <c r="I751" s="65">
        <f ca="1">IF(ISBLANK(Resultados!$C751),"",
IF(ROW()-1=3,Resultados!$H751,INDIRECT(ADDRESS(ROW()-1,COLUMN()))+Resultados!$H751))</f>
        <v>53510.404285714343</v>
      </c>
    </row>
    <row r="752" spans="2:9" ht="15.75" customHeight="1">
      <c r="B752" s="91">
        <v>44370</v>
      </c>
      <c r="C752" s="92">
        <v>44391</v>
      </c>
      <c r="D752" s="93" t="s">
        <v>220</v>
      </c>
      <c r="E752" s="94">
        <v>100</v>
      </c>
      <c r="F752" s="95">
        <v>55.07</v>
      </c>
      <c r="G752" s="95">
        <v>64.489999999999995</v>
      </c>
      <c r="H752" s="65">
        <f>IF(OR(Resultados!$F752="",Resultados!$G752=""),"",(Resultados!$G752-Resultados!$F752)*Resultados!$E752)</f>
        <v>941.99999999999943</v>
      </c>
      <c r="I752" s="65">
        <f ca="1">IF(ISBLANK(Resultados!$C752),"",
IF(ROW()-1=3,Resultados!$H752,INDIRECT(ADDRESS(ROW()-1,COLUMN()))+Resultados!$H752))</f>
        <v>54452.404285714343</v>
      </c>
    </row>
    <row r="753" spans="2:9" ht="15.75" customHeight="1">
      <c r="B753" s="91">
        <v>44375</v>
      </c>
      <c r="C753" s="92">
        <v>44391</v>
      </c>
      <c r="D753" s="93" t="s">
        <v>108</v>
      </c>
      <c r="E753" s="94">
        <v>700</v>
      </c>
      <c r="F753" s="95">
        <v>8.69</v>
      </c>
      <c r="G753" s="95">
        <v>8.98</v>
      </c>
      <c r="H753" s="65">
        <f>IF(OR(Resultados!$F753="",Resultados!$G753=""),"",(Resultados!$G753-Resultados!$F753)*Resultados!$E753)</f>
        <v>203.00000000000065</v>
      </c>
      <c r="I753" s="65">
        <f ca="1">IF(ISBLANK(Resultados!$C753),"",
IF(ROW()-1=3,Resultados!$H753,INDIRECT(ADDRESS(ROW()-1,COLUMN()))+Resultados!$H753))</f>
        <v>54655.404285714343</v>
      </c>
    </row>
    <row r="754" spans="2:9" ht="15.75" customHeight="1">
      <c r="B754" s="91">
        <v>44384</v>
      </c>
      <c r="C754" s="92">
        <v>44391</v>
      </c>
      <c r="D754" s="93" t="s">
        <v>169</v>
      </c>
      <c r="E754" s="94">
        <v>200</v>
      </c>
      <c r="F754" s="95">
        <v>28.3</v>
      </c>
      <c r="G754" s="95">
        <v>29.24</v>
      </c>
      <c r="H754" s="65">
        <f>IF(OR(Resultados!$F754="",Resultados!$G754=""),"",(Resultados!$G754-Resultados!$F754)*Resultados!$E754)</f>
        <v>187.99999999999955</v>
      </c>
      <c r="I754" s="65">
        <f ca="1">IF(ISBLANK(Resultados!$C754),"",
IF(ROW()-1=3,Resultados!$H754,INDIRECT(ADDRESS(ROW()-1,COLUMN()))+Resultados!$H754))</f>
        <v>54843.404285714343</v>
      </c>
    </row>
    <row r="755" spans="2:9" ht="15.75" customHeight="1">
      <c r="B755" s="91">
        <v>44384</v>
      </c>
      <c r="C755" s="92">
        <v>44393</v>
      </c>
      <c r="D755" s="93" t="s">
        <v>196</v>
      </c>
      <c r="E755" s="94">
        <v>500</v>
      </c>
      <c r="F755" s="95">
        <v>35.75</v>
      </c>
      <c r="G755" s="95">
        <v>34.39</v>
      </c>
      <c r="H755" s="65">
        <f>IF(OR(Resultados!$F755="",Resultados!$G755=""),"",(Resultados!$G755-Resultados!$F755)*Resultados!$E755)</f>
        <v>-679.99999999999977</v>
      </c>
      <c r="I755" s="65">
        <f ca="1">IF(ISBLANK(Resultados!$C755),"",
IF(ROW()-1=3,Resultados!$H755,INDIRECT(ADDRESS(ROW()-1,COLUMN()))+Resultados!$H755))</f>
        <v>54163.404285714343</v>
      </c>
    </row>
    <row r="756" spans="2:9" ht="15.75" customHeight="1">
      <c r="B756" s="91">
        <v>44391</v>
      </c>
      <c r="C756" s="92">
        <v>44396</v>
      </c>
      <c r="D756" s="93" t="s">
        <v>47</v>
      </c>
      <c r="E756" s="94">
        <v>700</v>
      </c>
      <c r="F756" s="95">
        <v>18.12</v>
      </c>
      <c r="G756" s="95">
        <v>17.23</v>
      </c>
      <c r="H756" s="65">
        <f>IF(OR(Resultados!$F756="",Resultados!$G756=""),"",(Resultados!$G756-Resultados!$F756)*Resultados!$E756)</f>
        <v>-623.00000000000045</v>
      </c>
      <c r="I756" s="65">
        <f ca="1">IF(ISBLANK(Resultados!$C756),"",
IF(ROW()-1=3,Resultados!$H756,INDIRECT(ADDRESS(ROW()-1,COLUMN()))+Resultados!$H756))</f>
        <v>53540.404285714343</v>
      </c>
    </row>
    <row r="757" spans="2:9" ht="15.75" customHeight="1">
      <c r="B757" s="91">
        <v>44392</v>
      </c>
      <c r="C757" s="92">
        <v>44398</v>
      </c>
      <c r="D757" s="93" t="s">
        <v>161</v>
      </c>
      <c r="E757" s="94">
        <v>300</v>
      </c>
      <c r="F757" s="95">
        <v>38.71</v>
      </c>
      <c r="G757" s="95">
        <v>36.82</v>
      </c>
      <c r="H757" s="65">
        <f>IF(OR(Resultados!$F757="",Resultados!$G757=""),"",(Resultados!$G757-Resultados!$F757)*Resultados!$E757)</f>
        <v>-567.00000000000023</v>
      </c>
      <c r="I757" s="65">
        <f ca="1">IF(ISBLANK(Resultados!$C757),"",
IF(ROW()-1=3,Resultados!$H757,INDIRECT(ADDRESS(ROW()-1,COLUMN()))+Resultados!$H757))</f>
        <v>52973.404285714343</v>
      </c>
    </row>
    <row r="758" spans="2:9" ht="15.75" customHeight="1">
      <c r="B758" s="91">
        <v>44375</v>
      </c>
      <c r="C758" s="92">
        <v>44403</v>
      </c>
      <c r="D758" s="93" t="s">
        <v>108</v>
      </c>
      <c r="E758" s="94">
        <v>700</v>
      </c>
      <c r="F758" s="95">
        <v>8.69</v>
      </c>
      <c r="G758" s="95">
        <v>8.08</v>
      </c>
      <c r="H758" s="65">
        <f>IF(OR(Resultados!$F758="",Resultados!$G758=""),"",(Resultados!$G758-Resultados!$F758)*Resultados!$E758)</f>
        <v>-426.9999999999996</v>
      </c>
      <c r="I758" s="65">
        <f ca="1">IF(ISBLANK(Resultados!$C758),"",
IF(ROW()-1=3,Resultados!$H758,INDIRECT(ADDRESS(ROW()-1,COLUMN()))+Resultados!$H758))</f>
        <v>52546.404285714343</v>
      </c>
    </row>
    <row r="759" spans="2:9" ht="15.75" customHeight="1">
      <c r="B759" s="91">
        <v>44361</v>
      </c>
      <c r="C759" s="92">
        <v>44404</v>
      </c>
      <c r="D759" s="93" t="s">
        <v>157</v>
      </c>
      <c r="E759" s="94">
        <v>600</v>
      </c>
      <c r="F759" s="95">
        <v>20.67</v>
      </c>
      <c r="G759" s="95">
        <v>19.559999999999999</v>
      </c>
      <c r="H759" s="65">
        <f>IF(OR(Resultados!$F759="",Resultados!$G759=""),"",(Resultados!$G759-Resultados!$F759)*Resultados!$E759)</f>
        <v>-666.00000000000182</v>
      </c>
      <c r="I759" s="65">
        <f ca="1">IF(ISBLANK(Resultados!$C759),"",
IF(ROW()-1=3,Resultados!$H759,INDIRECT(ADDRESS(ROW()-1,COLUMN()))+Resultados!$H759))</f>
        <v>51880.404285714343</v>
      </c>
    </row>
    <row r="760" spans="2:9" ht="15.75" customHeight="1">
      <c r="B760" s="91">
        <v>44351</v>
      </c>
      <c r="C760" s="92">
        <v>44405</v>
      </c>
      <c r="D760" s="93" t="s">
        <v>158</v>
      </c>
      <c r="E760" s="94">
        <v>100</v>
      </c>
      <c r="F760" s="95">
        <v>54.4</v>
      </c>
      <c r="G760" s="95">
        <v>57.97</v>
      </c>
      <c r="H760" s="65">
        <f>IF(OR(Resultados!$F760="",Resultados!$G760=""),"",(Resultados!$G760-Resultados!$F760)*Resultados!$E760)</f>
        <v>357</v>
      </c>
      <c r="I760" s="65">
        <f ca="1">IF(ISBLANK(Resultados!$C760),"",
IF(ROW()-1=3,Resultados!$H760,INDIRECT(ADDRESS(ROW()-1,COLUMN()))+Resultados!$H760))</f>
        <v>52237.404285714343</v>
      </c>
    </row>
    <row r="761" spans="2:9" ht="15.75" customHeight="1">
      <c r="B761" s="91">
        <v>44379</v>
      </c>
      <c r="C761" s="92">
        <v>44406</v>
      </c>
      <c r="D761" s="93" t="s">
        <v>225</v>
      </c>
      <c r="E761" s="94">
        <v>300</v>
      </c>
      <c r="F761" s="95">
        <v>31.52</v>
      </c>
      <c r="G761" s="95">
        <v>30.49</v>
      </c>
      <c r="H761" s="65">
        <f>IF(OR(Resultados!$F761="",Resultados!$G761=""),"",(Resultados!$G761-Resultados!$F761)*Resultados!$E761)</f>
        <v>-309.00000000000034</v>
      </c>
      <c r="I761" s="65">
        <f ca="1">IF(ISBLANK(Resultados!$C761),"",
IF(ROW()-1=3,Resultados!$H761,INDIRECT(ADDRESS(ROW()-1,COLUMN()))+Resultados!$H761))</f>
        <v>51928.404285714343</v>
      </c>
    </row>
    <row r="762" spans="2:9" ht="15.75" customHeight="1">
      <c r="B762" s="91">
        <v>44384</v>
      </c>
      <c r="C762" s="92">
        <v>44407</v>
      </c>
      <c r="D762" s="93" t="s">
        <v>52</v>
      </c>
      <c r="E762" s="94">
        <v>200</v>
      </c>
      <c r="F762" s="95">
        <v>115.02</v>
      </c>
      <c r="G762" s="95">
        <v>111.75</v>
      </c>
      <c r="H762" s="65">
        <f>IF(OR(Resultados!$F762="",Resultados!$G762=""),"",(Resultados!$G762-Resultados!$F762)*Resultados!$E762)</f>
        <v>-653.9999999999992</v>
      </c>
      <c r="I762" s="65">
        <f ca="1">IF(ISBLANK(Resultados!$C762),"",
IF(ROW()-1=3,Resultados!$H762,INDIRECT(ADDRESS(ROW()-1,COLUMN()))+Resultados!$H762))</f>
        <v>51274.404285714343</v>
      </c>
    </row>
    <row r="763" spans="2:9" ht="15.75" customHeight="1">
      <c r="B763" s="91">
        <v>44384</v>
      </c>
      <c r="C763" s="92">
        <v>44407</v>
      </c>
      <c r="D763" s="93" t="s">
        <v>169</v>
      </c>
      <c r="E763" s="94">
        <v>200</v>
      </c>
      <c r="F763" s="95">
        <v>28.3</v>
      </c>
      <c r="G763" s="95">
        <v>28.28</v>
      </c>
      <c r="H763" s="65">
        <f>IF(OR(Resultados!$F763="",Resultados!$G763=""),"",(Resultados!$G763-Resultados!$F763)*Resultados!$E763)</f>
        <v>-3.9999999999999147</v>
      </c>
      <c r="I763" s="65">
        <f ca="1">IF(ISBLANK(Resultados!$C763),"",
IF(ROW()-1=3,Resultados!$H763,INDIRECT(ADDRESS(ROW()-1,COLUMN()))+Resultados!$H763))</f>
        <v>51270.404285714343</v>
      </c>
    </row>
    <row r="764" spans="2:9" ht="15.75" customHeight="1">
      <c r="B764" s="91">
        <v>44361</v>
      </c>
      <c r="C764" s="92">
        <v>44407</v>
      </c>
      <c r="D764" s="93" t="s">
        <v>88</v>
      </c>
      <c r="E764" s="94">
        <v>100</v>
      </c>
      <c r="F764" s="95">
        <v>49.5</v>
      </c>
      <c r="G764" s="95">
        <v>50.45</v>
      </c>
      <c r="H764" s="65">
        <f>IF(OR(Resultados!$F764="",Resultados!$G764=""),"",(Resultados!$G764-Resultados!$F764)*Resultados!$E764)</f>
        <v>95.000000000000284</v>
      </c>
      <c r="I764" s="65">
        <f ca="1">IF(ISBLANK(Resultados!$C764),"",
IF(ROW()-1=3,Resultados!$H764,INDIRECT(ADDRESS(ROW()-1,COLUMN()))+Resultados!$H764))</f>
        <v>51365.404285714343</v>
      </c>
    </row>
    <row r="765" spans="2:9" ht="15.75" customHeight="1">
      <c r="B765" s="91">
        <v>44410</v>
      </c>
      <c r="C765" s="92">
        <v>44412</v>
      </c>
      <c r="D765" s="93" t="s">
        <v>196</v>
      </c>
      <c r="E765" s="94">
        <v>300</v>
      </c>
      <c r="F765" s="95">
        <v>37.26</v>
      </c>
      <c r="G765" s="95">
        <v>35.479999999999997</v>
      </c>
      <c r="H765" s="65">
        <f>IF(OR(Resultados!$F765="",Resultados!$G765=""),"",(Resultados!$G765-Resultados!$F765)*Resultados!$E765)</f>
        <v>-534.00000000000034</v>
      </c>
      <c r="I765" s="65">
        <f ca="1">IF(ISBLANK(Resultados!$C765),"",
IF(ROW()-1=3,Resultados!$H765,INDIRECT(ADDRESS(ROW()-1,COLUMN()))+Resultados!$H765))</f>
        <v>50831.404285714343</v>
      </c>
    </row>
    <row r="766" spans="2:9" ht="15.75" customHeight="1">
      <c r="B766" s="91">
        <v>44428</v>
      </c>
      <c r="C766" s="92">
        <v>44432</v>
      </c>
      <c r="D766" s="93" t="s">
        <v>162</v>
      </c>
      <c r="E766" s="94">
        <v>300</v>
      </c>
      <c r="F766" s="95">
        <v>25.52</v>
      </c>
      <c r="G766" s="95">
        <v>26.6</v>
      </c>
      <c r="H766" s="65">
        <f>IF(OR(Resultados!$F766="",Resultados!$G766=""),"",(Resultados!$G766-Resultados!$F766)*Resultados!$E766)</f>
        <v>324.00000000000057</v>
      </c>
      <c r="I766" s="65">
        <f ca="1">IF(ISBLANK(Resultados!$C766),"",
IF(ROW()-1=3,Resultados!$H766,INDIRECT(ADDRESS(ROW()-1,COLUMN()))+Resultados!$H766))</f>
        <v>51155.404285714343</v>
      </c>
    </row>
    <row r="767" spans="2:9" ht="15.75" customHeight="1">
      <c r="B767" s="91">
        <v>44432</v>
      </c>
      <c r="C767" s="92">
        <v>44433</v>
      </c>
      <c r="D767" s="93" t="s">
        <v>227</v>
      </c>
      <c r="E767" s="94">
        <v>200</v>
      </c>
      <c r="F767" s="95">
        <v>30.27</v>
      </c>
      <c r="G767" s="95">
        <v>32.08</v>
      </c>
      <c r="H767" s="65">
        <f>IF(OR(Resultados!$F767="",Resultados!$G767=""),"",(Resultados!$G767-Resultados!$F767)*Resultados!$E767)</f>
        <v>361.99999999999977</v>
      </c>
      <c r="I767" s="65">
        <f ca="1">IF(ISBLANK(Resultados!$C767),"",
IF(ROW()-1=3,Resultados!$H767,INDIRECT(ADDRESS(ROW()-1,COLUMN()))+Resultados!$H767))</f>
        <v>51517.404285714343</v>
      </c>
    </row>
    <row r="768" spans="2:9" ht="15.75" customHeight="1">
      <c r="B768" s="91">
        <v>44428</v>
      </c>
      <c r="C768" s="92">
        <v>44434</v>
      </c>
      <c r="D768" s="93" t="s">
        <v>198</v>
      </c>
      <c r="E768" s="94">
        <v>300</v>
      </c>
      <c r="F768" s="95">
        <v>40.39</v>
      </c>
      <c r="G768" s="95">
        <v>39.119999999999997</v>
      </c>
      <c r="H768" s="65">
        <f>IF(OR(Resultados!$F768="",Resultados!$G768=""),"",(Resultados!$G768-Resultados!$F768)*Resultados!$E768)</f>
        <v>-381.00000000000091</v>
      </c>
      <c r="I768" s="65">
        <f ca="1">IF(ISBLANK(Resultados!$C768),"",
IF(ROW()-1=3,Resultados!$H768,INDIRECT(ADDRESS(ROW()-1,COLUMN()))+Resultados!$H768))</f>
        <v>51136.404285714343</v>
      </c>
    </row>
    <row r="769" spans="2:9" ht="15.75" customHeight="1">
      <c r="B769" s="91">
        <v>44432</v>
      </c>
      <c r="C769" s="92">
        <v>44434</v>
      </c>
      <c r="D769" s="93" t="s">
        <v>227</v>
      </c>
      <c r="E769" s="94">
        <v>200</v>
      </c>
      <c r="F769" s="95">
        <v>30.27</v>
      </c>
      <c r="G769" s="95">
        <v>28.46</v>
      </c>
      <c r="H769" s="65">
        <f>IF(OR(Resultados!$F769="",Resultados!$G769=""),"",(Resultados!$G769-Resultados!$F769)*Resultados!$E769)</f>
        <v>-361.99999999999977</v>
      </c>
      <c r="I769" s="65">
        <f ca="1">IF(ISBLANK(Resultados!$C769),"",
IF(ROW()-1=3,Resultados!$H769,INDIRECT(ADDRESS(ROW()-1,COLUMN()))+Resultados!$H769))</f>
        <v>50774.404285714343</v>
      </c>
    </row>
    <row r="770" spans="2:9" ht="15.75" customHeight="1">
      <c r="B770" s="91">
        <v>44438</v>
      </c>
      <c r="C770" s="92">
        <v>44440</v>
      </c>
      <c r="D770" s="93" t="s">
        <v>88</v>
      </c>
      <c r="E770" s="94">
        <v>100</v>
      </c>
      <c r="F770" s="95">
        <v>59.72</v>
      </c>
      <c r="G770" s="95">
        <v>62.2</v>
      </c>
      <c r="H770" s="65">
        <f>IF(OR(Resultados!$F770="",Resultados!$G770=""),"",(Resultados!$G770-Resultados!$F770)*Resultados!$E770)</f>
        <v>248.0000000000004</v>
      </c>
      <c r="I770" s="65">
        <f ca="1">IF(ISBLANK(Resultados!$C770),"",
IF(ROW()-1=3,Resultados!$H770,INDIRECT(ADDRESS(ROW()-1,COLUMN()))+Resultados!$H770))</f>
        <v>51022.404285714343</v>
      </c>
    </row>
    <row r="771" spans="2:9" ht="15.75" customHeight="1">
      <c r="B771" s="91">
        <v>44428</v>
      </c>
      <c r="C771" s="92">
        <v>44441</v>
      </c>
      <c r="D771" s="93" t="s">
        <v>162</v>
      </c>
      <c r="E771" s="94">
        <v>200</v>
      </c>
      <c r="F771" s="95">
        <v>25.52</v>
      </c>
      <c r="G771" s="95">
        <v>25.94</v>
      </c>
      <c r="H771" s="65">
        <f>IF(OR(Resultados!$F771="",Resultados!$G771=""),"",(Resultados!$G771-Resultados!$F771)*Resultados!$E771)</f>
        <v>84.000000000000341</v>
      </c>
      <c r="I771" s="65">
        <f ca="1">IF(ISBLANK(Resultados!$C771),"",
IF(ROW()-1=3,Resultados!$H771,INDIRECT(ADDRESS(ROW()-1,COLUMN()))+Resultados!$H771))</f>
        <v>51106.404285714343</v>
      </c>
    </row>
    <row r="772" spans="2:9" ht="15.75" customHeight="1">
      <c r="B772" s="91">
        <v>44439</v>
      </c>
      <c r="C772" s="92">
        <v>44442</v>
      </c>
      <c r="D772" s="93" t="s">
        <v>228</v>
      </c>
      <c r="E772" s="94">
        <v>300</v>
      </c>
      <c r="F772" s="95">
        <v>41.99</v>
      </c>
      <c r="G772" s="95">
        <v>39.090000000000003</v>
      </c>
      <c r="H772" s="65">
        <f>IF(OR(Resultados!$F772="",Resultados!$G772=""),"",(Resultados!$G772-Resultados!$F772)*Resultados!$E772)</f>
        <v>-869.99999999999955</v>
      </c>
      <c r="I772" s="65">
        <f ca="1">IF(ISBLANK(Resultados!$C772),"",
IF(ROW()-1=3,Resultados!$H772,INDIRECT(ADDRESS(ROW()-1,COLUMN()))+Resultados!$H772))</f>
        <v>50236.404285714343</v>
      </c>
    </row>
    <row r="773" spans="2:9" ht="15.75" customHeight="1">
      <c r="B773" s="91">
        <v>44438</v>
      </c>
      <c r="C773" s="92">
        <v>44442</v>
      </c>
      <c r="D773" s="93" t="s">
        <v>88</v>
      </c>
      <c r="E773" s="94">
        <v>100</v>
      </c>
      <c r="F773" s="95">
        <v>59.72</v>
      </c>
      <c r="G773" s="95">
        <v>57.21</v>
      </c>
      <c r="H773" s="65">
        <f>IF(OR(Resultados!$F773="",Resultados!$G773=""),"",(Resultados!$G773-Resultados!$F773)*Resultados!$E773)</f>
        <v>-250.9999999999998</v>
      </c>
      <c r="I773" s="65">
        <f ca="1">IF(ISBLANK(Resultados!$C773),"",
IF(ROW()-1=3,Resultados!$H773,INDIRECT(ADDRESS(ROW()-1,COLUMN()))+Resultados!$H773))</f>
        <v>49985.404285714343</v>
      </c>
    </row>
    <row r="774" spans="2:9" ht="15.75" customHeight="1">
      <c r="B774" s="91">
        <v>44441</v>
      </c>
      <c r="C774" s="92">
        <v>44442</v>
      </c>
      <c r="D774" s="93" t="s">
        <v>229</v>
      </c>
      <c r="E774" s="94">
        <v>342</v>
      </c>
      <c r="F774" s="95">
        <v>2.1</v>
      </c>
      <c r="G774" s="95">
        <v>3</v>
      </c>
      <c r="H774" s="65">
        <f>IF(OR(Resultados!$F774="",Resultados!$G774=""),"",(Resultados!$G774-Resultados!$F774)*Resultados!$E774)</f>
        <v>307.79999999999995</v>
      </c>
      <c r="I774" s="65">
        <f ca="1">IF(ISBLANK(Resultados!$C774),"",
IF(ROW()-1=3,Resultados!$H774,INDIRECT(ADDRESS(ROW()-1,COLUMN()))+Resultados!$H774))</f>
        <v>50293.204285714346</v>
      </c>
    </row>
    <row r="775" spans="2:9" ht="15.75" customHeight="1">
      <c r="B775" s="91">
        <v>44441</v>
      </c>
      <c r="C775" s="92">
        <v>44447</v>
      </c>
      <c r="D775" s="93" t="s">
        <v>229</v>
      </c>
      <c r="E775" s="94">
        <v>197</v>
      </c>
      <c r="F775" s="95">
        <v>2.1</v>
      </c>
      <c r="G775" s="95">
        <v>4.5999999999999996</v>
      </c>
      <c r="H775" s="65">
        <f>IF(OR(Resultados!$F775="",Resultados!$G775=""),"",(Resultados!$G775-Resultados!$F775)*Resultados!$E775)</f>
        <v>492.49999999999989</v>
      </c>
      <c r="I775" s="65">
        <f ca="1">IF(ISBLANK(Resultados!$C775),"",
IF(ROW()-1=3,Resultados!$H775,INDIRECT(ADDRESS(ROW()-1,COLUMN()))+Resultados!$H775))</f>
        <v>50785.704285714346</v>
      </c>
    </row>
    <row r="776" spans="2:9" ht="15.75" customHeight="1">
      <c r="B776" s="91">
        <v>44428</v>
      </c>
      <c r="C776" s="92">
        <v>44447</v>
      </c>
      <c r="D776" s="93" t="s">
        <v>199</v>
      </c>
      <c r="E776" s="94">
        <v>220</v>
      </c>
      <c r="F776" s="95">
        <v>113.35</v>
      </c>
      <c r="G776" s="95">
        <v>109.59</v>
      </c>
      <c r="H776" s="65">
        <f>IF(OR(Resultados!$F776="",Resultados!$G776=""),"",(Resultados!$G776-Resultados!$F776)*Resultados!$E776)</f>
        <v>-827.199999999998</v>
      </c>
      <c r="I776" s="65">
        <f ca="1">IF(ISBLANK(Resultados!$C776),"",
IF(ROW()-1=3,Resultados!$H776,INDIRECT(ADDRESS(ROW()-1,COLUMN()))+Resultados!$H776))</f>
        <v>49958.504285714349</v>
      </c>
    </row>
    <row r="777" spans="2:9" ht="15.75" customHeight="1">
      <c r="B777" s="91">
        <v>44440</v>
      </c>
      <c r="C777" s="92">
        <v>44448</v>
      </c>
      <c r="D777" s="93" t="s">
        <v>85</v>
      </c>
      <c r="E777" s="94">
        <v>300</v>
      </c>
      <c r="F777" s="95">
        <v>21.5</v>
      </c>
      <c r="G777" s="95">
        <v>22.7</v>
      </c>
      <c r="H777" s="65">
        <f>IF(OR(Resultados!$F777="",Resultados!$G777=""),"",(Resultados!$G777-Resultados!$F777)*Resultados!$E777)</f>
        <v>359.99999999999977</v>
      </c>
      <c r="I777" s="65">
        <f ca="1">IF(ISBLANK(Resultados!$C777),"",
IF(ROW()-1=3,Resultados!$H777,INDIRECT(ADDRESS(ROW()-1,COLUMN()))+Resultados!$H777))</f>
        <v>50318.504285714349</v>
      </c>
    </row>
    <row r="778" spans="2:9" ht="15.75" customHeight="1">
      <c r="B778" s="91">
        <v>44452</v>
      </c>
      <c r="C778" s="92">
        <v>44461</v>
      </c>
      <c r="D778" s="93" t="s">
        <v>230</v>
      </c>
      <c r="E778" s="94">
        <v>300</v>
      </c>
      <c r="F778" s="95">
        <v>18.75</v>
      </c>
      <c r="G778" s="95">
        <v>19.489999999999998</v>
      </c>
      <c r="H778" s="65">
        <f>IF(OR(Resultados!$F778="",Resultados!$G778=""),"",(Resultados!$G778-Resultados!$F778)*Resultados!$E778)</f>
        <v>221.99999999999955</v>
      </c>
      <c r="I778" s="65">
        <f ca="1">IF(ISBLANK(Resultados!$C778),"",
IF(ROW()-1=3,Resultados!$H778,INDIRECT(ADDRESS(ROW()-1,COLUMN()))+Resultados!$H778))</f>
        <v>50540.504285714349</v>
      </c>
    </row>
    <row r="779" spans="2:9" ht="15.75" customHeight="1">
      <c r="B779" s="91">
        <v>44460</v>
      </c>
      <c r="C779" s="92">
        <v>44463</v>
      </c>
      <c r="D779" s="93" t="s">
        <v>231</v>
      </c>
      <c r="E779" s="94">
        <v>200</v>
      </c>
      <c r="F779" s="95">
        <v>31.32</v>
      </c>
      <c r="G779" s="95">
        <v>33.14</v>
      </c>
      <c r="H779" s="65">
        <f>IF(OR(Resultados!$F779="",Resultados!$G779=""),"",(Resultados!$G779-Resultados!$F779)*Resultados!$E779)</f>
        <v>364.00000000000006</v>
      </c>
      <c r="I779" s="65">
        <f ca="1">IF(ISBLANK(Resultados!$C779),"",
IF(ROW()-1=3,Resultados!$H779,INDIRECT(ADDRESS(ROW()-1,COLUMN()))+Resultados!$H779))</f>
        <v>50904.504285714349</v>
      </c>
    </row>
    <row r="780" spans="2:9" ht="15.75" customHeight="1">
      <c r="B780" s="91">
        <v>44440</v>
      </c>
      <c r="C780" s="92">
        <v>44466</v>
      </c>
      <c r="D780" s="93" t="s">
        <v>85</v>
      </c>
      <c r="E780" s="94">
        <v>300</v>
      </c>
      <c r="F780" s="95">
        <v>20.100000000000001</v>
      </c>
      <c r="G780" s="95">
        <v>23.39</v>
      </c>
      <c r="H780" s="65">
        <f>IF(OR(Resultados!$F780="",Resultados!$G780=""),"",(Resultados!$G780-Resultados!$F780)*Resultados!$E780)</f>
        <v>986.99999999999977</v>
      </c>
      <c r="I780" s="65">
        <f ca="1">IF(ISBLANK(Resultados!$C780),"",
IF(ROW()-1=3,Resultados!$H780,INDIRECT(ADDRESS(ROW()-1,COLUMN()))+Resultados!$H780))</f>
        <v>51891.504285714349</v>
      </c>
    </row>
    <row r="781" spans="2:9" ht="15.75" customHeight="1">
      <c r="B781" s="91">
        <v>44466</v>
      </c>
      <c r="C781" s="92">
        <v>44469</v>
      </c>
      <c r="D781" s="93" t="s">
        <v>221</v>
      </c>
      <c r="E781" s="94">
        <v>400</v>
      </c>
      <c r="F781" s="95">
        <v>17.38</v>
      </c>
      <c r="G781" s="95">
        <v>17.940000000000001</v>
      </c>
      <c r="H781" s="65">
        <f>IF(OR(Resultados!$F781="",Resultados!$G781=""),"",(Resultados!$G781-Resultados!$F781)*Resultados!$E781)</f>
        <v>224.00000000000091</v>
      </c>
      <c r="I781" s="65">
        <f ca="1">IF(ISBLANK(Resultados!$C781),"",
IF(ROW()-1=3,Resultados!$H781,INDIRECT(ADDRESS(ROW()-1,COLUMN()))+Resultados!$H781))</f>
        <v>52115.504285714349</v>
      </c>
    </row>
    <row r="782" spans="2:9" ht="15.75" customHeight="1">
      <c r="B782" s="91">
        <v>44460</v>
      </c>
      <c r="C782" s="92">
        <v>44473</v>
      </c>
      <c r="D782" s="93" t="s">
        <v>231</v>
      </c>
      <c r="E782" s="94">
        <v>200</v>
      </c>
      <c r="F782" s="95">
        <v>31.32</v>
      </c>
      <c r="G782" s="95">
        <v>29.27</v>
      </c>
      <c r="H782" s="65">
        <f>IF(OR(Resultados!$F782="",Resultados!$G782=""),"",(Resultados!$G782-Resultados!$F782)*Resultados!$E782)</f>
        <v>-410.00000000000011</v>
      </c>
      <c r="I782" s="65">
        <f ca="1">IF(ISBLANK(Resultados!$C782),"",
IF(ROW()-1=3,Resultados!$H782,INDIRECT(ADDRESS(ROW()-1,COLUMN()))+Resultados!$H782))</f>
        <v>51705.504285714349</v>
      </c>
    </row>
    <row r="783" spans="2:9" ht="15.75" customHeight="1">
      <c r="B783" s="91">
        <v>44456</v>
      </c>
      <c r="C783" s="92">
        <v>44474</v>
      </c>
      <c r="D783" s="93" t="s">
        <v>232</v>
      </c>
      <c r="E783" s="94">
        <v>500</v>
      </c>
      <c r="F783" s="95">
        <v>25.94</v>
      </c>
      <c r="G783" s="95">
        <v>24.32</v>
      </c>
      <c r="H783" s="65">
        <f>IF(OR(Resultados!$F783="",Resultados!$G783=""),"",(Resultados!$G783-Resultados!$F783)*Resultados!$E783)</f>
        <v>-810.00000000000045</v>
      </c>
      <c r="I783" s="65">
        <f ca="1">IF(ISBLANK(Resultados!$C783),"",
IF(ROW()-1=3,Resultados!$H783,INDIRECT(ADDRESS(ROW()-1,COLUMN()))+Resultados!$H783))</f>
        <v>50895.504285714349</v>
      </c>
    </row>
    <row r="784" spans="2:9" ht="15.75" customHeight="1">
      <c r="B784" s="91">
        <v>44466</v>
      </c>
      <c r="C784" s="92">
        <v>44474</v>
      </c>
      <c r="D784" s="93" t="s">
        <v>126</v>
      </c>
      <c r="E784" s="94">
        <v>700</v>
      </c>
      <c r="F784" s="95">
        <v>18.559999999999999</v>
      </c>
      <c r="G784" s="95">
        <v>17.579999999999998</v>
      </c>
      <c r="H784" s="65">
        <f>IF(OR(Resultados!$F784="",Resultados!$G784=""),"",(Resultados!$G784-Resultados!$F784)*Resultados!$E784)</f>
        <v>-686.00000000000034</v>
      </c>
      <c r="I784" s="65">
        <f ca="1">IF(ISBLANK(Resultados!$C784),"",
IF(ROW()-1=3,Resultados!$H784,INDIRECT(ADDRESS(ROW()-1,COLUMN()))+Resultados!$H784))</f>
        <v>50209.504285714349</v>
      </c>
    </row>
    <row r="785" spans="2:9" ht="15.75" customHeight="1">
      <c r="B785" s="91">
        <v>44473</v>
      </c>
      <c r="C785" s="92">
        <v>44475</v>
      </c>
      <c r="D785" s="93" t="s">
        <v>213</v>
      </c>
      <c r="E785" s="94">
        <v>100</v>
      </c>
      <c r="F785" s="95">
        <v>123.01</v>
      </c>
      <c r="G785" s="95">
        <v>127</v>
      </c>
      <c r="H785" s="65">
        <f>IF(OR(Resultados!$F785="",Resultados!$G785=""),"",(Resultados!$G785-Resultados!$F785)*Resultados!$E785)</f>
        <v>398.99999999999949</v>
      </c>
      <c r="I785" s="65">
        <f ca="1">IF(ISBLANK(Resultados!$C785),"",
IF(ROW()-1=3,Resultados!$H785,INDIRECT(ADDRESS(ROW()-1,COLUMN()))+Resultados!$H785))</f>
        <v>50608.504285714349</v>
      </c>
    </row>
    <row r="786" spans="2:9" ht="15.75" customHeight="1">
      <c r="B786" s="91">
        <v>44460</v>
      </c>
      <c r="C786" s="92">
        <v>44476</v>
      </c>
      <c r="D786" s="93" t="s">
        <v>187</v>
      </c>
      <c r="E786" s="94">
        <v>900</v>
      </c>
      <c r="F786" s="95">
        <v>14.11</v>
      </c>
      <c r="G786" s="95">
        <v>13.49</v>
      </c>
      <c r="H786" s="65">
        <f>IF(OR(Resultados!$F786="",Resultados!$G786=""),"",(Resultados!$G786-Resultados!$F786)*Resultados!$E786)</f>
        <v>-557.99999999999932</v>
      </c>
      <c r="I786" s="65">
        <f ca="1">IF(ISBLANK(Resultados!$C786),"",
IF(ROW()-1=3,Resultados!$H786,INDIRECT(ADDRESS(ROW()-1,COLUMN()))+Resultados!$H786))</f>
        <v>50050.504285714349</v>
      </c>
    </row>
    <row r="787" spans="2:9" ht="15.75" customHeight="1">
      <c r="B787" s="91">
        <v>44473</v>
      </c>
      <c r="C787" s="92">
        <v>44477</v>
      </c>
      <c r="D787" s="93" t="s">
        <v>213</v>
      </c>
      <c r="E787" s="94">
        <v>100</v>
      </c>
      <c r="F787" s="95">
        <v>126.9</v>
      </c>
      <c r="G787" s="95">
        <v>127</v>
      </c>
      <c r="H787" s="65">
        <f>IF(OR(Resultados!$F787="",Resultados!$G787=""),"",(Resultados!$G787-Resultados!$F787)*Resultados!$E787)</f>
        <v>9.9999999999994316</v>
      </c>
      <c r="I787" s="65">
        <f ca="1">IF(ISBLANK(Resultados!$C787),"",
IF(ROW()-1=3,Resultados!$H787,INDIRECT(ADDRESS(ROW()-1,COLUMN()))+Resultados!$H787))</f>
        <v>50060.504285714349</v>
      </c>
    </row>
    <row r="788" spans="2:9" ht="15.75" customHeight="1">
      <c r="B788" s="91">
        <v>44452</v>
      </c>
      <c r="C788" s="92">
        <v>44477</v>
      </c>
      <c r="D788" s="93" t="s">
        <v>230</v>
      </c>
      <c r="E788" s="94">
        <v>300</v>
      </c>
      <c r="F788" s="95">
        <v>18.71</v>
      </c>
      <c r="G788" s="95">
        <v>18.3</v>
      </c>
      <c r="H788" s="65">
        <f>IF(OR(Resultados!$F788="",Resultados!$G788=""),"",(Resultados!$G788-Resultados!$F788)*Resultados!$E788)</f>
        <v>-123.00000000000004</v>
      </c>
      <c r="I788" s="65">
        <f ca="1">IF(ISBLANK(Resultados!$C788),"",
IF(ROW()-1=3,Resultados!$H788,INDIRECT(ADDRESS(ROW()-1,COLUMN()))+Resultados!$H788))</f>
        <v>49937.504285714349</v>
      </c>
    </row>
    <row r="789" spans="2:9" ht="15.75" customHeight="1">
      <c r="B789" s="91">
        <v>44484</v>
      </c>
      <c r="C789" s="92">
        <v>44488</v>
      </c>
      <c r="D789" s="93" t="s">
        <v>199</v>
      </c>
      <c r="E789" s="94">
        <v>340</v>
      </c>
      <c r="F789" s="95">
        <v>110.1</v>
      </c>
      <c r="G789" s="95">
        <v>106.47</v>
      </c>
      <c r="H789" s="65">
        <f>IF(OR(Resultados!$F789="",Resultados!$G789=""),"",(Resultados!$G789-Resultados!$F789)*Resultados!$E789)</f>
        <v>-1234.1999999999985</v>
      </c>
      <c r="I789" s="65">
        <f ca="1">IF(ISBLANK(Resultados!$C789),"",
IF(ROW()-1=3,Resultados!$H789,INDIRECT(ADDRESS(ROW()-1,COLUMN()))+Resultados!$H789))</f>
        <v>48703.304285714352</v>
      </c>
    </row>
    <row r="790" spans="2:9" ht="15.75" customHeight="1">
      <c r="B790" s="91">
        <v>44466</v>
      </c>
      <c r="C790" s="92">
        <v>44490</v>
      </c>
      <c r="D790" s="93" t="s">
        <v>221</v>
      </c>
      <c r="E790" s="94">
        <v>300</v>
      </c>
      <c r="F790" s="95">
        <v>17.38</v>
      </c>
      <c r="G790" s="95">
        <v>18.39</v>
      </c>
      <c r="H790" s="65">
        <f>IF(OR(Resultados!$F790="",Resultados!$G790=""),"",(Resultados!$G790-Resultados!$F790)*Resultados!$E790)</f>
        <v>303.00000000000045</v>
      </c>
      <c r="I790" s="65">
        <f ca="1">IF(ISBLANK(Resultados!$C790),"",
IF(ROW()-1=3,Resultados!$H790,INDIRECT(ADDRESS(ROW()-1,COLUMN()))+Resultados!$H790))</f>
        <v>49006.304285714352</v>
      </c>
    </row>
    <row r="791" spans="2:9" ht="15.75" customHeight="1">
      <c r="B791" s="91">
        <v>44489</v>
      </c>
      <c r="C791" s="92">
        <v>44491</v>
      </c>
      <c r="D791" s="93" t="s">
        <v>233</v>
      </c>
      <c r="E791" s="94">
        <v>2300</v>
      </c>
      <c r="F791" s="95">
        <v>5.33</v>
      </c>
      <c r="G791" s="95">
        <v>4.97</v>
      </c>
      <c r="H791" s="65">
        <f>IF(OR(Resultados!$F791="",Resultados!$G791=""),"",(Resultados!$G791-Resultados!$F791)*Resultados!$E791)</f>
        <v>-828.00000000000068</v>
      </c>
      <c r="I791" s="65">
        <f ca="1">IF(ISBLANK(Resultados!$C791),"",
IF(ROW()-1=3,Resultados!$H791,INDIRECT(ADDRESS(ROW()-1,COLUMN()))+Resultados!$H791))</f>
        <v>48178.304285714352</v>
      </c>
    </row>
    <row r="792" spans="2:9" ht="15.75" customHeight="1">
      <c r="B792" s="91">
        <v>44494</v>
      </c>
      <c r="C792" s="92">
        <v>44517</v>
      </c>
      <c r="D792" s="93" t="s">
        <v>199</v>
      </c>
      <c r="E792" s="94">
        <v>236</v>
      </c>
      <c r="F792" s="95">
        <v>104.85</v>
      </c>
      <c r="G792" s="95">
        <v>98.76</v>
      </c>
      <c r="H792" s="65">
        <f>IF(OR(Resultados!$F792="",Resultados!$G792=""),"",(Resultados!$G792-Resultados!$F792)*Resultados!$E792)</f>
        <v>-1437.2399999999975</v>
      </c>
      <c r="I792" s="65">
        <f ca="1">IF(ISBLANK(Resultados!$C792),"",
IF(ROW()-1=3,Resultados!$H792,INDIRECT(ADDRESS(ROW()-1,COLUMN()))+Resultados!$H792))</f>
        <v>46741.064285714354</v>
      </c>
    </row>
    <row r="793" spans="2:9" ht="15.75" customHeight="1">
      <c r="B793" s="91">
        <v>44540</v>
      </c>
      <c r="C793" s="92">
        <v>44545</v>
      </c>
      <c r="D793" s="93" t="s">
        <v>169</v>
      </c>
      <c r="E793" s="94">
        <v>200</v>
      </c>
      <c r="F793" s="95">
        <v>25.39</v>
      </c>
      <c r="G793" s="95">
        <v>27.24</v>
      </c>
      <c r="H793" s="65">
        <f>IF(OR(Resultados!$F793="",Resultados!$G793=""),"",(Resultados!$G793-Resultados!$F793)*Resultados!$E793)</f>
        <v>369.99999999999955</v>
      </c>
      <c r="I793" s="65">
        <f ca="1">IF(ISBLANK(Resultados!$C793),"",
IF(ROW()-1=3,Resultados!$H793,INDIRECT(ADDRESS(ROW()-1,COLUMN()))+Resultados!$H793))</f>
        <v>47111.064285714354</v>
      </c>
    </row>
    <row r="794" spans="2:9" ht="15.75" customHeight="1">
      <c r="B794" s="91">
        <v>44540</v>
      </c>
      <c r="C794" s="92">
        <v>44547</v>
      </c>
      <c r="D794" s="93" t="s">
        <v>169</v>
      </c>
      <c r="E794" s="94">
        <v>100</v>
      </c>
      <c r="F794" s="95">
        <v>25.39</v>
      </c>
      <c r="G794" s="95">
        <v>25.27</v>
      </c>
      <c r="H794" s="65">
        <f>IF(OR(Resultados!$F794="",Resultados!$G794=""),"",(Resultados!$G794-Resultados!$F794)*Resultados!$E794)</f>
        <v>-12.000000000000099</v>
      </c>
      <c r="I794" s="65">
        <f ca="1">IF(ISBLANK(Resultados!$C794),"",
IF(ROW()-1=3,Resultados!$H794,INDIRECT(ADDRESS(ROW()-1,COLUMN()))+Resultados!$H794))</f>
        <v>47099.064285714354</v>
      </c>
    </row>
    <row r="795" spans="2:9" ht="15.75" customHeight="1">
      <c r="B795" s="91">
        <v>44538</v>
      </c>
      <c r="C795" s="92">
        <v>44550</v>
      </c>
      <c r="D795" s="93" t="s">
        <v>197</v>
      </c>
      <c r="E795" s="94">
        <v>800</v>
      </c>
      <c r="F795" s="95">
        <v>12.3</v>
      </c>
      <c r="G795" s="95">
        <v>11.33</v>
      </c>
      <c r="H795" s="65">
        <f>IF(OR(Resultados!$F795="",Resultados!$G795=""),"",(Resultados!$G795-Resultados!$F795)*Resultados!$E795)</f>
        <v>-776.00000000000045</v>
      </c>
      <c r="I795" s="65">
        <f ca="1">IF(ISBLANK(Resultados!$C795),"",
IF(ROW()-1=3,Resultados!$H795,INDIRECT(ADDRESS(ROW()-1,COLUMN()))+Resultados!$H795))</f>
        <v>46323.064285714354</v>
      </c>
    </row>
    <row r="796" spans="2:9" ht="15.75" customHeight="1">
      <c r="B796" s="91">
        <v>44543</v>
      </c>
      <c r="C796" s="92">
        <v>44550</v>
      </c>
      <c r="D796" s="93" t="s">
        <v>199</v>
      </c>
      <c r="E796" s="94">
        <v>230</v>
      </c>
      <c r="F796" s="95">
        <v>105.33</v>
      </c>
      <c r="G796" s="95">
        <v>101.55</v>
      </c>
      <c r="H796" s="65">
        <f>IF(OR(Resultados!$F796="",Resultados!$G796=""),"",(Resultados!$G796-Resultados!$F796)*Resultados!$E796)</f>
        <v>-869.40000000000032</v>
      </c>
      <c r="I796" s="65">
        <f ca="1">IF(ISBLANK(Resultados!$C796),"",
IF(ROW()-1=3,Resultados!$H796,INDIRECT(ADDRESS(ROW()-1,COLUMN()))+Resultados!$H796))</f>
        <v>45453.664285714352</v>
      </c>
    </row>
    <row r="797" spans="2:9" ht="15.75" customHeight="1">
      <c r="B797" s="91">
        <v>44540</v>
      </c>
      <c r="C797" s="92">
        <v>44552</v>
      </c>
      <c r="D797" s="93" t="s">
        <v>187</v>
      </c>
      <c r="E797" s="94">
        <v>800</v>
      </c>
      <c r="F797" s="95">
        <v>14.16</v>
      </c>
      <c r="G797" s="95">
        <v>13.33</v>
      </c>
      <c r="H797" s="65">
        <f>IF(OR(Resultados!$F797="",Resultados!$G797=""),"",(Resultados!$G797-Resultados!$F797)*Resultados!$E797)</f>
        <v>-664</v>
      </c>
      <c r="I797" s="65">
        <f ca="1">IF(ISBLANK(Resultados!$C797),"",
IF(ROW()-1=3,Resultados!$H797,INDIRECT(ADDRESS(ROW()-1,COLUMN()))+Resultados!$H797))</f>
        <v>44789.664285714352</v>
      </c>
    </row>
    <row r="798" spans="2:9" ht="15.75" customHeight="1">
      <c r="B798" s="91">
        <v>44898</v>
      </c>
      <c r="C798" s="92">
        <v>44566</v>
      </c>
      <c r="D798" s="93" t="s">
        <v>211</v>
      </c>
      <c r="E798" s="94">
        <v>216</v>
      </c>
      <c r="F798" s="95">
        <v>113.64</v>
      </c>
      <c r="G798" s="95">
        <v>105.79</v>
      </c>
      <c r="H798" s="65">
        <f>IF(OR(Resultados!$F798="",Resultados!$G798=""),"",(Resultados!$G798-Resultados!$F798)*Resultados!$E798)</f>
        <v>-1695.5999999999988</v>
      </c>
      <c r="I798" s="65">
        <f ca="1">IF(ISBLANK(Resultados!$C798),"",
IF(ROW()-1=3,Resultados!$H798,INDIRECT(ADDRESS(ROW()-1,COLUMN()))+Resultados!$H798))</f>
        <v>43094.064285714354</v>
      </c>
    </row>
    <row r="799" spans="2:9" ht="15.75" customHeight="1">
      <c r="B799" s="91">
        <v>44586</v>
      </c>
      <c r="C799" s="92">
        <v>44587</v>
      </c>
      <c r="D799" s="93" t="s">
        <v>141</v>
      </c>
      <c r="E799" s="94">
        <v>600</v>
      </c>
      <c r="F799" s="95">
        <v>21.65</v>
      </c>
      <c r="G799" s="95">
        <v>22.34</v>
      </c>
      <c r="H799" s="65">
        <f>IF(OR(Resultados!$F799="",Resultados!$G799=""),"",(Resultados!$G799-Resultados!$F799)*Resultados!$E799)</f>
        <v>414.0000000000008</v>
      </c>
      <c r="I799" s="65">
        <f ca="1">IF(ISBLANK(Resultados!$C799),"",
IF(ROW()-1=3,Resultados!$H799,INDIRECT(ADDRESS(ROW()-1,COLUMN()))+Resultados!$H799))</f>
        <v>43508.064285714354</v>
      </c>
    </row>
    <row r="800" spans="2:9" ht="15.75" customHeight="1">
      <c r="B800" s="91">
        <v>44586</v>
      </c>
      <c r="C800" s="92">
        <v>44587</v>
      </c>
      <c r="D800" s="93" t="s">
        <v>226</v>
      </c>
      <c r="E800" s="94">
        <v>2300</v>
      </c>
      <c r="F800" s="95">
        <v>5.36</v>
      </c>
      <c r="G800" s="95">
        <v>5.54</v>
      </c>
      <c r="H800" s="65">
        <f>IF(OR(Resultados!$F800="",Resultados!$G800=""),"",(Resultados!$G800-Resultados!$F800)*Resultados!$E800)</f>
        <v>413.99999999999932</v>
      </c>
      <c r="I800" s="65">
        <f ca="1">IF(ISBLANK(Resultados!$C800),"",
IF(ROW()-1=3,Resultados!$H800,INDIRECT(ADDRESS(ROW()-1,COLUMN()))+Resultados!$H800))</f>
        <v>43922.064285714354</v>
      </c>
    </row>
    <row r="801" spans="2:9" ht="15.75" customHeight="1">
      <c r="B801" s="91">
        <v>44586</v>
      </c>
      <c r="C801" s="92">
        <v>44589</v>
      </c>
      <c r="D801" s="93" t="s">
        <v>142</v>
      </c>
      <c r="E801" s="94">
        <v>800</v>
      </c>
      <c r="F801" s="95">
        <v>14.62</v>
      </c>
      <c r="G801" s="95">
        <v>15.39</v>
      </c>
      <c r="H801" s="65">
        <f>IF(OR(Resultados!$F801="",Resultados!$G801=""),"",(Resultados!$G801-Resultados!$F801)*Resultados!$E801)</f>
        <v>616.00000000000114</v>
      </c>
      <c r="I801" s="65">
        <f ca="1">IF(ISBLANK(Resultados!$C801),"",
IF(ROW()-1=3,Resultados!$H801,INDIRECT(ADDRESS(ROW()-1,COLUMN()))+Resultados!$H801))</f>
        <v>44538.064285714354</v>
      </c>
    </row>
    <row r="802" spans="2:9" ht="15.75" customHeight="1">
      <c r="B802" s="91">
        <v>44588</v>
      </c>
      <c r="C802" s="92">
        <v>44595</v>
      </c>
      <c r="D802" s="93" t="s">
        <v>164</v>
      </c>
      <c r="E802" s="94">
        <v>1900</v>
      </c>
      <c r="F802" s="95">
        <v>8.8800000000000008</v>
      </c>
      <c r="G802" s="95">
        <v>8.5399999999999991</v>
      </c>
      <c r="H802" s="65">
        <f>IF(OR(Resultados!$F802="",Resultados!$G802=""),"",(Resultados!$G802-Resultados!$F802)*Resultados!$E802)</f>
        <v>-646.00000000000307</v>
      </c>
      <c r="I802" s="65">
        <f ca="1">IF(ISBLANK(Resultados!$C802),"",
IF(ROW()-1=3,Resultados!$H802,INDIRECT(ADDRESS(ROW()-1,COLUMN()))+Resultados!$H802))</f>
        <v>43892.064285714354</v>
      </c>
    </row>
    <row r="803" spans="2:9" ht="15.75" customHeight="1">
      <c r="B803" s="91">
        <v>44586</v>
      </c>
      <c r="C803" s="92">
        <v>44599</v>
      </c>
      <c r="D803" s="93" t="s">
        <v>226</v>
      </c>
      <c r="E803" s="94">
        <v>2200</v>
      </c>
      <c r="F803" s="95">
        <v>5.36</v>
      </c>
      <c r="G803" s="95">
        <v>5.39</v>
      </c>
      <c r="H803" s="65">
        <f>IF(OR(Resultados!$F803="",Resultados!$G803=""),"",(Resultados!$G803-Resultados!$F803)*Resultados!$E803)</f>
        <v>65.999999999998593</v>
      </c>
      <c r="I803" s="65">
        <f ca="1">IF(ISBLANK(Resultados!$C803),"",
IF(ROW()-1=3,Resultados!$H803,INDIRECT(ADDRESS(ROW()-1,COLUMN()))+Resultados!$H803))</f>
        <v>43958.064285714354</v>
      </c>
    </row>
    <row r="804" spans="2:9" ht="15.75" customHeight="1">
      <c r="B804" s="91">
        <v>44592</v>
      </c>
      <c r="C804" s="92">
        <v>44600</v>
      </c>
      <c r="D804" s="93" t="s">
        <v>144</v>
      </c>
      <c r="E804" s="94">
        <v>700</v>
      </c>
      <c r="F804" s="95">
        <v>32.75</v>
      </c>
      <c r="G804" s="95">
        <v>31.64</v>
      </c>
      <c r="H804" s="65">
        <f>IF(OR(Resultados!$F804="",Resultados!$G804=""),"",(Resultados!$G804-Resultados!$F804)*Resultados!$E804)</f>
        <v>-776.99999999999955</v>
      </c>
      <c r="I804" s="65">
        <f ca="1">IF(ISBLANK(Resultados!$C804),"",
IF(ROW()-1=3,Resultados!$H804,INDIRECT(ADDRESS(ROW()-1,COLUMN()))+Resultados!$H804))</f>
        <v>43181.064285714354</v>
      </c>
    </row>
    <row r="805" spans="2:9" ht="15.75" customHeight="1">
      <c r="B805" s="91">
        <v>44593</v>
      </c>
      <c r="C805" s="92">
        <v>44600</v>
      </c>
      <c r="D805" s="93" t="s">
        <v>234</v>
      </c>
      <c r="E805" s="94">
        <v>100</v>
      </c>
      <c r="F805" s="95">
        <v>95.32</v>
      </c>
      <c r="G805" s="95">
        <v>100.49</v>
      </c>
      <c r="H805" s="65">
        <f>IF(OR(Resultados!$F805="",Resultados!$G805=""),"",(Resultados!$G805-Resultados!$F805)*Resultados!$E805)</f>
        <v>517.00000000000023</v>
      </c>
      <c r="I805" s="65">
        <f ca="1">IF(ISBLANK(Resultados!$C805),"",
IF(ROW()-1=3,Resultados!$H805,INDIRECT(ADDRESS(ROW()-1,COLUMN()))+Resultados!$H805))</f>
        <v>43698.064285714354</v>
      </c>
    </row>
    <row r="806" spans="2:9" ht="15.75" customHeight="1">
      <c r="B806" s="91">
        <v>44586</v>
      </c>
      <c r="C806" s="92">
        <v>44601</v>
      </c>
      <c r="D806" s="93" t="s">
        <v>141</v>
      </c>
      <c r="E806" s="94">
        <v>500</v>
      </c>
      <c r="F806" s="95">
        <v>21.65</v>
      </c>
      <c r="G806" s="95">
        <v>21.41</v>
      </c>
      <c r="H806" s="65">
        <f>IF(OR(Resultados!$F806="",Resultados!$G806=""),"",(Resultados!$G806-Resultados!$F806)*Resultados!$E806)</f>
        <v>-119.99999999999922</v>
      </c>
      <c r="I806" s="65">
        <f ca="1">IF(ISBLANK(Resultados!$C806),"",
IF(ROW()-1=3,Resultados!$H806,INDIRECT(ADDRESS(ROW()-1,COLUMN()))+Resultados!$H806))</f>
        <v>43578.064285714354</v>
      </c>
    </row>
    <row r="807" spans="2:9" ht="15.75" customHeight="1">
      <c r="B807" s="91">
        <v>44599</v>
      </c>
      <c r="C807" s="92">
        <v>44603</v>
      </c>
      <c r="D807" s="93" t="s">
        <v>151</v>
      </c>
      <c r="E807" s="94">
        <v>1100</v>
      </c>
      <c r="F807" s="95">
        <v>16.75</v>
      </c>
      <c r="G807" s="95">
        <v>15.64</v>
      </c>
      <c r="H807" s="65">
        <f>IF(OR(Resultados!$F807="",Resultados!$G807=""),"",(Resultados!$G807-Resultados!$F807)*Resultados!$E807)</f>
        <v>-1220.9999999999993</v>
      </c>
      <c r="I807" s="65">
        <f ca="1">IF(ISBLANK(Resultados!$C807),"",
IF(ROW()-1=3,Resultados!$H807,INDIRECT(ADDRESS(ROW()-1,COLUMN()))+Resultados!$H807))</f>
        <v>42357.064285714354</v>
      </c>
    </row>
    <row r="808" spans="2:9" ht="15.75" customHeight="1">
      <c r="B808" s="91">
        <v>44593</v>
      </c>
      <c r="C808" s="92">
        <v>44609</v>
      </c>
      <c r="D808" s="93" t="s">
        <v>234</v>
      </c>
      <c r="E808" s="94">
        <v>100</v>
      </c>
      <c r="F808" s="95">
        <v>95.32</v>
      </c>
      <c r="G808" s="95">
        <v>94.9</v>
      </c>
      <c r="H808" s="65">
        <f>IF(OR(Resultados!$F808="",Resultados!$G808=""),"",(Resultados!$G808-Resultados!$F808)*Resultados!$E808)</f>
        <v>-41.999999999998749</v>
      </c>
      <c r="I808" s="65">
        <f ca="1">IF(ISBLANK(Resultados!$C808),"",
IF(ROW()-1=3,Resultados!$H808,INDIRECT(ADDRESS(ROW()-1,COLUMN()))+Resultados!$H808))</f>
        <v>42315.064285714354</v>
      </c>
    </row>
    <row r="809" spans="2:9" ht="15.75" customHeight="1">
      <c r="B809" s="91">
        <v>44596</v>
      </c>
      <c r="C809" s="92">
        <v>44609</v>
      </c>
      <c r="D809" s="93" t="s">
        <v>230</v>
      </c>
      <c r="E809" s="94">
        <v>700</v>
      </c>
      <c r="F809" s="95">
        <v>12.79</v>
      </c>
      <c r="G809" s="95">
        <v>13.49</v>
      </c>
      <c r="H809" s="65">
        <f>IF(OR(Resultados!$F809="",Resultados!$G809=""),"",(Resultados!$G809-Resultados!$F809)*Resultados!$E809)</f>
        <v>490.00000000000074</v>
      </c>
      <c r="I809" s="65">
        <f ca="1">IF(ISBLANK(Resultados!$C809),"",
IF(ROW()-1=3,Resultados!$H809,INDIRECT(ADDRESS(ROW()-1,COLUMN()))+Resultados!$H809))</f>
        <v>42805.064285714354</v>
      </c>
    </row>
    <row r="810" spans="2:9" ht="15.75" customHeight="1">
      <c r="B810" s="91">
        <v>44608</v>
      </c>
      <c r="C810" s="92">
        <v>44610</v>
      </c>
      <c r="D810" s="93" t="s">
        <v>44</v>
      </c>
      <c r="E810" s="94">
        <v>2600</v>
      </c>
      <c r="F810" s="95">
        <v>2.46</v>
      </c>
      <c r="G810" s="95">
        <v>2.69</v>
      </c>
      <c r="H810" s="65">
        <f>IF(OR(Resultados!$F810="",Resultados!$G810=""),"",(Resultados!$G810-Resultados!$F810)*Resultados!$E810)</f>
        <v>598</v>
      </c>
      <c r="I810" s="65">
        <f ca="1">IF(ISBLANK(Resultados!$C810),"",
IF(ROW()-1=3,Resultados!$H810,INDIRECT(ADDRESS(ROW()-1,COLUMN()))+Resultados!$H810))</f>
        <v>43403.064285714354</v>
      </c>
    </row>
    <row r="811" spans="2:9" ht="15.75" customHeight="1">
      <c r="B811" s="91">
        <v>44586</v>
      </c>
      <c r="C811" s="92">
        <v>44614</v>
      </c>
      <c r="D811" s="93" t="s">
        <v>142</v>
      </c>
      <c r="E811" s="94">
        <v>800</v>
      </c>
      <c r="F811" s="95">
        <v>14.62</v>
      </c>
      <c r="G811" s="95">
        <v>16.29</v>
      </c>
      <c r="H811" s="65">
        <f>IF(OR(Resultados!$F811="",Resultados!$G811=""),"",(Resultados!$G811-Resultados!$F811)*Resultados!$E811)</f>
        <v>1336</v>
      </c>
      <c r="I811" s="65">
        <f ca="1">IF(ISBLANK(Resultados!$C811),"",
IF(ROW()-1=3,Resultados!$H811,INDIRECT(ADDRESS(ROW()-1,COLUMN()))+Resultados!$H811))</f>
        <v>44739.064285714354</v>
      </c>
    </row>
    <row r="812" spans="2:9" ht="15.75" customHeight="1">
      <c r="B812" s="91">
        <v>44602</v>
      </c>
      <c r="C812" s="92">
        <v>44614</v>
      </c>
      <c r="D812" s="93" t="s">
        <v>44</v>
      </c>
      <c r="E812" s="94">
        <v>3900</v>
      </c>
      <c r="F812" s="95">
        <v>2.46</v>
      </c>
      <c r="G812" s="95">
        <v>2.64</v>
      </c>
      <c r="H812" s="65">
        <f>IF(OR(Resultados!$F812="",Resultados!$G812=""),"",(Resultados!$G812-Resultados!$F812)*Resultados!$E812)</f>
        <v>702.00000000000057</v>
      </c>
      <c r="I812" s="65">
        <f ca="1">IF(ISBLANK(Resultados!$C812),"",
IF(ROW()-1=3,Resultados!$H812,INDIRECT(ADDRESS(ROW()-1,COLUMN()))+Resultados!$H812))</f>
        <v>45441.064285714354</v>
      </c>
    </row>
    <row r="813" spans="2:9" ht="15.75" customHeight="1">
      <c r="B813" s="91">
        <v>44602</v>
      </c>
      <c r="C813" s="92">
        <v>44616</v>
      </c>
      <c r="D813" s="93" t="s">
        <v>53</v>
      </c>
      <c r="E813" s="94">
        <v>200</v>
      </c>
      <c r="F813" s="95">
        <v>84.04</v>
      </c>
      <c r="G813" s="95">
        <v>78.7</v>
      </c>
      <c r="H813" s="65">
        <f>IF(OR(Resultados!$F813="",Resultados!$G813=""),"",(Resultados!$G813-Resultados!$F813)*Resultados!$E813)</f>
        <v>-1068.0000000000007</v>
      </c>
      <c r="I813" s="65">
        <f ca="1">IF(ISBLANK(Resultados!$C813),"",
IF(ROW()-1=3,Resultados!$H813,INDIRECT(ADDRESS(ROW()-1,COLUMN()))+Resultados!$H813))</f>
        <v>44373.064285714354</v>
      </c>
    </row>
    <row r="814" spans="2:9" ht="15.75" customHeight="1">
      <c r="B814" s="91">
        <v>44609</v>
      </c>
      <c r="C814" s="92">
        <v>44616</v>
      </c>
      <c r="D814" s="93" t="s">
        <v>127</v>
      </c>
      <c r="E814" s="94">
        <v>1100</v>
      </c>
      <c r="F814" s="95">
        <v>21.91</v>
      </c>
      <c r="G814" s="95">
        <v>20.57</v>
      </c>
      <c r="H814" s="65">
        <f>IF(OR(Resultados!$F814="",Resultados!$G814=""),"",(Resultados!$G814-Resultados!$F814)*Resultados!$E814)</f>
        <v>-1473.9999999999998</v>
      </c>
      <c r="I814" s="65">
        <f ca="1">IF(ISBLANK(Resultados!$C814),"",
IF(ROW()-1=3,Resultados!$H814,INDIRECT(ADDRESS(ROW()-1,COLUMN()))+Resultados!$H814))</f>
        <v>42899.064285714354</v>
      </c>
    </row>
    <row r="815" spans="2:9" ht="15.75" customHeight="1">
      <c r="B815" s="91">
        <v>44615</v>
      </c>
      <c r="C815" s="92">
        <v>44617</v>
      </c>
      <c r="D815" s="93" t="s">
        <v>235</v>
      </c>
      <c r="E815" s="94">
        <v>300</v>
      </c>
      <c r="F815" s="95">
        <v>31.08</v>
      </c>
      <c r="G815" s="95">
        <v>32.78</v>
      </c>
      <c r="H815" s="65">
        <f>IF(OR(Resultados!$F815="",Resultados!$G815=""),"",(Resultados!$G815-Resultados!$F815)*Resultados!$E815)</f>
        <v>510.00000000000085</v>
      </c>
      <c r="I815" s="65">
        <f ca="1">IF(ISBLANK(Resultados!$C815),"",
IF(ROW()-1=3,Resultados!$H815,INDIRECT(ADDRESS(ROW()-1,COLUMN()))+Resultados!$H815))</f>
        <v>43409.064285714354</v>
      </c>
    </row>
    <row r="816" spans="2:9" ht="15.75" customHeight="1">
      <c r="B816" s="91">
        <v>44617</v>
      </c>
      <c r="C816" s="92">
        <v>44622</v>
      </c>
      <c r="D816" s="93" t="s">
        <v>194</v>
      </c>
      <c r="E816" s="94">
        <v>1000</v>
      </c>
      <c r="F816" s="95">
        <v>10.18</v>
      </c>
      <c r="G816" s="95">
        <v>10.8</v>
      </c>
      <c r="H816" s="65">
        <f>IF(OR(Resultados!$F816="",Resultados!$G816=""),"",(Resultados!$G816-Resultados!$F816)*Resultados!$E816)</f>
        <v>620.00000000000102</v>
      </c>
      <c r="I816" s="65">
        <f ca="1">IF(ISBLANK(Resultados!$C816),"",
IF(ROW()-1=3,Resultados!$H816,INDIRECT(ADDRESS(ROW()-1,COLUMN()))+Resultados!$H816))</f>
        <v>44029.064285714354</v>
      </c>
    </row>
    <row r="817" spans="2:9" ht="15.75" customHeight="1">
      <c r="B817" s="91">
        <v>44616</v>
      </c>
      <c r="C817" s="92">
        <v>44623</v>
      </c>
      <c r="D817" s="93" t="s">
        <v>184</v>
      </c>
      <c r="E817" s="94">
        <v>400</v>
      </c>
      <c r="F817" s="95">
        <v>22.86</v>
      </c>
      <c r="G817" s="95">
        <v>24.41</v>
      </c>
      <c r="H817" s="65">
        <f>IF(OR(Resultados!$F817="",Resultados!$G817=""),"",(Resultados!$G817-Resultados!$F817)*Resultados!$E817)</f>
        <v>620.00000000000023</v>
      </c>
      <c r="I817" s="65">
        <f ca="1">IF(ISBLANK(Resultados!$C817),"",
IF(ROW()-1=3,Resultados!$H817,INDIRECT(ADDRESS(ROW()-1,COLUMN()))+Resultados!$H817))</f>
        <v>44649.064285714354</v>
      </c>
    </row>
    <row r="818" spans="2:9" ht="15.75" customHeight="1">
      <c r="B818" s="91">
        <v>44617</v>
      </c>
      <c r="C818" s="92">
        <v>44624</v>
      </c>
      <c r="D818" s="93" t="s">
        <v>194</v>
      </c>
      <c r="E818" s="94">
        <v>900</v>
      </c>
      <c r="F818" s="95">
        <v>10.18</v>
      </c>
      <c r="G818" s="95">
        <v>11.44</v>
      </c>
      <c r="H818" s="65">
        <f>IF(OR(Resultados!$F818="",Resultados!$G818=""),"",(Resultados!$G818-Resultados!$F818)*Resultados!$E818)</f>
        <v>1133.9999999999998</v>
      </c>
      <c r="I818" s="65">
        <f ca="1">IF(ISBLANK(Resultados!$C818),"",
IF(ROW()-1=3,Resultados!$H818,INDIRECT(ADDRESS(ROW()-1,COLUMN()))+Resultados!$H818))</f>
        <v>45783.064285714354</v>
      </c>
    </row>
    <row r="819" spans="2:9" ht="15.75" customHeight="1">
      <c r="B819" s="91">
        <v>44596</v>
      </c>
      <c r="C819" s="92">
        <v>44627</v>
      </c>
      <c r="D819" s="93" t="s">
        <v>230</v>
      </c>
      <c r="E819" s="94">
        <v>600</v>
      </c>
      <c r="F819" s="95">
        <v>12.79</v>
      </c>
      <c r="G819" s="95">
        <v>12.65</v>
      </c>
      <c r="H819" s="65">
        <f>IF(OR(Resultados!$F819="",Resultados!$G819=""),"",(Resultados!$G819-Resultados!$F819)*Resultados!$E819)</f>
        <v>-83.999999999999275</v>
      </c>
      <c r="I819" s="65">
        <f ca="1">IF(ISBLANK(Resultados!$C819),"",
IF(ROW()-1=3,Resultados!$H819,INDIRECT(ADDRESS(ROW()-1,COLUMN()))+Resultados!$H819))</f>
        <v>45699.064285714354</v>
      </c>
    </row>
    <row r="820" spans="2:9" ht="15.75" customHeight="1">
      <c r="B820" s="91">
        <v>44617</v>
      </c>
      <c r="C820" s="92">
        <v>44627</v>
      </c>
      <c r="D820" s="93" t="s">
        <v>236</v>
      </c>
      <c r="E820" s="94">
        <v>510</v>
      </c>
      <c r="F820" s="95">
        <v>1.89</v>
      </c>
      <c r="G820" s="95">
        <v>1.77</v>
      </c>
      <c r="H820" s="65">
        <f>IF(OR(Resultados!$F820="",Resultados!$G820=""),"",(Resultados!$G820-Resultados!$F820)*Resultados!$E820)</f>
        <v>-61.199999999999939</v>
      </c>
      <c r="I820" s="65">
        <f ca="1">IF(ISBLANK(Resultados!$C820),"",
IF(ROW()-1=3,Resultados!$H820,INDIRECT(ADDRESS(ROW()-1,COLUMN()))+Resultados!$H820))</f>
        <v>45637.864285714357</v>
      </c>
    </row>
    <row r="821" spans="2:9" ht="15.75" customHeight="1">
      <c r="B821" s="91">
        <v>44623</v>
      </c>
      <c r="C821" s="92">
        <v>44628</v>
      </c>
      <c r="D821" s="93" t="s">
        <v>157</v>
      </c>
      <c r="E821" s="94">
        <v>900</v>
      </c>
      <c r="F821" s="95">
        <v>20.49</v>
      </c>
      <c r="G821" s="95">
        <v>19.41</v>
      </c>
      <c r="H821" s="65">
        <f>IF(OR(Resultados!$F821="",Resultados!$G821=""),"",(Resultados!$G821-Resultados!$F821)*Resultados!$E821)</f>
        <v>-971.99999999999841</v>
      </c>
      <c r="I821" s="65">
        <f ca="1">IF(ISBLANK(Resultados!$C821),"",
IF(ROW()-1=3,Resultados!$H821,INDIRECT(ADDRESS(ROW()-1,COLUMN()))+Resultados!$H821))</f>
        <v>44665.864285714357</v>
      </c>
    </row>
    <row r="822" spans="2:9" ht="15.75" customHeight="1">
      <c r="B822" s="91">
        <v>44615</v>
      </c>
      <c r="C822" s="92">
        <v>44629</v>
      </c>
      <c r="D822" s="93" t="s">
        <v>235</v>
      </c>
      <c r="E822" s="94">
        <v>300</v>
      </c>
      <c r="F822" s="95">
        <v>31.08</v>
      </c>
      <c r="G822" s="95">
        <v>32.590000000000003</v>
      </c>
      <c r="H822" s="65">
        <f>IF(OR(Resultados!$F822="",Resultados!$G822=""),"",(Resultados!$G822-Resultados!$F822)*Resultados!$E822)</f>
        <v>453.00000000000153</v>
      </c>
      <c r="I822" s="65">
        <f ca="1">IF(ISBLANK(Resultados!$C822),"",
IF(ROW()-1=3,Resultados!$H822,INDIRECT(ADDRESS(ROW()-1,COLUMN()))+Resultados!$H822))</f>
        <v>45118.864285714357</v>
      </c>
    </row>
    <row r="823" spans="2:9" ht="15.75" customHeight="1">
      <c r="B823" s="91">
        <v>44616</v>
      </c>
      <c r="C823" s="92">
        <v>44631</v>
      </c>
      <c r="D823" s="93" t="s">
        <v>184</v>
      </c>
      <c r="E823" s="94">
        <v>400</v>
      </c>
      <c r="F823" s="95">
        <v>22.86</v>
      </c>
      <c r="G823" s="95">
        <v>21.99</v>
      </c>
      <c r="H823" s="65">
        <f>IF(OR(Resultados!$F823="",Resultados!$G823=""),"",(Resultados!$G823-Resultados!$F823)*Resultados!$E823)</f>
        <v>-348.0000000000004</v>
      </c>
      <c r="I823" s="65">
        <f ca="1">IF(ISBLANK(Resultados!$C823),"",
IF(ROW()-1=3,Resultados!$H823,INDIRECT(ADDRESS(ROW()-1,COLUMN()))+Resultados!$H823))</f>
        <v>44770.864285714357</v>
      </c>
    </row>
    <row r="824" spans="2:9" ht="15.75" customHeight="1">
      <c r="B824" s="91">
        <v>44629</v>
      </c>
      <c r="C824" s="92">
        <v>44635</v>
      </c>
      <c r="D824" s="93" t="s">
        <v>129</v>
      </c>
      <c r="E824" s="94">
        <v>1000</v>
      </c>
      <c r="F824" s="95">
        <v>23.46</v>
      </c>
      <c r="G824" s="95">
        <v>22.36</v>
      </c>
      <c r="H824" s="65">
        <f>IF(OR(Resultados!$F824="",Resultados!$G824=""),"",(Resultados!$G824-Resultados!$F824)*Resultados!$E824)</f>
        <v>-1100.0000000000014</v>
      </c>
      <c r="I824" s="65">
        <f ca="1">IF(ISBLANK(Resultados!$C824),"",
IF(ROW()-1=3,Resultados!$H824,INDIRECT(ADDRESS(ROW()-1,COLUMN()))+Resultados!$H824))</f>
        <v>43670.864285714357</v>
      </c>
    </row>
    <row r="825" spans="2:9" ht="15.75" customHeight="1">
      <c r="B825" s="91">
        <v>44638</v>
      </c>
      <c r="C825" s="92">
        <v>44642</v>
      </c>
      <c r="D825" s="93" t="s">
        <v>114</v>
      </c>
      <c r="E825" s="94">
        <v>600</v>
      </c>
      <c r="F825" s="95">
        <v>19.989999999999998</v>
      </c>
      <c r="G825" s="95">
        <v>21.14</v>
      </c>
      <c r="H825" s="65">
        <f>IF(OR(Resultados!$F825="",Resultados!$G825=""),"",(Resultados!$G825-Resultados!$F825)*Resultados!$E825)</f>
        <v>690.00000000000125</v>
      </c>
      <c r="I825" s="65">
        <f ca="1">IF(ISBLANK(Resultados!$C825),"",
IF(ROW()-1=3,Resultados!$H825,INDIRECT(ADDRESS(ROW()-1,COLUMN()))+Resultados!$H825))</f>
        <v>44360.864285714357</v>
      </c>
    </row>
    <row r="826" spans="2:9" ht="15.75" customHeight="1">
      <c r="B826" s="91">
        <v>44641</v>
      </c>
      <c r="C826" s="92">
        <v>44645</v>
      </c>
      <c r="D826" s="93" t="s">
        <v>206</v>
      </c>
      <c r="E826" s="94">
        <v>900</v>
      </c>
      <c r="F826" s="95">
        <v>10.49</v>
      </c>
      <c r="G826" s="95">
        <v>10.99</v>
      </c>
      <c r="H826" s="65">
        <f>IF(OR(Resultados!$F826="",Resultados!$G826=""),"",(Resultados!$G826-Resultados!$F826)*Resultados!$E826)</f>
        <v>450</v>
      </c>
      <c r="I826" s="65">
        <f ca="1">IF(ISBLANK(Resultados!$C826),"",
IF(ROW()-1=3,Resultados!$H826,INDIRECT(ADDRESS(ROW()-1,COLUMN()))+Resultados!$H826))</f>
        <v>44810.864285714357</v>
      </c>
    </row>
    <row r="827" spans="2:9" ht="15.75" customHeight="1">
      <c r="B827" s="91">
        <v>44637</v>
      </c>
      <c r="C827" s="92">
        <v>44645</v>
      </c>
      <c r="D827" s="93" t="s">
        <v>237</v>
      </c>
      <c r="E827" s="94">
        <v>1200</v>
      </c>
      <c r="F827" s="95">
        <v>10.49</v>
      </c>
      <c r="G827" s="95">
        <v>10.89</v>
      </c>
      <c r="H827" s="65">
        <f>IF(OR(Resultados!$F827="",Resultados!$G827=""),"",(Resultados!$G827-Resultados!$F827)*Resultados!$E827)</f>
        <v>480.00000000000045</v>
      </c>
      <c r="I827" s="65">
        <f ca="1">IF(ISBLANK(Resultados!$C827),"",
IF(ROW()-1=3,Resultados!$H827,INDIRECT(ADDRESS(ROW()-1,COLUMN()))+Resultados!$H827))</f>
        <v>45290.864285714357</v>
      </c>
    </row>
    <row r="828" spans="2:9" ht="15.75" customHeight="1">
      <c r="B828" s="91">
        <v>44638</v>
      </c>
      <c r="C828" s="92">
        <v>44645</v>
      </c>
      <c r="D828" s="93" t="s">
        <v>161</v>
      </c>
      <c r="E828" s="94">
        <v>400</v>
      </c>
      <c r="F828" s="95">
        <v>33.49</v>
      </c>
      <c r="G828" s="95">
        <v>34.99</v>
      </c>
      <c r="H828" s="65">
        <f>IF(OR(Resultados!$F828="",Resultados!$G828=""),"",(Resultados!$G828-Resultados!$F828)*Resultados!$E828)</f>
        <v>600</v>
      </c>
      <c r="I828" s="65">
        <f ca="1">IF(ISBLANK(Resultados!$C828),"",
IF(ROW()-1=3,Resultados!$H828,INDIRECT(ADDRESS(ROW()-1,COLUMN()))+Resultados!$H828))</f>
        <v>45890.864285714357</v>
      </c>
    </row>
    <row r="829" spans="2:9" ht="15.75" customHeight="1">
      <c r="B829" s="91">
        <v>44644</v>
      </c>
      <c r="C829" s="92">
        <v>44648</v>
      </c>
      <c r="D829" s="93" t="s">
        <v>155</v>
      </c>
      <c r="E829" s="94">
        <v>500</v>
      </c>
      <c r="F829" s="95">
        <v>18.12</v>
      </c>
      <c r="G829" s="95">
        <v>19.18</v>
      </c>
      <c r="H829" s="65">
        <f>IF(OR(Resultados!$F829="",Resultados!$G829=""),"",(Resultados!$G829-Resultados!$F829)*Resultados!$E829)</f>
        <v>529.99999999999932</v>
      </c>
      <c r="I829" s="65">
        <f ca="1">IF(ISBLANK(Resultados!$C829),"",
IF(ROW()-1=3,Resultados!$H829,INDIRECT(ADDRESS(ROW()-1,COLUMN()))+Resultados!$H829))</f>
        <v>46420.864285714357</v>
      </c>
    </row>
    <row r="830" spans="2:9" ht="15.75" customHeight="1">
      <c r="B830" s="91">
        <v>44643</v>
      </c>
      <c r="C830" s="92">
        <v>44649</v>
      </c>
      <c r="D830" s="93" t="s">
        <v>203</v>
      </c>
      <c r="E830" s="94">
        <v>300</v>
      </c>
      <c r="F830" s="95">
        <v>26.33</v>
      </c>
      <c r="G830" s="95">
        <v>27.94</v>
      </c>
      <c r="H830" s="65">
        <f>IF(OR(Resultados!$F830="",Resultados!$G830=""),"",(Resultados!$G830-Resultados!$F830)*Resultados!$E830)</f>
        <v>483.00000000000091</v>
      </c>
      <c r="I830" s="65">
        <f ca="1">IF(ISBLANK(Resultados!$C830),"",
IF(ROW()-1=3,Resultados!$H830,INDIRECT(ADDRESS(ROW()-1,COLUMN()))+Resultados!$H830))</f>
        <v>46903.864285714357</v>
      </c>
    </row>
    <row r="831" spans="2:9" ht="15.75" customHeight="1">
      <c r="B831" s="91">
        <v>44649</v>
      </c>
      <c r="C831" s="92">
        <v>44650</v>
      </c>
      <c r="D831" s="93" t="s">
        <v>238</v>
      </c>
      <c r="E831" s="94">
        <v>200</v>
      </c>
      <c r="F831" s="95">
        <v>41.09</v>
      </c>
      <c r="G831" s="95">
        <v>42.88</v>
      </c>
      <c r="H831" s="65">
        <f>IF(OR(Resultados!$F831="",Resultados!$G831=""),"",(Resultados!$G831-Resultados!$F831)*Resultados!$E831)</f>
        <v>357.99999999999983</v>
      </c>
      <c r="I831" s="65">
        <f ca="1">IF(ISBLANK(Resultados!$C831),"",
IF(ROW()-1=3,Resultados!$H831,INDIRECT(ADDRESS(ROW()-1,COLUMN()))+Resultados!$H831))</f>
        <v>47261.864285714357</v>
      </c>
    </row>
    <row r="832" spans="2:9" ht="15.75" customHeight="1">
      <c r="B832" s="91">
        <v>44641</v>
      </c>
      <c r="C832" s="92">
        <v>44650</v>
      </c>
      <c r="D832" s="93" t="s">
        <v>206</v>
      </c>
      <c r="E832" s="94">
        <v>900</v>
      </c>
      <c r="F832" s="95">
        <v>10.49</v>
      </c>
      <c r="G832" s="95">
        <v>12.19</v>
      </c>
      <c r="H832" s="65">
        <f>IF(OR(Resultados!$F832="",Resultados!$G832=""),"",(Resultados!$G832-Resultados!$F832)*Resultados!$E832)</f>
        <v>1529.9999999999993</v>
      </c>
      <c r="I832" s="65">
        <f ca="1">IF(ISBLANK(Resultados!$C832),"",
IF(ROW()-1=3,Resultados!$H832,INDIRECT(ADDRESS(ROW()-1,COLUMN()))+Resultados!$H832))</f>
        <v>48791.864285714357</v>
      </c>
    </row>
    <row r="833" spans="2:9" ht="15.75" customHeight="1">
      <c r="B833" s="91">
        <v>44643</v>
      </c>
      <c r="C833" s="92">
        <v>44650</v>
      </c>
      <c r="D833" s="93" t="s">
        <v>203</v>
      </c>
      <c r="E833" s="94">
        <v>300</v>
      </c>
      <c r="F833" s="95">
        <v>26.33</v>
      </c>
      <c r="G833" s="95">
        <v>27.49</v>
      </c>
      <c r="H833" s="65">
        <f>IF(OR(Resultados!$F833="",Resultados!$G833=""),"",(Resultados!$G833-Resultados!$F833)*Resultados!$E833)</f>
        <v>348.00000000000006</v>
      </c>
      <c r="I833" s="65">
        <f ca="1">IF(ISBLANK(Resultados!$C833),"",
IF(ROW()-1=3,Resultados!$H833,INDIRECT(ADDRESS(ROW()-1,COLUMN()))+Resultados!$H833))</f>
        <v>49139.864285714357</v>
      </c>
    </row>
    <row r="834" spans="2:9" ht="15.75" customHeight="1">
      <c r="B834" s="91">
        <v>44650</v>
      </c>
      <c r="C834" s="92">
        <v>44652</v>
      </c>
      <c r="D834" s="93" t="s">
        <v>239</v>
      </c>
      <c r="E834" s="94">
        <v>1300</v>
      </c>
      <c r="F834" s="95">
        <v>2.68</v>
      </c>
      <c r="G834" s="95">
        <v>2.76</v>
      </c>
      <c r="H834" s="65">
        <f>IF(OR(Resultados!$F834="",Resultados!$G834=""),"",(Resultados!$G834-Resultados!$F834)*Resultados!$E834)</f>
        <v>103.99999999999952</v>
      </c>
      <c r="I834" s="65">
        <f ca="1">IF(ISBLANK(Resultados!$C834),"",
IF(ROW()-1=3,Resultados!$H834,INDIRECT(ADDRESS(ROW()-1,COLUMN()))+Resultados!$H834))</f>
        <v>49243.864285714357</v>
      </c>
    </row>
    <row r="835" spans="2:9" ht="15.75" customHeight="1">
      <c r="B835" s="91">
        <v>44648</v>
      </c>
      <c r="C835" s="92">
        <v>44652</v>
      </c>
      <c r="D835" s="93" t="s">
        <v>196</v>
      </c>
      <c r="E835" s="94">
        <v>200</v>
      </c>
      <c r="F835" s="95">
        <v>33.619999999999997</v>
      </c>
      <c r="G835" s="95">
        <v>35.47</v>
      </c>
      <c r="H835" s="65">
        <f>IF(OR(Resultados!$F835="",Resultados!$G835=""),"",(Resultados!$G835-Resultados!$F835)*Resultados!$E835)</f>
        <v>370.00000000000028</v>
      </c>
      <c r="I835" s="65">
        <f ca="1">IF(ISBLANK(Resultados!$C835),"",
IF(ROW()-1=3,Resultados!$H835,INDIRECT(ADDRESS(ROW()-1,COLUMN()))+Resultados!$H835))</f>
        <v>49613.864285714357</v>
      </c>
    </row>
    <row r="836" spans="2:9" ht="15.75" customHeight="1">
      <c r="B836" s="91">
        <v>44648</v>
      </c>
      <c r="C836" s="92">
        <v>44655</v>
      </c>
      <c r="D836" s="93" t="s">
        <v>240</v>
      </c>
      <c r="E836" s="94">
        <v>2400</v>
      </c>
      <c r="F836" s="95">
        <v>2.62</v>
      </c>
      <c r="G836" s="95">
        <v>2.86</v>
      </c>
      <c r="H836" s="65">
        <f>IF(OR(Resultados!$F836="",Resultados!$G836=""),"",(Resultados!$G836-Resultados!$F836)*Resultados!$E836)</f>
        <v>575.99999999999943</v>
      </c>
      <c r="I836" s="65">
        <f ca="1">IF(ISBLANK(Resultados!$C836),"",
IF(ROW()-1=3,Resultados!$H836,INDIRECT(ADDRESS(ROW()-1,COLUMN()))+Resultados!$H836))</f>
        <v>50189.864285714357</v>
      </c>
    </row>
    <row r="837" spans="2:9" ht="15.75" customHeight="1">
      <c r="B837" s="91">
        <v>44641</v>
      </c>
      <c r="C837" s="92">
        <v>44655</v>
      </c>
      <c r="D837" s="93" t="s">
        <v>144</v>
      </c>
      <c r="E837" s="94">
        <v>700</v>
      </c>
      <c r="F837" s="95">
        <v>34.5</v>
      </c>
      <c r="G837" s="95">
        <v>33.99</v>
      </c>
      <c r="H837" s="65">
        <f>IF(OR(Resultados!$F837="",Resultados!$G837=""),"",(Resultados!$G837-Resultados!$F837)*Resultados!$E837)</f>
        <v>-356.99999999999864</v>
      </c>
      <c r="I837" s="65">
        <f ca="1">IF(ISBLANK(Resultados!$C837),"",
IF(ROW()-1=3,Resultados!$H837,INDIRECT(ADDRESS(ROW()-1,COLUMN()))+Resultados!$H837))</f>
        <v>49832.864285714357</v>
      </c>
    </row>
    <row r="838" spans="2:9" ht="15.75" customHeight="1">
      <c r="B838" s="91">
        <v>44638</v>
      </c>
      <c r="C838" s="92">
        <v>44656</v>
      </c>
      <c r="D838" s="93" t="s">
        <v>161</v>
      </c>
      <c r="E838" s="94">
        <v>300</v>
      </c>
      <c r="F838" s="95">
        <v>33.49</v>
      </c>
      <c r="G838" s="95">
        <v>36.89</v>
      </c>
      <c r="H838" s="65">
        <f>IF(OR(Resultados!$F838="",Resultados!$G838=""),"",(Resultados!$G838-Resultados!$F838)*Resultados!$E838)</f>
        <v>1019.9999999999995</v>
      </c>
      <c r="I838" s="65">
        <f ca="1">IF(ISBLANK(Resultados!$C838),"",
IF(ROW()-1=3,Resultados!$H838,INDIRECT(ADDRESS(ROW()-1,COLUMN()))+Resultados!$H838))</f>
        <v>50852.864285714357</v>
      </c>
    </row>
    <row r="839" spans="2:9" ht="15.75" customHeight="1">
      <c r="B839" s="91">
        <v>44638</v>
      </c>
      <c r="C839" s="92">
        <v>44656</v>
      </c>
      <c r="D839" s="93" t="s">
        <v>114</v>
      </c>
      <c r="E839" s="94">
        <v>600</v>
      </c>
      <c r="F839" s="95">
        <v>19.989999999999998</v>
      </c>
      <c r="G839" s="95">
        <v>23.29</v>
      </c>
      <c r="H839" s="65">
        <f>IF(OR(Resultados!$F839="",Resultados!$G839=""),"",(Resultados!$G839-Resultados!$F839)*Resultados!$E839)</f>
        <v>1980.0000000000005</v>
      </c>
      <c r="I839" s="65">
        <f ca="1">IF(ISBLANK(Resultados!$C839),"",
IF(ROW()-1=3,Resultados!$H839,INDIRECT(ADDRESS(ROW()-1,COLUMN()))+Resultados!$H839))</f>
        <v>52832.864285714357</v>
      </c>
    </row>
    <row r="840" spans="2:9" ht="15.75" customHeight="1">
      <c r="B840" s="91">
        <v>44648</v>
      </c>
      <c r="C840" s="92">
        <v>44657</v>
      </c>
      <c r="D840" s="93" t="s">
        <v>196</v>
      </c>
      <c r="E840" s="94">
        <v>100</v>
      </c>
      <c r="F840" s="95">
        <v>33.619999999999997</v>
      </c>
      <c r="G840" s="95">
        <v>33.99</v>
      </c>
      <c r="H840" s="65">
        <f>IF(OR(Resultados!$F840="",Resultados!$G840=""),"",(Resultados!$G840-Resultados!$F840)*Resultados!$E840)</f>
        <v>37.000000000000455</v>
      </c>
      <c r="I840" s="65">
        <f ca="1">IF(ISBLANK(Resultados!$C840),"",
IF(ROW()-1=3,Resultados!$H840,INDIRECT(ADDRESS(ROW()-1,COLUMN()))+Resultados!$H840))</f>
        <v>52869.864285714357</v>
      </c>
    </row>
    <row r="841" spans="2:9" ht="15.75" customHeight="1">
      <c r="B841" s="91">
        <v>44641</v>
      </c>
      <c r="C841" s="92">
        <v>44657</v>
      </c>
      <c r="D841" s="93" t="s">
        <v>237</v>
      </c>
      <c r="E841" s="94">
        <v>1100</v>
      </c>
      <c r="F841" s="95">
        <v>10.49</v>
      </c>
      <c r="G841" s="95">
        <v>10.79</v>
      </c>
      <c r="H841" s="65">
        <f>IF(OR(Resultados!$F841="",Resultados!$G841=""),"",(Resultados!$G841-Resultados!$F841)*Resultados!$E841)</f>
        <v>329.99999999999881</v>
      </c>
      <c r="I841" s="65">
        <f ca="1">IF(ISBLANK(Resultados!$C841),"",
IF(ROW()-1=3,Resultados!$H841,INDIRECT(ADDRESS(ROW()-1,COLUMN()))+Resultados!$H841))</f>
        <v>53199.864285714357</v>
      </c>
    </row>
    <row r="842" spans="2:9" ht="15.75" customHeight="1">
      <c r="B842" s="91">
        <v>44650</v>
      </c>
      <c r="C842" s="92">
        <v>44657</v>
      </c>
      <c r="D842" s="93" t="s">
        <v>239</v>
      </c>
      <c r="E842" s="94">
        <v>2300</v>
      </c>
      <c r="F842" s="95">
        <v>2.68</v>
      </c>
      <c r="G842" s="95">
        <v>2.4</v>
      </c>
      <c r="H842" s="65">
        <f>IF(OR(Resultados!$F842="",Resultados!$G842=""),"",(Resultados!$G842-Resultados!$F842)*Resultados!$E842)</f>
        <v>-644.00000000000057</v>
      </c>
      <c r="I842" s="65">
        <f ca="1">IF(ISBLANK(Resultados!$C842),"",
IF(ROW()-1=3,Resultados!$H842,INDIRECT(ADDRESS(ROW()-1,COLUMN()))+Resultados!$H842))</f>
        <v>52555.864285714357</v>
      </c>
    </row>
    <row r="843" spans="2:9" ht="15.75" customHeight="1">
      <c r="B843" s="91">
        <v>44644</v>
      </c>
      <c r="C843" s="92">
        <v>44657</v>
      </c>
      <c r="D843" s="93" t="s">
        <v>155</v>
      </c>
      <c r="E843" s="94">
        <v>500</v>
      </c>
      <c r="F843" s="95">
        <v>18.12</v>
      </c>
      <c r="G843" s="95">
        <v>19.489999999999998</v>
      </c>
      <c r="H843" s="65">
        <f>IF(OR(Resultados!$F843="",Resultados!$G843=""),"",(Resultados!$G843-Resultados!$F843)*Resultados!$E843)</f>
        <v>684.99999999999875</v>
      </c>
      <c r="I843" s="65">
        <f ca="1">IF(ISBLANK(Resultados!$C843),"",
IF(ROW()-1=3,Resultados!$H843,INDIRECT(ADDRESS(ROW()-1,COLUMN()))+Resultados!$H843))</f>
        <v>53240.864285714357</v>
      </c>
    </row>
    <row r="844" spans="2:9" ht="15.75" customHeight="1">
      <c r="B844" s="91">
        <v>44656</v>
      </c>
      <c r="C844" s="92">
        <v>44657</v>
      </c>
      <c r="D844" s="93" t="s">
        <v>241</v>
      </c>
      <c r="E844" s="94">
        <v>1000</v>
      </c>
      <c r="F844" s="95">
        <v>17.239999999999998</v>
      </c>
      <c r="G844" s="95">
        <v>16.100000000000001</v>
      </c>
      <c r="H844" s="65">
        <f>IF(OR(Resultados!$F844="",Resultados!$G844=""),"",(Resultados!$G844-Resultados!$F844)*Resultados!$E844)</f>
        <v>-1139.999999999997</v>
      </c>
      <c r="I844" s="65">
        <f ca="1">IF(ISBLANK(Resultados!$C844),"",
IF(ROW()-1=3,Resultados!$H844,INDIRECT(ADDRESS(ROW()-1,COLUMN()))+Resultados!$H844))</f>
        <v>52100.864285714357</v>
      </c>
    </row>
    <row r="845" spans="2:9" ht="15.75" customHeight="1">
      <c r="B845" s="91">
        <v>44652</v>
      </c>
      <c r="C845" s="92">
        <v>44658</v>
      </c>
      <c r="D845" s="93" t="s">
        <v>90</v>
      </c>
      <c r="E845" s="94">
        <v>400</v>
      </c>
      <c r="F845" s="95">
        <v>28.61</v>
      </c>
      <c r="G845" s="95">
        <v>26.45</v>
      </c>
      <c r="H845" s="65">
        <f>IF(OR(Resultados!$F845="",Resultados!$G845=""),"",(Resultados!$G845-Resultados!$F845)*Resultados!$E845)</f>
        <v>-864</v>
      </c>
      <c r="I845" s="65">
        <f ca="1">IF(ISBLANK(Resultados!$C845),"",
IF(ROW()-1=3,Resultados!$H845,INDIRECT(ADDRESS(ROW()-1,COLUMN()))+Resultados!$H845))</f>
        <v>51236.864285714357</v>
      </c>
    </row>
    <row r="846" spans="2:9" ht="15.75" customHeight="1">
      <c r="B846" s="91">
        <v>44648</v>
      </c>
      <c r="C846" s="92">
        <v>44658</v>
      </c>
      <c r="D846" s="93" t="s">
        <v>240</v>
      </c>
      <c r="E846" s="94">
        <v>2300</v>
      </c>
      <c r="F846" s="95">
        <v>2.62</v>
      </c>
      <c r="G846" s="95">
        <v>2.54</v>
      </c>
      <c r="H846" s="65">
        <f>IF(OR(Resultados!$F846="",Resultados!$G846=""),"",(Resultados!$G846-Resultados!$F846)*Resultados!$E846)</f>
        <v>-184.00000000000017</v>
      </c>
      <c r="I846" s="65">
        <f ca="1">IF(ISBLANK(Resultados!$C846),"",
IF(ROW()-1=3,Resultados!$H846,INDIRECT(ADDRESS(ROW()-1,COLUMN()))+Resultados!$H846))</f>
        <v>51052.864285714357</v>
      </c>
    </row>
    <row r="847" spans="2:9" ht="15.75" customHeight="1">
      <c r="B847" s="91">
        <v>44652</v>
      </c>
      <c r="C847" s="92">
        <v>44659</v>
      </c>
      <c r="D847" s="93" t="s">
        <v>207</v>
      </c>
      <c r="E847" s="94">
        <v>108</v>
      </c>
      <c r="F847" s="95">
        <v>234</v>
      </c>
      <c r="G847" s="95">
        <v>232.23</v>
      </c>
      <c r="H847" s="65">
        <f>IF(OR(Resultados!$F847="",Resultados!$G847=""),"",(Resultados!$G847-Resultados!$F847)*Resultados!$E847)</f>
        <v>-191.16000000000111</v>
      </c>
      <c r="I847" s="65">
        <f ca="1">IF(ISBLANK(Resultados!$C847),"",
IF(ROW()-1=3,Resultados!$H847,INDIRECT(ADDRESS(ROW()-1,COLUMN()))+Resultados!$H847))</f>
        <v>50861.704285714353</v>
      </c>
    </row>
    <row r="848" spans="2:9" ht="15.75" customHeight="1">
      <c r="B848" s="91">
        <v>44645</v>
      </c>
      <c r="C848" s="92">
        <v>44659</v>
      </c>
      <c r="D848" s="93" t="s">
        <v>127</v>
      </c>
      <c r="E848" s="94">
        <v>300</v>
      </c>
      <c r="F848" s="95">
        <v>20.51</v>
      </c>
      <c r="G848" s="95">
        <v>21.3</v>
      </c>
      <c r="H848" s="65">
        <f>IF(OR(Resultados!$F848="",Resultados!$G848=""),"",(Resultados!$G848-Resultados!$F848)*Resultados!$E848)</f>
        <v>236.99999999999974</v>
      </c>
      <c r="I848" s="65">
        <f ca="1">IF(ISBLANK(Resultados!$C848),"",
IF(ROW()-1=3,Resultados!$H848,INDIRECT(ADDRESS(ROW()-1,COLUMN()))+Resultados!$H848))</f>
        <v>51098.704285714353</v>
      </c>
    </row>
    <row r="849" spans="2:9" ht="15.75" customHeight="1">
      <c r="B849" s="91">
        <v>44652</v>
      </c>
      <c r="C849" s="92">
        <v>44662</v>
      </c>
      <c r="D849" s="93" t="s">
        <v>242</v>
      </c>
      <c r="E849" s="94">
        <v>103</v>
      </c>
      <c r="F849" s="95">
        <v>91.55</v>
      </c>
      <c r="G849" s="95">
        <v>97.1</v>
      </c>
      <c r="H849" s="65">
        <f>IF(OR(Resultados!$F849="",Resultados!$G849=""),"",(Resultados!$G849-Resultados!$F849)*Resultados!$E849)</f>
        <v>571.64999999999975</v>
      </c>
      <c r="I849" s="65">
        <f ca="1">IF(ISBLANK(Resultados!$C849),"",
IF(ROW()-1=3,Resultados!$H849,INDIRECT(ADDRESS(ROW()-1,COLUMN()))+Resultados!$H849))</f>
        <v>51670.354285714355</v>
      </c>
    </row>
    <row r="850" spans="2:9" ht="15.75" customHeight="1">
      <c r="B850" s="91">
        <v>44656</v>
      </c>
      <c r="C850" s="92">
        <v>44662</v>
      </c>
      <c r="D850" s="93" t="s">
        <v>131</v>
      </c>
      <c r="E850" s="94">
        <v>800</v>
      </c>
      <c r="F850" s="95">
        <v>25.53</v>
      </c>
      <c r="G850" s="95">
        <v>24.16</v>
      </c>
      <c r="H850" s="65">
        <f>IF(OR(Resultados!$F850="",Resultados!$G850=""),"",(Resultados!$G850-Resultados!$F850)*Resultados!$E850)</f>
        <v>-1096.0000000000009</v>
      </c>
      <c r="I850" s="65">
        <f ca="1">IF(ISBLANK(Resultados!$C850),"",
IF(ROW()-1=3,Resultados!$H850,INDIRECT(ADDRESS(ROW()-1,COLUMN()))+Resultados!$H850))</f>
        <v>50574.354285714355</v>
      </c>
    </row>
    <row r="851" spans="2:9" ht="15.75" customHeight="1">
      <c r="B851" s="91">
        <v>44645</v>
      </c>
      <c r="C851" s="92">
        <v>44664</v>
      </c>
      <c r="D851" s="93" t="s">
        <v>127</v>
      </c>
      <c r="E851" s="94">
        <v>300</v>
      </c>
      <c r="F851" s="95">
        <v>20.51</v>
      </c>
      <c r="G851" s="95">
        <v>20.99</v>
      </c>
      <c r="H851" s="65">
        <f>IF(OR(Resultados!$F851="",Resultados!$G851=""),"",(Resultados!$G851-Resultados!$F851)*Resultados!$E851)</f>
        <v>143.99999999999906</v>
      </c>
      <c r="I851" s="65">
        <f ca="1">IF(ISBLANK(Resultados!$C851),"",
IF(ROW()-1=3,Resultados!$H851,INDIRECT(ADDRESS(ROW()-1,COLUMN()))+Resultados!$H851))</f>
        <v>50718.354285714355</v>
      </c>
    </row>
    <row r="852" spans="2:9" ht="15.75" customHeight="1">
      <c r="B852" s="91">
        <v>44659</v>
      </c>
      <c r="C852" s="92">
        <v>44665</v>
      </c>
      <c r="D852" s="93" t="s">
        <v>150</v>
      </c>
      <c r="E852" s="94">
        <v>400</v>
      </c>
      <c r="F852" s="95">
        <v>33.79</v>
      </c>
      <c r="G852" s="95">
        <v>34.96</v>
      </c>
      <c r="H852" s="65">
        <f>IF(OR(Resultados!$F852="",Resultados!$G852=""),"",(Resultados!$G852-Resultados!$F852)*Resultados!$E852)</f>
        <v>468.00000000000068</v>
      </c>
      <c r="I852" s="65">
        <f ca="1">IF(ISBLANK(Resultados!$C852),"",
IF(ROW()-1=3,Resultados!$H852,INDIRECT(ADDRESS(ROW()-1,COLUMN()))+Resultados!$H852))</f>
        <v>51186.354285714355</v>
      </c>
    </row>
    <row r="853" spans="2:9" ht="15.75" customHeight="1">
      <c r="B853" s="91">
        <v>44652</v>
      </c>
      <c r="C853" s="92">
        <v>44665</v>
      </c>
      <c r="D853" s="93" t="s">
        <v>242</v>
      </c>
      <c r="E853" s="94">
        <v>103</v>
      </c>
      <c r="F853" s="95">
        <v>93.21</v>
      </c>
      <c r="G853" s="95">
        <v>97.1</v>
      </c>
      <c r="H853" s="65">
        <f>IF(OR(Resultados!$F853="",Resultados!$G853=""),"",(Resultados!$G853-Resultados!$F853)*Resultados!$E853)</f>
        <v>400.67000000000007</v>
      </c>
      <c r="I853" s="65">
        <f ca="1">IF(ISBLANK(Resultados!$C853),"",
IF(ROW()-1=3,Resultados!$H853,INDIRECT(ADDRESS(ROW()-1,COLUMN()))+Resultados!$H853))</f>
        <v>51587.024285714353</v>
      </c>
    </row>
    <row r="854" spans="2:9" ht="15.75" customHeight="1">
      <c r="B854" s="91">
        <v>44649</v>
      </c>
      <c r="C854" s="92">
        <v>44671</v>
      </c>
      <c r="D854" s="93" t="s">
        <v>238</v>
      </c>
      <c r="E854" s="94">
        <v>100</v>
      </c>
      <c r="F854" s="95">
        <v>41.09</v>
      </c>
      <c r="G854" s="95">
        <v>42.49</v>
      </c>
      <c r="H854" s="65">
        <f>IF(OR(Resultados!$F854="",Resultados!$G854=""),"",(Resultados!$G854-Resultados!$F854)*Resultados!$E854)</f>
        <v>139.99999999999986</v>
      </c>
      <c r="I854" s="65">
        <f ca="1">IF(ISBLANK(Resultados!$C854),"",
IF(ROW()-1=3,Resultados!$H854,INDIRECT(ADDRESS(ROW()-1,COLUMN()))+Resultados!$H854))</f>
        <v>51727.024285714353</v>
      </c>
    </row>
    <row r="855" spans="2:9" ht="15.75" customHeight="1">
      <c r="B855" s="91">
        <v>44663</v>
      </c>
      <c r="C855" s="92">
        <v>44673</v>
      </c>
      <c r="D855" s="93" t="s">
        <v>75</v>
      </c>
      <c r="E855" s="94">
        <v>200</v>
      </c>
      <c r="F855" s="95">
        <v>51.6</v>
      </c>
      <c r="G855" s="95">
        <v>53.42</v>
      </c>
      <c r="H855" s="65">
        <f>IF(OR(Resultados!$F855="",Resultados!$G855=""),"",(Resultados!$G855-Resultados!$F855)*Resultados!$E855)</f>
        <v>364.00000000000006</v>
      </c>
      <c r="I855" s="65">
        <f ca="1">IF(ISBLANK(Resultados!$C855),"",
IF(ROW()-1=3,Resultados!$H855,INDIRECT(ADDRESS(ROW()-1,COLUMN()))+Resultados!$H855))</f>
        <v>52091.024285714353</v>
      </c>
    </row>
    <row r="856" spans="2:9" ht="15.75" customHeight="1">
      <c r="B856" s="91">
        <v>44670</v>
      </c>
      <c r="C856" s="92">
        <v>44677</v>
      </c>
      <c r="D856" s="93" t="s">
        <v>190</v>
      </c>
      <c r="E856" s="94">
        <v>700</v>
      </c>
      <c r="F856" s="95">
        <v>26.01</v>
      </c>
      <c r="G856" s="95">
        <v>24.68</v>
      </c>
      <c r="H856" s="65">
        <f>IF(OR(Resultados!$F856="",Resultados!$G856=""),"",(Resultados!$G856-Resultados!$F856)*Resultados!$E856)</f>
        <v>-931.00000000000125</v>
      </c>
      <c r="I856" s="65">
        <f ca="1">IF(ISBLANK(Resultados!$C856),"",
IF(ROW()-1=3,Resultados!$H856,INDIRECT(ADDRESS(ROW()-1,COLUMN()))+Resultados!$H856))</f>
        <v>51160.024285714353</v>
      </c>
    </row>
    <row r="857" spans="2:9" ht="15.75" customHeight="1">
      <c r="B857" s="91">
        <v>44669</v>
      </c>
      <c r="C857" s="92">
        <v>44679</v>
      </c>
      <c r="D857" s="93" t="s">
        <v>243</v>
      </c>
      <c r="E857" s="94">
        <v>260</v>
      </c>
      <c r="F857" s="95">
        <v>80.88</v>
      </c>
      <c r="G857" s="95">
        <v>77.03</v>
      </c>
      <c r="H857" s="65">
        <f>IF(OR(Resultados!$F857="",Resultados!$G857=""),"",(Resultados!$G857-Resultados!$F857)*Resultados!$E857)</f>
        <v>-1000.9999999999985</v>
      </c>
      <c r="I857" s="65">
        <f ca="1">IF(ISBLANK(Resultados!$C857),"",
IF(ROW()-1=3,Resultados!$H857,INDIRECT(ADDRESS(ROW()-1,COLUMN()))+Resultados!$H857))</f>
        <v>50159.024285714353</v>
      </c>
    </row>
    <row r="858" spans="2:9" ht="15.75" customHeight="1">
      <c r="B858" s="91">
        <v>44659</v>
      </c>
      <c r="C858" s="92">
        <v>44683</v>
      </c>
      <c r="D858" s="93" t="s">
        <v>150</v>
      </c>
      <c r="E858" s="94">
        <v>400</v>
      </c>
      <c r="F858" s="95">
        <v>30.55</v>
      </c>
      <c r="G858" s="95">
        <v>32.56</v>
      </c>
      <c r="H858" s="65">
        <f>IF(OR(Resultados!$F858="",Resultados!$G858=""),"",(Resultados!$G858-Resultados!$F858)*Resultados!$E858)</f>
        <v>804.00000000000068</v>
      </c>
      <c r="I858" s="65">
        <f ca="1">IF(ISBLANK(Resultados!$C858),"",
IF(ROW()-1=3,Resultados!$H858,INDIRECT(ADDRESS(ROW()-1,COLUMN()))+Resultados!$H858))</f>
        <v>50963.024285714353</v>
      </c>
    </row>
    <row r="859" spans="2:9" ht="15.75" customHeight="1">
      <c r="B859" s="91">
        <v>44679</v>
      </c>
      <c r="C859" s="92">
        <v>44683</v>
      </c>
      <c r="D859" s="93" t="s">
        <v>44</v>
      </c>
      <c r="E859" s="94">
        <v>5600</v>
      </c>
      <c r="F859" s="95">
        <v>3.56</v>
      </c>
      <c r="G859" s="95">
        <v>3.34</v>
      </c>
      <c r="H859" s="65">
        <f>IF(OR(Resultados!$F859="",Resultados!$G859=""),"",(Resultados!$G859-Resultados!$F859)*Resultados!$E859)</f>
        <v>-1232.0000000000011</v>
      </c>
      <c r="I859" s="65">
        <f ca="1">IF(ISBLANK(Resultados!$C859),"",
IF(ROW()-1=3,Resultados!$H859,INDIRECT(ADDRESS(ROW()-1,COLUMN()))+Resultados!$H859))</f>
        <v>49731.024285714353</v>
      </c>
    </row>
    <row r="860" spans="2:9" ht="15.75" customHeight="1">
      <c r="B860" s="91">
        <v>44663</v>
      </c>
      <c r="C860" s="92">
        <v>44684</v>
      </c>
      <c r="D860" s="93" t="s">
        <v>75</v>
      </c>
      <c r="E860" s="94">
        <v>200</v>
      </c>
      <c r="F860" s="95">
        <v>51.02</v>
      </c>
      <c r="G860" s="95">
        <v>53.42</v>
      </c>
      <c r="H860" s="65">
        <f>IF(OR(Resultados!$F860="",Resultados!$G860=""),"",(Resultados!$G860-Resultados!$F860)*Resultados!$E860)</f>
        <v>479.99999999999972</v>
      </c>
      <c r="I860" s="65">
        <f ca="1">IF(ISBLANK(Resultados!$C860),"",
IF(ROW()-1=3,Resultados!$H860,INDIRECT(ADDRESS(ROW()-1,COLUMN()))+Resultados!$H860))</f>
        <v>50211.024285714353</v>
      </c>
    </row>
    <row r="861" spans="2:9" ht="15.75" customHeight="1">
      <c r="B861" s="91">
        <v>44652</v>
      </c>
      <c r="C861" s="92">
        <v>44684</v>
      </c>
      <c r="D861" s="93" t="s">
        <v>244</v>
      </c>
      <c r="E861" s="94">
        <v>400</v>
      </c>
      <c r="F861" s="95">
        <v>53.24</v>
      </c>
      <c r="G861" s="95">
        <v>50.9</v>
      </c>
      <c r="H861" s="65">
        <f>IF(OR(Resultados!$F861="",Resultados!$G861=""),"",(Resultados!$G861-Resultados!$F861)*Resultados!$E861)</f>
        <v>-936.00000000000136</v>
      </c>
      <c r="I861" s="65">
        <f ca="1">IF(ISBLANK(Resultados!$C861),"",
IF(ROW()-1=3,Resultados!$H861,INDIRECT(ADDRESS(ROW()-1,COLUMN()))+Resultados!$H861))</f>
        <v>49275.024285714353</v>
      </c>
    </row>
    <row r="862" spans="2:9" ht="15.75" customHeight="1">
      <c r="B862" s="91">
        <v>44692</v>
      </c>
      <c r="C862" s="92">
        <v>44697</v>
      </c>
      <c r="D862" s="93" t="s">
        <v>199</v>
      </c>
      <c r="E862" s="94">
        <v>185</v>
      </c>
      <c r="F862" s="95">
        <v>101.33</v>
      </c>
      <c r="G862" s="95">
        <v>104.43</v>
      </c>
      <c r="H862" s="65">
        <f>IF(OR(Resultados!$F862="",Resultados!$G862=""),"",(Resultados!$G862-Resultados!$F862)*Resultados!$E862)</f>
        <v>573.50000000000159</v>
      </c>
      <c r="I862" s="65">
        <f ca="1">IF(ISBLANK(Resultados!$C862),"",
IF(ROW()-1=3,Resultados!$H862,INDIRECT(ADDRESS(ROW()-1,COLUMN()))+Resultados!$H862))</f>
        <v>49848.524285714353</v>
      </c>
    </row>
    <row r="863" spans="2:9" ht="15.75" customHeight="1">
      <c r="B863" s="91">
        <v>44697</v>
      </c>
      <c r="C863" s="92">
        <v>44701</v>
      </c>
      <c r="D863" s="93" t="s">
        <v>226</v>
      </c>
      <c r="E863" s="94">
        <v>2000</v>
      </c>
      <c r="F863" s="95">
        <v>5.01</v>
      </c>
      <c r="G863" s="95">
        <v>5.24</v>
      </c>
      <c r="H863" s="65">
        <f>IF(OR(Resultados!$F863="",Resultados!$G863=""),"",(Resultados!$G863-Resultados!$F863)*Resultados!$E863)</f>
        <v>460.00000000000085</v>
      </c>
      <c r="I863" s="65">
        <f ca="1">IF(ISBLANK(Resultados!$C863),"",
IF(ROW()-1=3,Resultados!$H863,INDIRECT(ADDRESS(ROW()-1,COLUMN()))+Resultados!$H863))</f>
        <v>50308.524285714353</v>
      </c>
    </row>
    <row r="864" spans="2:9" ht="15.75" customHeight="1">
      <c r="B864" s="91">
        <v>44701</v>
      </c>
      <c r="C864" s="92">
        <v>44705</v>
      </c>
      <c r="D864" s="93" t="s">
        <v>174</v>
      </c>
      <c r="E864" s="94">
        <v>800</v>
      </c>
      <c r="F864" s="95">
        <v>12.15</v>
      </c>
      <c r="G864" s="95">
        <v>12.59</v>
      </c>
      <c r="H864" s="65">
        <f>IF(OR(Resultados!$F864="",Resultados!$G864=""),"",(Resultados!$G864-Resultados!$F864)*Resultados!$E864)</f>
        <v>351.9999999999996</v>
      </c>
      <c r="I864" s="65">
        <f ca="1">IF(ISBLANK(Resultados!$C864),"",
IF(ROW()-1=3,Resultados!$H864,INDIRECT(ADDRESS(ROW()-1,COLUMN()))+Resultados!$H864))</f>
        <v>50660.524285714353</v>
      </c>
    </row>
    <row r="865" spans="2:9" ht="15.75" customHeight="1">
      <c r="B865" s="91">
        <v>44706</v>
      </c>
      <c r="C865" s="92">
        <v>44706</v>
      </c>
      <c r="D865" s="93" t="s">
        <v>245</v>
      </c>
      <c r="E865" s="94">
        <v>2100</v>
      </c>
      <c r="F865" s="95">
        <v>3.08</v>
      </c>
      <c r="G865" s="95">
        <v>3.25</v>
      </c>
      <c r="H865" s="65">
        <f>IF(OR(Resultados!$F865="",Resultados!$G865=""),"",(Resultados!$G865-Resultados!$F865)*Resultados!$E865)</f>
        <v>356.99999999999983</v>
      </c>
      <c r="I865" s="65">
        <f ca="1">IF(ISBLANK(Resultados!$C865),"",
IF(ROW()-1=3,Resultados!$H865,INDIRECT(ADDRESS(ROW()-1,COLUMN()))+Resultados!$H865))</f>
        <v>51017.524285714353</v>
      </c>
    </row>
    <row r="866" spans="2:9" ht="15.75" customHeight="1">
      <c r="B866" s="91">
        <v>44701</v>
      </c>
      <c r="C866" s="92">
        <v>44707</v>
      </c>
      <c r="D866" s="93" t="s">
        <v>174</v>
      </c>
      <c r="E866" s="94">
        <v>700</v>
      </c>
      <c r="F866" s="95">
        <v>12.51</v>
      </c>
      <c r="G866" s="95">
        <v>12.59</v>
      </c>
      <c r="H866" s="65">
        <f>IF(OR(Resultados!$F866="",Resultados!$G866=""),"",(Resultados!$G866-Resultados!$F866)*Resultados!$E866)</f>
        <v>56.00000000000005</v>
      </c>
      <c r="I866" s="65">
        <f ca="1">IF(ISBLANK(Resultados!$C866),"",
IF(ROW()-1=3,Resultados!$H866,INDIRECT(ADDRESS(ROW()-1,COLUMN()))+Resultados!$H866))</f>
        <v>51073.524285714353</v>
      </c>
    </row>
    <row r="867" spans="2:9" ht="15.75" customHeight="1">
      <c r="B867" s="91">
        <v>44705</v>
      </c>
      <c r="C867" s="92">
        <v>44707</v>
      </c>
      <c r="D867" s="93" t="s">
        <v>158</v>
      </c>
      <c r="E867" s="94">
        <v>900</v>
      </c>
      <c r="F867" s="95">
        <v>17.010000000000002</v>
      </c>
      <c r="G867" s="95">
        <v>16.510000000000002</v>
      </c>
      <c r="H867" s="65">
        <f>IF(OR(Resultados!$F867="",Resultados!$G867=""),"",(Resultados!$G867-Resultados!$F867)*Resultados!$E867)</f>
        <v>-450</v>
      </c>
      <c r="I867" s="65">
        <f ca="1">IF(ISBLANK(Resultados!$C867),"",
IF(ROW()-1=3,Resultados!$H867,INDIRECT(ADDRESS(ROW()-1,COLUMN()))+Resultados!$H867))</f>
        <v>50623.524285714353</v>
      </c>
    </row>
    <row r="868" spans="2:9" ht="15.75" customHeight="1">
      <c r="B868" s="91">
        <v>44708</v>
      </c>
      <c r="C868" s="92">
        <v>44712</v>
      </c>
      <c r="D868" s="93" t="s">
        <v>93</v>
      </c>
      <c r="E868" s="94">
        <v>700</v>
      </c>
      <c r="F868" s="95">
        <v>26.18</v>
      </c>
      <c r="G868" s="95">
        <v>26.78</v>
      </c>
      <c r="H868" s="65">
        <f>IF(OR(Resultados!$F868="",Resultados!$G868=""),"",(Resultados!$G868-Resultados!$F868)*Resultados!$E868)</f>
        <v>420.00000000000102</v>
      </c>
      <c r="I868" s="65">
        <f ca="1">IF(ISBLANK(Resultados!$C868),"",
IF(ROW()-1=3,Resultados!$H868,INDIRECT(ADDRESS(ROW()-1,COLUMN()))+Resultados!$H868))</f>
        <v>51043.524285714353</v>
      </c>
    </row>
    <row r="869" spans="2:9" ht="15.75" customHeight="1">
      <c r="B869" s="91">
        <v>44698</v>
      </c>
      <c r="C869" s="92">
        <v>44713</v>
      </c>
      <c r="D869" s="93" t="s">
        <v>228</v>
      </c>
      <c r="E869" s="94">
        <v>1000</v>
      </c>
      <c r="F869" s="95">
        <v>33.61</v>
      </c>
      <c r="G869" s="95">
        <v>32.99</v>
      </c>
      <c r="H869" s="65">
        <f>IF(OR(Resultados!$F869="",Resultados!$G869=""),"",(Resultados!$G869-Resultados!$F869)*Resultados!$E869)</f>
        <v>-619.9999999999975</v>
      </c>
      <c r="I869" s="65">
        <f ca="1">IF(ISBLANK(Resultados!$C869),"",
IF(ROW()-1=3,Resultados!$H869,INDIRECT(ADDRESS(ROW()-1,COLUMN()))+Resultados!$H869))</f>
        <v>50423.524285714353</v>
      </c>
    </row>
    <row r="870" spans="2:9" ht="15.75" customHeight="1">
      <c r="B870" s="91">
        <v>44698</v>
      </c>
      <c r="C870" s="92">
        <v>44713</v>
      </c>
      <c r="D870" s="93" t="s">
        <v>155</v>
      </c>
      <c r="E870" s="94">
        <v>700</v>
      </c>
      <c r="F870" s="95">
        <v>19.57</v>
      </c>
      <c r="G870" s="95">
        <v>18.84</v>
      </c>
      <c r="H870" s="65">
        <f>IF(OR(Resultados!$F870="",Resultados!$G870=""),"",(Resultados!$G870-Resultados!$F870)*Resultados!$E870)</f>
        <v>-511.00000000000028</v>
      </c>
      <c r="I870" s="65">
        <f ca="1">IF(ISBLANK(Resultados!$C870),"",
IF(ROW()-1=3,Resultados!$H870,INDIRECT(ADDRESS(ROW()-1,COLUMN()))+Resultados!$H870))</f>
        <v>49912.524285714353</v>
      </c>
    </row>
    <row r="871" spans="2:9" ht="15.75" customHeight="1">
      <c r="B871" s="91">
        <v>44698</v>
      </c>
      <c r="C871" s="92">
        <v>44713</v>
      </c>
      <c r="D871" s="93" t="s">
        <v>230</v>
      </c>
      <c r="E871" s="94">
        <v>1100</v>
      </c>
      <c r="F871" s="95">
        <v>15.82</v>
      </c>
      <c r="G871" s="95">
        <v>15.49</v>
      </c>
      <c r="H871" s="65">
        <f>IF(OR(Resultados!$F871="",Resultados!$G871=""),"",(Resultados!$G871-Resultados!$F871)*Resultados!$E871)</f>
        <v>-363.00000000000006</v>
      </c>
      <c r="I871" s="65">
        <f ca="1">IF(ISBLANK(Resultados!$C871),"",
IF(ROW()-1=3,Resultados!$H871,INDIRECT(ADDRESS(ROW()-1,COLUMN()))+Resultados!$H871))</f>
        <v>49549.524285714353</v>
      </c>
    </row>
    <row r="872" spans="2:9" ht="15.75" customHeight="1">
      <c r="B872" s="91">
        <v>44712</v>
      </c>
      <c r="C872" s="92">
        <v>44714</v>
      </c>
      <c r="D872" s="93" t="s">
        <v>117</v>
      </c>
      <c r="E872" s="94">
        <v>700</v>
      </c>
      <c r="F872" s="95">
        <v>14.11</v>
      </c>
      <c r="G872" s="95">
        <v>14.56</v>
      </c>
      <c r="H872" s="65">
        <f>IF(OR(Resultados!$F872="",Resultados!$G872=""),"",(Resultados!$G872-Resultados!$F872)*Resultados!$E872)</f>
        <v>315.00000000000074</v>
      </c>
      <c r="I872" s="65">
        <f ca="1">IF(ISBLANK(Resultados!$C872),"",
IF(ROW()-1=3,Resultados!$H872,INDIRECT(ADDRESS(ROW()-1,COLUMN()))+Resultados!$H872))</f>
        <v>49864.524285714353</v>
      </c>
    </row>
    <row r="873" spans="2:9" ht="15.75" customHeight="1">
      <c r="B873" s="91">
        <v>44706</v>
      </c>
      <c r="C873" s="92">
        <v>44718</v>
      </c>
      <c r="D873" s="93" t="s">
        <v>245</v>
      </c>
      <c r="E873" s="94">
        <v>2000</v>
      </c>
      <c r="F873" s="95">
        <v>3.08</v>
      </c>
      <c r="G873" s="95">
        <v>3.03</v>
      </c>
      <c r="H873" s="65">
        <f>IF(OR(Resultados!$F873="",Resultados!$G873=""),"",(Resultados!$G873-Resultados!$F873)*Resultados!$E873)</f>
        <v>-100.00000000000054</v>
      </c>
      <c r="I873" s="65">
        <f ca="1">IF(ISBLANK(Resultados!$C873),"",
IF(ROW()-1=3,Resultados!$H873,INDIRECT(ADDRESS(ROW()-1,COLUMN()))+Resultados!$H873))</f>
        <v>49764.524285714353</v>
      </c>
    </row>
    <row r="874" spans="2:9" ht="15.75" customHeight="1">
      <c r="B874" s="91">
        <v>44697</v>
      </c>
      <c r="C874" s="92">
        <v>44719</v>
      </c>
      <c r="D874" s="93" t="s">
        <v>226</v>
      </c>
      <c r="E874" s="94">
        <v>1900</v>
      </c>
      <c r="F874" s="95">
        <v>5.01</v>
      </c>
      <c r="G874" s="95">
        <v>5.04</v>
      </c>
      <c r="H874" s="65">
        <f>IF(OR(Resultados!$F874="",Resultados!$G874=""),"",(Resultados!$G874-Resultados!$F874)*Resultados!$E874)</f>
        <v>57.000000000000469</v>
      </c>
      <c r="I874" s="65">
        <f ca="1">IF(ISBLANK(Resultados!$C874),"",
IF(ROW()-1=3,Resultados!$H874,INDIRECT(ADDRESS(ROW()-1,COLUMN()))+Resultados!$H874))</f>
        <v>49821.524285714353</v>
      </c>
    </row>
    <row r="875" spans="2:9" ht="15.75" customHeight="1">
      <c r="B875" s="91">
        <v>44708</v>
      </c>
      <c r="C875" s="92">
        <v>44719</v>
      </c>
      <c r="D875" s="93" t="s">
        <v>93</v>
      </c>
      <c r="E875" s="94">
        <v>700</v>
      </c>
      <c r="F875" s="95">
        <v>26.18</v>
      </c>
      <c r="G875" s="95">
        <v>25.5</v>
      </c>
      <c r="H875" s="65">
        <f>IF(OR(Resultados!$F875="",Resultados!$G875=""),"",(Resultados!$G875-Resultados!$F875)*Resultados!$E875)</f>
        <v>-475.99999999999977</v>
      </c>
      <c r="I875" s="65">
        <f ca="1">IF(ISBLANK(Resultados!$C875),"",
IF(ROW()-1=3,Resultados!$H875,INDIRECT(ADDRESS(ROW()-1,COLUMN()))+Resultados!$H875))</f>
        <v>49345.524285714353</v>
      </c>
    </row>
    <row r="876" spans="2:9" ht="15.75" customHeight="1">
      <c r="B876" s="91">
        <v>44713</v>
      </c>
      <c r="C876" s="92">
        <v>44719</v>
      </c>
      <c r="D876" s="93" t="s">
        <v>213</v>
      </c>
      <c r="E876" s="94">
        <v>167</v>
      </c>
      <c r="F876" s="95">
        <v>104.73</v>
      </c>
      <c r="G876" s="95">
        <v>108.45</v>
      </c>
      <c r="H876" s="65">
        <f>IF(OR(Resultados!$F876="",Resultados!$G876=""),"",(Resultados!$G876-Resultados!$F876)*Resultados!$E876)</f>
        <v>621.23999999999978</v>
      </c>
      <c r="I876" s="65">
        <f ca="1">IF(ISBLANK(Resultados!$C876),"",
IF(ROW()-1=3,Resultados!$H876,INDIRECT(ADDRESS(ROW()-1,COLUMN()))+Resultados!$H876))</f>
        <v>49966.764285714351</v>
      </c>
    </row>
    <row r="877" spans="2:9" ht="15.75" customHeight="1">
      <c r="B877" s="91">
        <v>44692</v>
      </c>
      <c r="C877" s="92">
        <v>44720</v>
      </c>
      <c r="D877" s="93" t="s">
        <v>199</v>
      </c>
      <c r="E877" s="94">
        <v>184</v>
      </c>
      <c r="F877" s="95">
        <v>101.31</v>
      </c>
      <c r="G877" s="95">
        <v>104.34</v>
      </c>
      <c r="H877" s="65">
        <f>IF(OR(Resultados!$F877="",Resultados!$G877=""),"",(Resultados!$G877-Resultados!$F877)*Resultados!$E877)</f>
        <v>557.52000000000021</v>
      </c>
      <c r="I877" s="65">
        <f ca="1">IF(ISBLANK(Resultados!$C877),"",
IF(ROW()-1=3,Resultados!$H877,INDIRECT(ADDRESS(ROW()-1,COLUMN()))+Resultados!$H877))</f>
        <v>50524.284285714348</v>
      </c>
    </row>
    <row r="878" spans="2:9" ht="15.75" customHeight="1">
      <c r="B878" s="91">
        <v>44707</v>
      </c>
      <c r="C878" s="92">
        <v>44720</v>
      </c>
      <c r="D878" s="93" t="s">
        <v>199</v>
      </c>
      <c r="E878" s="94">
        <v>232</v>
      </c>
      <c r="F878" s="95">
        <v>107.54</v>
      </c>
      <c r="G878" s="95">
        <v>104.34</v>
      </c>
      <c r="H878" s="65">
        <f>IF(OR(Resultados!$F878="",Resultados!$G878=""),"",(Resultados!$G878-Resultados!$F878)*Resultados!$E878)</f>
        <v>-742.40000000000066</v>
      </c>
      <c r="I878" s="65">
        <f ca="1">IF(ISBLANK(Resultados!$C878),"",
IF(ROW()-1=3,Resultados!$H878,INDIRECT(ADDRESS(ROW()-1,COLUMN()))+Resultados!$H878))</f>
        <v>49781.884285714346</v>
      </c>
    </row>
    <row r="879" spans="2:9" ht="15.75" customHeight="1">
      <c r="B879" s="91">
        <v>44707</v>
      </c>
      <c r="C879" s="92">
        <v>44721</v>
      </c>
      <c r="D879" s="93" t="s">
        <v>111</v>
      </c>
      <c r="E879" s="94">
        <v>1900</v>
      </c>
      <c r="F879" s="95">
        <v>9.01</v>
      </c>
      <c r="G879" s="95">
        <v>8.35</v>
      </c>
      <c r="H879" s="65">
        <f>IF(OR(Resultados!$F879="",Resultados!$G879=""),"",(Resultados!$G879-Resultados!$F879)*Resultados!$E879)</f>
        <v>-1254.0000000000002</v>
      </c>
      <c r="I879" s="65">
        <f ca="1">IF(ISBLANK(Resultados!$C879),"",
IF(ROW()-1=3,Resultados!$H879,INDIRECT(ADDRESS(ROW()-1,COLUMN()))+Resultados!$H879))</f>
        <v>48527.884285714346</v>
      </c>
    </row>
    <row r="880" spans="2:9" ht="15.75" customHeight="1">
      <c r="B880" s="91">
        <v>44712</v>
      </c>
      <c r="C880" s="92">
        <v>44722</v>
      </c>
      <c r="D880" s="93" t="s">
        <v>117</v>
      </c>
      <c r="E880" s="94">
        <v>600</v>
      </c>
      <c r="F880" s="95">
        <v>11.76</v>
      </c>
      <c r="G880" s="95">
        <v>14.56</v>
      </c>
      <c r="H880" s="65">
        <f>IF(OR(Resultados!$F880="",Resultados!$G880=""),"",(Resultados!$G880-Resultados!$F880)*Resultados!$E880)</f>
        <v>1680.0000000000005</v>
      </c>
      <c r="I880" s="65">
        <f ca="1">IF(ISBLANK(Resultados!$C880),"",
IF(ROW()-1=3,Resultados!$H880,INDIRECT(ADDRESS(ROW()-1,COLUMN()))+Resultados!$H880))</f>
        <v>50207.884285714346</v>
      </c>
    </row>
    <row r="881" spans="2:9" ht="15.75" customHeight="1">
      <c r="B881" s="91">
        <v>44719</v>
      </c>
      <c r="C881" s="92">
        <v>44722</v>
      </c>
      <c r="D881" s="93" t="s">
        <v>114</v>
      </c>
      <c r="E881" s="94">
        <v>700</v>
      </c>
      <c r="F881" s="95">
        <v>18.11</v>
      </c>
      <c r="G881" s="95">
        <v>18.420000000000002</v>
      </c>
      <c r="H881" s="65">
        <f>IF(OR(Resultados!$F881="",Resultados!$G881=""),"",(Resultados!$G881-Resultados!$F881)*Resultados!$E881)</f>
        <v>217.00000000000159</v>
      </c>
      <c r="I881" s="65">
        <f ca="1">IF(ISBLANK(Resultados!$C881),"",
IF(ROW()-1=3,Resultados!$H881,INDIRECT(ADDRESS(ROW()-1,COLUMN()))+Resultados!$H881))</f>
        <v>50424.884285714346</v>
      </c>
    </row>
    <row r="882" spans="2:9" ht="15.75" customHeight="1">
      <c r="B882" s="91">
        <v>44713</v>
      </c>
      <c r="C882" s="92">
        <v>44725</v>
      </c>
      <c r="D882" s="93" t="s">
        <v>184</v>
      </c>
      <c r="E882" s="94">
        <v>400</v>
      </c>
      <c r="F882" s="95">
        <v>18.66</v>
      </c>
      <c r="G882" s="95">
        <v>19.79</v>
      </c>
      <c r="H882" s="65">
        <f>IF(OR(Resultados!$F882="",Resultados!$G882=""),"",(Resultados!$G882-Resultados!$F882)*Resultados!$E882)</f>
        <v>451.9999999999996</v>
      </c>
      <c r="I882" s="65">
        <f ca="1">IF(ISBLANK(Resultados!$C882),"",
IF(ROW()-1=3,Resultados!$H882,INDIRECT(ADDRESS(ROW()-1,COLUMN()))+Resultados!$H882))</f>
        <v>50876.884285714346</v>
      </c>
    </row>
    <row r="883" spans="2:9" ht="15.75" customHeight="1">
      <c r="B883" s="91">
        <v>44719</v>
      </c>
      <c r="C883" s="92">
        <v>44727</v>
      </c>
      <c r="D883" s="93" t="s">
        <v>114</v>
      </c>
      <c r="E883" s="94">
        <v>600</v>
      </c>
      <c r="F883" s="95">
        <v>16.72</v>
      </c>
      <c r="G883" s="95">
        <v>18.09</v>
      </c>
      <c r="H883" s="65">
        <f>IF(OR(Resultados!$F883="",Resultados!$G883=""),"",(Resultados!$G883-Resultados!$F883)*Resultados!$E883)</f>
        <v>822.00000000000057</v>
      </c>
      <c r="I883" s="65">
        <f ca="1">IF(ISBLANK(Resultados!$C883),"",
IF(ROW()-1=3,Resultados!$H883,INDIRECT(ADDRESS(ROW()-1,COLUMN()))+Resultados!$H883))</f>
        <v>51698.884285714346</v>
      </c>
    </row>
    <row r="884" spans="2:9" ht="15.75" customHeight="1">
      <c r="B884" s="91">
        <v>44721</v>
      </c>
      <c r="C884" s="92">
        <v>44728</v>
      </c>
      <c r="D884" s="93" t="s">
        <v>78</v>
      </c>
      <c r="E884" s="94">
        <v>700</v>
      </c>
      <c r="F884" s="95">
        <v>43.41</v>
      </c>
      <c r="G884" s="95">
        <v>43.09</v>
      </c>
      <c r="H884" s="65">
        <f>IF(OR(Resultados!$F884="",Resultados!$G884=""),"",(Resultados!$G884-Resultados!$F884)*Resultados!$E884)</f>
        <v>-223.99999999999523</v>
      </c>
      <c r="I884" s="65">
        <f ca="1">IF(ISBLANK(Resultados!$C884),"",
IF(ROW()-1=3,Resultados!$H884,INDIRECT(ADDRESS(ROW()-1,COLUMN()))+Resultados!$H884))</f>
        <v>51474.884285714354</v>
      </c>
    </row>
    <row r="885" spans="2:9" ht="15.75" customHeight="1">
      <c r="B885" s="91">
        <v>44713</v>
      </c>
      <c r="C885" s="92">
        <v>44734</v>
      </c>
      <c r="D885" s="93" t="s">
        <v>213</v>
      </c>
      <c r="E885" s="94">
        <v>167</v>
      </c>
      <c r="F885" s="95">
        <v>95.4</v>
      </c>
      <c r="G885" s="95">
        <v>108.45</v>
      </c>
      <c r="H885" s="65">
        <f>IF(OR(Resultados!$F885="",Resultados!$G885=""),"",(Resultados!$G885-Resultados!$F885)*Resultados!$E885)</f>
        <v>2179.3499999999995</v>
      </c>
      <c r="I885" s="65">
        <f ca="1">IF(ISBLANK(Resultados!$C885),"",
IF(ROW()-1=3,Resultados!$H885,INDIRECT(ADDRESS(ROW()-1,COLUMN()))+Resultados!$H885))</f>
        <v>53654.234285714352</v>
      </c>
    </row>
    <row r="886" spans="2:9" ht="15.75" customHeight="1">
      <c r="B886" s="91">
        <v>44733</v>
      </c>
      <c r="C886" s="92">
        <v>44735</v>
      </c>
      <c r="D886" s="93" t="s">
        <v>233</v>
      </c>
      <c r="E886" s="94">
        <v>7100</v>
      </c>
      <c r="F886" s="95">
        <v>2.81</v>
      </c>
      <c r="G886" s="95">
        <v>2.59</v>
      </c>
      <c r="H886" s="65">
        <f>IF(OR(Resultados!$F886="",Resultados!$G886=""),"",(Resultados!$G886-Resultados!$F886)*Resultados!$E886)</f>
        <v>-1562.0000000000014</v>
      </c>
      <c r="I886" s="65">
        <f ca="1">IF(ISBLANK(Resultados!$C886),"",
IF(ROW()-1=3,Resultados!$H886,INDIRECT(ADDRESS(ROW()-1,COLUMN()))+Resultados!$H886))</f>
        <v>52092.234285714352</v>
      </c>
    </row>
    <row r="887" spans="2:9" ht="15.75" customHeight="1">
      <c r="B887" s="91">
        <v>44733</v>
      </c>
      <c r="C887" s="92">
        <v>44736</v>
      </c>
      <c r="D887" s="93" t="s">
        <v>237</v>
      </c>
      <c r="E887" s="94">
        <v>2700</v>
      </c>
      <c r="F887" s="95">
        <v>9.2200000000000006</v>
      </c>
      <c r="G887" s="95">
        <v>9.16</v>
      </c>
      <c r="H887" s="65">
        <f>IF(OR(Resultados!$F887="",Resultados!$G887=""),"",(Resultados!$G887-Resultados!$F887)*Resultados!$E887)</f>
        <v>-162.00000000000134</v>
      </c>
      <c r="I887" s="65">
        <f ca="1">IF(ISBLANK(Resultados!$C887),"",
IF(ROW()-1=3,Resultados!$H887,INDIRECT(ADDRESS(ROW()-1,COLUMN()))+Resultados!$H887))</f>
        <v>51930.234285714352</v>
      </c>
    </row>
    <row r="888" spans="2:9" ht="15.75" customHeight="1">
      <c r="B888" s="91">
        <v>44733</v>
      </c>
      <c r="C888" s="92">
        <v>44739</v>
      </c>
      <c r="D888" s="93" t="s">
        <v>199</v>
      </c>
      <c r="E888" s="94">
        <v>395</v>
      </c>
      <c r="F888" s="95">
        <v>96.11</v>
      </c>
      <c r="G888" s="95">
        <v>95.92</v>
      </c>
      <c r="H888" s="65">
        <f>IF(OR(Resultados!$F888="",Resultados!$G888=""),"",(Resultados!$G888-Resultados!$F888)*Resultados!$E888)</f>
        <v>-75.049999999999102</v>
      </c>
      <c r="I888" s="65">
        <f ca="1">IF(ISBLANK(Resultados!$C888),"",
IF(ROW()-1=3,Resultados!$H888,INDIRECT(ADDRESS(ROW()-1,COLUMN()))+Resultados!$H888))</f>
        <v>51855.184285714357</v>
      </c>
    </row>
    <row r="889" spans="2:9" ht="15.75" customHeight="1">
      <c r="B889" s="91">
        <v>44713</v>
      </c>
      <c r="C889" s="92">
        <v>44740</v>
      </c>
      <c r="D889" s="93" t="s">
        <v>184</v>
      </c>
      <c r="E889" s="94">
        <v>400</v>
      </c>
      <c r="F889" s="95">
        <v>17.21</v>
      </c>
      <c r="G889" s="95">
        <v>19.79</v>
      </c>
      <c r="H889" s="65">
        <f>IF(OR(Resultados!$F889="",Resultados!$G889=""),"",(Resultados!$G889-Resultados!$F889)*Resultados!$E889)</f>
        <v>1031.9999999999993</v>
      </c>
      <c r="I889" s="65">
        <f ca="1">IF(ISBLANK(Resultados!$C889),"",
IF(ROW()-1=3,Resultados!$H889,INDIRECT(ADDRESS(ROW()-1,COLUMN()))+Resultados!$H889))</f>
        <v>52887.184285714357</v>
      </c>
    </row>
    <row r="890" spans="2:9" ht="15.75" customHeight="1">
      <c r="B890" s="91">
        <v>44742</v>
      </c>
      <c r="C890" s="92">
        <v>44743</v>
      </c>
      <c r="D890" s="93" t="s">
        <v>192</v>
      </c>
      <c r="E890" s="94">
        <v>1200</v>
      </c>
      <c r="F890" s="95">
        <v>8.24</v>
      </c>
      <c r="G890" s="95">
        <v>8.56</v>
      </c>
      <c r="H890" s="65">
        <f>IF(OR(Resultados!$F890="",Resultados!$G890=""),"",(Resultados!$G890-Resultados!$F890)*Resultados!$E890)</f>
        <v>384.00000000000034</v>
      </c>
      <c r="I890" s="65">
        <f ca="1">IF(ISBLANK(Resultados!$C890),"",
IF(ROW()-1=3,Resultados!$H890,INDIRECT(ADDRESS(ROW()-1,COLUMN()))+Resultados!$H890))</f>
        <v>53271.184285714357</v>
      </c>
    </row>
    <row r="891" spans="2:9" ht="15.75" customHeight="1">
      <c r="B891" s="91">
        <v>44748</v>
      </c>
      <c r="C891" s="92">
        <v>44749</v>
      </c>
      <c r="D891" s="93" t="s">
        <v>194</v>
      </c>
      <c r="E891" s="94">
        <v>1300</v>
      </c>
      <c r="F891" s="95">
        <v>9.51</v>
      </c>
      <c r="G891" s="95">
        <v>9.94</v>
      </c>
      <c r="H891" s="65">
        <f>IF(OR(Resultados!$F891="",Resultados!$G891=""),"",(Resultados!$G891-Resultados!$F891)*Resultados!$E891)</f>
        <v>558.99999999999966</v>
      </c>
      <c r="I891" s="65">
        <f ca="1">IF(ISBLANK(Resultados!$C891),"",
IF(ROW()-1=3,Resultados!$H891,INDIRECT(ADDRESS(ROW()-1,COLUMN()))+Resultados!$H891))</f>
        <v>53830.184285714357</v>
      </c>
    </row>
    <row r="892" spans="2:9" ht="15.75" customHeight="1">
      <c r="B892" s="91">
        <v>44748</v>
      </c>
      <c r="C892" s="92">
        <v>44754</v>
      </c>
      <c r="D892" s="93" t="s">
        <v>194</v>
      </c>
      <c r="E892" s="94">
        <v>1300</v>
      </c>
      <c r="F892" s="95">
        <v>9.51</v>
      </c>
      <c r="G892" s="95">
        <v>9.59</v>
      </c>
      <c r="H892" s="65">
        <f>IF(OR(Resultados!$F892="",Resultados!$G892=""),"",(Resultados!$G892-Resultados!$F892)*Resultados!$E892)</f>
        <v>104.00000000000009</v>
      </c>
      <c r="I892" s="65">
        <f ca="1">IF(ISBLANK(Resultados!$C892),"",
IF(ROW()-1=3,Resultados!$H892,INDIRECT(ADDRESS(ROW()-1,COLUMN()))+Resultados!$H892))</f>
        <v>53934.184285714357</v>
      </c>
    </row>
    <row r="893" spans="2:9" ht="15.75" customHeight="1">
      <c r="B893" s="91">
        <v>44749</v>
      </c>
      <c r="C893" s="92">
        <v>44755</v>
      </c>
      <c r="D893" s="93" t="s">
        <v>141</v>
      </c>
      <c r="E893" s="94">
        <v>1700</v>
      </c>
      <c r="F893" s="95">
        <v>17.36</v>
      </c>
      <c r="G893" s="95">
        <v>16.760000000000002</v>
      </c>
      <c r="H893" s="65">
        <f>IF(OR(Resultados!$F893="",Resultados!$G893=""),"",(Resultados!$G893-Resultados!$F893)*Resultados!$E893)</f>
        <v>-1019.9999999999964</v>
      </c>
      <c r="I893" s="65">
        <f ca="1">IF(ISBLANK(Resultados!$C893),"",
IF(ROW()-1=3,Resultados!$H893,INDIRECT(ADDRESS(ROW()-1,COLUMN()))+Resultados!$H893))</f>
        <v>52914.184285714364</v>
      </c>
    </row>
    <row r="894" spans="2:9" ht="15.75" customHeight="1">
      <c r="B894" s="91">
        <v>44750</v>
      </c>
      <c r="C894" s="92">
        <v>44756</v>
      </c>
      <c r="D894" s="93" t="s">
        <v>75</v>
      </c>
      <c r="E894" s="94">
        <v>200</v>
      </c>
      <c r="F894" s="95">
        <v>45.55</v>
      </c>
      <c r="G894" s="95">
        <v>47.7</v>
      </c>
      <c r="H894" s="65">
        <f>IF(OR(Resultados!$F894="",Resultados!$G894=""),"",(Resultados!$G894-Resultados!$F894)*Resultados!$E894)</f>
        <v>430.00000000000114</v>
      </c>
      <c r="I894" s="65">
        <f ca="1">IF(ISBLANK(Resultados!$C894),"",
IF(ROW()-1=3,Resultados!$H894,INDIRECT(ADDRESS(ROW()-1,COLUMN()))+Resultados!$H894))</f>
        <v>53344.184285714364</v>
      </c>
    </row>
    <row r="895" spans="2:9" ht="15.75" customHeight="1">
      <c r="B895" s="91">
        <v>44754</v>
      </c>
      <c r="C895" s="92">
        <v>44757</v>
      </c>
      <c r="D895" s="93" t="s">
        <v>52</v>
      </c>
      <c r="E895" s="94">
        <v>100</v>
      </c>
      <c r="F895" s="95">
        <v>67.22</v>
      </c>
      <c r="G895" s="95">
        <v>72.430000000000007</v>
      </c>
      <c r="H895" s="65">
        <f>IF(OR(Resultados!$F895="",Resultados!$G895=""),"",(Resultados!$G895-Resultados!$F895)*Resultados!$E895)</f>
        <v>521.0000000000008</v>
      </c>
      <c r="I895" s="65">
        <f ca="1">IF(ISBLANK(Resultados!$C895),"",
IF(ROW()-1=3,Resultados!$H895,INDIRECT(ADDRESS(ROW()-1,COLUMN()))+Resultados!$H895))</f>
        <v>53865.184285714364</v>
      </c>
    </row>
    <row r="896" spans="2:9" ht="15.75" customHeight="1">
      <c r="B896" s="91">
        <v>44742</v>
      </c>
      <c r="C896" s="92">
        <v>44760</v>
      </c>
      <c r="D896" s="93" t="s">
        <v>215</v>
      </c>
      <c r="E896" s="94">
        <v>300</v>
      </c>
      <c r="F896" s="95">
        <v>30.01</v>
      </c>
      <c r="G896" s="95">
        <v>31.66</v>
      </c>
      <c r="H896" s="65">
        <f>IF(OR(Resultados!$F896="",Resultados!$G896=""),"",(Resultados!$G896-Resultados!$F896)*Resultados!$E896)</f>
        <v>494.99999999999955</v>
      </c>
      <c r="I896" s="65">
        <f ca="1">IF(ISBLANK(Resultados!$C896),"",
IF(ROW()-1=3,Resultados!$H896,INDIRECT(ADDRESS(ROW()-1,COLUMN()))+Resultados!$H896))</f>
        <v>54360.184285714364</v>
      </c>
    </row>
    <row r="897" spans="2:9" ht="15.75" customHeight="1">
      <c r="B897" s="91">
        <v>44741</v>
      </c>
      <c r="C897" s="92">
        <v>44761</v>
      </c>
      <c r="D897" s="93" t="s">
        <v>192</v>
      </c>
      <c r="E897" s="94">
        <v>1200</v>
      </c>
      <c r="F897" s="95">
        <v>8.61</v>
      </c>
      <c r="G897" s="95">
        <v>8.56</v>
      </c>
      <c r="H897" s="65">
        <f>IF(OR(Resultados!$F897="",Resultados!$G897=""),"",(Resultados!$G897-Resultados!$F897)*Resultados!$E897)</f>
        <v>-59.999999999998721</v>
      </c>
      <c r="I897" s="65">
        <f ca="1">IF(ISBLANK(Resultados!$C897),"",
IF(ROW()-1=3,Resultados!$H897,INDIRECT(ADDRESS(ROW()-1,COLUMN()))+Resultados!$H897))</f>
        <v>54300.184285714364</v>
      </c>
    </row>
    <row r="898" spans="2:9" ht="15.75" customHeight="1">
      <c r="B898" s="91">
        <v>44757</v>
      </c>
      <c r="C898" s="92">
        <v>44762</v>
      </c>
      <c r="D898" s="93" t="s">
        <v>84</v>
      </c>
      <c r="E898" s="94">
        <v>600</v>
      </c>
      <c r="F898" s="95">
        <v>39.869999999999997</v>
      </c>
      <c r="G898" s="95">
        <v>38.659999999999997</v>
      </c>
      <c r="H898" s="65">
        <f>IF(OR(Resultados!$F898="",Resultados!$G898=""),"",(Resultados!$G898-Resultados!$F898)*Resultados!$E898)</f>
        <v>-726.00000000000045</v>
      </c>
      <c r="I898" s="65">
        <f ca="1">IF(ISBLANK(Resultados!$C898),"",
IF(ROW()-1=3,Resultados!$H898,INDIRECT(ADDRESS(ROW()-1,COLUMN()))+Resultados!$H898))</f>
        <v>53574.184285714364</v>
      </c>
    </row>
    <row r="899" spans="2:9" ht="15.75" customHeight="1">
      <c r="B899" s="91">
        <v>44742</v>
      </c>
      <c r="C899" s="92">
        <v>44763</v>
      </c>
      <c r="D899" s="93" t="s">
        <v>215</v>
      </c>
      <c r="E899" s="94">
        <v>300</v>
      </c>
      <c r="F899" s="95">
        <v>30.62</v>
      </c>
      <c r="G899" s="95">
        <v>31.66</v>
      </c>
      <c r="H899" s="65">
        <f>IF(OR(Resultados!$F899="",Resultados!$G899=""),"",(Resultados!$G899-Resultados!$F899)*Resultados!$E899)</f>
        <v>311.99999999999977</v>
      </c>
      <c r="I899" s="65">
        <f ca="1">IF(ISBLANK(Resultados!$C899),"",
IF(ROW()-1=3,Resultados!$H899,INDIRECT(ADDRESS(ROW()-1,COLUMN()))+Resultados!$H899))</f>
        <v>53886.184285714364</v>
      </c>
    </row>
    <row r="900" spans="2:9" ht="15.75" customHeight="1">
      <c r="B900" s="91">
        <v>44734</v>
      </c>
      <c r="C900" s="92">
        <v>44764</v>
      </c>
      <c r="D900" s="93" t="s">
        <v>198</v>
      </c>
      <c r="E900" s="94">
        <v>600</v>
      </c>
      <c r="F900" s="95">
        <v>40.119999999999997</v>
      </c>
      <c r="G900" s="95">
        <v>39.700000000000003</v>
      </c>
      <c r="H900" s="65">
        <f>IF(OR(Resultados!$F900="",Resultados!$G900=""),"",(Resultados!$G900-Resultados!$F900)*Resultados!$E900)</f>
        <v>-251.99999999999676</v>
      </c>
      <c r="I900" s="65">
        <f ca="1">IF(ISBLANK(Resultados!$C900),"",
IF(ROW()-1=3,Resultados!$H900,INDIRECT(ADDRESS(ROW()-1,COLUMN()))+Resultados!$H900))</f>
        <v>53634.184285714364</v>
      </c>
    </row>
    <row r="901" spans="2:9" ht="15.75" customHeight="1">
      <c r="B901" s="91">
        <v>44750</v>
      </c>
      <c r="C901" s="92">
        <v>44764</v>
      </c>
      <c r="D901" s="93" t="s">
        <v>75</v>
      </c>
      <c r="E901" s="94">
        <v>200</v>
      </c>
      <c r="F901" s="95">
        <v>46.22</v>
      </c>
      <c r="G901" s="95">
        <v>47.7</v>
      </c>
      <c r="H901" s="65">
        <f>IF(OR(Resultados!$F901="",Resultados!$G901=""),"",(Resultados!$G901-Resultados!$F901)*Resultados!$E901)</f>
        <v>296.0000000000008</v>
      </c>
      <c r="I901" s="65">
        <f ca="1">IF(ISBLANK(Resultados!$C901),"",
IF(ROW()-1=3,Resultados!$H901,INDIRECT(ADDRESS(ROW()-1,COLUMN()))+Resultados!$H901))</f>
        <v>53930.184285714364</v>
      </c>
    </row>
    <row r="902" spans="2:9" ht="15.75" customHeight="1">
      <c r="B902" s="91">
        <v>44754</v>
      </c>
      <c r="C902" s="92">
        <v>44764</v>
      </c>
      <c r="D902" s="93" t="s">
        <v>52</v>
      </c>
      <c r="E902" s="94">
        <v>100</v>
      </c>
      <c r="F902" s="95">
        <v>70.599999999999994</v>
      </c>
      <c r="G902" s="95">
        <v>72.430000000000007</v>
      </c>
      <c r="H902" s="65">
        <f>IF(OR(Resultados!$F902="",Resultados!$G902=""),"",(Resultados!$G902-Resultados!$F902)*Resultados!$E902)</f>
        <v>183.00000000000125</v>
      </c>
      <c r="I902" s="65">
        <f ca="1">IF(ISBLANK(Resultados!$C902),"",
IF(ROW()-1=3,Resultados!$H902,INDIRECT(ADDRESS(ROW()-1,COLUMN()))+Resultados!$H902))</f>
        <v>54113.184285714364</v>
      </c>
    </row>
    <row r="903" spans="2:9" ht="15.75" customHeight="1">
      <c r="B903" s="91">
        <v>44764</v>
      </c>
      <c r="C903" s="92">
        <v>44768</v>
      </c>
      <c r="D903" s="93" t="s">
        <v>77</v>
      </c>
      <c r="E903" s="94">
        <v>400</v>
      </c>
      <c r="F903" s="95">
        <v>29.34</v>
      </c>
      <c r="G903" s="95">
        <v>30.54</v>
      </c>
      <c r="H903" s="65">
        <f>IF(OR(Resultados!$F903="",Resultados!$G903=""),"",(Resultados!$G903-Resultados!$F903)*Resultados!$E903)</f>
        <v>479.99999999999972</v>
      </c>
      <c r="I903" s="65">
        <f ca="1">IF(ISBLANK(Resultados!$C903),"",
IF(ROW()-1=3,Resultados!$H903,INDIRECT(ADDRESS(ROW()-1,COLUMN()))+Resultados!$H903))</f>
        <v>54593.184285714364</v>
      </c>
    </row>
    <row r="904" spans="2:9" ht="15.75" customHeight="1">
      <c r="B904" s="91">
        <v>44763</v>
      </c>
      <c r="C904" s="92">
        <v>44769</v>
      </c>
      <c r="D904" s="93" t="s">
        <v>199</v>
      </c>
      <c r="E904" s="94">
        <v>200</v>
      </c>
      <c r="F904" s="95">
        <v>95.2</v>
      </c>
      <c r="G904" s="95">
        <v>96.84</v>
      </c>
      <c r="H904" s="65">
        <f>IF(OR(Resultados!$F904="",Resultados!$G904=""),"",(Resultados!$G904-Resultados!$F904)*Resultados!$E904)</f>
        <v>328.00000000000011</v>
      </c>
      <c r="I904" s="65">
        <f ca="1">IF(ISBLANK(Resultados!$C904),"",
IF(ROW()-1=3,Resultados!$H904,INDIRECT(ADDRESS(ROW()-1,COLUMN()))+Resultados!$H904))</f>
        <v>54921.184285714364</v>
      </c>
    </row>
    <row r="905" spans="2:9" ht="15.75" customHeight="1">
      <c r="B905" s="91">
        <v>44750</v>
      </c>
      <c r="C905" s="92">
        <v>44769</v>
      </c>
      <c r="D905" s="93" t="s">
        <v>44</v>
      </c>
      <c r="E905" s="94">
        <v>2500</v>
      </c>
      <c r="F905" s="95">
        <v>4.03</v>
      </c>
      <c r="G905" s="95">
        <v>4.33</v>
      </c>
      <c r="H905" s="65">
        <f>IF(OR(Resultados!$F905="",Resultados!$G905=""),"",(Resultados!$G905-Resultados!$F905)*Resultados!$E905)</f>
        <v>749.99999999999955</v>
      </c>
      <c r="I905" s="65">
        <f ca="1">IF(ISBLANK(Resultados!$C905),"",
IF(ROW()-1=3,Resultados!$H905,INDIRECT(ADDRESS(ROW()-1,COLUMN()))+Resultados!$H905))</f>
        <v>55671.184285714364</v>
      </c>
    </row>
    <row r="906" spans="2:9" ht="15.75" customHeight="1">
      <c r="B906" s="91">
        <v>44763</v>
      </c>
      <c r="C906" s="92">
        <v>44770</v>
      </c>
      <c r="D906" s="93" t="s">
        <v>196</v>
      </c>
      <c r="E906" s="94">
        <v>800</v>
      </c>
      <c r="F906" s="95">
        <v>27.12</v>
      </c>
      <c r="G906" s="95">
        <v>25.66</v>
      </c>
      <c r="H906" s="65">
        <f>IF(OR(Resultados!$F906="",Resultados!$G906=""),"",(Resultados!$G906-Resultados!$F906)*Resultados!$E906)</f>
        <v>-1168.0000000000007</v>
      </c>
      <c r="I906" s="65">
        <f ca="1">IF(ISBLANK(Resultados!$C906),"",
IF(ROW()-1=3,Resultados!$H906,INDIRECT(ADDRESS(ROW()-1,COLUMN()))+Resultados!$H906))</f>
        <v>54503.184285714364</v>
      </c>
    </row>
    <row r="907" spans="2:9" ht="15.75" customHeight="1">
      <c r="B907" s="91">
        <v>44764</v>
      </c>
      <c r="C907" s="92">
        <v>44771</v>
      </c>
      <c r="D907" s="93" t="s">
        <v>77</v>
      </c>
      <c r="E907" s="94">
        <v>400</v>
      </c>
      <c r="F907" s="95">
        <v>29.34</v>
      </c>
      <c r="G907" s="95">
        <v>33.6</v>
      </c>
      <c r="H907" s="65">
        <f>IF(OR(Resultados!$F907="",Resultados!$G907=""),"",(Resultados!$G907-Resultados!$F907)*Resultados!$E907)</f>
        <v>1704.0000000000007</v>
      </c>
      <c r="I907" s="65">
        <f ca="1">IF(ISBLANK(Resultados!$C907),"",
IF(ROW()-1=3,Resultados!$H907,INDIRECT(ADDRESS(ROW()-1,COLUMN()))+Resultados!$H907))</f>
        <v>56207.184285714364</v>
      </c>
    </row>
    <row r="908" spans="2:9" ht="15.75" customHeight="1">
      <c r="B908" s="91">
        <v>44770</v>
      </c>
      <c r="C908" s="92">
        <v>44775</v>
      </c>
      <c r="D908" s="93" t="s">
        <v>218</v>
      </c>
      <c r="E908" s="94">
        <v>1100</v>
      </c>
      <c r="F908" s="95">
        <v>6.94</v>
      </c>
      <c r="G908" s="95">
        <v>7.72</v>
      </c>
      <c r="H908" s="65">
        <f>IF(OR(Resultados!$F908="",Resultados!$G908=""),"",(Resultados!$G908-Resultados!$F908)*Resultados!$E908)</f>
        <v>857.99999999999932</v>
      </c>
      <c r="I908" s="65">
        <f ca="1">IF(ISBLANK(Resultados!$C908),"",
IF(ROW()-1=3,Resultados!$H908,INDIRECT(ADDRESS(ROW()-1,COLUMN()))+Resultados!$H908))</f>
        <v>57065.184285714364</v>
      </c>
    </row>
    <row r="909" spans="2:9" ht="15.75" customHeight="1">
      <c r="B909" s="91">
        <v>44770</v>
      </c>
      <c r="C909" s="92">
        <v>44777</v>
      </c>
      <c r="D909" s="93" t="s">
        <v>162</v>
      </c>
      <c r="E909" s="94">
        <v>600</v>
      </c>
      <c r="F909" s="95">
        <v>16.95</v>
      </c>
      <c r="G909" s="95">
        <v>18.059999999999999</v>
      </c>
      <c r="H909" s="65">
        <f>IF(OR(Resultados!$F909="",Resultados!$G909=""),"",(Resultados!$G909-Resultados!$F909)*Resultados!$E909)</f>
        <v>665.99999999999966</v>
      </c>
      <c r="I909" s="65">
        <f ca="1">IF(ISBLANK(Resultados!$C909),"",
IF(ROW()-1=3,Resultados!$H909,INDIRECT(ADDRESS(ROW()-1,COLUMN()))+Resultados!$H909))</f>
        <v>57731.184285714364</v>
      </c>
    </row>
    <row r="910" spans="2:9" ht="15.75" customHeight="1">
      <c r="B910" s="91">
        <v>44770</v>
      </c>
      <c r="C910" s="92">
        <v>44777</v>
      </c>
      <c r="D910" s="93" t="s">
        <v>208</v>
      </c>
      <c r="E910" s="94">
        <v>2000</v>
      </c>
      <c r="F910" s="95">
        <v>4.4000000000000004</v>
      </c>
      <c r="G910" s="95">
        <v>4.75</v>
      </c>
      <c r="H910" s="65">
        <f>IF(OR(Resultados!$F910="",Resultados!$G910=""),"",(Resultados!$G910-Resultados!$F910)*Resultados!$E910)</f>
        <v>699.99999999999932</v>
      </c>
      <c r="I910" s="65">
        <f ca="1">IF(ISBLANK(Resultados!$C910),"",
IF(ROW()-1=3,Resultados!$H910,INDIRECT(ADDRESS(ROW()-1,COLUMN()))+Resultados!$H910))</f>
        <v>58431.184285714364</v>
      </c>
    </row>
    <row r="911" spans="2:9" ht="15.75" customHeight="1">
      <c r="B911" s="91">
        <v>44776</v>
      </c>
      <c r="C911" s="92">
        <v>44777</v>
      </c>
      <c r="D911" s="93" t="s">
        <v>94</v>
      </c>
      <c r="E911" s="94">
        <v>2300</v>
      </c>
      <c r="F911" s="95">
        <v>2.86</v>
      </c>
      <c r="G911" s="95">
        <v>3.18</v>
      </c>
      <c r="H911" s="65">
        <f>IF(OR(Resultados!$F911="",Resultados!$G911=""),"",(Resultados!$G911-Resultados!$F911)*Resultados!$E911)</f>
        <v>736.00000000000068</v>
      </c>
      <c r="I911" s="65">
        <f ca="1">IF(ISBLANK(Resultados!$C911),"",
IF(ROW()-1=3,Resultados!$H911,INDIRECT(ADDRESS(ROW()-1,COLUMN()))+Resultados!$H911))</f>
        <v>59167.184285714364</v>
      </c>
    </row>
    <row r="912" spans="2:9" ht="15.75" customHeight="1">
      <c r="B912" s="91">
        <v>44770</v>
      </c>
      <c r="C912" s="92">
        <v>44777</v>
      </c>
      <c r="D912" s="93" t="s">
        <v>218</v>
      </c>
      <c r="E912" s="94">
        <v>1100</v>
      </c>
      <c r="F912" s="95">
        <v>6.94</v>
      </c>
      <c r="G912" s="95">
        <v>9.2799999999999994</v>
      </c>
      <c r="H912" s="65">
        <f>IF(OR(Resultados!$F912="",Resultados!$G912=""),"",(Resultados!$G912-Resultados!$F912)*Resultados!$E912)</f>
        <v>2573.9999999999991</v>
      </c>
      <c r="I912" s="65">
        <f ca="1">IF(ISBLANK(Resultados!$C912),"",
IF(ROW()-1=3,Resultados!$H912,INDIRECT(ADDRESS(ROW()-1,COLUMN()))+Resultados!$H912))</f>
        <v>61741.184285714364</v>
      </c>
    </row>
    <row r="913" spans="2:9" ht="15.75" customHeight="1">
      <c r="B913" s="91">
        <v>44777</v>
      </c>
      <c r="C913" s="92">
        <v>44781</v>
      </c>
      <c r="D913" s="93" t="s">
        <v>246</v>
      </c>
      <c r="E913" s="94">
        <v>1700</v>
      </c>
      <c r="F913" s="95">
        <v>7.59</v>
      </c>
      <c r="G913" s="95">
        <v>7.89</v>
      </c>
      <c r="H913" s="65">
        <f>IF(OR(Resultados!$F913="",Resultados!$G913=""),"",(Resultados!$G913-Resultados!$F913)*Resultados!$E913)</f>
        <v>509.99999999999972</v>
      </c>
      <c r="I913" s="65">
        <f ca="1">IF(ISBLANK(Resultados!$C913),"",
IF(ROW()-1=3,Resultados!$H913,INDIRECT(ADDRESS(ROW()-1,COLUMN()))+Resultados!$H913))</f>
        <v>62251.184285714364</v>
      </c>
    </row>
    <row r="914" spans="2:9" ht="15.75" customHeight="1">
      <c r="B914" s="91">
        <v>44767</v>
      </c>
      <c r="C914" s="92">
        <v>44781</v>
      </c>
      <c r="D914" s="93" t="s">
        <v>45</v>
      </c>
      <c r="E914" s="94">
        <v>600</v>
      </c>
      <c r="F914" s="95">
        <v>27.27</v>
      </c>
      <c r="G914" s="95">
        <v>28.19</v>
      </c>
      <c r="H914" s="65">
        <f>IF(OR(Resultados!$F914="",Resultados!$G914=""),"",(Resultados!$G914-Resultados!$F914)*Resultados!$E914)</f>
        <v>552.00000000000102</v>
      </c>
      <c r="I914" s="65">
        <f ca="1">IF(ISBLANK(Resultados!$C914),"",
IF(ROW()-1=3,Resultados!$H914,INDIRECT(ADDRESS(ROW()-1,COLUMN()))+Resultados!$H914))</f>
        <v>62803.184285714364</v>
      </c>
    </row>
    <row r="915" spans="2:9" ht="15.75" customHeight="1">
      <c r="B915" s="91">
        <v>44763</v>
      </c>
      <c r="C915" s="92">
        <v>44782</v>
      </c>
      <c r="D915" s="93" t="s">
        <v>199</v>
      </c>
      <c r="E915" s="94">
        <v>200</v>
      </c>
      <c r="F915" s="95">
        <v>95.2</v>
      </c>
      <c r="G915" s="95">
        <v>105.39</v>
      </c>
      <c r="H915" s="65">
        <f>IF(OR(Resultados!$F915="",Resultados!$G915=""),"",(Resultados!$G915-Resultados!$F915)*Resultados!$E915)</f>
        <v>2037.9999999999995</v>
      </c>
      <c r="I915" s="65">
        <f ca="1">IF(ISBLANK(Resultados!$C915),"",
IF(ROW()-1=3,Resultados!$H915,INDIRECT(ADDRESS(ROW()-1,COLUMN()))+Resultados!$H915))</f>
        <v>64841.184285714364</v>
      </c>
    </row>
    <row r="916" spans="2:9" ht="15.75" customHeight="1">
      <c r="B916" s="91">
        <v>44783</v>
      </c>
      <c r="C916" s="92">
        <v>44784</v>
      </c>
      <c r="D916" s="93" t="s">
        <v>184</v>
      </c>
      <c r="E916" s="94">
        <v>600</v>
      </c>
      <c r="F916" s="95">
        <v>17.239999999999998</v>
      </c>
      <c r="G916" s="95">
        <v>18.989999999999998</v>
      </c>
      <c r="H916" s="65">
        <f>IF(OR(Resultados!$F916="",Resultados!$G916=""),"",(Resultados!$G916-Resultados!$F916)*Resultados!$E916)</f>
        <v>1050</v>
      </c>
      <c r="I916" s="65">
        <f ca="1">IF(ISBLANK(Resultados!$C916),"",
IF(ROW()-1=3,Resultados!$H916,INDIRECT(ADDRESS(ROW()-1,COLUMN()))+Resultados!$H916))</f>
        <v>65891.184285714364</v>
      </c>
    </row>
    <row r="917" spans="2:9" ht="15.75" customHeight="1">
      <c r="B917" s="91">
        <v>44781</v>
      </c>
      <c r="C917" s="92">
        <v>44784</v>
      </c>
      <c r="D917" s="93" t="s">
        <v>247</v>
      </c>
      <c r="E917" s="94">
        <v>900</v>
      </c>
      <c r="F917" s="95">
        <v>30.72</v>
      </c>
      <c r="G917" s="95">
        <v>29.17</v>
      </c>
      <c r="H917" s="65">
        <f>IF(OR(Resultados!$F917="",Resultados!$G917=""),"",(Resultados!$G917-Resultados!$F917)*Resultados!$E917)</f>
        <v>-1394.9999999999975</v>
      </c>
      <c r="I917" s="65">
        <f ca="1">IF(ISBLANK(Resultados!$C917),"",
IF(ROW()-1=3,Resultados!$H917,INDIRECT(ADDRESS(ROW()-1,COLUMN()))+Resultados!$H917))</f>
        <v>64496.184285714364</v>
      </c>
    </row>
    <row r="918" spans="2:9" ht="15.75" customHeight="1">
      <c r="B918" s="91">
        <v>44770</v>
      </c>
      <c r="C918" s="92">
        <v>44785</v>
      </c>
      <c r="D918" s="93" t="s">
        <v>46</v>
      </c>
      <c r="E918" s="94">
        <v>700</v>
      </c>
      <c r="F918" s="95">
        <v>17.18</v>
      </c>
      <c r="G918" s="95">
        <v>18.170000000000002</v>
      </c>
      <c r="H918" s="65">
        <f>IF(OR(Resultados!$F918="",Resultados!$G918=""),"",(Resultados!$G918-Resultados!$F918)*Resultados!$E918)</f>
        <v>693.00000000000136</v>
      </c>
      <c r="I918" s="65">
        <f ca="1">IF(ISBLANK(Resultados!$C918),"",
IF(ROW()-1=3,Resultados!$H918,INDIRECT(ADDRESS(ROW()-1,COLUMN()))+Resultados!$H918))</f>
        <v>65189.184285714364</v>
      </c>
    </row>
    <row r="919" spans="2:9" ht="15.75" customHeight="1">
      <c r="B919" s="91">
        <v>44770</v>
      </c>
      <c r="C919" s="92">
        <v>44785</v>
      </c>
      <c r="D919" s="93" t="s">
        <v>208</v>
      </c>
      <c r="E919" s="94">
        <v>2000</v>
      </c>
      <c r="F919" s="95">
        <v>4.4000000000000004</v>
      </c>
      <c r="G919" s="95">
        <v>5.45</v>
      </c>
      <c r="H919" s="65">
        <f>IF(OR(Resultados!$F919="",Resultados!$G919=""),"",(Resultados!$G919-Resultados!$F919)*Resultados!$E919)</f>
        <v>2099.9999999999995</v>
      </c>
      <c r="I919" s="65">
        <f ca="1">IF(ISBLANK(Resultados!$C919),"",
IF(ROW()-1=3,Resultados!$H919,INDIRECT(ADDRESS(ROW()-1,COLUMN()))+Resultados!$H919))</f>
        <v>67289.184285714364</v>
      </c>
    </row>
    <row r="920" spans="2:9" ht="15.75" customHeight="1">
      <c r="B920" s="91">
        <v>44776</v>
      </c>
      <c r="C920" s="92">
        <v>44788</v>
      </c>
      <c r="D920" s="93" t="s">
        <v>94</v>
      </c>
      <c r="E920" s="94">
        <v>2200</v>
      </c>
      <c r="F920" s="95">
        <v>2.86</v>
      </c>
      <c r="G920" s="95">
        <v>3.85</v>
      </c>
      <c r="H920" s="65">
        <f>IF(OR(Resultados!$F920="",Resultados!$G920=""),"",(Resultados!$G920-Resultados!$F920)*Resultados!$E920)</f>
        <v>2178.0000000000005</v>
      </c>
      <c r="I920" s="65">
        <f ca="1">IF(ISBLANK(Resultados!$C920),"",
IF(ROW()-1=3,Resultados!$H920,INDIRECT(ADDRESS(ROW()-1,COLUMN()))+Resultados!$H920))</f>
        <v>69467.184285714364</v>
      </c>
    </row>
    <row r="921" spans="2:9" ht="15.75" customHeight="1">
      <c r="B921" s="91">
        <v>44777</v>
      </c>
      <c r="C921" s="92">
        <v>44789</v>
      </c>
      <c r="D921" s="93" t="s">
        <v>248</v>
      </c>
      <c r="E921" s="94">
        <v>1700</v>
      </c>
      <c r="F921" s="95">
        <v>7.59</v>
      </c>
      <c r="G921" s="95">
        <v>8.94</v>
      </c>
      <c r="H921" s="65">
        <f>IF(OR(Resultados!$F921="",Resultados!$G921=""),"",(Resultados!$G921-Resultados!$F921)*Resultados!$E921)</f>
        <v>2294.9999999999995</v>
      </c>
      <c r="I921" s="65">
        <f ca="1">IF(ISBLANK(Resultados!$C921),"",
IF(ROW()-1=3,Resultados!$H921,INDIRECT(ADDRESS(ROW()-1,COLUMN()))+Resultados!$H921))</f>
        <v>71762.184285714364</v>
      </c>
    </row>
    <row r="922" spans="2:9" ht="15.75" customHeight="1">
      <c r="B922" s="91">
        <v>44785</v>
      </c>
      <c r="C922" s="92">
        <v>44790</v>
      </c>
      <c r="D922" s="93" t="s">
        <v>48</v>
      </c>
      <c r="E922" s="94">
        <v>500</v>
      </c>
      <c r="F922" s="95">
        <v>20.07</v>
      </c>
      <c r="G922" s="95">
        <v>20.95</v>
      </c>
      <c r="H922" s="65">
        <f>IF(OR(Resultados!$F922="",Resultados!$G922=""),"",(Resultados!$G922-Resultados!$F922)*Resultados!$E922)</f>
        <v>439.99999999999949</v>
      </c>
      <c r="I922" s="65">
        <f ca="1">IF(ISBLANK(Resultados!$C922),"",
IF(ROW()-1=3,Resultados!$H922,INDIRECT(ADDRESS(ROW()-1,COLUMN()))+Resultados!$H922))</f>
        <v>72202.184285714364</v>
      </c>
    </row>
    <row r="923" spans="2:9" ht="15.75" customHeight="1">
      <c r="B923" s="91">
        <v>44783</v>
      </c>
      <c r="C923" s="92">
        <v>44791</v>
      </c>
      <c r="D923" s="93" t="s">
        <v>47</v>
      </c>
      <c r="E923" s="94">
        <v>900</v>
      </c>
      <c r="F923" s="95">
        <v>15.06</v>
      </c>
      <c r="G923" s="95">
        <v>15.78</v>
      </c>
      <c r="H923" s="65">
        <f>IF(OR(Resultados!$F923="",Resultados!$G923=""),"",(Resultados!$G923-Resultados!$F923)*Resultados!$E923)</f>
        <v>647.99999999999898</v>
      </c>
      <c r="I923" s="65">
        <f ca="1">IF(ISBLANK(Resultados!$C923),"",
IF(ROW()-1=3,Resultados!$H923,INDIRECT(ADDRESS(ROW()-1,COLUMN()))+Resultados!$H923))</f>
        <v>72850.184285714364</v>
      </c>
    </row>
    <row r="924" spans="2:9" ht="15.75" customHeight="1">
      <c r="B924" s="91">
        <v>44788</v>
      </c>
      <c r="C924" s="92">
        <v>44792</v>
      </c>
      <c r="D924" s="93" t="s">
        <v>206</v>
      </c>
      <c r="E924" s="94">
        <v>1400</v>
      </c>
      <c r="F924" s="95">
        <v>13.3</v>
      </c>
      <c r="G924" s="95">
        <v>12.29</v>
      </c>
      <c r="H924" s="65">
        <f>IF(OR(Resultados!$F924="",Resultados!$G924=""),"",(Resultados!$G924-Resultados!$F924)*Resultados!$E924)</f>
        <v>-1414.0000000000023</v>
      </c>
      <c r="I924" s="65">
        <f ca="1">IF(ISBLANK(Resultados!$C924),"",
IF(ROW()-1=3,Resultados!$H924,INDIRECT(ADDRESS(ROW()-1,COLUMN()))+Resultados!$H924))</f>
        <v>71436.184285714364</v>
      </c>
    </row>
    <row r="925" spans="2:9" ht="15.75" customHeight="1">
      <c r="B925" s="91">
        <v>44788</v>
      </c>
      <c r="C925" s="92">
        <v>44792</v>
      </c>
      <c r="D925" s="93" t="s">
        <v>113</v>
      </c>
      <c r="E925" s="94">
        <v>3200</v>
      </c>
      <c r="F925" s="95">
        <v>6.61</v>
      </c>
      <c r="G925" s="95">
        <v>6.17</v>
      </c>
      <c r="H925" s="65">
        <f>IF(OR(Resultados!$F925="",Resultados!$G925=""),"",(Resultados!$G925-Resultados!$F925)*Resultados!$E925)</f>
        <v>-1408.0000000000014</v>
      </c>
      <c r="I925" s="65">
        <f ca="1">IF(ISBLANK(Resultados!$C925),"",
IF(ROW()-1=3,Resultados!$H925,INDIRECT(ADDRESS(ROW()-1,COLUMN()))+Resultados!$H925))</f>
        <v>70028.184285714364</v>
      </c>
    </row>
    <row r="926" spans="2:9" ht="15.75" customHeight="1">
      <c r="B926" s="91">
        <v>44783</v>
      </c>
      <c r="C926" s="92">
        <v>44795</v>
      </c>
      <c r="D926" s="93" t="s">
        <v>184</v>
      </c>
      <c r="E926" s="94">
        <v>600</v>
      </c>
      <c r="F926" s="95">
        <v>17.239999999999998</v>
      </c>
      <c r="G926" s="95">
        <v>18.59</v>
      </c>
      <c r="H926" s="65">
        <f>IF(OR(Resultados!$F926="",Resultados!$G926=""),"",(Resultados!$G926-Resultados!$F926)*Resultados!$E926)</f>
        <v>810.00000000000091</v>
      </c>
      <c r="I926" s="65">
        <f ca="1">IF(ISBLANK(Resultados!$C926),"",
IF(ROW()-1=3,Resultados!$H926,INDIRECT(ADDRESS(ROW()-1,COLUMN()))+Resultados!$H926))</f>
        <v>70838.184285714364</v>
      </c>
    </row>
    <row r="927" spans="2:9" ht="15.75" customHeight="1">
      <c r="B927" s="91">
        <v>44770</v>
      </c>
      <c r="C927" s="92">
        <v>44795</v>
      </c>
      <c r="D927" s="93" t="s">
        <v>162</v>
      </c>
      <c r="E927" s="94">
        <v>600</v>
      </c>
      <c r="F927" s="95">
        <v>16.95</v>
      </c>
      <c r="G927" s="95">
        <v>18.88</v>
      </c>
      <c r="H927" s="65">
        <f>IF(OR(Resultados!$F927="",Resultados!$G927=""),"",(Resultados!$G927-Resultados!$F927)*Resultados!$E927)</f>
        <v>1157.9999999999998</v>
      </c>
      <c r="I927" s="65">
        <f ca="1">IF(ISBLANK(Resultados!$C927),"",
IF(ROW()-1=3,Resultados!$H927,INDIRECT(ADDRESS(ROW()-1,COLUMN()))+Resultados!$H927))</f>
        <v>71996.184285714364</v>
      </c>
    </row>
    <row r="928" spans="2:9" ht="15.75" customHeight="1">
      <c r="B928" s="91"/>
      <c r="C928" s="92"/>
      <c r="D928" s="93"/>
      <c r="E928" s="94"/>
      <c r="F928" s="95"/>
      <c r="G928" s="95"/>
      <c r="H928" s="65" t="str">
        <f>IF(OR(Resultados!$F928="",Resultados!$G928=""),"",(Resultados!$G928-Resultados!$F928)*Resultados!$E928)</f>
        <v/>
      </c>
      <c r="I928" s="65" t="str">
        <f ca="1">IF(ISBLANK(Resultados!$C928),"",
IF(ROW()-1=3,Resultados!$H928,INDIRECT(ADDRESS(ROW()-1,COLUMN()))+Resultados!$H928))</f>
        <v/>
      </c>
    </row>
    <row r="929" spans="2:9" ht="15.75" customHeight="1">
      <c r="B929" s="91"/>
      <c r="C929" s="92"/>
      <c r="D929" s="93"/>
      <c r="E929" s="94"/>
      <c r="F929" s="95"/>
      <c r="G929" s="95"/>
      <c r="H929" s="65" t="str">
        <f>IF(OR(Resultados!$F929="",Resultados!$G929=""),"",(Resultados!$G929-Resultados!$F929)*Resultados!$E929)</f>
        <v/>
      </c>
      <c r="I929" s="65" t="str">
        <f ca="1">IF(ISBLANK(Resultados!$C929),"",
IF(ROW()-1=3,Resultados!$H929,INDIRECT(ADDRESS(ROW()-1,COLUMN()))+Resultados!$H929))</f>
        <v/>
      </c>
    </row>
    <row r="930" spans="2:9" ht="15.75" customHeight="1">
      <c r="B930" s="91"/>
      <c r="C930" s="92"/>
      <c r="D930" s="93"/>
      <c r="E930" s="94"/>
      <c r="F930" s="95"/>
      <c r="G930" s="95"/>
      <c r="H930" s="65" t="str">
        <f>IF(OR(Resultados!$F930="",Resultados!$G930=""),"",(Resultados!$G930-Resultados!$F930)*Resultados!$E930)</f>
        <v/>
      </c>
      <c r="I930" s="65" t="str">
        <f ca="1">IF(ISBLANK(Resultados!$C930),"",
IF(ROW()-1=3,Resultados!$H930,INDIRECT(ADDRESS(ROW()-1,COLUMN()))+Resultados!$H930))</f>
        <v/>
      </c>
    </row>
    <row r="931" spans="2:9" ht="15.75" customHeight="1">
      <c r="B931" s="91"/>
      <c r="C931" s="92"/>
      <c r="D931" s="93"/>
      <c r="E931" s="94"/>
      <c r="F931" s="95"/>
      <c r="G931" s="95"/>
      <c r="H931" s="65" t="str">
        <f>IF(OR(Resultados!$F931="",Resultados!$G931=""),"",(Resultados!$G931-Resultados!$F931)*Resultados!$E931)</f>
        <v/>
      </c>
      <c r="I931" s="65" t="str">
        <f ca="1">IF(ISBLANK(Resultados!$C931),"",
IF(ROW()-1=3,Resultados!$H931,INDIRECT(ADDRESS(ROW()-1,COLUMN()))+Resultados!$H931))</f>
        <v/>
      </c>
    </row>
    <row r="932" spans="2:9" ht="15.75" customHeight="1">
      <c r="B932" s="91"/>
      <c r="C932" s="92"/>
      <c r="D932" s="93"/>
      <c r="E932" s="94"/>
      <c r="F932" s="95"/>
      <c r="G932" s="95"/>
      <c r="H932" s="65" t="str">
        <f>IF(OR(Resultados!$F932="",Resultados!$G932=""),"",(Resultados!$G932-Resultados!$F932)*Resultados!$E932)</f>
        <v/>
      </c>
      <c r="I932" s="65" t="str">
        <f ca="1">IF(ISBLANK(Resultados!$C932),"",
IF(ROW()-1=3,Resultados!$H932,INDIRECT(ADDRESS(ROW()-1,COLUMN()))+Resultados!$H932))</f>
        <v/>
      </c>
    </row>
    <row r="933" spans="2:9" ht="15.75" customHeight="1">
      <c r="B933" s="91"/>
      <c r="C933" s="92"/>
      <c r="D933" s="93"/>
      <c r="E933" s="94"/>
      <c r="F933" s="95"/>
      <c r="G933" s="95"/>
      <c r="H933" s="65" t="str">
        <f>IF(OR(Resultados!$F933="",Resultados!$G933=""),"",(Resultados!$G933-Resultados!$F933)*Resultados!$E933)</f>
        <v/>
      </c>
      <c r="I933" s="65" t="str">
        <f ca="1">IF(ISBLANK(Resultados!$C933),"",
IF(ROW()-1=3,Resultados!$H933,INDIRECT(ADDRESS(ROW()-1,COLUMN()))+Resultados!$H933))</f>
        <v/>
      </c>
    </row>
    <row r="934" spans="2:9" ht="15.75" customHeight="1">
      <c r="B934" s="91"/>
      <c r="C934" s="92"/>
      <c r="D934" s="93"/>
      <c r="E934" s="94"/>
      <c r="F934" s="95"/>
      <c r="G934" s="95"/>
      <c r="H934" s="65" t="str">
        <f>IF(OR(Resultados!$F934="",Resultados!$G934=""),"",(Resultados!$G934-Resultados!$F934)*Resultados!$E934)</f>
        <v/>
      </c>
      <c r="I934" s="65" t="str">
        <f ca="1">IF(ISBLANK(Resultados!$C934),"",
IF(ROW()-1=3,Resultados!$H934,INDIRECT(ADDRESS(ROW()-1,COLUMN()))+Resultados!$H934))</f>
        <v/>
      </c>
    </row>
    <row r="935" spans="2:9" ht="15.75" customHeight="1">
      <c r="B935" s="91"/>
      <c r="C935" s="92"/>
      <c r="D935" s="93"/>
      <c r="E935" s="94"/>
      <c r="F935" s="95"/>
      <c r="G935" s="95"/>
      <c r="H935" s="65" t="str">
        <f>IF(OR(Resultados!$F935="",Resultados!$G935=""),"",(Resultados!$G935-Resultados!$F935)*Resultados!$E935)</f>
        <v/>
      </c>
      <c r="I935" s="65" t="str">
        <f ca="1">IF(ISBLANK(Resultados!$C935),"",
IF(ROW()-1=3,Resultados!$H935,INDIRECT(ADDRESS(ROW()-1,COLUMN()))+Resultados!$H935))</f>
        <v/>
      </c>
    </row>
    <row r="936" spans="2:9" ht="15.75" customHeight="1">
      <c r="B936" s="91"/>
      <c r="C936" s="92"/>
      <c r="D936" s="93"/>
      <c r="E936" s="94"/>
      <c r="F936" s="95"/>
      <c r="G936" s="95"/>
      <c r="H936" s="65" t="str">
        <f>IF(OR(Resultados!$F936="",Resultados!$G936=""),"",(Resultados!$G936-Resultados!$F936)*Resultados!$E936)</f>
        <v/>
      </c>
      <c r="I936" s="65" t="str">
        <f ca="1">IF(ISBLANK(Resultados!$C936),"",
IF(ROW()-1=3,Resultados!$H936,INDIRECT(ADDRESS(ROW()-1,COLUMN()))+Resultados!$H936))</f>
        <v/>
      </c>
    </row>
    <row r="937" spans="2:9" ht="15.75" customHeight="1">
      <c r="B937" s="91"/>
      <c r="C937" s="92"/>
      <c r="D937" s="93"/>
      <c r="E937" s="94"/>
      <c r="F937" s="95"/>
      <c r="G937" s="95"/>
      <c r="H937" s="65" t="str">
        <f>IF(OR(Resultados!$F937="",Resultados!$G937=""),"",(Resultados!$G937-Resultados!$F937)*Resultados!$E937)</f>
        <v/>
      </c>
      <c r="I937" s="65" t="str">
        <f ca="1">IF(ISBLANK(Resultados!$C937),"",
IF(ROW()-1=3,Resultados!$H937,INDIRECT(ADDRESS(ROW()-1,COLUMN()))+Resultados!$H937))</f>
        <v/>
      </c>
    </row>
    <row r="938" spans="2:9" ht="15.75" customHeight="1">
      <c r="B938" s="91"/>
      <c r="C938" s="92"/>
      <c r="D938" s="93"/>
      <c r="E938" s="94"/>
      <c r="F938" s="95"/>
      <c r="G938" s="95"/>
      <c r="H938" s="65" t="str">
        <f>IF(OR(Resultados!$F938="",Resultados!$G938=""),"",(Resultados!$G938-Resultados!$F938)*Resultados!$E938)</f>
        <v/>
      </c>
      <c r="I938" s="65" t="str">
        <f ca="1">IF(ISBLANK(Resultados!$C938),"",
IF(ROW()-1=3,Resultados!$H938,INDIRECT(ADDRESS(ROW()-1,COLUMN()))+Resultados!$H938))</f>
        <v/>
      </c>
    </row>
    <row r="939" spans="2:9" ht="15.75" customHeight="1">
      <c r="B939" s="91"/>
      <c r="C939" s="92"/>
      <c r="D939" s="93"/>
      <c r="E939" s="94"/>
      <c r="F939" s="95"/>
      <c r="G939" s="95"/>
      <c r="H939" s="65" t="str">
        <f>IF(OR(Resultados!$F939="",Resultados!$G939=""),"",(Resultados!$G939-Resultados!$F939)*Resultados!$E939)</f>
        <v/>
      </c>
      <c r="I939" s="65" t="str">
        <f ca="1">IF(ISBLANK(Resultados!$C939),"",
IF(ROW()-1=3,Resultados!$H939,INDIRECT(ADDRESS(ROW()-1,COLUMN()))+Resultados!$H939))</f>
        <v/>
      </c>
    </row>
    <row r="940" spans="2:9" ht="15.75" customHeight="1">
      <c r="B940" s="91"/>
      <c r="C940" s="92"/>
      <c r="D940" s="93"/>
      <c r="E940" s="94"/>
      <c r="F940" s="95"/>
      <c r="G940" s="95"/>
      <c r="H940" s="65" t="str">
        <f>IF(OR(Resultados!$F940="",Resultados!$G940=""),"",(Resultados!$G940-Resultados!$F940)*Resultados!$E940)</f>
        <v/>
      </c>
      <c r="I940" s="65" t="str">
        <f ca="1">IF(ISBLANK(Resultados!$C940),"",
IF(ROW()-1=3,Resultados!$H940,INDIRECT(ADDRESS(ROW()-1,COLUMN()))+Resultados!$H940))</f>
        <v/>
      </c>
    </row>
    <row r="941" spans="2:9" ht="15.75" customHeight="1">
      <c r="B941" s="91"/>
      <c r="C941" s="92"/>
      <c r="D941" s="93"/>
      <c r="E941" s="94"/>
      <c r="F941" s="95"/>
      <c r="G941" s="95"/>
      <c r="H941" s="65" t="str">
        <f>IF(OR(Resultados!$F941="",Resultados!$G941=""),"",(Resultados!$G941-Resultados!$F941)*Resultados!$E941)</f>
        <v/>
      </c>
      <c r="I941" s="65" t="str">
        <f ca="1">IF(ISBLANK(Resultados!$C941),"",
IF(ROW()-1=3,Resultados!$H941,INDIRECT(ADDRESS(ROW()-1,COLUMN()))+Resultados!$H941))</f>
        <v/>
      </c>
    </row>
    <row r="942" spans="2:9" ht="15.75" customHeight="1">
      <c r="B942" s="91"/>
      <c r="C942" s="92"/>
      <c r="D942" s="93"/>
      <c r="E942" s="94"/>
      <c r="F942" s="95"/>
      <c r="G942" s="95"/>
      <c r="H942" s="65" t="str">
        <f>IF(OR(Resultados!$F942="",Resultados!$G942=""),"",(Resultados!$G942-Resultados!$F942)*Resultados!$E942)</f>
        <v/>
      </c>
      <c r="I942" s="65" t="str">
        <f ca="1">IF(ISBLANK(Resultados!$C942),"",
IF(ROW()-1=3,Resultados!$H942,INDIRECT(ADDRESS(ROW()-1,COLUMN()))+Resultados!$H942))</f>
        <v/>
      </c>
    </row>
    <row r="943" spans="2:9" ht="15.75" customHeight="1">
      <c r="B943" s="91"/>
      <c r="C943" s="92"/>
      <c r="D943" s="93"/>
      <c r="E943" s="94"/>
      <c r="F943" s="95"/>
      <c r="G943" s="95"/>
      <c r="H943" s="65" t="str">
        <f>IF(OR(Resultados!$F943="",Resultados!$G943=""),"",(Resultados!$G943-Resultados!$F943)*Resultados!$E943)</f>
        <v/>
      </c>
      <c r="I943" s="65" t="str">
        <f ca="1">IF(ISBLANK(Resultados!$C943),"",
IF(ROW()-1=3,Resultados!$H943,INDIRECT(ADDRESS(ROW()-1,COLUMN()))+Resultados!$H943))</f>
        <v/>
      </c>
    </row>
    <row r="944" spans="2:9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B2:I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Z1000"/>
  <sheetViews>
    <sheetView showGridLines="0" workbookViewId="0"/>
  </sheetViews>
  <sheetFormatPr defaultColWidth="14.42578125" defaultRowHeight="15" customHeight="1"/>
  <cols>
    <col min="1" max="1" width="3.5703125" customWidth="1"/>
    <col min="2" max="13" width="15.140625" customWidth="1"/>
    <col min="14" max="26" width="21.42578125" customWidth="1"/>
  </cols>
  <sheetData>
    <row r="1" spans="1:26" ht="52.5" customHeight="1">
      <c r="A1" s="4"/>
      <c r="B1" s="2" t="s">
        <v>249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122" t="s">
        <v>250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6" t="s">
        <v>251</v>
      </c>
      <c r="C35" s="46" t="s">
        <v>252</v>
      </c>
      <c r="D35" s="46" t="s">
        <v>253</v>
      </c>
      <c r="E35" s="46" t="s">
        <v>254</v>
      </c>
      <c r="F35" s="46" t="s">
        <v>255</v>
      </c>
      <c r="G35" s="46" t="s">
        <v>256</v>
      </c>
      <c r="H35" s="46" t="s">
        <v>257</v>
      </c>
      <c r="I35" s="46" t="s">
        <v>258</v>
      </c>
      <c r="J35" s="46" t="s">
        <v>259</v>
      </c>
      <c r="K35" s="46" t="s">
        <v>260</v>
      </c>
      <c r="L35" s="46" t="s">
        <v>261</v>
      </c>
      <c r="M35" s="46" t="s">
        <v>262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102">
        <v>43647</v>
      </c>
      <c r="C36" s="103">
        <v>200000</v>
      </c>
      <c r="D36" s="52">
        <f>SUMIFS(Resultados!$H$4:$H$447,Resultados!$C$4:$C$447,"&gt;="&amp;Dados!D4,Resultados!$C$4:$C$447,"&lt;="&amp;Dados!E4,Resultados!$H$4:$H$447,"&gt;0")</f>
        <v>2238.0000000000009</v>
      </c>
      <c r="E36" s="52">
        <f>SUMIFS(Resultados!$H$4:$H$447,Resultados!$C$4:$C$447,"&gt;="&amp;Dados!D4,Resultados!$C$4:$C$447,"&lt;="&amp;Dados!E4,Resultados!$H$4:$H$447,"&lt;0")</f>
        <v>0</v>
      </c>
      <c r="F36" s="104" t="str">
        <f t="shared" ref="F36:F65" si="0">IFERROR(D36/ABS(E36),"0")</f>
        <v>0</v>
      </c>
      <c r="G36" s="52">
        <f t="shared" ref="G36:G65" si="1">D36+E36</f>
        <v>2238.0000000000009</v>
      </c>
      <c r="H36" s="105">
        <f t="shared" ref="H36:H65" si="2">IFERROR(G36/C36,0)</f>
        <v>1.1190000000000004E-2</v>
      </c>
      <c r="I36" s="52">
        <f t="shared" ref="I36:I65" si="3">SUM($D$36:D36)</f>
        <v>2238.0000000000009</v>
      </c>
      <c r="J36" s="52">
        <f t="shared" ref="J36:J65" si="4">SUM($E$36:E36)</f>
        <v>0</v>
      </c>
      <c r="K36" s="106" t="str">
        <f t="shared" ref="K36:K65" si="5">IFERROR(I36/ABS(J36),"0")</f>
        <v>0</v>
      </c>
      <c r="L36" s="52">
        <f t="shared" ref="L36:L65" si="6">SUM($G$36:G36)</f>
        <v>2238.0000000000009</v>
      </c>
      <c r="M36" s="105">
        <f t="shared" ref="M36:M65" si="7">IFERROR(L36/C36,0)</f>
        <v>1.1190000000000004E-2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102">
        <v>43678</v>
      </c>
      <c r="C37" s="52">
        <f t="shared" ref="C37:C65" si="8">C36+G36</f>
        <v>202238</v>
      </c>
      <c r="D37" s="52">
        <f>SUMIFS(Resultados!$H$4:$H$447,Resultados!$C$4:$C$447,"&gt;="&amp;Dados!D5,Resultados!$C$4:$C$447,"&lt;="&amp;Dados!E5,Resultados!$H$4:$H$447,"&gt;0")</f>
        <v>10436.999999999993</v>
      </c>
      <c r="E37" s="52">
        <f>SUMIFS(Resultados!$H$4:$H$447,Resultados!$C$4:$C$447,"&gt;="&amp;Dados!D5,Resultados!$C$4:$C$447,"&lt;="&amp;Dados!E5,Resultados!$H$4:$H$447,"&lt;0")</f>
        <v>-7089.0000000000027</v>
      </c>
      <c r="F37" s="104">
        <f t="shared" si="0"/>
        <v>1.4722809987304257</v>
      </c>
      <c r="G37" s="52">
        <f t="shared" si="1"/>
        <v>3347.99999999999</v>
      </c>
      <c r="H37" s="105">
        <f t="shared" si="2"/>
        <v>1.6554752321522117E-2</v>
      </c>
      <c r="I37" s="52">
        <f t="shared" si="3"/>
        <v>12674.999999999993</v>
      </c>
      <c r="J37" s="52">
        <f t="shared" si="4"/>
        <v>-7089.0000000000027</v>
      </c>
      <c r="K37" s="106">
        <f t="shared" si="5"/>
        <v>1.7879813796021988</v>
      </c>
      <c r="L37" s="52">
        <f t="shared" si="6"/>
        <v>5585.9999999999909</v>
      </c>
      <c r="M37" s="105">
        <f t="shared" si="7"/>
        <v>2.7620921884116689E-2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102">
        <v>43709</v>
      </c>
      <c r="C38" s="52">
        <f t="shared" si="8"/>
        <v>205586</v>
      </c>
      <c r="D38" s="52">
        <f>SUMIFS(Resultados!$H$4:$H$447,Resultados!$C$4:$C$447,"&gt;="&amp;Dados!D6,Resultados!$C$4:$C$447,"&lt;="&amp;Dados!E6,Resultados!$H$4:$H$447,"&gt;0")</f>
        <v>12276.000000000002</v>
      </c>
      <c r="E38" s="52">
        <f>SUMIFS(Resultados!$H$4:$H$447,Resultados!$C$4:$C$447,"&gt;="&amp;Dados!D6,Resultados!$C$4:$C$447,"&lt;="&amp;Dados!E6,Resultados!$H$4:$H$447,"&lt;0")</f>
        <v>-6522.9999999999991</v>
      </c>
      <c r="F38" s="104">
        <f t="shared" si="0"/>
        <v>1.8819561551433395</v>
      </c>
      <c r="G38" s="52">
        <f t="shared" si="1"/>
        <v>5753.0000000000027</v>
      </c>
      <c r="H38" s="105">
        <f t="shared" si="2"/>
        <v>2.7983422995729295E-2</v>
      </c>
      <c r="I38" s="52">
        <f t="shared" si="3"/>
        <v>24950.999999999993</v>
      </c>
      <c r="J38" s="52">
        <f t="shared" si="4"/>
        <v>-13612.000000000002</v>
      </c>
      <c r="K38" s="106">
        <f t="shared" si="5"/>
        <v>1.833014986776373</v>
      </c>
      <c r="L38" s="52">
        <f t="shared" si="6"/>
        <v>11338.999999999993</v>
      </c>
      <c r="M38" s="105">
        <f t="shared" si="7"/>
        <v>5.5154533869037736E-2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102">
        <v>43739</v>
      </c>
      <c r="C39" s="52">
        <f t="shared" si="8"/>
        <v>211339</v>
      </c>
      <c r="D39" s="52">
        <f>SUMIFS(Resultados!$H$4:$H$447,Resultados!$C$4:$C$447,"&gt;="&amp;Dados!D7,Resultados!$C$4:$C$447,"&lt;="&amp;Dados!E7,Resultados!$H$4:$H$447,"&gt;0")</f>
        <v>9960</v>
      </c>
      <c r="E39" s="52">
        <f>SUMIFS(Resultados!$H$4:$H$447,Resultados!$C$4:$C$447,"&gt;="&amp;Dados!D7,Resultados!$C$4:$C$447,"&lt;="&amp;Dados!E7,Resultados!$H$4:$H$447,"&lt;0")</f>
        <v>-7126.0000000000045</v>
      </c>
      <c r="F39" s="104">
        <f t="shared" si="0"/>
        <v>1.397698568621947</v>
      </c>
      <c r="G39" s="52">
        <f t="shared" si="1"/>
        <v>2833.9999999999955</v>
      </c>
      <c r="H39" s="105">
        <f t="shared" si="2"/>
        <v>1.3409735070195257E-2</v>
      </c>
      <c r="I39" s="52">
        <f t="shared" si="3"/>
        <v>34910.999999999993</v>
      </c>
      <c r="J39" s="52">
        <f t="shared" si="4"/>
        <v>-20738.000000000007</v>
      </c>
      <c r="K39" s="106">
        <f t="shared" si="5"/>
        <v>1.6834313820040496</v>
      </c>
      <c r="L39" s="52">
        <f t="shared" si="6"/>
        <v>14172.999999999989</v>
      </c>
      <c r="M39" s="105">
        <f t="shared" si="7"/>
        <v>6.7062870553944082E-2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102">
        <v>43770</v>
      </c>
      <c r="C40" s="52">
        <f t="shared" si="8"/>
        <v>214173</v>
      </c>
      <c r="D40" s="52">
        <f>SUMIFS(Resultados!$H$4:$H$447,Resultados!$C$4:$C$447,"&gt;="&amp;Dados!D8,Resultados!$C$4:$C$447,"&lt;="&amp;Dados!E8,Resultados!$H$4:$H$447,"&gt;0")</f>
        <v>10325.000000000002</v>
      </c>
      <c r="E40" s="52">
        <f>SUMIFS(Resultados!$H$4:$H$447,Resultados!$C$4:$C$447,"&gt;="&amp;Dados!D8,Resultados!$C$4:$C$447,"&lt;="&amp;Dados!E8,Resultados!$H$4:$H$447,"&lt;0")</f>
        <v>-4279.9999999999991</v>
      </c>
      <c r="F40" s="104">
        <f t="shared" si="0"/>
        <v>2.4123831775700944</v>
      </c>
      <c r="G40" s="52">
        <f t="shared" si="1"/>
        <v>6045.0000000000027</v>
      </c>
      <c r="H40" s="105">
        <f t="shared" si="2"/>
        <v>2.8224846269137578E-2</v>
      </c>
      <c r="I40" s="52">
        <f t="shared" si="3"/>
        <v>45235.999999999993</v>
      </c>
      <c r="J40" s="52">
        <f t="shared" si="4"/>
        <v>-25018.000000000007</v>
      </c>
      <c r="K40" s="106">
        <f t="shared" si="5"/>
        <v>1.8081381405388113</v>
      </c>
      <c r="L40" s="52">
        <f t="shared" si="6"/>
        <v>20217.999999999993</v>
      </c>
      <c r="M40" s="105">
        <f t="shared" si="7"/>
        <v>9.4400321235636575E-2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102">
        <v>43800</v>
      </c>
      <c r="C41" s="52">
        <f t="shared" si="8"/>
        <v>220218</v>
      </c>
      <c r="D41" s="52">
        <f>SUMIFS(Resultados!$H$4:$H$447,Resultados!$C$4:$C$447,"&gt;="&amp;Dados!D9,Resultados!$C$4:$C$447,"&lt;="&amp;Dados!E9,Resultados!$H$4:$H$447,"&gt;0")</f>
        <v>13631.999999999998</v>
      </c>
      <c r="E41" s="52">
        <f>SUMIFS(Resultados!$H$4:$H$447,Resultados!$C$4:$C$447,"&gt;="&amp;Dados!D9,Resultados!$C$4:$C$447,"&lt;="&amp;Dados!E9,Resultados!$H$4:$H$447,"&lt;0")</f>
        <v>-3924.0000000000032</v>
      </c>
      <c r="F41" s="104">
        <f t="shared" si="0"/>
        <v>3.4740061162079479</v>
      </c>
      <c r="G41" s="52">
        <f t="shared" si="1"/>
        <v>9707.9999999999945</v>
      </c>
      <c r="H41" s="105">
        <f t="shared" si="2"/>
        <v>4.4083589897283573E-2</v>
      </c>
      <c r="I41" s="52">
        <f t="shared" si="3"/>
        <v>58867.999999999993</v>
      </c>
      <c r="J41" s="52">
        <f t="shared" si="4"/>
        <v>-28942.000000000011</v>
      </c>
      <c r="K41" s="106">
        <f t="shared" si="5"/>
        <v>2.0339990325478534</v>
      </c>
      <c r="L41" s="52">
        <f t="shared" si="6"/>
        <v>29925.999999999985</v>
      </c>
      <c r="M41" s="105">
        <f t="shared" si="7"/>
        <v>0.1358926154991871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102">
        <v>43831</v>
      </c>
      <c r="C42" s="52">
        <f t="shared" si="8"/>
        <v>229926</v>
      </c>
      <c r="D42" s="52">
        <f>SUMIFS(Resultados!$H$4:$H$447,Resultados!$C$4:$C$447,"&gt;="&amp;Dados!D10,Resultados!$C$4:$C$447,"&lt;="&amp;Dados!E10,Resultados!$H$4:$H$447,"&gt;0")</f>
        <v>17657.000000000004</v>
      </c>
      <c r="E42" s="52">
        <f>SUMIFS(Resultados!$H$4:$H$447,Resultados!$C$4:$C$447,"&gt;="&amp;Dados!D10,Resultados!$C$4:$C$447,"&lt;="&amp;Dados!E10,Resultados!$H$4:$H$447,"&lt;0")</f>
        <v>-9877.9999999999982</v>
      </c>
      <c r="F42" s="104">
        <f t="shared" si="0"/>
        <v>1.7875075926300878</v>
      </c>
      <c r="G42" s="52">
        <f t="shared" si="1"/>
        <v>7779.0000000000055</v>
      </c>
      <c r="H42" s="105">
        <f t="shared" si="2"/>
        <v>3.3832624409592678E-2</v>
      </c>
      <c r="I42" s="52">
        <f t="shared" si="3"/>
        <v>76525</v>
      </c>
      <c r="J42" s="52">
        <f t="shared" si="4"/>
        <v>-38820.000000000007</v>
      </c>
      <c r="K42" s="106">
        <f t="shared" si="5"/>
        <v>1.9712776919113855</v>
      </c>
      <c r="L42" s="52">
        <f t="shared" si="6"/>
        <v>37704.999999999993</v>
      </c>
      <c r="M42" s="105">
        <f t="shared" si="7"/>
        <v>0.16398754381844591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102">
        <v>43862</v>
      </c>
      <c r="C43" s="52">
        <f t="shared" si="8"/>
        <v>237705</v>
      </c>
      <c r="D43" s="52">
        <f>SUMIFS(Resultados!$H$4:$H$447,Resultados!$C$4:$C$447,"&gt;="&amp;Dados!D11,Resultados!$C$4:$C$447,"&lt;="&amp;Dados!E11,Resultados!$H$4:$H$447,"&gt;0")</f>
        <v>5888</v>
      </c>
      <c r="E43" s="52">
        <f>SUMIFS(Resultados!$H$4:$H$447,Resultados!$C$4:$C$447,"&gt;="&amp;Dados!D11,Resultados!$C$4:$C$447,"&lt;="&amp;Dados!E11,Resultados!$H$4:$H$447,"&lt;0")</f>
        <v>-19111.28571428563</v>
      </c>
      <c r="F43" s="104">
        <f t="shared" si="0"/>
        <v>0.3080902084781631</v>
      </c>
      <c r="G43" s="52">
        <f t="shared" si="1"/>
        <v>-13223.28571428563</v>
      </c>
      <c r="H43" s="105">
        <f t="shared" si="2"/>
        <v>-5.5628975891485792E-2</v>
      </c>
      <c r="I43" s="52">
        <f t="shared" si="3"/>
        <v>82413</v>
      </c>
      <c r="J43" s="52">
        <f t="shared" si="4"/>
        <v>-57931.285714285637</v>
      </c>
      <c r="K43" s="106">
        <f t="shared" si="5"/>
        <v>1.4225991877076063</v>
      </c>
      <c r="L43" s="52">
        <f t="shared" si="6"/>
        <v>24481.714285714363</v>
      </c>
      <c r="M43" s="105">
        <f t="shared" si="7"/>
        <v>0.10299200389438322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102">
        <v>43891</v>
      </c>
      <c r="C44" s="52">
        <f t="shared" si="8"/>
        <v>224481.71428571438</v>
      </c>
      <c r="D44" s="52">
        <f>SUMIFS(Resultados!$H$4:$H$447,Resultados!$C$4:$C$447,"&gt;="&amp;Dados!D12,Resultados!$C$4:$C$447,"&lt;="&amp;Dados!E12,Resultados!$H$4:$H$447,"&gt;0")</f>
        <v>6969.9999999999982</v>
      </c>
      <c r="E44" s="52">
        <f>SUMIFS(Resultados!$H$4:$H$447,Resultados!$C$4:$C$447,"&gt;="&amp;Dados!D12,Resultados!$C$4:$C$447,"&lt;="&amp;Dados!E12,Resultados!$H$4:$H$447,"&lt;0")</f>
        <v>-229.99999999999955</v>
      </c>
      <c r="F44" s="104">
        <f t="shared" si="0"/>
        <v>30.30434782608701</v>
      </c>
      <c r="G44" s="52">
        <f t="shared" si="1"/>
        <v>6739.9999999999982</v>
      </c>
      <c r="H44" s="105">
        <f t="shared" si="2"/>
        <v>3.0024717253457466E-2</v>
      </c>
      <c r="I44" s="52">
        <f t="shared" si="3"/>
        <v>89383</v>
      </c>
      <c r="J44" s="52">
        <f t="shared" si="4"/>
        <v>-58161.285714285637</v>
      </c>
      <c r="K44" s="106">
        <f t="shared" si="5"/>
        <v>1.5368126564307647</v>
      </c>
      <c r="L44" s="52">
        <f t="shared" si="6"/>
        <v>31221.714285714363</v>
      </c>
      <c r="M44" s="105">
        <f t="shared" si="7"/>
        <v>0.1390835524624344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102">
        <v>43922</v>
      </c>
      <c r="C45" s="52">
        <f t="shared" si="8"/>
        <v>231221.71428571438</v>
      </c>
      <c r="D45" s="52">
        <f>SUMIFS(Resultados!$H$4:$H$447,Resultados!$C$4:$C$447,"&gt;="&amp;Dados!D13,Resultados!$C$4:$C$447,"&lt;="&amp;Dados!E13,Resultados!$H$4:$H$447,"&gt;0")</f>
        <v>12227.999999999998</v>
      </c>
      <c r="E45" s="52">
        <f>SUMIFS(Resultados!$H$4:$H$447,Resultados!$C$4:$C$447,"&gt;="&amp;Dados!D13,Resultados!$C$4:$C$447,"&lt;="&amp;Dados!E13,Resultados!$H$4:$H$447,"&lt;0")</f>
        <v>-11523.999999999995</v>
      </c>
      <c r="F45" s="104">
        <f t="shared" si="0"/>
        <v>1.0610898993405071</v>
      </c>
      <c r="G45" s="52">
        <f t="shared" si="1"/>
        <v>704.00000000000364</v>
      </c>
      <c r="H45" s="105">
        <f t="shared" si="2"/>
        <v>3.0446967412848173E-3</v>
      </c>
      <c r="I45" s="52">
        <f t="shared" si="3"/>
        <v>101611</v>
      </c>
      <c r="J45" s="52">
        <f t="shared" si="4"/>
        <v>-69685.285714285637</v>
      </c>
      <c r="K45" s="106">
        <f t="shared" si="5"/>
        <v>1.4581413989835952</v>
      </c>
      <c r="L45" s="52">
        <f t="shared" si="6"/>
        <v>31925.714285714366</v>
      </c>
      <c r="M45" s="105">
        <f t="shared" si="7"/>
        <v>0.13807403160355705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102">
        <v>43952</v>
      </c>
      <c r="C46" s="52">
        <f t="shared" si="8"/>
        <v>231925.71428571438</v>
      </c>
      <c r="D46" s="52">
        <f>SUMIFS(Resultados!$H$4:$H$447,Resultados!$C$4:$C$447,"&gt;="&amp;Dados!D14,Resultados!$C$4:$C$447,"&lt;="&amp;Dados!E14,Resultados!$H$4:$H$447,"&gt;0")</f>
        <v>17832.900000000001</v>
      </c>
      <c r="E46" s="52">
        <f>SUMIFS(Resultados!$H$4:$H$447,Resultados!$C$4:$C$447,"&gt;="&amp;Dados!D14,Resultados!$C$4:$C$447,"&lt;="&amp;Dados!E14,Resultados!$H$4:$H$447,"&lt;0")</f>
        <v>-15576.399999999998</v>
      </c>
      <c r="F46" s="104">
        <f t="shared" si="0"/>
        <v>1.1448665930510262</v>
      </c>
      <c r="G46" s="52">
        <f t="shared" si="1"/>
        <v>2256.5000000000036</v>
      </c>
      <c r="H46" s="105">
        <f t="shared" si="2"/>
        <v>9.7294084312711093E-3</v>
      </c>
      <c r="I46" s="52">
        <f t="shared" si="3"/>
        <v>119443.9</v>
      </c>
      <c r="J46" s="52">
        <f t="shared" si="4"/>
        <v>-85261.685714285632</v>
      </c>
      <c r="K46" s="106">
        <f t="shared" si="5"/>
        <v>1.4009094354556857</v>
      </c>
      <c r="L46" s="52">
        <f t="shared" si="6"/>
        <v>34182.21428571437</v>
      </c>
      <c r="M46" s="105">
        <f t="shared" si="7"/>
        <v>0.14738432256633929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102">
        <v>43983</v>
      </c>
      <c r="C47" s="52">
        <f t="shared" si="8"/>
        <v>234182.21428571438</v>
      </c>
      <c r="D47" s="52">
        <f>SUMIFS(Resultados!$H$4:$H$447,Resultados!$C$4:$C$447,"&gt;="&amp;Dados!D15,Resultados!$C$4:$C$447,"&lt;="&amp;Dados!E15,Resultados!$H$4:$H$447,"&gt;0")</f>
        <v>18161.999999999993</v>
      </c>
      <c r="E47" s="52">
        <f>SUMIFS(Resultados!$H$4:$H$447,Resultados!$C$4:$C$447,"&gt;="&amp;Dados!D15,Resultados!$C$4:$C$447,"&lt;="&amp;Dados!E15,Resultados!$H$4:$H$447,"&lt;0")</f>
        <v>-13936.500000000005</v>
      </c>
      <c r="F47" s="104">
        <f t="shared" si="0"/>
        <v>1.3031966419115262</v>
      </c>
      <c r="G47" s="52">
        <f t="shared" si="1"/>
        <v>4225.4999999999873</v>
      </c>
      <c r="H47" s="105">
        <f t="shared" si="2"/>
        <v>1.8043641840556939E-2</v>
      </c>
      <c r="I47" s="52">
        <f t="shared" si="3"/>
        <v>137605.9</v>
      </c>
      <c r="J47" s="52">
        <f t="shared" si="4"/>
        <v>-99198.185714285632</v>
      </c>
      <c r="K47" s="106">
        <f t="shared" si="5"/>
        <v>1.3871816204011806</v>
      </c>
      <c r="L47" s="52">
        <f t="shared" si="6"/>
        <v>38407.714285714355</v>
      </c>
      <c r="M47" s="105">
        <f t="shared" si="7"/>
        <v>0.16400781930798111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102">
        <v>44013</v>
      </c>
      <c r="C48" s="52">
        <f t="shared" si="8"/>
        <v>238407.71428571438</v>
      </c>
      <c r="D48" s="52">
        <f>SUMIFS(Resultados!$H$4:$H$447,Resultados!$C$4:$C$447,"&gt;="&amp;Dados!D16,Resultados!$C$4:$C$447,"&lt;="&amp;Dados!E16,Resultados!$H$4:$H$447,"&gt;0")</f>
        <v>15668.000000000004</v>
      </c>
      <c r="E48" s="52">
        <f>SUMIFS(Resultados!$H$4:$H$447,Resultados!$C$4:$C$447,"&gt;="&amp;Dados!D16,Resultados!$C$4:$C$447,"&lt;="&amp;Dados!E16,Resultados!$H$4:$H$447,"&lt;0")</f>
        <v>-10722</v>
      </c>
      <c r="F48" s="104">
        <f t="shared" si="0"/>
        <v>1.4612945346017538</v>
      </c>
      <c r="G48" s="52">
        <f t="shared" si="1"/>
        <v>4946.0000000000036</v>
      </c>
      <c r="H48" s="105">
        <f t="shared" si="2"/>
        <v>2.0745972985054421E-2</v>
      </c>
      <c r="I48" s="52">
        <f t="shared" si="3"/>
        <v>153273.9</v>
      </c>
      <c r="J48" s="52">
        <f t="shared" si="4"/>
        <v>-109920.18571428563</v>
      </c>
      <c r="K48" s="106">
        <f t="shared" si="5"/>
        <v>1.3944108536934536</v>
      </c>
      <c r="L48" s="52">
        <f t="shared" si="6"/>
        <v>43353.714285714363</v>
      </c>
      <c r="M48" s="105">
        <f t="shared" si="7"/>
        <v>0.18184694407060201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102">
        <v>44044</v>
      </c>
      <c r="C49" s="52">
        <f t="shared" si="8"/>
        <v>243353.71428571438</v>
      </c>
      <c r="D49" s="52">
        <f>SUMIFS(Resultados!$H$4:$H$447,Resultados!$C$4:$C$447,"&gt;="&amp;Dados!D17,Resultados!$C$4:$C$447,"&lt;="&amp;Dados!E17,Resultados!$H$4:$H$447,"&gt;0")</f>
        <v>0</v>
      </c>
      <c r="E49" s="52">
        <f>SUMIFS(Resultados!$H$4:$H$447,Resultados!$C$4:$C$447,"&gt;="&amp;Dados!D17,Resultados!$C$4:$C$447,"&lt;="&amp;Dados!E17,Resultados!$H$4:$H$447,"&lt;0")</f>
        <v>0</v>
      </c>
      <c r="F49" s="104" t="str">
        <f t="shared" si="0"/>
        <v>0</v>
      </c>
      <c r="G49" s="52">
        <f t="shared" si="1"/>
        <v>0</v>
      </c>
      <c r="H49" s="105">
        <f t="shared" si="2"/>
        <v>0</v>
      </c>
      <c r="I49" s="52">
        <f t="shared" si="3"/>
        <v>153273.9</v>
      </c>
      <c r="J49" s="52">
        <f t="shared" si="4"/>
        <v>-109920.18571428563</v>
      </c>
      <c r="K49" s="106">
        <f t="shared" si="5"/>
        <v>1.3944108536934536</v>
      </c>
      <c r="L49" s="52">
        <f t="shared" si="6"/>
        <v>43353.714285714363</v>
      </c>
      <c r="M49" s="105">
        <f t="shared" si="7"/>
        <v>0.17815102766343666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102">
        <v>44045</v>
      </c>
      <c r="C50" s="52">
        <f t="shared" si="8"/>
        <v>243353.71428571438</v>
      </c>
      <c r="D50" s="52">
        <f>SUMIFS(Resultados!$H$4:$H$447,Resultados!$C$4:$C$447,"&gt;="&amp;Dados!D18,Resultados!$C$4:$C$447,"&lt;="&amp;Dados!E18,Resultados!$H$4:$H$447,"&gt;0")</f>
        <v>0</v>
      </c>
      <c r="E50" s="52">
        <f>SUMIFS(Resultados!$H$4:$H$447,Resultados!$C$4:$C$447,"&gt;="&amp;Dados!D18,Resultados!$C$4:$C$447,"&lt;="&amp;Dados!E18,Resultados!$H$4:$H$447,"&lt;0")</f>
        <v>0</v>
      </c>
      <c r="F50" s="104" t="str">
        <f t="shared" si="0"/>
        <v>0</v>
      </c>
      <c r="G50" s="52">
        <f t="shared" si="1"/>
        <v>0</v>
      </c>
      <c r="H50" s="105">
        <f t="shared" si="2"/>
        <v>0</v>
      </c>
      <c r="I50" s="52">
        <f t="shared" si="3"/>
        <v>153273.9</v>
      </c>
      <c r="J50" s="52">
        <f t="shared" si="4"/>
        <v>-109920.18571428563</v>
      </c>
      <c r="K50" s="106">
        <f t="shared" si="5"/>
        <v>1.3944108536934536</v>
      </c>
      <c r="L50" s="52">
        <f t="shared" si="6"/>
        <v>43353.714285714363</v>
      </c>
      <c r="M50" s="105">
        <f t="shared" si="7"/>
        <v>0.17815102766343666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102">
        <v>44105</v>
      </c>
      <c r="C51" s="52">
        <f t="shared" si="8"/>
        <v>243353.71428571438</v>
      </c>
      <c r="D51" s="52">
        <f>SUMIFS(Resultados!$H$4:$H$447,Resultados!$C$4:$C$447,"&gt;="&amp;Dados!D19,Resultados!$C$4:$C$447,"&lt;="&amp;Dados!E19,Resultados!$H$4:$H$447,"&gt;0")</f>
        <v>0</v>
      </c>
      <c r="E51" s="52">
        <f>SUMIFS(Resultados!$H$4:$H$447,Resultados!$C$4:$C$447,"&gt;="&amp;Dados!D19,Resultados!$C$4:$C$447,"&lt;="&amp;Dados!E19,Resultados!$H$4:$H$447,"&lt;0")</f>
        <v>0</v>
      </c>
      <c r="F51" s="104" t="str">
        <f t="shared" si="0"/>
        <v>0</v>
      </c>
      <c r="G51" s="52">
        <f t="shared" si="1"/>
        <v>0</v>
      </c>
      <c r="H51" s="105">
        <f t="shared" si="2"/>
        <v>0</v>
      </c>
      <c r="I51" s="52">
        <f t="shared" si="3"/>
        <v>153273.9</v>
      </c>
      <c r="J51" s="52">
        <f t="shared" si="4"/>
        <v>-109920.18571428563</v>
      </c>
      <c r="K51" s="106">
        <f t="shared" si="5"/>
        <v>1.3944108536934536</v>
      </c>
      <c r="L51" s="52">
        <f t="shared" si="6"/>
        <v>43353.714285714363</v>
      </c>
      <c r="M51" s="105">
        <f t="shared" si="7"/>
        <v>0.17815102766343666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102">
        <v>44136</v>
      </c>
      <c r="C52" s="52">
        <f t="shared" si="8"/>
        <v>243353.71428571438</v>
      </c>
      <c r="D52" s="52">
        <f>SUMIFS(Resultados!$H$4:$H$447,Resultados!$C$4:$C$447,"&gt;="&amp;Dados!D20,Resultados!$C$4:$C$447,"&lt;="&amp;Dados!E20,Resultados!$H$4:$H$447,"&gt;0")</f>
        <v>0</v>
      </c>
      <c r="E52" s="52">
        <f>SUMIFS(Resultados!$H$4:$H$447,Resultados!$C$4:$C$447,"&gt;="&amp;Dados!D20,Resultados!$C$4:$C$447,"&lt;="&amp;Dados!E20,Resultados!$H$4:$H$447,"&lt;0")</f>
        <v>0</v>
      </c>
      <c r="F52" s="104" t="str">
        <f t="shared" si="0"/>
        <v>0</v>
      </c>
      <c r="G52" s="52">
        <f t="shared" si="1"/>
        <v>0</v>
      </c>
      <c r="H52" s="105">
        <f t="shared" si="2"/>
        <v>0</v>
      </c>
      <c r="I52" s="52">
        <f t="shared" si="3"/>
        <v>153273.9</v>
      </c>
      <c r="J52" s="52">
        <f t="shared" si="4"/>
        <v>-109920.18571428563</v>
      </c>
      <c r="K52" s="106">
        <f t="shared" si="5"/>
        <v>1.3944108536934536</v>
      </c>
      <c r="L52" s="52">
        <f t="shared" si="6"/>
        <v>43353.714285714363</v>
      </c>
      <c r="M52" s="105">
        <f t="shared" si="7"/>
        <v>0.17815102766343666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102">
        <v>44166</v>
      </c>
      <c r="C53" s="52">
        <f t="shared" si="8"/>
        <v>243353.71428571438</v>
      </c>
      <c r="D53" s="52">
        <f>SUMIFS(Resultados!$H$4:$H$447,Resultados!$C$4:$C$447,"&gt;="&amp;Dados!D21,Resultados!$C$4:$C$447,"&lt;="&amp;Dados!E21,Resultados!$H$4:$H$447,"&gt;0")</f>
        <v>0</v>
      </c>
      <c r="E53" s="52">
        <f>SUMIFS(Resultados!$H$4:$H$447,Resultados!$C$4:$C$447,"&gt;="&amp;Dados!D21,Resultados!$C$4:$C$447,"&lt;="&amp;Dados!E21,Resultados!$H$4:$H$447,"&lt;0")</f>
        <v>0</v>
      </c>
      <c r="F53" s="104" t="str">
        <f t="shared" si="0"/>
        <v>0</v>
      </c>
      <c r="G53" s="52">
        <f t="shared" si="1"/>
        <v>0</v>
      </c>
      <c r="H53" s="105">
        <f t="shared" si="2"/>
        <v>0</v>
      </c>
      <c r="I53" s="52">
        <f t="shared" si="3"/>
        <v>153273.9</v>
      </c>
      <c r="J53" s="52">
        <f t="shared" si="4"/>
        <v>-109920.18571428563</v>
      </c>
      <c r="K53" s="106">
        <f t="shared" si="5"/>
        <v>1.3944108536934536</v>
      </c>
      <c r="L53" s="52">
        <f t="shared" si="6"/>
        <v>43353.714285714363</v>
      </c>
      <c r="M53" s="105">
        <f t="shared" si="7"/>
        <v>0.17815102766343666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102">
        <v>44197</v>
      </c>
      <c r="C54" s="52">
        <f t="shared" si="8"/>
        <v>243353.71428571438</v>
      </c>
      <c r="D54" s="52">
        <f>SUMIFS(Resultados!$H$4:$H$447,Resultados!$C$4:$C$447,"&gt;="&amp;Dados!D22,Resultados!$C$4:$C$447,"&lt;="&amp;Dados!E22,Resultados!$H$4:$H$447,"&gt;0")</f>
        <v>0</v>
      </c>
      <c r="E54" s="52">
        <f>SUMIFS(Resultados!$H$4:$H$447,Resultados!$C$4:$C$447,"&gt;="&amp;Dados!D22,Resultados!$C$4:$C$447,"&lt;="&amp;Dados!E22,Resultados!$H$4:$H$447,"&lt;0")</f>
        <v>0</v>
      </c>
      <c r="F54" s="104" t="str">
        <f t="shared" si="0"/>
        <v>0</v>
      </c>
      <c r="G54" s="52">
        <f t="shared" si="1"/>
        <v>0</v>
      </c>
      <c r="H54" s="105">
        <f t="shared" si="2"/>
        <v>0</v>
      </c>
      <c r="I54" s="52">
        <f t="shared" si="3"/>
        <v>153273.9</v>
      </c>
      <c r="J54" s="52">
        <f t="shared" si="4"/>
        <v>-109920.18571428563</v>
      </c>
      <c r="K54" s="106">
        <f t="shared" si="5"/>
        <v>1.3944108536934536</v>
      </c>
      <c r="L54" s="52">
        <f t="shared" si="6"/>
        <v>43353.714285714363</v>
      </c>
      <c r="M54" s="105">
        <f t="shared" si="7"/>
        <v>0.17815102766343666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102">
        <v>44228</v>
      </c>
      <c r="C55" s="52">
        <f t="shared" si="8"/>
        <v>243353.71428571438</v>
      </c>
      <c r="D55" s="52">
        <f>SUMIFS(Resultados!$H$4:$H$447,Resultados!$C$4:$C$447,"&gt;="&amp;Dados!D23,Resultados!$C$4:$C$447,"&lt;="&amp;Dados!E23,Resultados!$H$4:$H$447,"&gt;0")</f>
        <v>0</v>
      </c>
      <c r="E55" s="52">
        <f>SUMIFS(Resultados!$H$4:$H$447,Resultados!$C$4:$C$447,"&gt;="&amp;Dados!D23,Resultados!$C$4:$C$447,"&lt;="&amp;Dados!E23,Resultados!$H$4:$H$447,"&lt;0")</f>
        <v>0</v>
      </c>
      <c r="F55" s="104" t="str">
        <f t="shared" si="0"/>
        <v>0</v>
      </c>
      <c r="G55" s="52">
        <f t="shared" si="1"/>
        <v>0</v>
      </c>
      <c r="H55" s="105">
        <f t="shared" si="2"/>
        <v>0</v>
      </c>
      <c r="I55" s="52">
        <f t="shared" si="3"/>
        <v>153273.9</v>
      </c>
      <c r="J55" s="52">
        <f t="shared" si="4"/>
        <v>-109920.18571428563</v>
      </c>
      <c r="K55" s="106">
        <f t="shared" si="5"/>
        <v>1.3944108536934536</v>
      </c>
      <c r="L55" s="52">
        <f t="shared" si="6"/>
        <v>43353.714285714363</v>
      </c>
      <c r="M55" s="105">
        <f t="shared" si="7"/>
        <v>0.17815102766343666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102">
        <v>44256</v>
      </c>
      <c r="C56" s="52">
        <f t="shared" si="8"/>
        <v>243353.71428571438</v>
      </c>
      <c r="D56" s="52">
        <f>SUMIFS(Resultados!$H$4:$H$447,Resultados!$C$4:$C$447,"&gt;="&amp;Dados!D24,Resultados!$C$4:$C$447,"&lt;="&amp;Dados!E24,Resultados!$H$4:$H$447,"&gt;0")</f>
        <v>0</v>
      </c>
      <c r="E56" s="52">
        <f>SUMIFS(Resultados!$H$4:$H$447,Resultados!$C$4:$C$447,"&gt;="&amp;Dados!D24,Resultados!$C$4:$C$447,"&lt;="&amp;Dados!E24,Resultados!$H$4:$H$447,"&lt;0")</f>
        <v>0</v>
      </c>
      <c r="F56" s="104" t="str">
        <f t="shared" si="0"/>
        <v>0</v>
      </c>
      <c r="G56" s="52">
        <f t="shared" si="1"/>
        <v>0</v>
      </c>
      <c r="H56" s="105">
        <f t="shared" si="2"/>
        <v>0</v>
      </c>
      <c r="I56" s="52">
        <f t="shared" si="3"/>
        <v>153273.9</v>
      </c>
      <c r="J56" s="52">
        <f t="shared" si="4"/>
        <v>-109920.18571428563</v>
      </c>
      <c r="K56" s="106">
        <f t="shared" si="5"/>
        <v>1.3944108536934536</v>
      </c>
      <c r="L56" s="52">
        <f t="shared" si="6"/>
        <v>43353.714285714363</v>
      </c>
      <c r="M56" s="105">
        <f t="shared" si="7"/>
        <v>0.17815102766343666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102">
        <v>44287</v>
      </c>
      <c r="C57" s="52">
        <f t="shared" si="8"/>
        <v>243353.71428571438</v>
      </c>
      <c r="D57" s="52">
        <f>SUMIFS(Resultados!$H$4:$H$447,Resultados!$C$4:$C$447,"&gt;="&amp;Dados!D25,Resultados!$C$4:$C$447,"&lt;="&amp;Dados!E25,Resultados!$H$4:$H$447,"&gt;0")</f>
        <v>0</v>
      </c>
      <c r="E57" s="52">
        <f>SUMIFS(Resultados!$H$4:$H$447,Resultados!$C$4:$C$447,"&gt;="&amp;Dados!D25,Resultados!$C$4:$C$447,"&lt;="&amp;Dados!E25,Resultados!$H$4:$H$447,"&lt;0")</f>
        <v>0</v>
      </c>
      <c r="F57" s="104" t="str">
        <f t="shared" si="0"/>
        <v>0</v>
      </c>
      <c r="G57" s="52">
        <f t="shared" si="1"/>
        <v>0</v>
      </c>
      <c r="H57" s="105">
        <f t="shared" si="2"/>
        <v>0</v>
      </c>
      <c r="I57" s="52">
        <f t="shared" si="3"/>
        <v>153273.9</v>
      </c>
      <c r="J57" s="52">
        <f t="shared" si="4"/>
        <v>-109920.18571428563</v>
      </c>
      <c r="K57" s="106">
        <f t="shared" si="5"/>
        <v>1.3944108536934536</v>
      </c>
      <c r="L57" s="52">
        <f t="shared" si="6"/>
        <v>43353.714285714363</v>
      </c>
      <c r="M57" s="105">
        <f t="shared" si="7"/>
        <v>0.17815102766343666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102">
        <v>44317</v>
      </c>
      <c r="C58" s="52">
        <f t="shared" si="8"/>
        <v>243353.71428571438</v>
      </c>
      <c r="D58" s="52">
        <f>SUMIFS(Resultados!$H$4:$H$447,Resultados!$C$4:$C$447,"&gt;="&amp;Dados!D26,Resultados!$C$4:$C$447,"&lt;="&amp;Dados!E26,Resultados!$H$4:$H$447,"&gt;0")</f>
        <v>0</v>
      </c>
      <c r="E58" s="52">
        <f>SUMIFS(Resultados!$H$4:$H$447,Resultados!$C$4:$C$447,"&gt;="&amp;Dados!D26,Resultados!$C$4:$C$447,"&lt;="&amp;Dados!E26,Resultados!$H$4:$H$447,"&lt;0")</f>
        <v>0</v>
      </c>
      <c r="F58" s="104" t="str">
        <f t="shared" si="0"/>
        <v>0</v>
      </c>
      <c r="G58" s="52">
        <f t="shared" si="1"/>
        <v>0</v>
      </c>
      <c r="H58" s="105">
        <f t="shared" si="2"/>
        <v>0</v>
      </c>
      <c r="I58" s="52">
        <f t="shared" si="3"/>
        <v>153273.9</v>
      </c>
      <c r="J58" s="52">
        <f t="shared" si="4"/>
        <v>-109920.18571428563</v>
      </c>
      <c r="K58" s="106">
        <f t="shared" si="5"/>
        <v>1.3944108536934536</v>
      </c>
      <c r="L58" s="52">
        <f t="shared" si="6"/>
        <v>43353.714285714363</v>
      </c>
      <c r="M58" s="105">
        <f t="shared" si="7"/>
        <v>0.17815102766343666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102">
        <v>44348</v>
      </c>
      <c r="C59" s="52">
        <f t="shared" si="8"/>
        <v>243353.71428571438</v>
      </c>
      <c r="D59" s="52">
        <f>SUMIFS(Resultados!$H$4:$H$447,Resultados!$C$4:$C$447,"&gt;="&amp;Dados!D27,Resultados!$C$4:$C$447,"&lt;="&amp;Dados!E27,Resultados!$H$4:$H$447,"&gt;0")</f>
        <v>0</v>
      </c>
      <c r="E59" s="52">
        <f>SUMIFS(Resultados!$H$4:$H$447,Resultados!$C$4:$C$447,"&gt;="&amp;Dados!D27,Resultados!$C$4:$C$447,"&lt;="&amp;Dados!E27,Resultados!$H$4:$H$447,"&lt;0")</f>
        <v>0</v>
      </c>
      <c r="F59" s="104" t="str">
        <f t="shared" si="0"/>
        <v>0</v>
      </c>
      <c r="G59" s="52">
        <f t="shared" si="1"/>
        <v>0</v>
      </c>
      <c r="H59" s="105">
        <f t="shared" si="2"/>
        <v>0</v>
      </c>
      <c r="I59" s="52">
        <f t="shared" si="3"/>
        <v>153273.9</v>
      </c>
      <c r="J59" s="52">
        <f t="shared" si="4"/>
        <v>-109920.18571428563</v>
      </c>
      <c r="K59" s="106">
        <f t="shared" si="5"/>
        <v>1.3944108536934536</v>
      </c>
      <c r="L59" s="52">
        <f t="shared" si="6"/>
        <v>43353.714285714363</v>
      </c>
      <c r="M59" s="105">
        <f t="shared" si="7"/>
        <v>0.17815102766343666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102">
        <v>44378</v>
      </c>
      <c r="C60" s="52">
        <f t="shared" si="8"/>
        <v>243353.71428571438</v>
      </c>
      <c r="D60" s="52">
        <f>SUMIFS(Resultados!$H$4:$H$447,Resultados!$C$4:$C$447,"&gt;="&amp;Dados!D28,Resultados!$C$4:$C$447,"&lt;="&amp;Dados!E28,Resultados!$H$4:$H$447,"&gt;0")</f>
        <v>0</v>
      </c>
      <c r="E60" s="52">
        <f>SUMIFS(Resultados!$H$4:$H$447,Resultados!$C$4:$C$447,"&gt;="&amp;Dados!D28,Resultados!$C$4:$C$447,"&lt;="&amp;Dados!E28,Resultados!$H$4:$H$447,"&lt;0")</f>
        <v>0</v>
      </c>
      <c r="F60" s="104" t="str">
        <f t="shared" si="0"/>
        <v>0</v>
      </c>
      <c r="G60" s="52">
        <f t="shared" si="1"/>
        <v>0</v>
      </c>
      <c r="H60" s="105">
        <f t="shared" si="2"/>
        <v>0</v>
      </c>
      <c r="I60" s="52">
        <f t="shared" si="3"/>
        <v>153273.9</v>
      </c>
      <c r="J60" s="52">
        <f t="shared" si="4"/>
        <v>-109920.18571428563</v>
      </c>
      <c r="K60" s="106">
        <f t="shared" si="5"/>
        <v>1.3944108536934536</v>
      </c>
      <c r="L60" s="52">
        <f t="shared" si="6"/>
        <v>43353.714285714363</v>
      </c>
      <c r="M60" s="105">
        <f t="shared" si="7"/>
        <v>0.17815102766343666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102">
        <v>44409</v>
      </c>
      <c r="C61" s="52">
        <f t="shared" si="8"/>
        <v>243353.71428571438</v>
      </c>
      <c r="D61" s="52">
        <f>SUMIFS(Resultados!$H$4:$H$447,Resultados!$C$4:$C$447,"&gt;="&amp;Dados!D29,Resultados!$C$4:$C$447,"&lt;="&amp;Dados!E29,Resultados!$H$4:$H$447,"&gt;0")</f>
        <v>0</v>
      </c>
      <c r="E61" s="52">
        <f>SUMIFS(Resultados!$H$4:$H$447,Resultados!$C$4:$C$447,"&gt;="&amp;Dados!D29,Resultados!$C$4:$C$447,"&lt;="&amp;Dados!E29,Resultados!$H$4:$H$447,"&lt;0")</f>
        <v>0</v>
      </c>
      <c r="F61" s="104" t="str">
        <f t="shared" si="0"/>
        <v>0</v>
      </c>
      <c r="G61" s="52">
        <f t="shared" si="1"/>
        <v>0</v>
      </c>
      <c r="H61" s="105">
        <f t="shared" si="2"/>
        <v>0</v>
      </c>
      <c r="I61" s="52">
        <f t="shared" si="3"/>
        <v>153273.9</v>
      </c>
      <c r="J61" s="52">
        <f t="shared" si="4"/>
        <v>-109920.18571428563</v>
      </c>
      <c r="K61" s="106">
        <f t="shared" si="5"/>
        <v>1.3944108536934536</v>
      </c>
      <c r="L61" s="52">
        <f t="shared" si="6"/>
        <v>43353.714285714363</v>
      </c>
      <c r="M61" s="105">
        <f t="shared" si="7"/>
        <v>0.17815102766343666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102">
        <v>44440</v>
      </c>
      <c r="C62" s="52">
        <f t="shared" si="8"/>
        <v>243353.71428571438</v>
      </c>
      <c r="D62" s="52">
        <f>SUMIFS(Resultados!$H$4:$H$447,Resultados!$C$4:$C$447,"&gt;="&amp;Dados!D30,Resultados!$C$4:$C$447,"&lt;="&amp;Dados!E30,Resultados!$H$4:$H$447,"&gt;0")</f>
        <v>0</v>
      </c>
      <c r="E62" s="52">
        <f>SUMIFS(Resultados!$H$4:$H$447,Resultados!$C$4:$C$447,"&gt;="&amp;Dados!D30,Resultados!$C$4:$C$447,"&lt;="&amp;Dados!E30,Resultados!$H$4:$H$447,"&lt;0")</f>
        <v>0</v>
      </c>
      <c r="F62" s="104" t="str">
        <f t="shared" si="0"/>
        <v>0</v>
      </c>
      <c r="G62" s="52">
        <f t="shared" si="1"/>
        <v>0</v>
      </c>
      <c r="H62" s="105">
        <f t="shared" si="2"/>
        <v>0</v>
      </c>
      <c r="I62" s="52">
        <f t="shared" si="3"/>
        <v>153273.9</v>
      </c>
      <c r="J62" s="52">
        <f t="shared" si="4"/>
        <v>-109920.18571428563</v>
      </c>
      <c r="K62" s="106">
        <f t="shared" si="5"/>
        <v>1.3944108536934536</v>
      </c>
      <c r="L62" s="52">
        <f t="shared" si="6"/>
        <v>43353.714285714363</v>
      </c>
      <c r="M62" s="105">
        <f t="shared" si="7"/>
        <v>0.17815102766343666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102">
        <v>44470</v>
      </c>
      <c r="C63" s="52">
        <f t="shared" si="8"/>
        <v>243353.71428571438</v>
      </c>
      <c r="D63" s="52">
        <f>SUMIFS(Resultados!$H$4:$H$447,Resultados!$C$4:$C$447,"&gt;="&amp;Dados!D31,Resultados!$C$4:$C$447,"&lt;="&amp;Dados!E31,Resultados!$H$4:$H$447,"&gt;0")</f>
        <v>0</v>
      </c>
      <c r="E63" s="52">
        <f>SUMIFS(Resultados!$H$4:$H$447,Resultados!$C$4:$C$447,"&gt;="&amp;Dados!D31,Resultados!$C$4:$C$447,"&lt;="&amp;Dados!E31,Resultados!$H$4:$H$447,"&lt;0")</f>
        <v>0</v>
      </c>
      <c r="F63" s="104" t="str">
        <f t="shared" si="0"/>
        <v>0</v>
      </c>
      <c r="G63" s="52">
        <f t="shared" si="1"/>
        <v>0</v>
      </c>
      <c r="H63" s="105">
        <f t="shared" si="2"/>
        <v>0</v>
      </c>
      <c r="I63" s="52">
        <f t="shared" si="3"/>
        <v>153273.9</v>
      </c>
      <c r="J63" s="52">
        <f t="shared" si="4"/>
        <v>-109920.18571428563</v>
      </c>
      <c r="K63" s="106">
        <f t="shared" si="5"/>
        <v>1.3944108536934536</v>
      </c>
      <c r="L63" s="52">
        <f t="shared" si="6"/>
        <v>43353.714285714363</v>
      </c>
      <c r="M63" s="105">
        <f t="shared" si="7"/>
        <v>0.17815102766343666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102">
        <v>44501</v>
      </c>
      <c r="C64" s="52">
        <f t="shared" si="8"/>
        <v>243353.71428571438</v>
      </c>
      <c r="D64" s="52">
        <f>SUMIFS(Resultados!$H$4:$H$447,Resultados!$C$4:$C$447,"&gt;="&amp;Dados!D32,Resultados!$C$4:$C$447,"&lt;="&amp;Dados!E32,Resultados!$H$4:$H$447,"&gt;0")</f>
        <v>0</v>
      </c>
      <c r="E64" s="52">
        <f>SUMIFS(Resultados!$H$4:$H$447,Resultados!$C$4:$C$447,"&gt;="&amp;Dados!D32,Resultados!$C$4:$C$447,"&lt;="&amp;Dados!E32,Resultados!$H$4:$H$447,"&lt;0")</f>
        <v>0</v>
      </c>
      <c r="F64" s="104" t="str">
        <f t="shared" si="0"/>
        <v>0</v>
      </c>
      <c r="G64" s="52">
        <f t="shared" si="1"/>
        <v>0</v>
      </c>
      <c r="H64" s="105">
        <f t="shared" si="2"/>
        <v>0</v>
      </c>
      <c r="I64" s="52">
        <f t="shared" si="3"/>
        <v>153273.9</v>
      </c>
      <c r="J64" s="52">
        <f t="shared" si="4"/>
        <v>-109920.18571428563</v>
      </c>
      <c r="K64" s="106">
        <f t="shared" si="5"/>
        <v>1.3944108536934536</v>
      </c>
      <c r="L64" s="52">
        <f t="shared" si="6"/>
        <v>43353.714285714363</v>
      </c>
      <c r="M64" s="105">
        <f t="shared" si="7"/>
        <v>0.17815102766343666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102">
        <v>44531</v>
      </c>
      <c r="C65" s="52">
        <f t="shared" si="8"/>
        <v>243353.71428571438</v>
      </c>
      <c r="D65" s="52">
        <f>SUMIFS(Resultados!$H$4:$H$447,Resultados!$C$4:$C$447,"&gt;="&amp;Dados!D33,Resultados!$C$4:$C$447,"&lt;="&amp;Dados!E33,Resultados!$H$4:$H$447,"&gt;0")</f>
        <v>0</v>
      </c>
      <c r="E65" s="52">
        <f>SUMIFS(Resultados!$H$4:$H$447,Resultados!$C$4:$C$447,"&gt;="&amp;Dados!D33,Resultados!$C$4:$C$447,"&lt;="&amp;Dados!E33,Resultados!$H$4:$H$447,"&lt;0")</f>
        <v>0</v>
      </c>
      <c r="F65" s="104" t="str">
        <f t="shared" si="0"/>
        <v>0</v>
      </c>
      <c r="G65" s="52">
        <f t="shared" si="1"/>
        <v>0</v>
      </c>
      <c r="H65" s="105">
        <f t="shared" si="2"/>
        <v>0</v>
      </c>
      <c r="I65" s="52">
        <f t="shared" si="3"/>
        <v>153273.9</v>
      </c>
      <c r="J65" s="52">
        <f t="shared" si="4"/>
        <v>-109920.18571428563</v>
      </c>
      <c r="K65" s="106">
        <f t="shared" si="5"/>
        <v>1.3944108536934536</v>
      </c>
      <c r="L65" s="52">
        <f t="shared" si="6"/>
        <v>43353.714285714363</v>
      </c>
      <c r="M65" s="105">
        <f t="shared" si="7"/>
        <v>0.17815102766343666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4:M34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9D9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2" width="11.42578125" customWidth="1"/>
    <col min="3" max="3" width="7.140625" customWidth="1"/>
    <col min="4" max="5" width="11.42578125" customWidth="1"/>
    <col min="6" max="6" width="7.140625" customWidth="1"/>
    <col min="7" max="7" width="11.42578125" customWidth="1"/>
    <col min="8" max="8" width="7.140625" customWidth="1"/>
    <col min="9" max="9" width="11.42578125" customWidth="1"/>
    <col min="10" max="10" width="7.140625" customWidth="1"/>
    <col min="11" max="11" width="19.42578125" customWidth="1"/>
    <col min="12" max="13" width="11.42578125" customWidth="1"/>
    <col min="14" max="26" width="7.140625" customWidth="1"/>
  </cols>
  <sheetData>
    <row r="1" spans="1:26" ht="18.75" customHeight="1">
      <c r="A1" s="123" t="s">
        <v>263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18.7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8.75" customHeight="1">
      <c r="A3" s="108" t="s">
        <v>29</v>
      </c>
      <c r="B3" s="108" t="s">
        <v>264</v>
      </c>
      <c r="C3" s="107"/>
      <c r="D3" s="108" t="s">
        <v>265</v>
      </c>
      <c r="E3" s="108" t="s">
        <v>266</v>
      </c>
      <c r="F3" s="107"/>
      <c r="G3" s="108" t="s">
        <v>267</v>
      </c>
      <c r="H3" s="107"/>
      <c r="I3" s="108" t="s">
        <v>18</v>
      </c>
      <c r="J3" s="107"/>
      <c r="K3" s="125" t="s">
        <v>268</v>
      </c>
      <c r="L3" s="126"/>
      <c r="M3" s="12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18.75" customHeight="1">
      <c r="A4" s="109" t="s">
        <v>151</v>
      </c>
      <c r="B4" s="110" t="s">
        <v>425</v>
      </c>
      <c r="C4" s="111"/>
      <c r="D4" s="112">
        <v>43647</v>
      </c>
      <c r="E4" s="112">
        <v>43677</v>
      </c>
      <c r="F4" s="107"/>
      <c r="G4" s="109" t="s">
        <v>43</v>
      </c>
      <c r="H4" s="107"/>
      <c r="I4" s="109" t="s">
        <v>26</v>
      </c>
      <c r="J4" s="107"/>
      <c r="K4" s="113" t="s">
        <v>269</v>
      </c>
      <c r="L4" s="113" t="s">
        <v>26</v>
      </c>
      <c r="M4" s="113" t="s">
        <v>270</v>
      </c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ht="18.75" customHeight="1">
      <c r="A5" s="109" t="s">
        <v>271</v>
      </c>
      <c r="B5" s="110" t="s">
        <v>425</v>
      </c>
      <c r="C5" s="107"/>
      <c r="D5" s="112">
        <v>43678</v>
      </c>
      <c r="E5" s="112">
        <v>43708</v>
      </c>
      <c r="F5" s="107"/>
      <c r="G5" s="109" t="s">
        <v>51</v>
      </c>
      <c r="H5" s="107"/>
      <c r="I5" s="109" t="s">
        <v>270</v>
      </c>
      <c r="J5" s="107"/>
      <c r="K5" s="114" t="s">
        <v>272</v>
      </c>
      <c r="L5" s="115" t="str">
        <f>IF(OR(ISBLANK(Posições!D7),ISBLANK(Posições!H3),ISBLANK(Posições!C13),),"",ROUNDDOWN((Posições!D7*Posições!H3)/Posições!C13,-2))</f>
        <v/>
      </c>
      <c r="M5" s="115" t="str">
        <f>IF(OR(ISBLANK(Posições!D7),ISBLANK(Posições!H3),ISBLANK(Posições!C13),),"",ROUNDDOWN((Posições!D7*Posições!H3)/Posições!C13,-1))</f>
        <v/>
      </c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8.75" customHeight="1">
      <c r="A6" s="109" t="s">
        <v>73</v>
      </c>
      <c r="B6" s="110" t="s">
        <v>425</v>
      </c>
      <c r="C6" s="107"/>
      <c r="D6" s="112">
        <v>43709</v>
      </c>
      <c r="E6" s="112">
        <v>43738</v>
      </c>
      <c r="F6" s="107"/>
      <c r="G6" s="107"/>
      <c r="H6" s="107"/>
      <c r="I6" s="107"/>
      <c r="J6" s="107"/>
      <c r="K6" s="114" t="s">
        <v>14</v>
      </c>
      <c r="L6" s="115" t="str">
        <f>IF(OR(ISBLANK(Posições!D8),ISBLANK(Posições!H3),ISBLANK(Posições!C13),ISBLANK(Posições!D13)),"",ROUNDDOWN(Posições!D8*Posições!H3/ABS(Posições!C13-Posições!D13),-2))</f>
        <v/>
      </c>
      <c r="M6" s="115" t="str">
        <f>IF(OR(ISBLANK(Posições!D8),ISBLANK(Posições!H3),ISBLANK(Posições!C13),ISBLANK(Posições!D13)),"",ROUNDDOWN(Posições!D8*Posições!H3/ABS(Posições!C13-Posições!D13),-1))</f>
        <v/>
      </c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ht="18.75" customHeight="1">
      <c r="A7" s="109" t="s">
        <v>204</v>
      </c>
      <c r="B7" s="110" t="s">
        <v>425</v>
      </c>
      <c r="C7" s="107"/>
      <c r="D7" s="112">
        <v>43739</v>
      </c>
      <c r="E7" s="112">
        <v>43769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 ht="18.75" customHeight="1">
      <c r="A8" s="109" t="s">
        <v>79</v>
      </c>
      <c r="B8" s="110" t="s">
        <v>425</v>
      </c>
      <c r="C8" s="107"/>
      <c r="D8" s="112">
        <v>43770</v>
      </c>
      <c r="E8" s="112">
        <v>43799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8.75" customHeight="1">
      <c r="A9" s="109" t="s">
        <v>177</v>
      </c>
      <c r="B9" s="110" t="s">
        <v>425</v>
      </c>
      <c r="C9" s="107"/>
      <c r="D9" s="112">
        <v>43800</v>
      </c>
      <c r="E9" s="112">
        <v>43830</v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8.75" customHeight="1">
      <c r="A10" s="109" t="s">
        <v>106</v>
      </c>
      <c r="B10" s="110" t="s">
        <v>425</v>
      </c>
      <c r="C10" s="107"/>
      <c r="D10" s="112">
        <v>43831</v>
      </c>
      <c r="E10" s="112">
        <v>43861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8.75" customHeight="1">
      <c r="A11" s="109" t="s">
        <v>203</v>
      </c>
      <c r="B11" s="110" t="s">
        <v>425</v>
      </c>
      <c r="C11" s="107"/>
      <c r="D11" s="112">
        <v>43862</v>
      </c>
      <c r="E11" s="112">
        <v>43890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8.75" customHeight="1">
      <c r="A12" s="109" t="s">
        <v>235</v>
      </c>
      <c r="B12" s="110" t="s">
        <v>425</v>
      </c>
      <c r="C12" s="107"/>
      <c r="D12" s="112">
        <v>43891</v>
      </c>
      <c r="E12" s="112">
        <v>43921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8.75" customHeight="1">
      <c r="A13" s="109" t="s">
        <v>127</v>
      </c>
      <c r="B13" s="110" t="s">
        <v>425</v>
      </c>
      <c r="C13" s="107"/>
      <c r="D13" s="112">
        <v>43922</v>
      </c>
      <c r="E13" s="112">
        <v>43951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8.75" customHeight="1">
      <c r="A14" s="109" t="s">
        <v>273</v>
      </c>
      <c r="B14" s="110" t="s">
        <v>425</v>
      </c>
      <c r="C14" s="107"/>
      <c r="D14" s="112">
        <v>43952</v>
      </c>
      <c r="E14" s="112">
        <v>43982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8.75" customHeight="1">
      <c r="A15" s="109" t="s">
        <v>199</v>
      </c>
      <c r="B15" s="110" t="s">
        <v>425</v>
      </c>
      <c r="C15" s="107"/>
      <c r="D15" s="112">
        <v>43983</v>
      </c>
      <c r="E15" s="112">
        <v>44012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8.75" customHeight="1">
      <c r="A16" s="109" t="s">
        <v>71</v>
      </c>
      <c r="B16" s="110" t="s">
        <v>425</v>
      </c>
      <c r="C16" s="107"/>
      <c r="D16" s="112">
        <v>44013</v>
      </c>
      <c r="E16" s="112">
        <v>44043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8.75" customHeight="1">
      <c r="A17" s="109" t="s">
        <v>241</v>
      </c>
      <c r="B17" s="110" t="s">
        <v>425</v>
      </c>
      <c r="C17" s="107"/>
      <c r="D17" s="112">
        <v>44044</v>
      </c>
      <c r="E17" s="112">
        <v>44074</v>
      </c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8.75" customHeight="1">
      <c r="A18" s="109" t="s">
        <v>88</v>
      </c>
      <c r="B18" s="110" t="s">
        <v>425</v>
      </c>
      <c r="C18" s="107"/>
      <c r="D18" s="112">
        <v>44075</v>
      </c>
      <c r="E18" s="112">
        <v>44104</v>
      </c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8.75" customHeight="1">
      <c r="A19" s="109" t="s">
        <v>78</v>
      </c>
      <c r="B19" s="110" t="s">
        <v>425</v>
      </c>
      <c r="C19" s="107"/>
      <c r="D19" s="112">
        <v>44105</v>
      </c>
      <c r="E19" s="112">
        <v>44135</v>
      </c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8.75" customHeight="1">
      <c r="A20" s="109" t="s">
        <v>144</v>
      </c>
      <c r="B20" s="110" t="s">
        <v>425</v>
      </c>
      <c r="C20" s="107"/>
      <c r="D20" s="112">
        <v>44136</v>
      </c>
      <c r="E20" s="112">
        <v>44165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8.75" customHeight="1">
      <c r="A21" s="109" t="s">
        <v>274</v>
      </c>
      <c r="B21" s="110" t="s">
        <v>425</v>
      </c>
      <c r="C21" s="107"/>
      <c r="D21" s="112">
        <v>44166</v>
      </c>
      <c r="E21" s="112">
        <v>44196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8.75" customHeight="1">
      <c r="A22" s="109" t="s">
        <v>90</v>
      </c>
      <c r="B22" s="110" t="s">
        <v>425</v>
      </c>
      <c r="C22" s="107"/>
      <c r="D22" s="112">
        <v>44197</v>
      </c>
      <c r="E22" s="112">
        <v>44227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8.75" customHeight="1">
      <c r="A23" s="109" t="s">
        <v>117</v>
      </c>
      <c r="B23" s="110" t="s">
        <v>425</v>
      </c>
      <c r="C23" s="107"/>
      <c r="D23" s="112">
        <v>44228</v>
      </c>
      <c r="E23" s="112">
        <v>44255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8.75" customHeight="1">
      <c r="A24" s="109" t="s">
        <v>85</v>
      </c>
      <c r="B24" s="110" t="s">
        <v>425</v>
      </c>
      <c r="C24" s="107"/>
      <c r="D24" s="112">
        <v>44256</v>
      </c>
      <c r="E24" s="112">
        <v>44286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8.75" customHeight="1">
      <c r="A25" s="109" t="s">
        <v>275</v>
      </c>
      <c r="B25" s="110" t="s">
        <v>425</v>
      </c>
      <c r="C25" s="107"/>
      <c r="D25" s="112">
        <v>44287</v>
      </c>
      <c r="E25" s="112">
        <v>44316</v>
      </c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8.75" customHeight="1">
      <c r="A26" s="109" t="s">
        <v>276</v>
      </c>
      <c r="B26" s="110" t="s">
        <v>425</v>
      </c>
      <c r="C26" s="107"/>
      <c r="D26" s="112">
        <v>44317</v>
      </c>
      <c r="E26" s="112">
        <v>44347</v>
      </c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8.75" customHeight="1">
      <c r="A27" s="109" t="s">
        <v>101</v>
      </c>
      <c r="B27" s="110" t="s">
        <v>425</v>
      </c>
      <c r="C27" s="107"/>
      <c r="D27" s="112">
        <v>44348</v>
      </c>
      <c r="E27" s="112">
        <v>44377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8.75" customHeight="1">
      <c r="A28" s="109" t="s">
        <v>126</v>
      </c>
      <c r="B28" s="110" t="s">
        <v>425</v>
      </c>
      <c r="C28" s="107"/>
      <c r="D28" s="112">
        <v>44378</v>
      </c>
      <c r="E28" s="112">
        <v>44408</v>
      </c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8.75" customHeight="1">
      <c r="A29" s="109" t="s">
        <v>92</v>
      </c>
      <c r="B29" s="110" t="s">
        <v>425</v>
      </c>
      <c r="C29" s="107"/>
      <c r="D29" s="112">
        <v>44409</v>
      </c>
      <c r="E29" s="112">
        <v>44439</v>
      </c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8.75" customHeight="1">
      <c r="A30" s="109" t="s">
        <v>81</v>
      </c>
      <c r="B30" s="110" t="s">
        <v>425</v>
      </c>
      <c r="C30" s="107"/>
      <c r="D30" s="112">
        <v>44440</v>
      </c>
      <c r="E30" s="112">
        <v>44469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18.75" customHeight="1">
      <c r="A31" s="109" t="s">
        <v>95</v>
      </c>
      <c r="B31" s="110" t="s">
        <v>425</v>
      </c>
      <c r="C31" s="107"/>
      <c r="D31" s="112">
        <v>44470</v>
      </c>
      <c r="E31" s="112">
        <v>44500</v>
      </c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8.75" customHeight="1">
      <c r="A32" s="109" t="s">
        <v>277</v>
      </c>
      <c r="B32" s="110" t="s">
        <v>425</v>
      </c>
      <c r="C32" s="107"/>
      <c r="D32" s="112">
        <v>44501</v>
      </c>
      <c r="E32" s="112">
        <v>44530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18.75" customHeight="1">
      <c r="A33" s="109" t="s">
        <v>278</v>
      </c>
      <c r="B33" s="110" t="s">
        <v>425</v>
      </c>
      <c r="C33" s="107"/>
      <c r="D33" s="112">
        <v>44531</v>
      </c>
      <c r="E33" s="112">
        <v>44561</v>
      </c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8.75" customHeight="1">
      <c r="A34" s="109" t="s">
        <v>91</v>
      </c>
      <c r="B34" s="110" t="s">
        <v>425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8.75" customHeight="1">
      <c r="A35" s="109" t="s">
        <v>83</v>
      </c>
      <c r="B35" s="110" t="s">
        <v>425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8.75" customHeight="1">
      <c r="A36" s="109" t="s">
        <v>279</v>
      </c>
      <c r="B36" s="110" t="s">
        <v>425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8.75" customHeight="1">
      <c r="A37" s="109" t="s">
        <v>196</v>
      </c>
      <c r="B37" s="110" t="s">
        <v>425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8.75" customHeight="1">
      <c r="A38" s="109" t="s">
        <v>197</v>
      </c>
      <c r="B38" s="110" t="s">
        <v>425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8.75" customHeight="1">
      <c r="A39" s="109" t="s">
        <v>280</v>
      </c>
      <c r="B39" s="110" t="s">
        <v>425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8.75" customHeight="1">
      <c r="A40" s="109" t="s">
        <v>175</v>
      </c>
      <c r="B40" s="110" t="s">
        <v>425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18.75" customHeight="1">
      <c r="A41" s="109" t="s">
        <v>84</v>
      </c>
      <c r="B41" s="110" t="s">
        <v>425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8.75" customHeight="1">
      <c r="A42" s="109" t="s">
        <v>48</v>
      </c>
      <c r="B42" s="110" t="s">
        <v>425</v>
      </c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8.75" customHeight="1">
      <c r="A43" s="109" t="s">
        <v>108</v>
      </c>
      <c r="B43" s="110" t="s">
        <v>425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8.75" customHeight="1">
      <c r="A44" s="109" t="s">
        <v>281</v>
      </c>
      <c r="B44" s="110" t="s">
        <v>425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8.75" customHeight="1">
      <c r="A45" s="109" t="s">
        <v>282</v>
      </c>
      <c r="B45" s="110" t="s">
        <v>425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8.75" customHeight="1">
      <c r="A46" s="109" t="s">
        <v>99</v>
      </c>
      <c r="B46" s="110" t="s">
        <v>425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8.75" customHeight="1">
      <c r="A47" s="109" t="s">
        <v>163</v>
      </c>
      <c r="B47" s="110" t="s">
        <v>425</v>
      </c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8.75" customHeight="1">
      <c r="A48" s="109" t="s">
        <v>130</v>
      </c>
      <c r="B48" s="110" t="s">
        <v>425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8.75" customHeight="1">
      <c r="A49" s="109" t="s">
        <v>283</v>
      </c>
      <c r="B49" s="110" t="s">
        <v>425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8.75" customHeight="1">
      <c r="A50" s="109" t="s">
        <v>94</v>
      </c>
      <c r="B50" s="110" t="s">
        <v>425</v>
      </c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8.75" customHeight="1">
      <c r="A51" s="109" t="s">
        <v>141</v>
      </c>
      <c r="B51" s="110" t="s">
        <v>425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8.75" customHeight="1">
      <c r="A52" s="109" t="s">
        <v>179</v>
      </c>
      <c r="B52" s="110" t="s">
        <v>425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8.75" customHeight="1">
      <c r="A53" s="109" t="s">
        <v>173</v>
      </c>
      <c r="B53" s="110" t="s">
        <v>425</v>
      </c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8.75" customHeight="1">
      <c r="A54" s="109" t="s">
        <v>93</v>
      </c>
      <c r="B54" s="110" t="s">
        <v>425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8.75" customHeight="1">
      <c r="A55" s="109" t="s">
        <v>284</v>
      </c>
      <c r="B55" s="110" t="s">
        <v>425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8.75" customHeight="1">
      <c r="A56" s="109" t="s">
        <v>285</v>
      </c>
      <c r="B56" s="110" t="s">
        <v>425</v>
      </c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8.75" customHeight="1">
      <c r="A57" s="109" t="s">
        <v>103</v>
      </c>
      <c r="B57" s="110" t="s">
        <v>425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8.75" customHeight="1">
      <c r="A58" s="109" t="s">
        <v>96</v>
      </c>
      <c r="B58" s="110" t="s">
        <v>425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18.75" customHeight="1">
      <c r="A59" s="109" t="s">
        <v>202</v>
      </c>
      <c r="B59" s="110" t="s">
        <v>425</v>
      </c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8.75" customHeight="1">
      <c r="A60" s="109" t="s">
        <v>212</v>
      </c>
      <c r="B60" s="110" t="s">
        <v>425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8.75" customHeight="1">
      <c r="A61" s="109" t="s">
        <v>53</v>
      </c>
      <c r="B61" s="110" t="s">
        <v>425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8.75" customHeight="1">
      <c r="A62" s="109" t="s">
        <v>174</v>
      </c>
      <c r="B62" s="110" t="s">
        <v>425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8.75" customHeight="1">
      <c r="A63" s="109" t="s">
        <v>194</v>
      </c>
      <c r="B63" s="110" t="s">
        <v>425</v>
      </c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8.75" customHeight="1">
      <c r="A64" s="109" t="s">
        <v>286</v>
      </c>
      <c r="B64" s="110" t="s">
        <v>425</v>
      </c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8.75" customHeight="1">
      <c r="A65" s="109" t="s">
        <v>75</v>
      </c>
      <c r="B65" s="110" t="s">
        <v>425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8.75" customHeight="1">
      <c r="A66" s="109" t="s">
        <v>287</v>
      </c>
      <c r="B66" s="110" t="s">
        <v>425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8.75" customHeight="1">
      <c r="A67" s="109" t="s">
        <v>288</v>
      </c>
      <c r="B67" s="110" t="s">
        <v>425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8.75" customHeight="1">
      <c r="A68" s="109" t="s">
        <v>87</v>
      </c>
      <c r="B68" s="110" t="s">
        <v>425</v>
      </c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8.75" customHeight="1">
      <c r="A69" s="109" t="s">
        <v>97</v>
      </c>
      <c r="B69" s="110" t="s">
        <v>425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8.75" customHeight="1">
      <c r="A70" s="109" t="s">
        <v>289</v>
      </c>
      <c r="B70" s="110" t="s">
        <v>425</v>
      </c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8.75" customHeight="1">
      <c r="A71" s="109" t="s">
        <v>290</v>
      </c>
      <c r="B71" s="110" t="s">
        <v>425</v>
      </c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8.75" customHeight="1">
      <c r="A72" s="109" t="s">
        <v>291</v>
      </c>
      <c r="B72" s="110" t="s">
        <v>425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8.75" customHeight="1">
      <c r="A73" s="109" t="s">
        <v>67</v>
      </c>
      <c r="B73" s="110" t="s">
        <v>425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8.75" customHeight="1">
      <c r="A74" s="109" t="s">
        <v>104</v>
      </c>
      <c r="B74" s="110" t="s">
        <v>425</v>
      </c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8.75" customHeight="1">
      <c r="A75" s="109" t="s">
        <v>114</v>
      </c>
      <c r="B75" s="110" t="s">
        <v>425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8.75" customHeight="1">
      <c r="A76" s="109" t="s">
        <v>292</v>
      </c>
      <c r="B76" s="110" t="s">
        <v>425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8.75" customHeight="1">
      <c r="A77" s="109" t="s">
        <v>293</v>
      </c>
      <c r="B77" s="110" t="s">
        <v>425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8.75" customHeight="1">
      <c r="A78" s="109" t="s">
        <v>86</v>
      </c>
      <c r="B78" s="110" t="s">
        <v>425</v>
      </c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8.75" customHeight="1">
      <c r="A79" s="109" t="s">
        <v>52</v>
      </c>
      <c r="B79" s="110" t="s">
        <v>425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8.75" customHeight="1">
      <c r="A80" s="109" t="s">
        <v>294</v>
      </c>
      <c r="B80" s="110" t="s">
        <v>425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8.75" customHeight="1">
      <c r="A81" s="109" t="s">
        <v>147</v>
      </c>
      <c r="B81" s="110" t="s">
        <v>425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8.75" customHeight="1">
      <c r="A82" s="109" t="s">
        <v>102</v>
      </c>
      <c r="B82" s="110" t="s">
        <v>425</v>
      </c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8.75" customHeight="1">
      <c r="A83" s="109" t="s">
        <v>295</v>
      </c>
      <c r="B83" s="110" t="s">
        <v>425</v>
      </c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8.75" customHeight="1">
      <c r="A84" s="109" t="s">
        <v>296</v>
      </c>
      <c r="B84" s="110" t="s">
        <v>425</v>
      </c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8.75" customHeight="1">
      <c r="A85" s="109" t="s">
        <v>143</v>
      </c>
      <c r="B85" s="110" t="s">
        <v>425</v>
      </c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8.75" customHeight="1">
      <c r="A86" s="109" t="s">
        <v>297</v>
      </c>
      <c r="B86" s="110" t="s">
        <v>425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8.75" customHeight="1">
      <c r="A87" s="109" t="s">
        <v>298</v>
      </c>
      <c r="B87" s="110" t="s">
        <v>425</v>
      </c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8.75" customHeight="1">
      <c r="A88" s="109" t="s">
        <v>207</v>
      </c>
      <c r="B88" s="110" t="s">
        <v>425</v>
      </c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8.75" customHeight="1">
      <c r="A89" s="109" t="s">
        <v>155</v>
      </c>
      <c r="B89" s="110" t="s">
        <v>425</v>
      </c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8.75" customHeight="1">
      <c r="A90" s="109" t="s">
        <v>228</v>
      </c>
      <c r="B90" s="110" t="s">
        <v>425</v>
      </c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8.75" customHeight="1">
      <c r="A91" s="109" t="s">
        <v>164</v>
      </c>
      <c r="B91" s="110" t="s">
        <v>425</v>
      </c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8.75" customHeight="1">
      <c r="A92" s="109" t="s">
        <v>46</v>
      </c>
      <c r="B92" s="110" t="s">
        <v>425</v>
      </c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8.75" customHeight="1">
      <c r="A93" s="109" t="s">
        <v>152</v>
      </c>
      <c r="B93" s="110" t="s">
        <v>425</v>
      </c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8.75" customHeight="1">
      <c r="A94" s="109" t="s">
        <v>299</v>
      </c>
      <c r="B94" s="110" t="s">
        <v>425</v>
      </c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8.75" customHeight="1">
      <c r="A95" s="109" t="s">
        <v>189</v>
      </c>
      <c r="B95" s="110" t="s">
        <v>425</v>
      </c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8.75" customHeight="1">
      <c r="A96" s="109" t="s">
        <v>150</v>
      </c>
      <c r="B96" s="110" t="s">
        <v>425</v>
      </c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8.75" customHeight="1">
      <c r="A97" s="109" t="s">
        <v>162</v>
      </c>
      <c r="B97" s="110" t="s">
        <v>425</v>
      </c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8.75" customHeight="1">
      <c r="A98" s="109" t="s">
        <v>300</v>
      </c>
      <c r="B98" s="110" t="s">
        <v>425</v>
      </c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8.75" customHeight="1">
      <c r="A99" s="109" t="s">
        <v>105</v>
      </c>
      <c r="B99" s="110" t="s">
        <v>425</v>
      </c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8.75" customHeight="1">
      <c r="A100" s="109" t="s">
        <v>301</v>
      </c>
      <c r="B100" s="110" t="s">
        <v>425</v>
      </c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8.75" customHeight="1">
      <c r="A101" s="109" t="s">
        <v>302</v>
      </c>
      <c r="B101" s="110" t="s">
        <v>425</v>
      </c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8.75" customHeight="1">
      <c r="A102" s="109" t="s">
        <v>66</v>
      </c>
      <c r="B102" s="110" t="s">
        <v>425</v>
      </c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8.75" customHeight="1">
      <c r="A103" s="109" t="s">
        <v>49</v>
      </c>
      <c r="B103" s="110" t="s">
        <v>425</v>
      </c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8.75" customHeight="1">
      <c r="A104" s="109" t="s">
        <v>303</v>
      </c>
      <c r="B104" s="110" t="s">
        <v>425</v>
      </c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8.75" customHeight="1">
      <c r="A105" s="109" t="s">
        <v>304</v>
      </c>
      <c r="B105" s="110" t="s">
        <v>425</v>
      </c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8.75" customHeight="1">
      <c r="A106" s="109" t="s">
        <v>232</v>
      </c>
      <c r="B106" s="110" t="s">
        <v>425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18.75" customHeight="1">
      <c r="A107" s="109" t="s">
        <v>110</v>
      </c>
      <c r="B107" s="110" t="s">
        <v>425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8.75" customHeight="1">
      <c r="A108" s="109" t="s">
        <v>305</v>
      </c>
      <c r="B108" s="110" t="s">
        <v>425</v>
      </c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8.75" customHeight="1">
      <c r="A109" s="109" t="s">
        <v>306</v>
      </c>
      <c r="B109" s="110" t="s">
        <v>425</v>
      </c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18.75" customHeight="1">
      <c r="A110" s="109" t="s">
        <v>192</v>
      </c>
      <c r="B110" s="110" t="s">
        <v>425</v>
      </c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8.75" customHeight="1">
      <c r="A111" s="109" t="s">
        <v>206</v>
      </c>
      <c r="B111" s="110" t="s">
        <v>425</v>
      </c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8.75" customHeight="1">
      <c r="A112" s="109" t="s">
        <v>77</v>
      </c>
      <c r="B112" s="110" t="s">
        <v>425</v>
      </c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8.75" customHeight="1">
      <c r="A113" s="109" t="s">
        <v>115</v>
      </c>
      <c r="B113" s="110" t="s">
        <v>425</v>
      </c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8.75" customHeight="1">
      <c r="A114" s="109" t="s">
        <v>307</v>
      </c>
      <c r="B114" s="110" t="s">
        <v>425</v>
      </c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8.75" customHeight="1">
      <c r="A115" s="109" t="s">
        <v>308</v>
      </c>
      <c r="B115" s="110" t="s">
        <v>425</v>
      </c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8.75" customHeight="1">
      <c r="A116" s="109" t="s">
        <v>309</v>
      </c>
      <c r="B116" s="110" t="s">
        <v>425</v>
      </c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8.75" customHeight="1">
      <c r="A117" s="109" t="s">
        <v>310</v>
      </c>
      <c r="B117" s="110" t="s">
        <v>425</v>
      </c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8.75" customHeight="1">
      <c r="A118" s="109" t="s">
        <v>69</v>
      </c>
      <c r="B118" s="110" t="s">
        <v>425</v>
      </c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8.75" customHeight="1">
      <c r="A119" s="109" t="s">
        <v>82</v>
      </c>
      <c r="B119" s="110" t="s">
        <v>425</v>
      </c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18.75" customHeight="1">
      <c r="A120" s="109" t="s">
        <v>165</v>
      </c>
      <c r="B120" s="110" t="s">
        <v>425</v>
      </c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18.75" customHeight="1">
      <c r="A121" s="109" t="s">
        <v>74</v>
      </c>
      <c r="B121" s="110" t="s">
        <v>425</v>
      </c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18.75" customHeight="1">
      <c r="A122" s="109" t="s">
        <v>72</v>
      </c>
      <c r="B122" s="110" t="s">
        <v>425</v>
      </c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18.75" customHeight="1">
      <c r="A123" s="109" t="s">
        <v>171</v>
      </c>
      <c r="B123" s="110" t="s">
        <v>425</v>
      </c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8.75" customHeight="1">
      <c r="A124" s="109" t="s">
        <v>112</v>
      </c>
      <c r="B124" s="110" t="s">
        <v>425</v>
      </c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8.75" customHeight="1">
      <c r="A125" s="109" t="s">
        <v>113</v>
      </c>
      <c r="B125" s="110" t="s">
        <v>425</v>
      </c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8.75" customHeight="1">
      <c r="A126" s="109" t="s">
        <v>311</v>
      </c>
      <c r="B126" s="110" t="s">
        <v>425</v>
      </c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8.75" customHeight="1">
      <c r="A127" s="109" t="s">
        <v>133</v>
      </c>
      <c r="B127" s="110" t="s">
        <v>425</v>
      </c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8.75" customHeight="1">
      <c r="A128" s="109" t="s">
        <v>224</v>
      </c>
      <c r="B128" s="110" t="s">
        <v>425</v>
      </c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8.75" customHeight="1">
      <c r="A129" s="109" t="s">
        <v>89</v>
      </c>
      <c r="B129" s="110" t="s">
        <v>425</v>
      </c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8.75" customHeight="1">
      <c r="A130" s="109" t="s">
        <v>123</v>
      </c>
      <c r="B130" s="110" t="s">
        <v>425</v>
      </c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8.75" customHeight="1">
      <c r="A131" s="109" t="s">
        <v>312</v>
      </c>
      <c r="B131" s="110" t="s">
        <v>425</v>
      </c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8.75" customHeight="1">
      <c r="A132" s="109" t="s">
        <v>156</v>
      </c>
      <c r="B132" s="110" t="s">
        <v>425</v>
      </c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8.75" customHeight="1">
      <c r="A133" s="109" t="s">
        <v>187</v>
      </c>
      <c r="B133" s="110" t="s">
        <v>425</v>
      </c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8.75" customHeight="1">
      <c r="A134" s="109" t="s">
        <v>98</v>
      </c>
      <c r="B134" s="110" t="s">
        <v>425</v>
      </c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8.75" customHeight="1">
      <c r="A135" s="109" t="s">
        <v>70</v>
      </c>
      <c r="B135" s="110" t="s">
        <v>425</v>
      </c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8.75" customHeight="1">
      <c r="A136" s="109" t="s">
        <v>100</v>
      </c>
      <c r="B136" s="110" t="s">
        <v>425</v>
      </c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8.75" customHeight="1">
      <c r="A137" s="109" t="s">
        <v>193</v>
      </c>
      <c r="B137" s="110" t="s">
        <v>425</v>
      </c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8.75" customHeight="1">
      <c r="A138" s="109" t="s">
        <v>215</v>
      </c>
      <c r="B138" s="110" t="s">
        <v>425</v>
      </c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8.75" customHeight="1">
      <c r="A139" s="109" t="s">
        <v>44</v>
      </c>
      <c r="B139" s="110" t="s">
        <v>425</v>
      </c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8.75" customHeight="1">
      <c r="A140" s="109" t="s">
        <v>234</v>
      </c>
      <c r="B140" s="110" t="s">
        <v>425</v>
      </c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8.75" customHeight="1">
      <c r="A141" s="109" t="s">
        <v>68</v>
      </c>
      <c r="B141" s="110" t="s">
        <v>425</v>
      </c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8.75" customHeight="1">
      <c r="A142" s="109" t="s">
        <v>50</v>
      </c>
      <c r="B142" s="110" t="s">
        <v>425</v>
      </c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8.75" customHeight="1">
      <c r="A143" s="109" t="s">
        <v>313</v>
      </c>
      <c r="B143" s="110" t="s">
        <v>425</v>
      </c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8.75" customHeight="1">
      <c r="A144" s="109" t="s">
        <v>47</v>
      </c>
      <c r="B144" s="110" t="s">
        <v>425</v>
      </c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8.75" customHeight="1">
      <c r="A145" s="109" t="s">
        <v>129</v>
      </c>
      <c r="B145" s="110" t="s">
        <v>425</v>
      </c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8.75" customHeight="1">
      <c r="A146" s="109" t="s">
        <v>201</v>
      </c>
      <c r="B146" s="110" t="s">
        <v>425</v>
      </c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18.75" customHeight="1">
      <c r="A147" s="109" t="s">
        <v>214</v>
      </c>
      <c r="B147" s="110" t="s">
        <v>425</v>
      </c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18.75" customHeight="1">
      <c r="A148" s="109" t="s">
        <v>158</v>
      </c>
      <c r="B148" s="110" t="s">
        <v>425</v>
      </c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18.75" customHeight="1">
      <c r="A149" s="109" t="s">
        <v>120</v>
      </c>
      <c r="B149" s="110" t="s">
        <v>425</v>
      </c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18.75" customHeight="1">
      <c r="A150" s="109" t="s">
        <v>314</v>
      </c>
      <c r="B150" s="110" t="s">
        <v>425</v>
      </c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8.75" customHeight="1">
      <c r="A151" s="109" t="s">
        <v>142</v>
      </c>
      <c r="B151" s="110" t="s">
        <v>425</v>
      </c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18.75" customHeight="1">
      <c r="A152" s="109" t="s">
        <v>315</v>
      </c>
      <c r="B152" s="110" t="s">
        <v>425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8.75" customHeight="1">
      <c r="A153" s="109" t="s">
        <v>316</v>
      </c>
      <c r="B153" s="110" t="s">
        <v>425</v>
      </c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18.75" customHeight="1">
      <c r="A154" s="109" t="s">
        <v>241</v>
      </c>
      <c r="B154" s="110" t="s">
        <v>425</v>
      </c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8.75" customHeight="1">
      <c r="A155" s="109" t="s">
        <v>126</v>
      </c>
      <c r="B155" s="110" t="s">
        <v>425</v>
      </c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8.75" customHeight="1">
      <c r="A156" s="109" t="s">
        <v>317</v>
      </c>
      <c r="B156" s="110" t="s">
        <v>425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8.75" customHeight="1">
      <c r="A157" s="109" t="s">
        <v>206</v>
      </c>
      <c r="B157" s="110" t="s">
        <v>425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8.75" customHeight="1">
      <c r="A158" s="109" t="s">
        <v>301</v>
      </c>
      <c r="B158" s="110" t="s">
        <v>425</v>
      </c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8.75" customHeight="1">
      <c r="A159" s="109" t="s">
        <v>318</v>
      </c>
      <c r="B159" s="110" t="s">
        <v>425</v>
      </c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8.75" customHeight="1">
      <c r="A160" s="109" t="s">
        <v>319</v>
      </c>
      <c r="B160" s="110" t="s">
        <v>425</v>
      </c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8.75" customHeight="1">
      <c r="A161" s="109" t="s">
        <v>289</v>
      </c>
      <c r="B161" s="110" t="s">
        <v>425</v>
      </c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8.75" customHeight="1">
      <c r="A162" s="109" t="s">
        <v>320</v>
      </c>
      <c r="B162" s="110" t="s">
        <v>425</v>
      </c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8.75" customHeight="1">
      <c r="A163" s="109" t="s">
        <v>321</v>
      </c>
      <c r="B163" s="110" t="s">
        <v>425</v>
      </c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8.75" customHeight="1">
      <c r="A164" s="109" t="s">
        <v>322</v>
      </c>
      <c r="B164" s="110" t="s">
        <v>425</v>
      </c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8.75" customHeight="1">
      <c r="A165" s="109" t="s">
        <v>323</v>
      </c>
      <c r="B165" s="110" t="s">
        <v>425</v>
      </c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8.75" customHeight="1">
      <c r="A166" s="109" t="s">
        <v>113</v>
      </c>
      <c r="B166" s="110" t="s">
        <v>425</v>
      </c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8.75" customHeight="1">
      <c r="A167" s="109" t="s">
        <v>324</v>
      </c>
      <c r="B167" s="110" t="s">
        <v>425</v>
      </c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8.75" customHeight="1">
      <c r="A168" s="109" t="s">
        <v>325</v>
      </c>
      <c r="B168" s="110" t="s">
        <v>425</v>
      </c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8.75" customHeight="1">
      <c r="A169" s="109" t="s">
        <v>326</v>
      </c>
      <c r="B169" s="110" t="s">
        <v>425</v>
      </c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8.75" customHeight="1">
      <c r="A170" s="109" t="s">
        <v>327</v>
      </c>
      <c r="B170" s="110" t="s">
        <v>425</v>
      </c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8.75" customHeight="1">
      <c r="A171" s="109" t="s">
        <v>204</v>
      </c>
      <c r="B171" s="110" t="s">
        <v>425</v>
      </c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8.75" customHeight="1">
      <c r="A172" s="109" t="s">
        <v>328</v>
      </c>
      <c r="B172" s="110" t="s">
        <v>425</v>
      </c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8.75" customHeight="1">
      <c r="A173" s="109" t="s">
        <v>329</v>
      </c>
      <c r="B173" s="110" t="s">
        <v>425</v>
      </c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8.75" customHeight="1">
      <c r="A174" s="109" t="s">
        <v>330</v>
      </c>
      <c r="B174" s="110" t="s">
        <v>425</v>
      </c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8.75" customHeight="1">
      <c r="A175" s="109" t="s">
        <v>331</v>
      </c>
      <c r="B175" s="110" t="s">
        <v>425</v>
      </c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8.75" customHeight="1">
      <c r="A176" s="109" t="s">
        <v>332</v>
      </c>
      <c r="B176" s="110" t="s">
        <v>425</v>
      </c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8.75" customHeight="1">
      <c r="A177" s="109" t="s">
        <v>180</v>
      </c>
      <c r="B177" s="110" t="s">
        <v>425</v>
      </c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8.75" customHeight="1">
      <c r="A178" s="109" t="s">
        <v>333</v>
      </c>
      <c r="B178" s="110" t="s">
        <v>425</v>
      </c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8.75" customHeight="1">
      <c r="A179" s="109" t="s">
        <v>334</v>
      </c>
      <c r="B179" s="110" t="s">
        <v>425</v>
      </c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18.75" customHeight="1">
      <c r="A180" s="109" t="s">
        <v>174</v>
      </c>
      <c r="B180" s="110" t="s">
        <v>425</v>
      </c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8.75" customHeight="1">
      <c r="A181" s="109" t="s">
        <v>142</v>
      </c>
      <c r="B181" s="110" t="s">
        <v>425</v>
      </c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8.75" customHeight="1">
      <c r="A182" s="109" t="s">
        <v>167</v>
      </c>
      <c r="B182" s="110" t="s">
        <v>425</v>
      </c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8.75" customHeight="1">
      <c r="A183" s="109" t="s">
        <v>146</v>
      </c>
      <c r="B183" s="110" t="s">
        <v>425</v>
      </c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8.75" customHeight="1">
      <c r="A184" s="109" t="s">
        <v>335</v>
      </c>
      <c r="B184" s="110" t="s">
        <v>425</v>
      </c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8.75" customHeight="1">
      <c r="A185" s="109" t="s">
        <v>336</v>
      </c>
      <c r="B185" s="110" t="s">
        <v>425</v>
      </c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8.75" customHeight="1">
      <c r="A186" s="109" t="s">
        <v>337</v>
      </c>
      <c r="B186" s="110" t="s">
        <v>425</v>
      </c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8.75" customHeight="1">
      <c r="A187" s="109" t="s">
        <v>338</v>
      </c>
      <c r="B187" s="110" t="s">
        <v>425</v>
      </c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8.75" customHeight="1">
      <c r="A188" s="109" t="s">
        <v>339</v>
      </c>
      <c r="B188" s="110" t="s">
        <v>425</v>
      </c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8.75" customHeight="1">
      <c r="A189" s="109" t="s">
        <v>340</v>
      </c>
      <c r="B189" s="110" t="s">
        <v>425</v>
      </c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8.75" customHeight="1">
      <c r="A190" s="109" t="s">
        <v>341</v>
      </c>
      <c r="B190" s="110" t="s">
        <v>425</v>
      </c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8.75" customHeight="1">
      <c r="A191" s="109" t="s">
        <v>342</v>
      </c>
      <c r="B191" s="110" t="s">
        <v>425</v>
      </c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8.75" customHeight="1">
      <c r="A192" s="109" t="s">
        <v>232</v>
      </c>
      <c r="B192" s="110" t="s">
        <v>425</v>
      </c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8.75" customHeight="1">
      <c r="A193" s="109" t="s">
        <v>343</v>
      </c>
      <c r="B193" s="110" t="s">
        <v>425</v>
      </c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8.75" customHeight="1">
      <c r="A194" s="109" t="s">
        <v>344</v>
      </c>
      <c r="B194" s="110" t="s">
        <v>425</v>
      </c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8.75" customHeight="1">
      <c r="A195" s="109" t="s">
        <v>345</v>
      </c>
      <c r="B195" s="110" t="s">
        <v>425</v>
      </c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8.75" customHeight="1">
      <c r="A196" s="109" t="s">
        <v>346</v>
      </c>
      <c r="B196" s="110" t="s">
        <v>425</v>
      </c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8.75" customHeight="1">
      <c r="A197" s="109" t="s">
        <v>347</v>
      </c>
      <c r="B197" s="110" t="s">
        <v>425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8.75" customHeight="1">
      <c r="A198" s="109" t="s">
        <v>86</v>
      </c>
      <c r="B198" s="110" t="s">
        <v>425</v>
      </c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8.75" customHeight="1">
      <c r="A199" s="109" t="s">
        <v>162</v>
      </c>
      <c r="B199" s="110" t="s">
        <v>425</v>
      </c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8.75" customHeight="1">
      <c r="A200" s="109" t="s">
        <v>348</v>
      </c>
      <c r="B200" s="110" t="s">
        <v>425</v>
      </c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8.75" customHeight="1">
      <c r="A201" s="109" t="s">
        <v>349</v>
      </c>
      <c r="B201" s="110" t="s">
        <v>425</v>
      </c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8.75" customHeight="1">
      <c r="A202" s="109" t="s">
        <v>288</v>
      </c>
      <c r="B202" s="110" t="s">
        <v>425</v>
      </c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8.75" customHeight="1">
      <c r="A203" s="109" t="s">
        <v>350</v>
      </c>
      <c r="B203" s="110" t="s">
        <v>425</v>
      </c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8.75" customHeight="1">
      <c r="A204" s="109" t="s">
        <v>351</v>
      </c>
      <c r="B204" s="110" t="s">
        <v>425</v>
      </c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8.75" customHeight="1">
      <c r="A205" s="109" t="s">
        <v>79</v>
      </c>
      <c r="B205" s="110" t="s">
        <v>425</v>
      </c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8.75" customHeight="1">
      <c r="A206" s="109" t="s">
        <v>312</v>
      </c>
      <c r="B206" s="110" t="s">
        <v>425</v>
      </c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8.75" customHeight="1">
      <c r="A207" s="109" t="s">
        <v>352</v>
      </c>
      <c r="B207" s="110" t="s">
        <v>425</v>
      </c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8.75" customHeight="1">
      <c r="A208" s="109" t="s">
        <v>353</v>
      </c>
      <c r="B208" s="110" t="s">
        <v>425</v>
      </c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8.75" customHeight="1">
      <c r="A209" s="109" t="s">
        <v>354</v>
      </c>
      <c r="B209" s="110" t="s">
        <v>425</v>
      </c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8.75" customHeight="1">
      <c r="A210" s="109" t="s">
        <v>355</v>
      </c>
      <c r="B210" s="110" t="s">
        <v>425</v>
      </c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8.75" customHeight="1">
      <c r="A211" s="109" t="s">
        <v>92</v>
      </c>
      <c r="B211" s="110" t="s">
        <v>425</v>
      </c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8.75" customHeight="1">
      <c r="A212" s="109" t="s">
        <v>356</v>
      </c>
      <c r="B212" s="110" t="s">
        <v>425</v>
      </c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8.75" customHeight="1">
      <c r="A213" s="109" t="s">
        <v>73</v>
      </c>
      <c r="B213" s="110" t="s">
        <v>425</v>
      </c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8.75" customHeight="1">
      <c r="A214" s="109" t="s">
        <v>71</v>
      </c>
      <c r="B214" s="110" t="s">
        <v>425</v>
      </c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8.75" customHeight="1">
      <c r="A215" s="109" t="s">
        <v>357</v>
      </c>
      <c r="B215" s="110" t="s">
        <v>425</v>
      </c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8.75" customHeight="1">
      <c r="A216" s="109" t="s">
        <v>194</v>
      </c>
      <c r="B216" s="110" t="s">
        <v>425</v>
      </c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8.75" customHeight="1">
      <c r="A217" s="109" t="s">
        <v>117</v>
      </c>
      <c r="B217" s="110" t="s">
        <v>425</v>
      </c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8.75" customHeight="1">
      <c r="A218" s="109" t="s">
        <v>358</v>
      </c>
      <c r="B218" s="110" t="s">
        <v>425</v>
      </c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8.75" customHeight="1">
      <c r="A219" s="109" t="s">
        <v>359</v>
      </c>
      <c r="B219" s="110" t="s">
        <v>425</v>
      </c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8.75" customHeight="1">
      <c r="A220" s="109" t="s">
        <v>164</v>
      </c>
      <c r="B220" s="110" t="s">
        <v>425</v>
      </c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8.75" customHeight="1">
      <c r="A221" s="109" t="s">
        <v>285</v>
      </c>
      <c r="B221" s="110" t="s">
        <v>425</v>
      </c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8.75" customHeight="1">
      <c r="A222" s="109" t="s">
        <v>360</v>
      </c>
      <c r="B222" s="110" t="s">
        <v>425</v>
      </c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8.75" customHeight="1">
      <c r="A223" s="109" t="s">
        <v>361</v>
      </c>
      <c r="B223" s="110" t="s">
        <v>425</v>
      </c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8.75" customHeight="1">
      <c r="A224" s="109" t="s">
        <v>362</v>
      </c>
      <c r="B224" s="110" t="s">
        <v>425</v>
      </c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8.75" customHeight="1">
      <c r="A225" s="109" t="s">
        <v>99</v>
      </c>
      <c r="B225" s="110" t="s">
        <v>425</v>
      </c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8.75" customHeight="1">
      <c r="A226" s="109" t="s">
        <v>148</v>
      </c>
      <c r="B226" s="110" t="s">
        <v>425</v>
      </c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8.75" customHeight="1">
      <c r="A227" s="109" t="s">
        <v>363</v>
      </c>
      <c r="B227" s="110" t="s">
        <v>425</v>
      </c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8.75" customHeight="1">
      <c r="A228" s="109" t="s">
        <v>364</v>
      </c>
      <c r="B228" s="110" t="s">
        <v>425</v>
      </c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8.75" customHeight="1">
      <c r="A229" s="109" t="s">
        <v>365</v>
      </c>
      <c r="B229" s="110" t="s">
        <v>425</v>
      </c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8.75" customHeight="1">
      <c r="A230" s="109" t="s">
        <v>214</v>
      </c>
      <c r="B230" s="110" t="s">
        <v>425</v>
      </c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8.75" customHeight="1">
      <c r="A231" s="109" t="s">
        <v>366</v>
      </c>
      <c r="B231" s="110" t="s">
        <v>425</v>
      </c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8.75" customHeight="1">
      <c r="A232" s="109" t="s">
        <v>84</v>
      </c>
      <c r="B232" s="110" t="s">
        <v>425</v>
      </c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8.75" customHeight="1">
      <c r="A233" s="109" t="s">
        <v>310</v>
      </c>
      <c r="B233" s="110" t="s">
        <v>425</v>
      </c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8.75" customHeight="1">
      <c r="A234" s="109" t="s">
        <v>367</v>
      </c>
      <c r="B234" s="110" t="s">
        <v>425</v>
      </c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8.75" customHeight="1">
      <c r="A235" s="109" t="s">
        <v>368</v>
      </c>
      <c r="B235" s="110" t="s">
        <v>425</v>
      </c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8.75" customHeight="1">
      <c r="A236" s="109" t="s">
        <v>369</v>
      </c>
      <c r="B236" s="110" t="s">
        <v>425</v>
      </c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8.75" customHeight="1">
      <c r="A237" s="109" t="s">
        <v>370</v>
      </c>
      <c r="B237" s="110" t="s">
        <v>425</v>
      </c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8.75" customHeight="1">
      <c r="A238" s="109" t="s">
        <v>107</v>
      </c>
      <c r="B238" s="110" t="s">
        <v>425</v>
      </c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8.75" customHeight="1">
      <c r="A239" s="109" t="s">
        <v>291</v>
      </c>
      <c r="B239" s="110" t="s">
        <v>425</v>
      </c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8.75" customHeight="1">
      <c r="A240" s="109" t="s">
        <v>371</v>
      </c>
      <c r="B240" s="110" t="s">
        <v>425</v>
      </c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8.75" customHeight="1">
      <c r="A241" s="109" t="s">
        <v>372</v>
      </c>
      <c r="B241" s="110" t="s">
        <v>425</v>
      </c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8.75" customHeight="1">
      <c r="A242" s="109" t="s">
        <v>233</v>
      </c>
      <c r="B242" s="110" t="s">
        <v>425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8.75" customHeight="1">
      <c r="A243" s="109" t="s">
        <v>298</v>
      </c>
      <c r="B243" s="110" t="s">
        <v>425</v>
      </c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8.75" customHeight="1">
      <c r="A244" s="109" t="s">
        <v>192</v>
      </c>
      <c r="B244" s="110" t="s">
        <v>425</v>
      </c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8.75" customHeight="1">
      <c r="A245" s="109" t="s">
        <v>373</v>
      </c>
      <c r="B245" s="110" t="s">
        <v>425</v>
      </c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8.75" customHeight="1">
      <c r="A246" s="109" t="s">
        <v>69</v>
      </c>
      <c r="B246" s="110" t="s">
        <v>425</v>
      </c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8.75" customHeight="1">
      <c r="A247" s="109" t="s">
        <v>374</v>
      </c>
      <c r="B247" s="110" t="s">
        <v>425</v>
      </c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8.75" customHeight="1">
      <c r="A248" s="109" t="s">
        <v>375</v>
      </c>
      <c r="B248" s="110" t="s">
        <v>425</v>
      </c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8.75" customHeight="1">
      <c r="A249" s="109" t="s">
        <v>215</v>
      </c>
      <c r="B249" s="110" t="s">
        <v>425</v>
      </c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8.75" customHeight="1">
      <c r="A250" s="109" t="s">
        <v>376</v>
      </c>
      <c r="B250" s="110" t="s">
        <v>425</v>
      </c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8.75" customHeight="1">
      <c r="A251" s="109" t="s">
        <v>163</v>
      </c>
      <c r="B251" s="110" t="s">
        <v>425</v>
      </c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8.75" customHeight="1">
      <c r="A252" s="109" t="s">
        <v>377</v>
      </c>
      <c r="B252" s="110" t="s">
        <v>425</v>
      </c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8.75" customHeight="1">
      <c r="A253" s="109" t="s">
        <v>378</v>
      </c>
      <c r="B253" s="110" t="s">
        <v>425</v>
      </c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8.75" customHeight="1">
      <c r="A254" s="109" t="s">
        <v>217</v>
      </c>
      <c r="B254" s="110" t="s">
        <v>425</v>
      </c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8.75" customHeight="1">
      <c r="A255" s="109" t="s">
        <v>76</v>
      </c>
      <c r="B255" s="110" t="s">
        <v>425</v>
      </c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8.75" customHeight="1">
      <c r="A256" s="109" t="s">
        <v>379</v>
      </c>
      <c r="B256" s="110" t="s">
        <v>425</v>
      </c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8.75" customHeight="1">
      <c r="A257" s="109" t="s">
        <v>380</v>
      </c>
      <c r="B257" s="110" t="s">
        <v>425</v>
      </c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8.75" customHeight="1">
      <c r="A258" s="109" t="s">
        <v>381</v>
      </c>
      <c r="B258" s="110" t="s">
        <v>425</v>
      </c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8.75" customHeight="1">
      <c r="A259" s="109" t="s">
        <v>382</v>
      </c>
      <c r="B259" s="110" t="s">
        <v>425</v>
      </c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8.75" customHeight="1">
      <c r="A260" s="109" t="s">
        <v>115</v>
      </c>
      <c r="B260" s="110" t="s">
        <v>425</v>
      </c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8.75" customHeight="1">
      <c r="A261" s="109" t="s">
        <v>169</v>
      </c>
      <c r="B261" s="110" t="s">
        <v>425</v>
      </c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8.75" customHeight="1">
      <c r="A262" s="109" t="s">
        <v>191</v>
      </c>
      <c r="B262" s="110" t="s">
        <v>425</v>
      </c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8.75" customHeight="1">
      <c r="A263" s="109" t="s">
        <v>116</v>
      </c>
      <c r="B263" s="110" t="s">
        <v>425</v>
      </c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8.75" customHeight="1">
      <c r="A264" s="109" t="s">
        <v>383</v>
      </c>
      <c r="B264" s="110" t="s">
        <v>425</v>
      </c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8.75" customHeight="1">
      <c r="A265" s="109" t="s">
        <v>384</v>
      </c>
      <c r="B265" s="110" t="s">
        <v>425</v>
      </c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8.75" customHeight="1">
      <c r="A266" s="109" t="s">
        <v>385</v>
      </c>
      <c r="B266" s="110" t="s">
        <v>425</v>
      </c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8.75" customHeight="1">
      <c r="A267" s="109" t="s">
        <v>149</v>
      </c>
      <c r="B267" s="110" t="s">
        <v>425</v>
      </c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8.75" customHeight="1">
      <c r="A268" s="109" t="s">
        <v>140</v>
      </c>
      <c r="B268" s="110" t="s">
        <v>425</v>
      </c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8.75" customHeight="1">
      <c r="A269" s="109" t="s">
        <v>209</v>
      </c>
      <c r="B269" s="110" t="s">
        <v>425</v>
      </c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8.75" customHeight="1">
      <c r="A270" s="109" t="s">
        <v>90</v>
      </c>
      <c r="B270" s="110" t="s">
        <v>425</v>
      </c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8.75" customHeight="1">
      <c r="A271" s="109" t="s">
        <v>386</v>
      </c>
      <c r="B271" s="110" t="s">
        <v>425</v>
      </c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8.75" customHeight="1">
      <c r="A272" s="109" t="s">
        <v>387</v>
      </c>
      <c r="B272" s="110" t="s">
        <v>425</v>
      </c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8.75" customHeight="1">
      <c r="A273" s="109" t="s">
        <v>388</v>
      </c>
      <c r="B273" s="110" t="s">
        <v>425</v>
      </c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8.75" customHeight="1">
      <c r="A274" s="109" t="s">
        <v>218</v>
      </c>
      <c r="B274" s="110" t="s">
        <v>425</v>
      </c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8.75" customHeight="1">
      <c r="A275" s="109" t="s">
        <v>389</v>
      </c>
      <c r="B275" s="110" t="s">
        <v>425</v>
      </c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8.75" customHeight="1">
      <c r="A276" s="109" t="s">
        <v>294</v>
      </c>
      <c r="B276" s="110" t="s">
        <v>425</v>
      </c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8.75" customHeight="1">
      <c r="A277" s="109" t="s">
        <v>170</v>
      </c>
      <c r="B277" s="110" t="s">
        <v>425</v>
      </c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8.75" customHeight="1">
      <c r="A278" s="109" t="s">
        <v>390</v>
      </c>
      <c r="B278" s="110" t="s">
        <v>425</v>
      </c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8.75" customHeight="1">
      <c r="A279" s="109" t="s">
        <v>171</v>
      </c>
      <c r="B279" s="110" t="s">
        <v>425</v>
      </c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8.75" customHeight="1">
      <c r="A280" s="109" t="s">
        <v>391</v>
      </c>
      <c r="B280" s="110" t="s">
        <v>425</v>
      </c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8.75" customHeight="1">
      <c r="A281" s="109" t="s">
        <v>392</v>
      </c>
      <c r="B281" s="110" t="s">
        <v>425</v>
      </c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8.75" customHeight="1">
      <c r="A282" s="109" t="s">
        <v>393</v>
      </c>
      <c r="B282" s="110" t="s">
        <v>425</v>
      </c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8.75" customHeight="1">
      <c r="A283" s="109" t="s">
        <v>394</v>
      </c>
      <c r="B283" s="110" t="s">
        <v>425</v>
      </c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8.75" customHeight="1">
      <c r="A284" s="109" t="s">
        <v>94</v>
      </c>
      <c r="B284" s="110" t="s">
        <v>425</v>
      </c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8.75" customHeight="1">
      <c r="A285" s="109" t="s">
        <v>108</v>
      </c>
      <c r="B285" s="110" t="s">
        <v>425</v>
      </c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8.75" customHeight="1">
      <c r="A286" s="109" t="s">
        <v>395</v>
      </c>
      <c r="B286" s="110" t="s">
        <v>425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8.75" customHeight="1">
      <c r="A287" s="109" t="s">
        <v>396</v>
      </c>
      <c r="B287" s="110" t="s">
        <v>425</v>
      </c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8.75" customHeight="1">
      <c r="A288" s="109" t="s">
        <v>397</v>
      </c>
      <c r="B288" s="110" t="s">
        <v>425</v>
      </c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8.75" customHeight="1">
      <c r="A289" s="109" t="s">
        <v>398</v>
      </c>
      <c r="B289" s="110" t="s">
        <v>425</v>
      </c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8.75" customHeight="1">
      <c r="A290" s="109" t="s">
        <v>147</v>
      </c>
      <c r="B290" s="110" t="s">
        <v>425</v>
      </c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8.75" customHeight="1">
      <c r="A291" s="109" t="s">
        <v>85</v>
      </c>
      <c r="B291" s="110" t="s">
        <v>425</v>
      </c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8.75" customHeight="1">
      <c r="A292" s="109" t="s">
        <v>197</v>
      </c>
      <c r="B292" s="110" t="s">
        <v>425</v>
      </c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8.75" customHeight="1">
      <c r="A293" s="109" t="s">
        <v>399</v>
      </c>
      <c r="B293" s="110" t="s">
        <v>425</v>
      </c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8.75" customHeight="1">
      <c r="A294" s="109" t="s">
        <v>400</v>
      </c>
      <c r="B294" s="110" t="s">
        <v>425</v>
      </c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8.75" customHeight="1">
      <c r="A295" s="109" t="s">
        <v>401</v>
      </c>
      <c r="B295" s="110" t="s">
        <v>425</v>
      </c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8.75" customHeight="1">
      <c r="A296" s="109" t="s">
        <v>402</v>
      </c>
      <c r="B296" s="110" t="s">
        <v>425</v>
      </c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8.75" customHeight="1">
      <c r="A297" s="109" t="s">
        <v>403</v>
      </c>
      <c r="B297" s="110" t="s">
        <v>425</v>
      </c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8.75" customHeight="1">
      <c r="A298" s="109" t="s">
        <v>404</v>
      </c>
      <c r="B298" s="110" t="s">
        <v>425</v>
      </c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8.75" customHeight="1">
      <c r="A299" s="109" t="s">
        <v>405</v>
      </c>
      <c r="B299" s="110" t="s">
        <v>425</v>
      </c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8.75" customHeight="1">
      <c r="A300" s="109" t="s">
        <v>131</v>
      </c>
      <c r="B300" s="110" t="s">
        <v>425</v>
      </c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8.75" customHeight="1">
      <c r="A301" s="109" t="s">
        <v>406</v>
      </c>
      <c r="B301" s="110" t="s">
        <v>425</v>
      </c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8.75" customHeight="1">
      <c r="A302" s="109" t="s">
        <v>407</v>
      </c>
      <c r="B302" s="110" t="s">
        <v>425</v>
      </c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8.75" customHeight="1">
      <c r="A303" s="109" t="s">
        <v>221</v>
      </c>
      <c r="B303" s="110" t="s">
        <v>425</v>
      </c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8.75" customHeight="1">
      <c r="A304" s="109" t="s">
        <v>408</v>
      </c>
      <c r="B304" s="110" t="s">
        <v>425</v>
      </c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8.75" customHeight="1">
      <c r="A305" s="109" t="s">
        <v>409</v>
      </c>
      <c r="B305" s="110" t="s">
        <v>425</v>
      </c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8.75" customHeight="1">
      <c r="A306" s="109" t="s">
        <v>100</v>
      </c>
      <c r="B306" s="110" t="s">
        <v>425</v>
      </c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8.75" customHeight="1">
      <c r="A307" s="109" t="s">
        <v>410</v>
      </c>
      <c r="B307" s="110" t="s">
        <v>425</v>
      </c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8.75" customHeight="1">
      <c r="A308" s="109" t="s">
        <v>158</v>
      </c>
      <c r="B308" s="110" t="s">
        <v>425</v>
      </c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8.75" customHeight="1">
      <c r="A309" s="109" t="s">
        <v>50</v>
      </c>
      <c r="B309" s="110" t="s">
        <v>425</v>
      </c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8.75" customHeight="1">
      <c r="A310" s="109" t="s">
        <v>300</v>
      </c>
      <c r="B310" s="110" t="s">
        <v>425</v>
      </c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8.75" customHeight="1">
      <c r="A311" s="109" t="s">
        <v>89</v>
      </c>
      <c r="B311" s="110" t="s">
        <v>425</v>
      </c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8.75" customHeight="1">
      <c r="A312" s="109" t="s">
        <v>186</v>
      </c>
      <c r="B312" s="110" t="s">
        <v>425</v>
      </c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8.75" customHeight="1">
      <c r="A313" s="109" t="s">
        <v>77</v>
      </c>
      <c r="B313" s="110" t="s">
        <v>425</v>
      </c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8.75" customHeight="1">
      <c r="A314" s="109" t="s">
        <v>160</v>
      </c>
      <c r="B314" s="110" t="s">
        <v>425</v>
      </c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8.75" customHeight="1">
      <c r="A315" s="109" t="s">
        <v>160</v>
      </c>
      <c r="B315" s="110" t="s">
        <v>425</v>
      </c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8.75" customHeight="1">
      <c r="A316" s="109" t="s">
        <v>110</v>
      </c>
      <c r="B316" s="110" t="s">
        <v>425</v>
      </c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8.75" customHeight="1">
      <c r="A317" s="109" t="s">
        <v>127</v>
      </c>
      <c r="B317" s="110" t="s">
        <v>425</v>
      </c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8.75" customHeight="1">
      <c r="A318" s="109" t="s">
        <v>153</v>
      </c>
      <c r="B318" s="110" t="s">
        <v>425</v>
      </c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8.75" customHeight="1">
      <c r="A319" s="109" t="s">
        <v>109</v>
      </c>
      <c r="B319" s="110" t="s">
        <v>425</v>
      </c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8.75" customHeight="1">
      <c r="A320" s="109" t="s">
        <v>49</v>
      </c>
      <c r="B320" s="110" t="s">
        <v>425</v>
      </c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8.75" customHeight="1">
      <c r="A321" s="109" t="s">
        <v>102</v>
      </c>
      <c r="B321" s="110" t="s">
        <v>425</v>
      </c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8.75" customHeight="1">
      <c r="A322" s="109" t="s">
        <v>201</v>
      </c>
      <c r="B322" s="110" t="s">
        <v>425</v>
      </c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8.75" customHeight="1">
      <c r="A323" s="109" t="s">
        <v>98</v>
      </c>
      <c r="B323" s="110" t="s">
        <v>425</v>
      </c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8.75" customHeight="1">
      <c r="A324" s="109" t="s">
        <v>143</v>
      </c>
      <c r="B324" s="110" t="s">
        <v>425</v>
      </c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8.75" customHeight="1">
      <c r="A325" s="109" t="s">
        <v>411</v>
      </c>
      <c r="B325" s="110" t="s">
        <v>425</v>
      </c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8.75" customHeight="1">
      <c r="A326" s="109" t="s">
        <v>279</v>
      </c>
      <c r="B326" s="110" t="s">
        <v>425</v>
      </c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8.75" customHeight="1">
      <c r="A327" s="109" t="s">
        <v>132</v>
      </c>
      <c r="B327" s="110" t="s">
        <v>425</v>
      </c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8.75" customHeight="1">
      <c r="A328" s="109" t="s">
        <v>179</v>
      </c>
      <c r="B328" s="110" t="s">
        <v>425</v>
      </c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8.75" customHeight="1">
      <c r="A329" s="109" t="s">
        <v>97</v>
      </c>
      <c r="B329" s="110" t="s">
        <v>425</v>
      </c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8.75" customHeight="1">
      <c r="A330" s="109" t="s">
        <v>193</v>
      </c>
      <c r="B330" s="110" t="s">
        <v>425</v>
      </c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8.75" customHeight="1">
      <c r="A331" s="109" t="s">
        <v>165</v>
      </c>
      <c r="B331" s="110" t="s">
        <v>425</v>
      </c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8.75" customHeight="1">
      <c r="A332" s="109" t="s">
        <v>155</v>
      </c>
      <c r="B332" s="110" t="s">
        <v>425</v>
      </c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8.75" customHeight="1">
      <c r="A333" s="109" t="s">
        <v>189</v>
      </c>
      <c r="B333" s="110" t="s">
        <v>425</v>
      </c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8.75" customHeight="1">
      <c r="A334" s="109" t="s">
        <v>75</v>
      </c>
      <c r="B334" s="110" t="s">
        <v>425</v>
      </c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8.75" customHeight="1">
      <c r="A335" s="109" t="s">
        <v>412</v>
      </c>
      <c r="B335" s="110" t="s">
        <v>425</v>
      </c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8.75" customHeight="1">
      <c r="A336" s="109" t="s">
        <v>122</v>
      </c>
      <c r="B336" s="110" t="s">
        <v>425</v>
      </c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8.75" customHeight="1">
      <c r="A337" s="109" t="s">
        <v>130</v>
      </c>
      <c r="B337" s="110" t="s">
        <v>425</v>
      </c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8.75" customHeight="1">
      <c r="A338" s="109" t="s">
        <v>413</v>
      </c>
      <c r="B338" s="110" t="s">
        <v>425</v>
      </c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8.75" customHeight="1">
      <c r="A339" s="109" t="s">
        <v>277</v>
      </c>
      <c r="B339" s="110" t="s">
        <v>425</v>
      </c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8.75" customHeight="1">
      <c r="A340" s="109" t="s">
        <v>161</v>
      </c>
      <c r="B340" s="110" t="s">
        <v>425</v>
      </c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8.75" customHeight="1">
      <c r="A341" s="109" t="s">
        <v>83</v>
      </c>
      <c r="B341" s="110" t="s">
        <v>425</v>
      </c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8.75" customHeight="1">
      <c r="A342" s="109" t="s">
        <v>202</v>
      </c>
      <c r="B342" s="110" t="s">
        <v>425</v>
      </c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8.75" customHeight="1">
      <c r="A343" s="109" t="s">
        <v>224</v>
      </c>
      <c r="B343" s="110" t="s">
        <v>425</v>
      </c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8.75" customHeight="1">
      <c r="A344" s="109" t="s">
        <v>101</v>
      </c>
      <c r="B344" s="110" t="s">
        <v>425</v>
      </c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8.75" customHeight="1">
      <c r="A345" s="109" t="s">
        <v>234</v>
      </c>
      <c r="B345" s="110" t="s">
        <v>425</v>
      </c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8.75" customHeight="1">
      <c r="A346" s="109" t="s">
        <v>151</v>
      </c>
      <c r="B346" s="110" t="s">
        <v>425</v>
      </c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8.75" customHeight="1">
      <c r="A347" s="109" t="s">
        <v>52</v>
      </c>
      <c r="B347" s="110" t="s">
        <v>425</v>
      </c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8.75" customHeight="1">
      <c r="A348" s="109" t="s">
        <v>203</v>
      </c>
      <c r="B348" s="110" t="s">
        <v>425</v>
      </c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8.75" customHeight="1">
      <c r="A349" s="109" t="s">
        <v>414</v>
      </c>
      <c r="B349" s="110" t="s">
        <v>425</v>
      </c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8.75" customHeight="1">
      <c r="A350" s="109" t="s">
        <v>271</v>
      </c>
      <c r="B350" s="110" t="s">
        <v>425</v>
      </c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8.75" customHeight="1">
      <c r="A351" s="109" t="s">
        <v>119</v>
      </c>
      <c r="B351" s="110" t="s">
        <v>425</v>
      </c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8.75" customHeight="1">
      <c r="A352" s="109" t="s">
        <v>112</v>
      </c>
      <c r="B352" s="110" t="s">
        <v>425</v>
      </c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8.75" customHeight="1">
      <c r="A353" s="109" t="s">
        <v>104</v>
      </c>
      <c r="B353" s="110" t="s">
        <v>425</v>
      </c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8.75" customHeight="1">
      <c r="A354" s="109" t="s">
        <v>415</v>
      </c>
      <c r="B354" s="110" t="s">
        <v>425</v>
      </c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8.75" customHeight="1">
      <c r="A355" s="109" t="s">
        <v>416</v>
      </c>
      <c r="B355" s="110" t="s">
        <v>425</v>
      </c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8.75" customHeight="1">
      <c r="A356" s="109" t="s">
        <v>417</v>
      </c>
      <c r="B356" s="110" t="s">
        <v>425</v>
      </c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8.75" customHeight="1">
      <c r="A357" s="109" t="s">
        <v>418</v>
      </c>
      <c r="B357" s="110" t="s">
        <v>425</v>
      </c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8.75" customHeight="1">
      <c r="A358" s="109" t="s">
        <v>419</v>
      </c>
      <c r="B358" s="110" t="s">
        <v>425</v>
      </c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8.75" customHeight="1">
      <c r="A359" s="109" t="s">
        <v>420</v>
      </c>
      <c r="B359" s="110" t="s">
        <v>425</v>
      </c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8.75" customHeight="1">
      <c r="A360" s="109" t="s">
        <v>196</v>
      </c>
      <c r="B360" s="110" t="s">
        <v>425</v>
      </c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8.75" customHeight="1">
      <c r="A361" s="109" t="s">
        <v>421</v>
      </c>
      <c r="B361" s="110" t="s">
        <v>425</v>
      </c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8.75" customHeight="1">
      <c r="A362" s="109" t="s">
        <v>422</v>
      </c>
      <c r="B362" s="110" t="s">
        <v>425</v>
      </c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8.75" customHeight="1">
      <c r="A363" s="109" t="s">
        <v>423</v>
      </c>
      <c r="B363" s="110" t="s">
        <v>425</v>
      </c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8.75" customHeight="1">
      <c r="A364" s="109" t="s">
        <v>424</v>
      </c>
      <c r="B364" s="110" t="s">
        <v>425</v>
      </c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8.75" customHeight="1">
      <c r="A365" s="109" t="s">
        <v>111</v>
      </c>
      <c r="B365" s="110" t="s">
        <v>425</v>
      </c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8.75" customHeight="1">
      <c r="A366" s="109" t="s">
        <v>96</v>
      </c>
      <c r="B366" s="110" t="s">
        <v>425</v>
      </c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8.75" customHeight="1"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8.75" customHeight="1"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3:26" ht="18.75" customHeight="1"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3:26" ht="18.75" customHeight="1"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3:26" ht="18.75" customHeight="1"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3:26" ht="18.75" customHeight="1"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3:26" ht="18.75" customHeight="1"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3:26" ht="18.75" customHeight="1"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3:26" ht="18.75" customHeight="1"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3:26" ht="18.75" customHeight="1"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3:26" ht="18.75" customHeight="1"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3:26" ht="18.75" customHeight="1"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3:26" ht="18.75" customHeight="1"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3:26" ht="18.75" customHeight="1"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3:26" ht="18.75" customHeight="1"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3:26" ht="18.75" customHeight="1"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3:26" ht="18.75" customHeight="1"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3:26" ht="18.75" customHeight="1"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8.75" customHeight="1"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8.75" customHeight="1"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8.75" customHeight="1"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8.75" customHeight="1"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8.75" customHeight="1"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8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8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8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8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8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8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8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8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8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8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8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8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8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8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8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8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8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8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8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8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8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8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8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8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8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8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8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8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8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8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8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8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8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8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8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8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8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8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8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8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8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8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8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8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8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8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8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8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8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8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8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8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8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8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8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8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8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8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8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8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8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8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8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8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8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8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8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8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8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8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8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8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8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8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8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8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8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8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8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8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8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8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8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8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8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8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8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8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8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8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8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8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8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8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8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8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8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8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8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8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8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8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8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8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8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8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8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8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8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8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8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8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8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8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8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8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8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8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8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8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8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8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8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8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8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8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8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8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8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8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8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8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8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8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8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8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8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8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8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8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8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8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8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8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8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8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8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8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8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8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8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8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8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8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8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8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8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8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8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8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8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8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8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8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8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8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8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8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8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8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8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8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8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8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8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8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8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/>
    <row r="568" spans="1:26" ht="15.75" customHeight="1"/>
    <row r="569" spans="1:26" ht="15.75" customHeight="1"/>
    <row r="570" spans="1:26" ht="15.75" customHeight="1"/>
    <row r="571" spans="1:26" ht="15.75" customHeight="1"/>
    <row r="572" spans="1:26" ht="15.75" customHeight="1"/>
    <row r="573" spans="1:26" ht="15.75" customHeight="1"/>
    <row r="574" spans="1:26" ht="15.75" customHeight="1"/>
    <row r="575" spans="1:26" ht="15.75" customHeight="1"/>
    <row r="576" spans="1:2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B365" xr:uid="{00000000-0009-0000-0000-000003000000}">
    <sortState xmlns:xlrd2="http://schemas.microsoft.com/office/spreadsheetml/2017/richdata2" ref="A3:B365">
      <sortCondition ref="A3:A365"/>
    </sortState>
  </autoFilter>
  <mergeCells count="2">
    <mergeCell ref="A1:M1"/>
    <mergeCell ref="K3:M3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Posições</vt:lpstr>
      <vt:lpstr>Resultados</vt:lpstr>
      <vt:lpstr>Metas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SAMSUNG</cp:lastModifiedBy>
  <dcterms:created xsi:type="dcterms:W3CDTF">2019-01-15T21:06:36Z</dcterms:created>
  <dcterms:modified xsi:type="dcterms:W3CDTF">2022-08-25T20:10:31Z</dcterms:modified>
</cp:coreProperties>
</file>