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leandrosiqueira/Desktop/"/>
    </mc:Choice>
  </mc:AlternateContent>
  <xr:revisionPtr revIDLastSave="0" documentId="13_ncr:1_{E92A244C-4698-8945-A05F-ED0BFD254461}" xr6:coauthVersionLast="47" xr6:coauthVersionMax="48" xr10:uidLastSave="{00000000-0000-0000-0000-000000000000}"/>
  <bookViews>
    <workbookView xWindow="0" yWindow="760" windowWidth="34560" windowHeight="21580" tabRatio="817" xr2:uid="{00000000-000D-0000-FFFF-FFFF00000000}"/>
  </bookViews>
  <sheets>
    <sheet name="Dashboard" sheetId="20" r:id="rId1"/>
    <sheet name="WACC" sheetId="21" r:id="rId2"/>
    <sheet name="DRE + DCF" sheetId="24" r:id="rId3"/>
    <sheet name="DRE - Contas Abertas" sheetId="33" r:id="rId4"/>
    <sheet name="Balanço Patrimonial" sheetId="26" r:id="rId5"/>
    <sheet name="Painel de Índices" sheetId="39" state="hidden" r:id="rId6"/>
    <sheet name="Provisões e Processos" sheetId="38" state="hidden" r:id="rId7"/>
    <sheet name="Projeções - Receita" sheetId="28" r:id="rId8"/>
    <sheet name="Projeções - EBIT" sheetId="41" r:id="rId9"/>
    <sheet name="Projeções - Capex + CG" sheetId="29" r:id="rId10"/>
    <sheet name="Trimestres 2022" sheetId="40" r:id="rId11"/>
    <sheet name="Lojas" sheetId="31" r:id="rId12"/>
  </sheets>
  <definedNames>
    <definedName name="_xlnm._FilterDatabase" localSheetId="5" hidden="1">'Painel de Índices'!#REF!</definedName>
    <definedName name="_xlnm._FilterDatabase" localSheetId="10" hidden="1">'Trimestres 2022'!#REF!</definedName>
    <definedName name="solver_adj" localSheetId="0" hidden="1">Dashboard!$F$18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Dashboard!$G$18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5.66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7" i="24" l="1"/>
  <c r="L47" i="24"/>
  <c r="F14" i="20"/>
  <c r="F13" i="20"/>
  <c r="F13" i="26"/>
  <c r="F14" i="26" s="1"/>
  <c r="F12" i="20"/>
  <c r="U47" i="24"/>
  <c r="U41" i="24"/>
  <c r="N48" i="24"/>
  <c r="U40" i="24"/>
  <c r="N44" i="24"/>
  <c r="N45" i="24" s="1"/>
  <c r="F10" i="26"/>
  <c r="M19" i="41"/>
  <c r="N19" i="41" s="1"/>
  <c r="O19" i="41" s="1"/>
  <c r="P19" i="41" s="1"/>
  <c r="Q19" i="41" s="1"/>
  <c r="L19" i="41"/>
  <c r="K19" i="41"/>
  <c r="L12" i="28"/>
  <c r="N15" i="28"/>
  <c r="O15" i="28" s="1"/>
  <c r="P15" i="28" s="1"/>
  <c r="Q15" i="28" s="1"/>
  <c r="R15" i="28" s="1"/>
  <c r="M15" i="28"/>
  <c r="L15" i="28"/>
  <c r="L11" i="28"/>
  <c r="N32" i="28"/>
  <c r="O32" i="28" s="1"/>
  <c r="P32" i="28" s="1"/>
  <c r="Q32" i="28" s="1"/>
  <c r="R32" i="28" s="1"/>
  <c r="M32" i="28"/>
  <c r="L32" i="28"/>
  <c r="L20" i="28"/>
  <c r="M20" i="28" s="1"/>
  <c r="N20" i="28" s="1"/>
  <c r="O20" i="28" s="1"/>
  <c r="P20" i="28" s="1"/>
  <c r="Q20" i="28" s="1"/>
  <c r="R20" i="28" s="1"/>
  <c r="F28" i="28"/>
  <c r="K20" i="21"/>
  <c r="F11" i="20" s="1"/>
  <c r="F15" i="20" s="1"/>
  <c r="M64" i="26"/>
  <c r="K19" i="21"/>
  <c r="K13" i="21"/>
  <c r="F9" i="26" l="1"/>
  <c r="F11" i="29" s="1"/>
  <c r="J27" i="40"/>
  <c r="J26" i="40"/>
  <c r="P9" i="29"/>
  <c r="Q9" i="29" s="1"/>
  <c r="R9" i="29" s="1"/>
  <c r="O9" i="41"/>
  <c r="P9" i="41" s="1"/>
  <c r="Q9" i="41" s="1"/>
  <c r="T36" i="24"/>
  <c r="S36" i="24"/>
  <c r="R36" i="24"/>
  <c r="S10" i="24"/>
  <c r="T10" i="24" s="1"/>
  <c r="R10" i="24"/>
  <c r="P19" i="28" l="1"/>
  <c r="Q19" i="28" s="1"/>
  <c r="R19" i="28" s="1"/>
  <c r="P9" i="28"/>
  <c r="Q9" i="28" s="1"/>
  <c r="R9" i="28" s="1"/>
  <c r="W38" i="29"/>
  <c r="L34" i="39" l="1"/>
  <c r="F24" i="41" l="1"/>
  <c r="I24" i="41"/>
  <c r="H24" i="41"/>
  <c r="G24" i="41"/>
  <c r="J17" i="41" l="1"/>
  <c r="J24" i="41" s="1"/>
  <c r="I27" i="40"/>
  <c r="H27" i="40"/>
  <c r="G27" i="40"/>
  <c r="F27" i="40"/>
  <c r="I25" i="40"/>
  <c r="H25" i="40"/>
  <c r="G25" i="40"/>
  <c r="F25" i="40"/>
  <c r="I23" i="40"/>
  <c r="H23" i="40"/>
  <c r="G23" i="40"/>
  <c r="F23" i="40"/>
  <c r="I21" i="40"/>
  <c r="H21" i="40"/>
  <c r="G21" i="40"/>
  <c r="F21" i="40"/>
  <c r="G17" i="41" l="1"/>
  <c r="H17" i="41"/>
  <c r="I17" i="41"/>
  <c r="F17" i="41"/>
  <c r="K23" i="41"/>
  <c r="L23" i="41" s="1"/>
  <c r="M23" i="41" s="1"/>
  <c r="N23" i="41" s="1"/>
  <c r="O23" i="41" s="1"/>
  <c r="P23" i="41" s="1"/>
  <c r="Q23" i="41" s="1"/>
  <c r="K16" i="41"/>
  <c r="L16" i="41" s="1"/>
  <c r="M16" i="41" s="1"/>
  <c r="N16" i="41" s="1"/>
  <c r="O16" i="41" s="1"/>
  <c r="P16" i="41" s="1"/>
  <c r="Q16" i="41" s="1"/>
  <c r="G34" i="39" l="1"/>
  <c r="H34" i="39"/>
  <c r="I34" i="39"/>
  <c r="J34" i="39"/>
  <c r="K34" i="39"/>
  <c r="F34" i="39"/>
  <c r="I62" i="40" l="1"/>
  <c r="I63" i="40" s="1"/>
  <c r="H62" i="40"/>
  <c r="H63" i="40" s="1"/>
  <c r="G62" i="40"/>
  <c r="G63" i="40" s="1"/>
  <c r="F62" i="40"/>
  <c r="F63" i="40" s="1"/>
  <c r="I60" i="40"/>
  <c r="I61" i="40" s="1"/>
  <c r="H60" i="40"/>
  <c r="H61" i="40" s="1"/>
  <c r="G60" i="40"/>
  <c r="G61" i="40" s="1"/>
  <c r="F60" i="40"/>
  <c r="F61" i="40" s="1"/>
  <c r="I58" i="40"/>
  <c r="I59" i="40" s="1"/>
  <c r="H58" i="40"/>
  <c r="H59" i="40" s="1"/>
  <c r="G58" i="40"/>
  <c r="G59" i="40" s="1"/>
  <c r="I56" i="40"/>
  <c r="I57" i="40" s="1"/>
  <c r="H56" i="40"/>
  <c r="H57" i="40" s="1"/>
  <c r="G56" i="40"/>
  <c r="G57" i="40" s="1"/>
  <c r="F56" i="40"/>
  <c r="F57" i="40" s="1"/>
  <c r="O25" i="29"/>
  <c r="L27" i="24"/>
  <c r="L19" i="24"/>
  <c r="L16" i="24" s="1"/>
  <c r="L45" i="24"/>
  <c r="L42" i="24"/>
  <c r="L39" i="24"/>
  <c r="L14" i="24"/>
  <c r="L15" i="24" s="1"/>
  <c r="L25" i="29" l="1"/>
  <c r="L26" i="29" s="1"/>
  <c r="M44" i="24"/>
  <c r="L36" i="39"/>
  <c r="L35" i="39"/>
  <c r="L22" i="24"/>
  <c r="K38" i="24"/>
  <c r="K44" i="24"/>
  <c r="K26" i="29"/>
  <c r="K23" i="29"/>
  <c r="J23" i="29"/>
  <c r="L23" i="29" s="1"/>
  <c r="I23" i="29"/>
  <c r="H23" i="29"/>
  <c r="G23" i="29"/>
  <c r="F23" i="29"/>
  <c r="M24" i="29"/>
  <c r="L37" i="39" l="1"/>
  <c r="L26" i="39"/>
  <c r="L26" i="24"/>
  <c r="L23" i="24"/>
  <c r="L37" i="24"/>
  <c r="L40" i="24"/>
  <c r="L30" i="24"/>
  <c r="L32" i="24" s="1"/>
  <c r="L25" i="24"/>
  <c r="L33" i="24" l="1"/>
  <c r="K58" i="33"/>
  <c r="J58" i="33"/>
  <c r="H58" i="33"/>
  <c r="G58" i="33"/>
  <c r="F58" i="33"/>
  <c r="I58" i="33"/>
  <c r="K39" i="24" l="1"/>
  <c r="G13" i="40" l="1"/>
  <c r="H13" i="40" s="1"/>
  <c r="I51" i="40"/>
  <c r="H51" i="40"/>
  <c r="G51" i="40"/>
  <c r="I49" i="40"/>
  <c r="H49" i="40"/>
  <c r="G49" i="40"/>
  <c r="I47" i="40"/>
  <c r="H47" i="40"/>
  <c r="H45" i="40"/>
  <c r="I45" i="40"/>
  <c r="G45" i="40"/>
  <c r="F14" i="40"/>
  <c r="I39" i="40"/>
  <c r="H39" i="40"/>
  <c r="G39" i="40"/>
  <c r="F39" i="40"/>
  <c r="I37" i="40"/>
  <c r="H37" i="40"/>
  <c r="G37" i="40"/>
  <c r="F37" i="40"/>
  <c r="I35" i="40"/>
  <c r="H35" i="40"/>
  <c r="G35" i="40"/>
  <c r="F35" i="40"/>
  <c r="G33" i="40"/>
  <c r="H33" i="40"/>
  <c r="I33" i="40"/>
  <c r="I11" i="40" s="1"/>
  <c r="F33" i="40"/>
  <c r="G11" i="40" l="1"/>
  <c r="H11" i="40"/>
  <c r="I13" i="40"/>
  <c r="J13" i="40" l="1"/>
  <c r="K21" i="29" l="1"/>
  <c r="K19" i="29"/>
  <c r="K17" i="29"/>
  <c r="L17" i="29" s="1"/>
  <c r="L15" i="29" s="1"/>
  <c r="K30" i="28"/>
  <c r="L29" i="28" s="1"/>
  <c r="J30" i="28"/>
  <c r="I30" i="28"/>
  <c r="H30" i="28"/>
  <c r="G30" i="28"/>
  <c r="F30" i="28"/>
  <c r="J29" i="28"/>
  <c r="I29" i="28"/>
  <c r="H29" i="28"/>
  <c r="G29" i="28"/>
  <c r="F29" i="28"/>
  <c r="J28" i="28"/>
  <c r="I28" i="28"/>
  <c r="H28" i="28"/>
  <c r="G28" i="28"/>
  <c r="K27" i="28"/>
  <c r="J27" i="28"/>
  <c r="I27" i="28"/>
  <c r="H27" i="28"/>
  <c r="G27" i="28"/>
  <c r="F27" i="28"/>
  <c r="K25" i="28"/>
  <c r="L82" i="26"/>
  <c r="L18" i="39" s="1"/>
  <c r="L69" i="26"/>
  <c r="L66" i="26" s="1"/>
  <c r="L63" i="26"/>
  <c r="L58" i="26"/>
  <c r="L55" i="26" s="1"/>
  <c r="L52" i="26"/>
  <c r="L12" i="26"/>
  <c r="L25" i="26"/>
  <c r="L25" i="39" l="1"/>
  <c r="L11" i="26"/>
  <c r="L10" i="26" s="1"/>
  <c r="L19" i="39" s="1"/>
  <c r="L29" i="39"/>
  <c r="L28" i="39"/>
  <c r="L62" i="26"/>
  <c r="L41" i="26"/>
  <c r="L13" i="39" s="1"/>
  <c r="L27" i="39" l="1"/>
  <c r="L12" i="39"/>
  <c r="L11" i="39"/>
  <c r="L40" i="26"/>
  <c r="L10" i="39" s="1"/>
  <c r="K99" i="33" l="1"/>
  <c r="G92" i="33"/>
  <c r="H92" i="33"/>
  <c r="I92" i="33"/>
  <c r="J92" i="33"/>
  <c r="K92" i="33"/>
  <c r="F92" i="33"/>
  <c r="K77" i="33"/>
  <c r="J77" i="33"/>
  <c r="H77" i="33"/>
  <c r="G77" i="33"/>
  <c r="F77" i="33"/>
  <c r="J18" i="33"/>
  <c r="I18" i="33"/>
  <c r="H18" i="33"/>
  <c r="G18" i="33"/>
  <c r="F18" i="33"/>
  <c r="K18" i="33"/>
  <c r="K19" i="24"/>
  <c r="K16" i="24" s="1"/>
  <c r="K29" i="33"/>
  <c r="K24" i="24"/>
  <c r="K35" i="33"/>
  <c r="K50" i="33" s="1"/>
  <c r="K27" i="24"/>
  <c r="K14" i="24"/>
  <c r="K15" i="24" s="1"/>
  <c r="K35" i="39" l="1"/>
  <c r="K36" i="39"/>
  <c r="K22" i="24"/>
  <c r="K55" i="33"/>
  <c r="K56" i="33" s="1"/>
  <c r="K59" i="33" s="1"/>
  <c r="K26" i="39" l="1"/>
  <c r="K37" i="39"/>
  <c r="K25" i="24"/>
  <c r="I10" i="41"/>
  <c r="I11" i="41" s="1"/>
  <c r="K40" i="24"/>
  <c r="K37" i="24"/>
  <c r="K30" i="24"/>
  <c r="K32" i="24" s="1"/>
  <c r="K23" i="24"/>
  <c r="K97" i="33"/>
  <c r="K98" i="33"/>
  <c r="K100" i="33" s="1"/>
  <c r="K105" i="33" s="1"/>
  <c r="K107" i="33" s="1"/>
  <c r="K33" i="24" l="1"/>
  <c r="K124" i="33"/>
  <c r="K125" i="33" s="1"/>
  <c r="K120" i="33"/>
  <c r="K121" i="33" s="1"/>
  <c r="K122" i="33"/>
  <c r="K123" i="33" s="1"/>
  <c r="F19" i="29" l="1"/>
  <c r="J44" i="24"/>
  <c r="I19" i="29" l="1"/>
  <c r="K13" i="28"/>
  <c r="F10" i="38" l="1"/>
  <c r="F14" i="38" s="1"/>
  <c r="H10" i="38"/>
  <c r="H14" i="38" s="1"/>
  <c r="I10" i="38"/>
  <c r="I11" i="38"/>
  <c r="I12" i="38"/>
  <c r="I13" i="38"/>
  <c r="G14" i="38"/>
  <c r="I14" i="38" l="1"/>
  <c r="G12" i="24" l="1"/>
  <c r="H12" i="24"/>
  <c r="I12" i="24"/>
  <c r="J12" i="24"/>
  <c r="F14" i="24" l="1"/>
  <c r="F15" i="24" s="1"/>
  <c r="G14" i="24"/>
  <c r="G15" i="24" s="1"/>
  <c r="H14" i="24"/>
  <c r="H15" i="24" s="1"/>
  <c r="I14" i="24"/>
  <c r="I15" i="24" s="1"/>
  <c r="J14" i="24"/>
  <c r="J15" i="24" s="1"/>
  <c r="H16" i="24" l="1"/>
  <c r="G16" i="24"/>
  <c r="F16" i="24"/>
  <c r="I19" i="24"/>
  <c r="I16" i="24" s="1"/>
  <c r="J19" i="24"/>
  <c r="J16" i="24" s="1"/>
  <c r="I27" i="24"/>
  <c r="J22" i="24" l="1"/>
  <c r="J35" i="39"/>
  <c r="F22" i="24"/>
  <c r="F35" i="39"/>
  <c r="G22" i="24"/>
  <c r="G35" i="39"/>
  <c r="I22" i="24"/>
  <c r="I35" i="39"/>
  <c r="H22" i="24"/>
  <c r="H35" i="39"/>
  <c r="F23" i="24"/>
  <c r="J27" i="24"/>
  <c r="J30" i="24" s="1"/>
  <c r="J32" i="24" s="1"/>
  <c r="H27" i="24"/>
  <c r="G27" i="24"/>
  <c r="F27" i="24"/>
  <c r="F30" i="24" s="1"/>
  <c r="F32" i="24" s="1"/>
  <c r="F37" i="24"/>
  <c r="H37" i="24"/>
  <c r="F38" i="24"/>
  <c r="F39" i="24" s="1"/>
  <c r="G38" i="24"/>
  <c r="G39" i="24" s="1"/>
  <c r="H38" i="24"/>
  <c r="H39" i="24" s="1"/>
  <c r="I38" i="24"/>
  <c r="I39" i="24" s="1"/>
  <c r="J38" i="24"/>
  <c r="J39" i="24" s="1"/>
  <c r="F44" i="24"/>
  <c r="G44" i="24"/>
  <c r="G45" i="24" s="1"/>
  <c r="H44" i="24"/>
  <c r="H45" i="24" s="1"/>
  <c r="I44" i="24"/>
  <c r="I45" i="24" s="1"/>
  <c r="J45" i="24"/>
  <c r="M39" i="24" l="1"/>
  <c r="N39" i="24" s="1"/>
  <c r="I26" i="39"/>
  <c r="G26" i="39"/>
  <c r="F26" i="39"/>
  <c r="H26" i="39"/>
  <c r="J26" i="39"/>
  <c r="I23" i="24"/>
  <c r="G30" i="24"/>
  <c r="G32" i="24" s="1"/>
  <c r="G33" i="24" s="1"/>
  <c r="J23" i="24"/>
  <c r="J37" i="24"/>
  <c r="I37" i="24"/>
  <c r="H30" i="24"/>
  <c r="H32" i="24" s="1"/>
  <c r="H33" i="24" s="1"/>
  <c r="G37" i="24"/>
  <c r="G23" i="24"/>
  <c r="H23" i="24"/>
  <c r="F36" i="39"/>
  <c r="F37" i="39" s="1"/>
  <c r="I36" i="39"/>
  <c r="I37" i="39" s="1"/>
  <c r="F33" i="24"/>
  <c r="J33" i="24"/>
  <c r="H36" i="39"/>
  <c r="H37" i="39" s="1"/>
  <c r="G36" i="39"/>
  <c r="G37" i="39" s="1"/>
  <c r="J36" i="39"/>
  <c r="J37" i="39" s="1"/>
  <c r="I30" i="24"/>
  <c r="I32" i="24" s="1"/>
  <c r="F45" i="24"/>
  <c r="F40" i="24"/>
  <c r="G40" i="24"/>
  <c r="J40" i="24"/>
  <c r="H40" i="24"/>
  <c r="J14" i="29"/>
  <c r="J43" i="24" s="1"/>
  <c r="I14" i="29"/>
  <c r="H14" i="29"/>
  <c r="G14" i="29"/>
  <c r="F14" i="29"/>
  <c r="N38" i="24" l="1"/>
  <c r="O39" i="24"/>
  <c r="I33" i="24"/>
  <c r="G43" i="24"/>
  <c r="G42" i="24" s="1"/>
  <c r="I43" i="24"/>
  <c r="I42" i="24" s="1"/>
  <c r="H43" i="24"/>
  <c r="H42" i="24" s="1"/>
  <c r="J42" i="24"/>
  <c r="F43" i="24"/>
  <c r="F42" i="24" s="1"/>
  <c r="F41" i="24" s="1"/>
  <c r="F47" i="24" s="1"/>
  <c r="K15" i="28"/>
  <c r="H99" i="33"/>
  <c r="G99" i="33"/>
  <c r="F99" i="33"/>
  <c r="J99" i="33"/>
  <c r="I99" i="33"/>
  <c r="H24" i="24"/>
  <c r="G24" i="24"/>
  <c r="F24" i="24"/>
  <c r="J24" i="24"/>
  <c r="H21" i="29"/>
  <c r="H19" i="29"/>
  <c r="P39" i="24" l="1"/>
  <c r="O38" i="24"/>
  <c r="O40" i="24" s="1"/>
  <c r="M38" i="24"/>
  <c r="N40" i="24"/>
  <c r="O27" i="29"/>
  <c r="L27" i="29"/>
  <c r="I24" i="24"/>
  <c r="F46" i="40"/>
  <c r="F58" i="40" s="1"/>
  <c r="F59" i="40" s="1"/>
  <c r="K10" i="28"/>
  <c r="I10" i="28"/>
  <c r="Q39" i="24" l="1"/>
  <c r="P38" i="24"/>
  <c r="P40" i="24" s="1"/>
  <c r="G47" i="40"/>
  <c r="F31" i="28"/>
  <c r="F32" i="28" s="1"/>
  <c r="K12" i="24"/>
  <c r="K82" i="26"/>
  <c r="K69" i="26"/>
  <c r="K66" i="26" s="1"/>
  <c r="K58" i="26"/>
  <c r="K55" i="26" s="1"/>
  <c r="K52" i="26"/>
  <c r="K63" i="26"/>
  <c r="K25" i="26"/>
  <c r="K11" i="26"/>
  <c r="J38" i="33"/>
  <c r="I38" i="33"/>
  <c r="H38" i="33"/>
  <c r="G38" i="33"/>
  <c r="F38" i="33"/>
  <c r="J35" i="33"/>
  <c r="I35" i="33"/>
  <c r="H35" i="33"/>
  <c r="G35" i="33"/>
  <c r="F35" i="33"/>
  <c r="J29" i="33"/>
  <c r="I29" i="33"/>
  <c r="H29" i="33"/>
  <c r="G29" i="33"/>
  <c r="F29" i="33"/>
  <c r="R39" i="24" l="1"/>
  <c r="Q38" i="24"/>
  <c r="Q40" i="24" s="1"/>
  <c r="F50" i="33"/>
  <c r="K25" i="39"/>
  <c r="K29" i="39"/>
  <c r="K28" i="39"/>
  <c r="K18" i="39"/>
  <c r="K10" i="26"/>
  <c r="G50" i="33"/>
  <c r="H50" i="33"/>
  <c r="J50" i="33"/>
  <c r="I50" i="33"/>
  <c r="K62" i="26"/>
  <c r="K41" i="26"/>
  <c r="K13" i="39" s="1"/>
  <c r="S39" i="24" l="1"/>
  <c r="R38" i="24"/>
  <c r="R40" i="24" s="1"/>
  <c r="K11" i="39"/>
  <c r="K12" i="39"/>
  <c r="K19" i="39"/>
  <c r="K27" i="39"/>
  <c r="K40" i="26"/>
  <c r="K10" i="39" s="1"/>
  <c r="J15" i="28"/>
  <c r="I15" i="28"/>
  <c r="H15" i="28"/>
  <c r="J13" i="28"/>
  <c r="I13" i="28"/>
  <c r="H13" i="28"/>
  <c r="G13" i="28"/>
  <c r="H10" i="28"/>
  <c r="S12" i="28"/>
  <c r="T39" i="24" l="1"/>
  <c r="S38" i="24"/>
  <c r="S40" i="24" s="1"/>
  <c r="F69" i="26"/>
  <c r="F66" i="26" s="1"/>
  <c r="G69" i="26"/>
  <c r="G66" i="26" s="1"/>
  <c r="H69" i="26"/>
  <c r="H66" i="26" s="1"/>
  <c r="I69" i="26"/>
  <c r="I66" i="26" s="1"/>
  <c r="J69" i="26"/>
  <c r="J66" i="26" s="1"/>
  <c r="F58" i="26"/>
  <c r="F55" i="26" s="1"/>
  <c r="G58" i="26"/>
  <c r="G55" i="26" s="1"/>
  <c r="H58" i="26"/>
  <c r="H55" i="26" s="1"/>
  <c r="I58" i="26"/>
  <c r="I55" i="26" s="1"/>
  <c r="J58" i="26"/>
  <c r="J55" i="26" s="1"/>
  <c r="T38" i="24" l="1"/>
  <c r="T40" i="24" s="1"/>
  <c r="U39" i="24"/>
  <c r="U38" i="24" s="1"/>
  <c r="F63" i="26"/>
  <c r="G63" i="26"/>
  <c r="H63" i="26"/>
  <c r="I63" i="26"/>
  <c r="J63" i="26"/>
  <c r="J52" i="26"/>
  <c r="G52" i="26"/>
  <c r="H52" i="26"/>
  <c r="I52" i="26"/>
  <c r="I25" i="39" s="1"/>
  <c r="F52" i="26"/>
  <c r="F25" i="39" s="1"/>
  <c r="P27" i="29" l="1"/>
  <c r="J25" i="39"/>
  <c r="H25" i="39"/>
  <c r="G25" i="39"/>
  <c r="I21" i="29"/>
  <c r="G21" i="29"/>
  <c r="G19" i="29"/>
  <c r="L19" i="29" s="1"/>
  <c r="L18" i="29" s="1"/>
  <c r="J21" i="29"/>
  <c r="J19" i="29"/>
  <c r="F21" i="29"/>
  <c r="J10" i="28"/>
  <c r="F10" i="28"/>
  <c r="G10" i="28"/>
  <c r="L21" i="29" l="1"/>
  <c r="P19" i="29"/>
  <c r="R19" i="29"/>
  <c r="Q19" i="29"/>
  <c r="O19" i="29"/>
  <c r="R21" i="29"/>
  <c r="Q21" i="29"/>
  <c r="P21" i="29"/>
  <c r="O21" i="29"/>
  <c r="R27" i="29"/>
  <c r="Q27" i="29"/>
  <c r="N21" i="29"/>
  <c r="N20" i="29" s="1"/>
  <c r="M21" i="29"/>
  <c r="N19" i="29"/>
  <c r="M19" i="29"/>
  <c r="F26" i="29"/>
  <c r="G26" i="29"/>
  <c r="H26" i="29"/>
  <c r="I26" i="29"/>
  <c r="J26" i="29"/>
  <c r="F17" i="29" l="1"/>
  <c r="F62" i="26" l="1"/>
  <c r="G62" i="26"/>
  <c r="I62" i="26"/>
  <c r="J62" i="26"/>
  <c r="H62" i="26"/>
  <c r="G13" i="26"/>
  <c r="G9" i="26" s="1"/>
  <c r="H13" i="26"/>
  <c r="H9" i="26" s="1"/>
  <c r="I13" i="26"/>
  <c r="I9" i="26" s="1"/>
  <c r="I11" i="29" s="1"/>
  <c r="J13" i="26"/>
  <c r="J9" i="26" s="1"/>
  <c r="G82" i="26"/>
  <c r="H82" i="26"/>
  <c r="I82" i="26"/>
  <c r="J82" i="26"/>
  <c r="F82" i="26"/>
  <c r="J41" i="26"/>
  <c r="J13" i="39" s="1"/>
  <c r="G41" i="26"/>
  <c r="G13" i="39" s="1"/>
  <c r="H41" i="26"/>
  <c r="H13" i="39" s="1"/>
  <c r="I41" i="26"/>
  <c r="I13" i="39" s="1"/>
  <c r="F41" i="26"/>
  <c r="F13" i="39" s="1"/>
  <c r="J25" i="26"/>
  <c r="G25" i="26"/>
  <c r="H25" i="26"/>
  <c r="I25" i="26"/>
  <c r="F25" i="26"/>
  <c r="G11" i="26"/>
  <c r="H11" i="26"/>
  <c r="I11" i="26"/>
  <c r="J11" i="26"/>
  <c r="F11" i="26"/>
  <c r="J11" i="39" l="1"/>
  <c r="J12" i="39"/>
  <c r="H28" i="39"/>
  <c r="H29" i="39"/>
  <c r="H18" i="39"/>
  <c r="I12" i="39"/>
  <c r="I11" i="39"/>
  <c r="F29" i="39"/>
  <c r="F28" i="39"/>
  <c r="F18" i="39"/>
  <c r="F11" i="39"/>
  <c r="F12" i="39"/>
  <c r="H12" i="39"/>
  <c r="H11" i="39"/>
  <c r="G11" i="39"/>
  <c r="G12" i="39"/>
  <c r="J29" i="39"/>
  <c r="J28" i="39"/>
  <c r="J18" i="39"/>
  <c r="G29" i="39"/>
  <c r="G28" i="39"/>
  <c r="G18" i="39"/>
  <c r="I29" i="39"/>
  <c r="I28" i="39"/>
  <c r="I18" i="39"/>
  <c r="I14" i="26"/>
  <c r="H14" i="26"/>
  <c r="H48" i="24" s="1"/>
  <c r="H11" i="29"/>
  <c r="G14" i="26"/>
  <c r="G48" i="24" s="1"/>
  <c r="G11" i="29"/>
  <c r="F48" i="24"/>
  <c r="F12" i="29"/>
  <c r="J14" i="26"/>
  <c r="J48" i="24" s="1"/>
  <c r="J11" i="29"/>
  <c r="H10" i="26"/>
  <c r="F40" i="26"/>
  <c r="I10" i="26"/>
  <c r="G10" i="26"/>
  <c r="G40" i="26"/>
  <c r="J40" i="26"/>
  <c r="I40" i="26"/>
  <c r="H40" i="26"/>
  <c r="J10" i="26"/>
  <c r="S10" i="28"/>
  <c r="H20" i="39" l="1"/>
  <c r="J20" i="39"/>
  <c r="F20" i="39"/>
  <c r="F10" i="39"/>
  <c r="F19" i="39"/>
  <c r="F27" i="39"/>
  <c r="H10" i="39"/>
  <c r="H19" i="39"/>
  <c r="H27" i="39"/>
  <c r="G10" i="39"/>
  <c r="G19" i="39"/>
  <c r="G27" i="39"/>
  <c r="G20" i="39"/>
  <c r="J10" i="39"/>
  <c r="J19" i="39"/>
  <c r="J27" i="39"/>
  <c r="I10" i="39"/>
  <c r="I19" i="39"/>
  <c r="I27" i="39"/>
  <c r="G46" i="24"/>
  <c r="G41" i="24" s="1"/>
  <c r="G47" i="24" s="1"/>
  <c r="J46" i="24"/>
  <c r="J41" i="24" s="1"/>
  <c r="J47" i="24" s="1"/>
  <c r="H46" i="24"/>
  <c r="H41" i="24" s="1"/>
  <c r="H47" i="24" s="1"/>
  <c r="I46" i="24"/>
  <c r="G12" i="29"/>
  <c r="H12" i="29"/>
  <c r="I12" i="29"/>
  <c r="J12" i="29"/>
  <c r="K28" i="28"/>
  <c r="L27" i="28" s="1"/>
  <c r="F26" i="28" l="1"/>
  <c r="F25" i="28" s="1"/>
  <c r="G31" i="28"/>
  <c r="G32" i="28" s="1"/>
  <c r="H26" i="28"/>
  <c r="H23" i="28" s="1"/>
  <c r="H24" i="28" s="1"/>
  <c r="J26" i="28"/>
  <c r="G26" i="28"/>
  <c r="G25" i="28" s="1"/>
  <c r="K29" i="28"/>
  <c r="L28" i="28" s="1"/>
  <c r="M27" i="28" s="1"/>
  <c r="J23" i="28" l="1"/>
  <c r="J24" i="28" s="1"/>
  <c r="J31" i="28"/>
  <c r="J32" i="28" l="1"/>
  <c r="J25" i="28"/>
  <c r="G9" i="29"/>
  <c r="G16" i="29" l="1"/>
  <c r="G17" i="29" s="1"/>
  <c r="H9" i="29"/>
  <c r="H17" i="29" s="1"/>
  <c r="J55" i="33" l="1"/>
  <c r="J56" i="33" s="1"/>
  <c r="I9" i="29"/>
  <c r="I17" i="29" l="1"/>
  <c r="J57" i="33"/>
  <c r="J59" i="33"/>
  <c r="J9" i="29"/>
  <c r="J17" i="29" s="1"/>
  <c r="J25" i="24" l="1"/>
  <c r="H10" i="41"/>
  <c r="H11" i="41" s="1"/>
  <c r="J97" i="33"/>
  <c r="J98" i="33"/>
  <c r="J100" i="33" s="1"/>
  <c r="J105" i="33" s="1"/>
  <c r="J107" i="33" s="1"/>
  <c r="J120" i="33" s="1"/>
  <c r="J60" i="33"/>
  <c r="J26" i="24" s="1"/>
  <c r="J124" i="33" l="1"/>
  <c r="J125" i="33" s="1"/>
  <c r="J121" i="33"/>
  <c r="J122" i="33"/>
  <c r="J123" i="33" s="1"/>
  <c r="G55" i="33" l="1"/>
  <c r="G56" i="33" s="1"/>
  <c r="I55" i="33"/>
  <c r="I56" i="33" s="1"/>
  <c r="H55" i="33" l="1"/>
  <c r="H56" i="33" s="1"/>
  <c r="G59" i="33"/>
  <c r="G57" i="33"/>
  <c r="F55" i="33"/>
  <c r="F56" i="33" s="1"/>
  <c r="I57" i="33"/>
  <c r="I59" i="33"/>
  <c r="I25" i="24" l="1"/>
  <c r="G10" i="41"/>
  <c r="G11" i="41" s="1"/>
  <c r="G25" i="24"/>
  <c r="G98" i="33"/>
  <c r="G100" i="33" s="1"/>
  <c r="G105" i="33" s="1"/>
  <c r="G107" i="33" s="1"/>
  <c r="G120" i="33" s="1"/>
  <c r="G97" i="33"/>
  <c r="I97" i="33"/>
  <c r="I98" i="33"/>
  <c r="I100" i="33" s="1"/>
  <c r="I105" i="33" s="1"/>
  <c r="I107" i="33" s="1"/>
  <c r="I120" i="33" s="1"/>
  <c r="I60" i="33"/>
  <c r="I26" i="24" s="1"/>
  <c r="G60" i="33"/>
  <c r="G26" i="24" s="1"/>
  <c r="F57" i="33"/>
  <c r="F59" i="33"/>
  <c r="F25" i="24" s="1"/>
  <c r="H57" i="33"/>
  <c r="H59" i="33"/>
  <c r="H25" i="24" l="1"/>
  <c r="F10" i="41"/>
  <c r="F11" i="41" s="1"/>
  <c r="I13" i="20"/>
  <c r="F98" i="33"/>
  <c r="F100" i="33" s="1"/>
  <c r="F105" i="33" s="1"/>
  <c r="F107" i="33" s="1"/>
  <c r="F120" i="33" s="1"/>
  <c r="K26" i="24"/>
  <c r="H97" i="33"/>
  <c r="H98" i="33"/>
  <c r="H100" i="33" s="1"/>
  <c r="H105" i="33" s="1"/>
  <c r="H107" i="33" s="1"/>
  <c r="H120" i="33" s="1"/>
  <c r="G122" i="33"/>
  <c r="G123" i="33" s="1"/>
  <c r="G124" i="33"/>
  <c r="G125" i="33" s="1"/>
  <c r="G121" i="33"/>
  <c r="I122" i="33"/>
  <c r="I123" i="33" s="1"/>
  <c r="I124" i="33"/>
  <c r="I125" i="33" s="1"/>
  <c r="I121" i="33"/>
  <c r="H60" i="33"/>
  <c r="H26" i="24" s="1"/>
  <c r="F60" i="33"/>
  <c r="F26" i="24" s="1"/>
  <c r="F97" i="33"/>
  <c r="S13" i="20" l="1"/>
  <c r="R13" i="20"/>
  <c r="L13" i="20"/>
  <c r="J13" i="20"/>
  <c r="Q13" i="20"/>
  <c r="K13" i="20"/>
  <c r="P13" i="20"/>
  <c r="O13" i="20"/>
  <c r="M13" i="20"/>
  <c r="N13" i="20"/>
  <c r="F122" i="33"/>
  <c r="F123" i="33" s="1"/>
  <c r="F121" i="33"/>
  <c r="F124" i="33"/>
  <c r="F125" i="33" s="1"/>
  <c r="H124" i="33"/>
  <c r="H125" i="33" s="1"/>
  <c r="H121" i="33"/>
  <c r="H122" i="33"/>
  <c r="H123" i="33" s="1"/>
  <c r="I40" i="24" l="1"/>
  <c r="I12" i="20"/>
  <c r="I14" i="20"/>
  <c r="S14" i="20" l="1"/>
  <c r="R14" i="20"/>
  <c r="L14" i="20"/>
  <c r="Q14" i="20"/>
  <c r="P14" i="20"/>
  <c r="O14" i="20"/>
  <c r="N14" i="20"/>
  <c r="K14" i="20"/>
  <c r="J14" i="20"/>
  <c r="M14" i="20"/>
  <c r="R12" i="20"/>
  <c r="Q12" i="20"/>
  <c r="K12" i="20"/>
  <c r="J12" i="20"/>
  <c r="P12" i="20"/>
  <c r="O12" i="20"/>
  <c r="N12" i="20"/>
  <c r="M12" i="20"/>
  <c r="L12" i="20"/>
  <c r="S12" i="20"/>
  <c r="I48" i="24"/>
  <c r="I20" i="39"/>
  <c r="I15" i="20"/>
  <c r="I11" i="20"/>
  <c r="R11" i="20" l="1"/>
  <c r="Q11" i="20"/>
  <c r="P11" i="20"/>
  <c r="O11" i="20"/>
  <c r="J11" i="20"/>
  <c r="N11" i="20"/>
  <c r="K11" i="20"/>
  <c r="M11" i="20"/>
  <c r="S11" i="20"/>
  <c r="L11" i="20"/>
  <c r="S15" i="20"/>
  <c r="R15" i="20"/>
  <c r="Q15" i="20"/>
  <c r="P15" i="20"/>
  <c r="O15" i="20"/>
  <c r="M15" i="20"/>
  <c r="N15" i="20"/>
  <c r="L15" i="20"/>
  <c r="K15" i="20"/>
  <c r="J15" i="20"/>
  <c r="I41" i="24"/>
  <c r="I47" i="24" s="1"/>
  <c r="I10" i="20"/>
  <c r="I16" i="20"/>
  <c r="S16" i="20" l="1"/>
  <c r="M16" i="20"/>
  <c r="R16" i="20"/>
  <c r="Q16" i="20"/>
  <c r="K16" i="20"/>
  <c r="P16" i="20"/>
  <c r="O16" i="20"/>
  <c r="N16" i="20"/>
  <c r="L16" i="20"/>
  <c r="J16" i="20"/>
  <c r="R10" i="20"/>
  <c r="Q10" i="20"/>
  <c r="L10" i="20"/>
  <c r="K10" i="20"/>
  <c r="P10" i="20"/>
  <c r="J10" i="20"/>
  <c r="O10" i="20"/>
  <c r="N10" i="20"/>
  <c r="M10" i="20"/>
  <c r="S10" i="20"/>
  <c r="I17" i="20"/>
  <c r="I9" i="20"/>
  <c r="R9" i="20" l="1"/>
  <c r="Q9" i="20"/>
  <c r="P9" i="20"/>
  <c r="K9" i="20"/>
  <c r="O9" i="20"/>
  <c r="N9" i="20"/>
  <c r="M9" i="20"/>
  <c r="L9" i="20"/>
  <c r="J9" i="20"/>
  <c r="S9" i="20"/>
  <c r="S17" i="20"/>
  <c r="R17" i="20"/>
  <c r="K17" i="20"/>
  <c r="Q17" i="20"/>
  <c r="P17" i="20"/>
  <c r="L17" i="20"/>
  <c r="O17" i="20"/>
  <c r="M17" i="20"/>
  <c r="N17" i="20"/>
  <c r="J17" i="20"/>
  <c r="I26" i="28"/>
  <c r="I23" i="28" s="1"/>
  <c r="I24" i="28" s="1"/>
  <c r="I25" i="28" l="1"/>
  <c r="I31" i="28"/>
  <c r="I32" i="28" l="1"/>
  <c r="K13" i="26"/>
  <c r="K9" i="26" s="1"/>
  <c r="K14" i="26" l="1"/>
  <c r="K11" i="29"/>
  <c r="H25" i="28"/>
  <c r="L25" i="28" s="1"/>
  <c r="H31" i="28"/>
  <c r="H32" i="28" s="1"/>
  <c r="M25" i="28" l="1"/>
  <c r="N25" i="28" s="1"/>
  <c r="O25" i="28" s="1"/>
  <c r="P25" i="28" s="1"/>
  <c r="Q25" i="28" s="1"/>
  <c r="R25" i="28" s="1"/>
  <c r="R30" i="28" s="1"/>
  <c r="L30" i="28"/>
  <c r="K48" i="24"/>
  <c r="K20" i="39"/>
  <c r="K12" i="29"/>
  <c r="K46" i="24"/>
  <c r="M12" i="29" l="1"/>
  <c r="M11" i="29" s="1"/>
  <c r="L12" i="29"/>
  <c r="Q30" i="28"/>
  <c r="R29" i="28" s="1"/>
  <c r="P30" i="28"/>
  <c r="Q29" i="28" s="1"/>
  <c r="R28" i="28" s="1"/>
  <c r="O30" i="28"/>
  <c r="P29" i="28" s="1"/>
  <c r="Q28" i="28" s="1"/>
  <c r="M30" i="28"/>
  <c r="N29" i="28" s="1"/>
  <c r="O28" i="28" s="1"/>
  <c r="N30" i="28"/>
  <c r="O29" i="28" s="1"/>
  <c r="P28" i="28" s="1"/>
  <c r="M29" i="28"/>
  <c r="N28" i="28" s="1"/>
  <c r="R12" i="29"/>
  <c r="O12" i="29"/>
  <c r="P12" i="29"/>
  <c r="Q12" i="29"/>
  <c r="Q48" i="24"/>
  <c r="O48" i="24"/>
  <c r="R48" i="24"/>
  <c r="S48" i="24"/>
  <c r="P48" i="24"/>
  <c r="T48" i="24"/>
  <c r="N12" i="29"/>
  <c r="K26" i="28"/>
  <c r="K23" i="28" s="1"/>
  <c r="K24" i="28" s="1"/>
  <c r="L24" i="28" s="1"/>
  <c r="M24" i="28" s="1"/>
  <c r="N24" i="28" s="1"/>
  <c r="O24" i="28" s="1"/>
  <c r="P24" i="28" s="1"/>
  <c r="Q24" i="28" s="1"/>
  <c r="R24" i="28" s="1"/>
  <c r="M28" i="28" l="1"/>
  <c r="L26" i="28"/>
  <c r="L23" i="28" s="1"/>
  <c r="L31" i="28" s="1"/>
  <c r="N27" i="28" l="1"/>
  <c r="O27" i="28" s="1"/>
  <c r="M26" i="28"/>
  <c r="M23" i="28" s="1"/>
  <c r="M31" i="28" s="1"/>
  <c r="N26" i="28" l="1"/>
  <c r="N23" i="28" s="1"/>
  <c r="N31" i="28" s="1"/>
  <c r="P27" i="28"/>
  <c r="Q27" i="28" l="1"/>
  <c r="P26" i="28"/>
  <c r="P23" i="28" s="1"/>
  <c r="P31" i="28" s="1"/>
  <c r="O26" i="28"/>
  <c r="O23" i="28" s="1"/>
  <c r="O31" i="28" s="1"/>
  <c r="R27" i="28" l="1"/>
  <c r="Q26" i="28"/>
  <c r="Q23" i="28" s="1"/>
  <c r="Q31" i="28" s="1"/>
  <c r="K31" i="28"/>
  <c r="M17" i="29"/>
  <c r="K14" i="29"/>
  <c r="K32" i="28" l="1"/>
  <c r="J28" i="40"/>
  <c r="R26" i="28"/>
  <c r="R23" i="28" s="1"/>
  <c r="R31" i="28" s="1"/>
  <c r="K43" i="24"/>
  <c r="K13" i="29"/>
  <c r="N17" i="29"/>
  <c r="O17" i="29" s="1"/>
  <c r="M15" i="29"/>
  <c r="O15" i="29" l="1"/>
  <c r="N15" i="29"/>
  <c r="L14" i="28" l="1"/>
  <c r="M11" i="28"/>
  <c r="P15" i="29"/>
  <c r="K45" i="24"/>
  <c r="K42" i="24"/>
  <c r="K41" i="24" s="1"/>
  <c r="K47" i="24" s="1"/>
  <c r="N18" i="20"/>
  <c r="M18" i="20" s="1"/>
  <c r="L18" i="20" s="1"/>
  <c r="K18" i="20" s="1"/>
  <c r="J18" i="20" s="1"/>
  <c r="L10" i="28" l="1"/>
  <c r="M12" i="28"/>
  <c r="M14" i="28"/>
  <c r="N11" i="28"/>
  <c r="R15" i="29"/>
  <c r="Q15" i="29"/>
  <c r="O18" i="20"/>
  <c r="P18" i="20" s="1"/>
  <c r="Q18" i="20" s="1"/>
  <c r="R18" i="20" s="1"/>
  <c r="S18" i="20" s="1"/>
  <c r="M10" i="28" l="1"/>
  <c r="N12" i="28"/>
  <c r="N14" i="28"/>
  <c r="O11" i="28"/>
  <c r="F11" i="40"/>
  <c r="F15" i="40"/>
  <c r="N10" i="28" l="1"/>
  <c r="O12" i="28"/>
  <c r="N17" i="41" s="1"/>
  <c r="O14" i="28"/>
  <c r="O10" i="28" s="1"/>
  <c r="P11" i="28"/>
  <c r="P12" i="28" l="1"/>
  <c r="O17" i="41" s="1"/>
  <c r="P14" i="28"/>
  <c r="R11" i="28"/>
  <c r="Q11" i="28"/>
  <c r="N18" i="41"/>
  <c r="N12" i="41" s="1"/>
  <c r="P10" i="28" l="1"/>
  <c r="Q12" i="28"/>
  <c r="P17" i="41" s="1"/>
  <c r="Q14" i="28"/>
  <c r="R12" i="28"/>
  <c r="Q17" i="41" s="1"/>
  <c r="R14" i="28"/>
  <c r="O18" i="41"/>
  <c r="M17" i="41"/>
  <c r="Q10" i="28" l="1"/>
  <c r="Q18" i="41"/>
  <c r="O12" i="41"/>
  <c r="R10" i="28"/>
  <c r="P18" i="41"/>
  <c r="K17" i="41"/>
  <c r="K18" i="41" s="1"/>
  <c r="L17" i="41"/>
  <c r="P12" i="41" l="1"/>
  <c r="Q12" i="41"/>
  <c r="L18" i="41"/>
  <c r="L12" i="41" s="1"/>
  <c r="M18" i="41"/>
  <c r="M12" i="41" s="1"/>
  <c r="K12" i="41" l="1"/>
  <c r="M27" i="29" l="1"/>
  <c r="N27" i="29" l="1"/>
  <c r="S11" i="28" l="1"/>
  <c r="F13" i="28"/>
  <c r="S11" i="24" l="1"/>
  <c r="Q11" i="29" l="1"/>
  <c r="P24" i="41"/>
  <c r="N24" i="41"/>
  <c r="P11" i="24"/>
  <c r="P25" i="41" l="1"/>
  <c r="N25" i="41"/>
  <c r="Q20" i="29"/>
  <c r="Q18" i="29"/>
  <c r="T11" i="24"/>
  <c r="R11" i="24"/>
  <c r="Q11" i="24"/>
  <c r="O11" i="29" s="1"/>
  <c r="M24" i="41"/>
  <c r="N18" i="29"/>
  <c r="N11" i="29"/>
  <c r="Q46" i="24" l="1"/>
  <c r="P11" i="29"/>
  <c r="T12" i="24"/>
  <c r="R11" i="29"/>
  <c r="T46" i="24" s="1"/>
  <c r="Q24" i="41"/>
  <c r="R20" i="29"/>
  <c r="R18" i="29"/>
  <c r="O24" i="41"/>
  <c r="R12" i="24"/>
  <c r="S12" i="24"/>
  <c r="Q12" i="24"/>
  <c r="Q25" i="41" l="1"/>
  <c r="O25" i="41"/>
  <c r="R46" i="24"/>
  <c r="S46" i="24"/>
  <c r="L24" i="41" l="1"/>
  <c r="O11" i="24"/>
  <c r="P12" i="24" l="1"/>
  <c r="P18" i="29"/>
  <c r="P20" i="29"/>
  <c r="M20" i="29"/>
  <c r="M18" i="29"/>
  <c r="P46" i="24" l="1"/>
  <c r="K24" i="41" l="1"/>
  <c r="K25" i="41" l="1"/>
  <c r="N11" i="24"/>
  <c r="J10" i="40"/>
  <c r="I10" i="40" l="1"/>
  <c r="I12" i="40" s="1"/>
  <c r="I14" i="40" s="1"/>
  <c r="I15" i="40" s="1"/>
  <c r="H10" i="40"/>
  <c r="H12" i="40" s="1"/>
  <c r="H14" i="40" s="1"/>
  <c r="H15" i="40" s="1"/>
  <c r="G10" i="40"/>
  <c r="G12" i="40" s="1"/>
  <c r="O26" i="29"/>
  <c r="O20" i="29"/>
  <c r="O18" i="29"/>
  <c r="M11" i="24"/>
  <c r="L13" i="26"/>
  <c r="L11" i="29"/>
  <c r="O46" i="24" s="1"/>
  <c r="L20" i="29"/>
  <c r="N12" i="24"/>
  <c r="L22" i="29"/>
  <c r="O45" i="24"/>
  <c r="O12" i="24"/>
  <c r="L14" i="29" l="1"/>
  <c r="P45" i="24"/>
  <c r="O44" i="24"/>
  <c r="M22" i="29"/>
  <c r="M14" i="29" s="1"/>
  <c r="M26" i="24"/>
  <c r="M45" i="24"/>
  <c r="J12" i="40"/>
  <c r="G14" i="40"/>
  <c r="L9" i="26"/>
  <c r="L46" i="24" s="1"/>
  <c r="L41" i="24" s="1"/>
  <c r="L14" i="26"/>
  <c r="N46" i="24"/>
  <c r="L13" i="29" l="1"/>
  <c r="N43" i="24"/>
  <c r="N42" i="24"/>
  <c r="M46" i="24"/>
  <c r="G15" i="40"/>
  <c r="J14" i="40"/>
  <c r="J15" i="40" s="1"/>
  <c r="J11" i="40"/>
  <c r="M23" i="29"/>
  <c r="N22" i="29"/>
  <c r="O22" i="29" s="1"/>
  <c r="O43" i="24"/>
  <c r="O42" i="24" s="1"/>
  <c r="L20" i="39"/>
  <c r="M25" i="29"/>
  <c r="P25" i="29"/>
  <c r="P26" i="29" s="1"/>
  <c r="Q45" i="24"/>
  <c r="P44" i="24"/>
  <c r="M26" i="29" l="1"/>
  <c r="M13" i="29"/>
  <c r="M43" i="24"/>
  <c r="Q44" i="24"/>
  <c r="R25" i="29" s="1"/>
  <c r="R26" i="29" s="1"/>
  <c r="R45" i="24"/>
  <c r="P22" i="29"/>
  <c r="O14" i="29"/>
  <c r="O23" i="29"/>
  <c r="N25" i="29"/>
  <c r="N26" i="29" s="1"/>
  <c r="Q25" i="29"/>
  <c r="Q26" i="29" s="1"/>
  <c r="N14" i="29"/>
  <c r="P43" i="24" s="1"/>
  <c r="P42" i="24" s="1"/>
  <c r="N23" i="29"/>
  <c r="M42" i="24"/>
  <c r="S45" i="24" l="1"/>
  <c r="R44" i="24"/>
  <c r="O13" i="29"/>
  <c r="Q43" i="24"/>
  <c r="Q42" i="24" s="1"/>
  <c r="Q22" i="29"/>
  <c r="P14" i="29"/>
  <c r="P23" i="29"/>
  <c r="N13" i="29"/>
  <c r="T45" i="24" l="1"/>
  <c r="T44" i="24" s="1"/>
  <c r="S44" i="24"/>
  <c r="R22" i="29"/>
  <c r="Q23" i="29"/>
  <c r="Q14" i="29"/>
  <c r="R43" i="24"/>
  <c r="R42" i="24" s="1"/>
  <c r="P13" i="29"/>
  <c r="S43" i="24" l="1"/>
  <c r="S42" i="24" s="1"/>
  <c r="Q13" i="29"/>
  <c r="R23" i="29"/>
  <c r="R14" i="29"/>
  <c r="T43" i="24" l="1"/>
  <c r="T42" i="24" s="1"/>
  <c r="R13" i="29"/>
  <c r="N11" i="41" l="1"/>
  <c r="N10" i="41" s="1"/>
  <c r="Q25" i="24" s="1"/>
  <c r="O11" i="41"/>
  <c r="Q26" i="24" l="1"/>
  <c r="O10" i="41"/>
  <c r="R25" i="24" s="1"/>
  <c r="R26" i="24" l="1"/>
  <c r="P11" i="41"/>
  <c r="Q41" i="24"/>
  <c r="Q47" i="24" s="1"/>
  <c r="Q11" i="41"/>
  <c r="Q10" i="41" s="1"/>
  <c r="T25" i="24" s="1"/>
  <c r="R41" i="24" l="1"/>
  <c r="R47" i="24" s="1"/>
  <c r="T26" i="24"/>
  <c r="P10" i="41"/>
  <c r="S25" i="24" s="1"/>
  <c r="T41" i="24" l="1"/>
  <c r="T47" i="24" s="1"/>
  <c r="S26" i="24"/>
  <c r="S41" i="24" l="1"/>
  <c r="S47" i="24" s="1"/>
  <c r="K11" i="41"/>
  <c r="K10" i="41" s="1"/>
  <c r="N25" i="24" s="1"/>
  <c r="M25" i="41" l="1"/>
  <c r="M11" i="41" s="1"/>
  <c r="M10" i="41" s="1"/>
  <c r="P25" i="24" s="1"/>
  <c r="L25" i="41"/>
  <c r="L11" i="41" s="1"/>
  <c r="L10" i="41" s="1"/>
  <c r="O25" i="24" s="1"/>
  <c r="N26" i="24"/>
  <c r="M25" i="24"/>
  <c r="O26" i="24" l="1"/>
  <c r="P26" i="24"/>
  <c r="M40" i="24"/>
  <c r="N41" i="24"/>
  <c r="N47" i="24" s="1"/>
  <c r="M41" i="24" l="1"/>
  <c r="P41" i="24"/>
  <c r="P47" i="24" s="1"/>
  <c r="O41" i="24"/>
  <c r="O47" i="24" s="1"/>
  <c r="F17" i="20" l="1"/>
  <c r="E1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tc={B667B3A5-9894-4C3E-A92B-705ECDBFAD4B}</author>
    <author>tc={734DFFF4-9009-490D-815B-46EDD2A1E2DD}</author>
    <author>tc={AA7B742D-EFB3-4316-AFAF-1A287D701BB4}</author>
    <author>tc={E4070B8B-681C-497C-8391-F9DE45D41C13}</author>
    <author>tc={8A5031D4-0643-4BB2-8F8D-07BF17C55A07}</author>
    <author>tc={DED39E57-3996-4688-8F14-8C5DA93DEBA2}</author>
    <author>tc={995E3313-B892-4C10-8CBD-9424D967E5B8}</author>
  </authors>
  <commentList>
    <comment ref="J12" authorId="0" shapeId="0" xr:uid="{B667B3A5-9894-4C3E-A92B-705ECDBFAD4B}">
      <text>
        <t>[Threaded comment]
Your version of Excel allows you to read this threaded comment; however, any edits to it will get removed if the file is opened in a newer version of Excel. Learn more: https://go.microsoft.com/fwlink/?linkid=870924
Comment:
    Essa queda foi causada pelo Covid-19.</t>
      </text>
    </comment>
    <comment ref="J15" authorId="1" shapeId="0" xr:uid="{734DFFF4-9009-490D-815B-46EDD2A1E2DD}">
      <text>
        <t>[Threaded comment]
Your version of Excel allows you to read this threaded comment; however, any edits to it will get removed if the file is opened in a newer version of Excel. Learn more: https://go.microsoft.com/fwlink/?linkid=870924
Comment:
    Olha como a Margem Bruta cai nesse ano. Isso, muito provavelmente, aconteceu porque a C&amp;A jogou os preços pra baixo durante a pandemia. Uma outra hipótese é que o custo dos produtos tenha aumentado.</t>
      </text>
    </comment>
    <comment ref="I20" authorId="2" shapeId="0" xr:uid="{AA7B742D-EFB3-4316-AFAF-1A287D70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houve um não-recorrente de R$ 663 milhões. Ele veio do ganho que as varejistas tiveram em relação ao processo do PIS/COFINS.</t>
      </text>
    </comment>
    <comment ref="J23" authorId="3" shapeId="0" xr:uid="{E4070B8B-681C-497C-8391-F9DE45D41C13}">
      <text>
        <t>[Threaded comment]
Your version of Excel allows you to read this threaded comment; however, any edits to it will get removed if the file is opened in a newer version of Excel. Learn more: https://go.microsoft.com/fwlink/?linkid=870924
Comment:
    Olha como a Margem EBIT caiu nesse ano. Essa é a chamada "desalavancagem operacional". Vários custos são fixos e não dependem da empresa estar vendendo mais ou estar vendendo menos. Quando ela está vendendo mais, esses custos são diluídos e sobra mais dinheiro no final. Como aqui ela vendeu menos, sobrou menos dinheiro também.</t>
      </text>
    </comment>
    <comment ref="I27" authorId="4" shapeId="0" xr:uid="{8A5031D4-0643-4BB2-8F8D-07BF17C55A07}">
      <text>
        <t>[Threaded comment]
Your version of Excel allows you to read this threaded comment; however, any edits to it will get removed if the file is opened in a newer version of Excel. Learn more: https://go.microsoft.com/fwlink/?linkid=870924
Comment:
    Eles tiveram um ganho de R$ 618 milhões aqui por conta da correção monetária do crédito do ICMS que eles receberam.</t>
      </text>
    </comment>
    <comment ref="I37" authorId="5" shapeId="0" xr:uid="{DED39E57-3996-4688-8F14-8C5DA93DEBA2}">
      <text>
        <t>[Threaded comment]
Your version of Excel allows you to read this threaded comment; however, any edits to it will get removed if the file is opened in a newer version of Excel. Learn more: https://go.microsoft.com/fwlink/?linkid=870924
Comment:
    A Alíquota Efetiva (como % do EBIT) acabou ficando muito mais alta aqui porque o resultado financeiro foi positivo (lembra do não-recorrente?). Com o esse resultado financeiro, o lucro antes do imposto foi muito mais alto também. Como o imposto é um % desse lucro, ela acabou pagando muito mais.</t>
      </text>
    </comment>
    <comment ref="I40" authorId="6" shapeId="0" xr:uid="{995E3313-B892-4C10-8CBD-9424D967E5B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Corrigimos esse valor aqui pra tirar o efeito daqueles não-recorrentes.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Lacombe</author>
  </authors>
  <commentList>
    <comment ref="I9" authorId="0" shapeId="0" xr:uid="{C6EAEBDD-D802-4E78-B46E-3C6A245E6E23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I33" authorId="0" shapeId="0" xr:uid="{0F8355C9-697C-4E77-B28A-6F4EBDBC0BD7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I54" authorId="0" shapeId="0" xr:uid="{7AA9D1B9-5392-464A-BE27-7B44747425A3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I65" authorId="0" shapeId="0" xr:uid="{70D12331-45A2-4A58-9F6A-A32A473D9DBE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I81" authorId="0" shapeId="0" xr:uid="{F2FA12B7-96C6-4C96-B779-92D32914AE88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I96" authorId="0" shapeId="0" xr:uid="{877A296E-E6D2-4F80-97BB-21ACC7DCF21E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J120" authorId="0" shapeId="0" xr:uid="{5BF65070-A9DA-4A00-93D9-F94753974D5A}">
      <text>
        <r>
          <rPr>
            <b/>
            <sz val="9"/>
            <color indexed="81"/>
            <rFont val="Segoe UI"/>
            <family val="2"/>
          </rPr>
          <t>Aqui também teve uma adição de R$ 108.988 referentes ao Crédito Judicial IRPJ e CSLL - exclusão do crédito presumido e de R$ 6.352 referente a IRPJ e CSLL diferidos de períodos anteriores. Por isso não bate com a DRE.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Lacombe</author>
    <author>Rafael Monnerat</author>
  </authors>
  <commentList>
    <comment ref="E10" authorId="0" shapeId="0" xr:uid="{0A884D36-0581-4A84-9232-C8FA9EA47483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Ativo Total/ Passivo Total</t>
        </r>
      </text>
    </comment>
    <comment ref="E11" authorId="0" shapeId="0" xr:uid="{31F0BF16-69A3-429E-B162-68EA0BB23F9A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Ativo Circulante/ Passivo Circulante
</t>
        </r>
      </text>
    </comment>
    <comment ref="E12" authorId="0" shapeId="0" xr:uid="{EFB672FD-5BE5-49D0-8598-079489AECFC8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(Ativo Circulante - Estoques)/ Passivo Circulante</t>
        </r>
      </text>
    </comment>
    <comment ref="E13" authorId="0" shapeId="0" xr:uid="{71B6065A-B883-48BC-8623-17228D1F8591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Caixa/ Passivo Circulante
</t>
        </r>
      </text>
    </comment>
    <comment ref="E18" authorId="0" shapeId="0" xr:uid="{E0F02032-3782-4C94-AB07-C0AF6382309A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Lucro Líquido/ Patrimônio Líquido</t>
        </r>
      </text>
    </comment>
    <comment ref="E19" authorId="0" shapeId="0" xr:uid="{6C5EE712-9CDD-48A0-B402-BD7C8A4CA5CA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Lucro Líquido/ Ativo Total</t>
        </r>
      </text>
    </comment>
    <comment ref="E20" authorId="0" shapeId="0" xr:uid="{28C78A9E-11A0-4343-9E60-8B76EC6D8DD0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NOPAT/(Dívida Bruta + Patrimônio Líquido - Excesso de caixa)</t>
        </r>
      </text>
    </comment>
    <comment ref="I24" authorId="1" shapeId="0" xr:uid="{19AA01D9-F4ED-4562-AA95-C8AEF41D5615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Adoção do IFRS16</t>
        </r>
      </text>
    </comment>
    <comment ref="E26" authorId="0" shapeId="0" xr:uid="{37411945-B9DB-41BC-BF4B-7F81FFC9D47B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EBIT/ Despesas Financeiras</t>
        </r>
      </text>
    </comment>
    <comment ref="E34" authorId="0" shapeId="0" xr:uid="{5E801A97-DF7E-4A20-926D-D9A1A407224B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Contas a Receber*365/Receita Bruta</t>
        </r>
      </text>
    </comment>
    <comment ref="E35" authorId="0" shapeId="0" xr:uid="{E750F849-009A-4E85-9199-550FA88C4C09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Estoques*365/-despesas</t>
        </r>
      </text>
    </comment>
    <comment ref="E36" authorId="0" shapeId="0" xr:uid="{2432BF37-D9E2-4A83-9ABB-AF49EF26FBEE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(Fornecedores + Obrigações Trabalhistas)*365/-(Custos de mercadoria + despesas + D&amp;A + D&amp;A do arrendamento)</t>
        </r>
      </text>
    </comment>
    <comment ref="E37" authorId="0" shapeId="0" xr:uid="{10767BA3-0289-4696-AB26-BA4FB38B49C8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Prazo médio de recebimento + Prazo médio de estoques + prazo médio de pagamento</t>
        </r>
      </text>
    </comment>
    <comment ref="J41" authorId="1" shapeId="0" xr:uid="{B57FFAA8-829C-4365-955B-54056048AABB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Houve um Split de 5 pra 1 em 2020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Lacombe</author>
  </authors>
  <commentList>
    <comment ref="F14" authorId="0" shapeId="0" xr:uid="{84B1C33D-D3D4-4B6D-9731-0427C4E7EF1D}">
      <text>
        <r>
          <rPr>
            <b/>
            <sz val="9"/>
            <color indexed="81"/>
            <rFont val="Segoe UI"/>
            <family val="2"/>
          </rPr>
          <t>Empresa não fornece esses números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4" authorId="0" shapeId="0" xr:uid="{197C08AC-E9D6-419D-9595-61D307AA4690}">
      <text>
        <r>
          <rPr>
            <b/>
            <sz val="9"/>
            <color indexed="81"/>
            <rFont val="Segoe UI"/>
            <family val="2"/>
          </rPr>
          <t>Empresa não fornece esses números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5" authorId="0" shapeId="0" xr:uid="{DD7D6D51-C698-4A87-855B-854B3B32903D}">
      <text>
        <r>
          <rPr>
            <b/>
            <sz val="9"/>
            <color indexed="81"/>
            <rFont val="Segoe UI"/>
            <family val="2"/>
          </rPr>
          <t>Empresa não fornece esses números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5" authorId="0" shapeId="0" xr:uid="{A5F7B49E-F544-421B-B182-1CF783E45EFB}">
      <text>
        <r>
          <rPr>
            <b/>
            <sz val="9"/>
            <color indexed="81"/>
            <rFont val="Segoe UI"/>
            <family val="2"/>
          </rPr>
          <t>Empresa não fornece esses números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23" authorId="0" shapeId="0" xr:uid="{DB05F7CF-2075-4170-9F43-19784C49473E}">
      <text>
        <r>
          <rPr>
            <b/>
            <sz val="9"/>
            <color rgb="FF000000"/>
            <rFont val="Segoe UI"/>
            <family val="2"/>
            <charset val="1"/>
          </rPr>
          <t>Gabriel Lacombe: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A planilha do RI da CEAB3 dá uma lista com todas as lojas </t>
        </r>
        <r>
          <rPr>
            <b/>
            <sz val="9"/>
            <color rgb="FF000000"/>
            <rFont val="Segoe UI"/>
            <family val="2"/>
            <charset val="1"/>
          </rPr>
          <t>abertas.</t>
        </r>
        <r>
          <rPr>
            <sz val="9"/>
            <color rgb="FF000000"/>
            <rFont val="Segoe UI"/>
            <family val="2"/>
            <charset val="1"/>
          </rPr>
          <t xml:space="preserve"> Quando uma loja fecha, ela sai da lista. Dessa forma, temos que somar as lojas que foram fechadas depois de cada ano. Pra saber isso, é só ver o total de m² no fim do ano. Essa informação é dada no press release.</t>
        </r>
      </text>
    </comment>
    <comment ref="F23" authorId="0" shapeId="0" xr:uid="{E02C5963-911A-41BA-A297-24498A1847EC}">
      <text>
        <r>
          <rPr>
            <sz val="9"/>
            <color indexed="81"/>
            <rFont val="Segoe UI"/>
            <family val="2"/>
          </rPr>
          <t>Empresa não dá informações de antes de 2018.</t>
        </r>
      </text>
    </comment>
    <comment ref="G23" authorId="0" shapeId="0" xr:uid="{3A8D7769-87DD-4EFF-BA5C-89DE4C36E939}">
      <text>
        <r>
          <rPr>
            <sz val="9"/>
            <color rgb="FF000000"/>
            <rFont val="Segoe UI"/>
            <family val="2"/>
            <charset val="1"/>
          </rPr>
          <t>Empresa não dá informações de antes de 2018.</t>
        </r>
      </text>
    </comment>
    <comment ref="M47" authorId="0" shapeId="0" xr:uid="{446EEAF9-941E-470A-96A3-B211B94F750C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Em 2023, a parceria com o Bradesco encerra de vez.</t>
        </r>
      </text>
    </comment>
    <comment ref="H52" authorId="0" shapeId="0" xr:uid="{7FFAF673-97AB-455F-B5B9-1065786624B5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Dado disponível na planilha do RI</t>
        </r>
      </text>
    </comment>
    <comment ref="I52" authorId="0" shapeId="0" xr:uid="{34EF729E-3F7D-4EC7-9208-0007B0DB0A67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Dado disponível na planilha do RI</t>
        </r>
      </text>
    </comment>
    <comment ref="J52" authorId="0" shapeId="0" xr:uid="{DA32AB63-FD97-4AF1-B1F7-5025DC1AE6FE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Dado disponível na planilha do RI</t>
        </r>
      </text>
    </comment>
    <comment ref="K52" authorId="0" shapeId="0" xr:uid="{8B97FE12-9BF7-43C3-B0BE-A03535F0EBD3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Dado disponível na planilha do RI</t>
        </r>
      </text>
    </comment>
    <comment ref="M69" authorId="0" shapeId="0" xr:uid="{DAB9FAA8-12A9-48C3-B8F1-18847B3A47CE}">
      <text>
        <r>
          <rPr>
            <b/>
            <sz val="9"/>
            <color rgb="FF000000"/>
            <rFont val="Segoe UI"/>
            <family val="2"/>
            <charset val="1"/>
          </rPr>
          <t>Gabriel Lacombe: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Em 2023, a parceria com o Bradesco encerra de vez.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Lacombe</author>
  </authors>
  <commentList>
    <comment ref="M24" authorId="0" shapeId="0" xr:uid="{1DB49D6E-DE7A-4B17-B4CD-D5124A57F09D}">
      <text>
        <r>
          <rPr>
            <b/>
            <sz val="9"/>
            <color rgb="FF000000"/>
            <rFont val="Segoe UI"/>
            <family val="2"/>
            <charset val="1"/>
          </rPr>
          <t>Gabriel Lacombe: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Recompra da operação de serviços e produtos financeiros (C&amp;A Pay).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Pagamento vai ser liquidado em 2023 e vai ser o equivalente a R$ 415 milhões corrigidos a partir de 31/01/2022 por 112,5% do CDI.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Monnerat</author>
    <author>Gabriel Lacombe</author>
  </authors>
  <commentList>
    <comment ref="E10" authorId="0" shapeId="0" xr:uid="{F3D4E528-5D7C-4C6A-88FB-05FB47D2C795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Excluí 2020 da sazonalidade de Receita por causa da pandemia</t>
        </r>
      </text>
    </comment>
    <comment ref="E14" authorId="0" shapeId="0" xr:uid="{1CA08ABD-0C9E-424E-B09E-0D5A9EADD2CB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Excluí 2019 e 2020 da sazonalidade. 2019 pela aquisição da Onofre, que gerou um grande não-recorrente e 2020 por causa da pandemia </t>
        </r>
      </text>
    </comment>
    <comment ref="E24" authorId="1" shapeId="0" xr:uid="{F3DDBDDD-708B-427D-BE87-8EB92E5BF0AE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Ano do Covid</t>
        </r>
      </text>
    </comment>
    <comment ref="E36" authorId="1" shapeId="0" xr:uid="{521B4C48-1629-4444-BAE9-FE81CF3AF84C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Ano do Covid</t>
        </r>
      </text>
    </comment>
    <comment ref="F46" authorId="1" shapeId="0" xr:uid="{7ABE04B7-DE85-48C2-B69A-24D864768821}">
      <text>
        <r>
          <rPr>
            <b/>
            <sz val="9"/>
            <color indexed="81"/>
            <rFont val="Segoe UI"/>
            <family val="2"/>
          </rPr>
          <t>Gabriel Lacombe:</t>
        </r>
        <r>
          <rPr>
            <sz val="9"/>
            <color indexed="81"/>
            <rFont val="Segoe UI"/>
            <family val="2"/>
          </rPr>
          <t xml:space="preserve">
Aqui teve um grande impacto da reconstituição de ICMS.</t>
        </r>
      </text>
    </comment>
  </commentList>
</comments>
</file>

<file path=xl/sharedStrings.xml><?xml version="1.0" encoding="utf-8"?>
<sst xmlns="http://schemas.openxmlformats.org/spreadsheetml/2006/main" count="2143" uniqueCount="817">
  <si>
    <t>C&amp;A ($CEAB3)</t>
  </si>
  <si>
    <t>Páginas</t>
  </si>
  <si>
    <t>Dashboard</t>
  </si>
  <si>
    <t>WACC</t>
  </si>
  <si>
    <t>Ticker</t>
  </si>
  <si>
    <t>CEAB3</t>
  </si>
  <si>
    <t>DRE + DCF</t>
  </si>
  <si>
    <t>Ações Emitidas (mil)</t>
  </si>
  <si>
    <t>Balanço Patrimonial</t>
  </si>
  <si>
    <t>Valor da Empresa (mil)</t>
  </si>
  <si>
    <t>Projeções</t>
  </si>
  <si>
    <t>Dívida (mil)</t>
  </si>
  <si>
    <t>Lojas</t>
  </si>
  <si>
    <t>Ativos Não-Operacionais</t>
  </si>
  <si>
    <t>Créditos Fiscais</t>
  </si>
  <si>
    <t>Valor da Ação</t>
  </si>
  <si>
    <t>Cotação</t>
  </si>
  <si>
    <t>TIR</t>
  </si>
  <si>
    <t>Growth</t>
  </si>
  <si>
    <t>Valor</t>
  </si>
  <si>
    <t>Descrição</t>
  </si>
  <si>
    <t>A ponto de partida para encontrar a taxa livre de risco no Brasil é pegar o título pós-fixado sem pagamentos períodicos emitido pelo governo de prazo mais longo.</t>
  </si>
  <si>
    <t>CDS</t>
  </si>
  <si>
    <t>Credit Default Swap (CDS). Dados: bit.ly/cdsbrasil
Como alternativa, usar último dado disponível do EMBI+:bit.ly/2u4NtEm</t>
  </si>
  <si>
    <t>Taxa Livre de Risco</t>
  </si>
  <si>
    <t>Prêmio de Risco</t>
  </si>
  <si>
    <t>Dados Alternativos FGV: https://goo.gl/bBfwGq</t>
  </si>
  <si>
    <t>Custo de Capital Próprio (Ke)</t>
  </si>
  <si>
    <t>Valor de Mercado</t>
  </si>
  <si>
    <t>Número de ações vezes a cotação da ação no último pregão.</t>
  </si>
  <si>
    <t>Custo de Capital de Terceiros (Kd)</t>
  </si>
  <si>
    <t>Yield to Maturity da debênture de prazo mais longo da companhia negociada no mercado secundário.</t>
  </si>
  <si>
    <t>Dívida Bruta</t>
  </si>
  <si>
    <t>1T2022</t>
  </si>
  <si>
    <t>YTG 2022E</t>
  </si>
  <si>
    <t>Receita Líquida</t>
  </si>
  <si>
    <t>Crescimento da Receita (YoY)¹</t>
  </si>
  <si>
    <t>Custos das Vendas e Serviços</t>
  </si>
  <si>
    <t>Lucro Bruto</t>
  </si>
  <si>
    <t>Margem Bruta</t>
  </si>
  <si>
    <t>Despesas/ Receitas Operacionais</t>
  </si>
  <si>
    <t>Despesas com Vendas</t>
  </si>
  <si>
    <t>Despesas Gerais e Administrativas</t>
  </si>
  <si>
    <t>Resultado Operacional Outros</t>
  </si>
  <si>
    <t>Outras Receitas Operacionais</t>
  </si>
  <si>
    <t>Outras Despesas Operacionais</t>
  </si>
  <si>
    <t>EBIT</t>
  </si>
  <si>
    <t>Margem EBIT</t>
  </si>
  <si>
    <t>Eventos não recorrentes</t>
  </si>
  <si>
    <t>EBIT Recorrente</t>
  </si>
  <si>
    <t>Margem EBIT Recorrente</t>
  </si>
  <si>
    <t>Resultado Financeiro</t>
  </si>
  <si>
    <t>Receitas Financeiras</t>
  </si>
  <si>
    <t>Despesas Financeiras</t>
  </si>
  <si>
    <t>Resultado Antes dos Tributos Sobre o Lucro</t>
  </si>
  <si>
    <t>Imposto de Renda e CSLL</t>
  </si>
  <si>
    <t>Lucro Líquido</t>
  </si>
  <si>
    <t>Margem Líquida</t>
  </si>
  <si>
    <t>Perpetuidade</t>
  </si>
  <si>
    <t>ROIC Perp.</t>
  </si>
  <si>
    <t>Alíquota Efetiva</t>
  </si>
  <si>
    <t>D&amp;A do Arrendamento</t>
  </si>
  <si>
    <t>(%) da Receita Líquida</t>
  </si>
  <si>
    <t>NOPAT</t>
  </si>
  <si>
    <t>Taxa de Reinvestimento</t>
  </si>
  <si>
    <t>CAPEX Líquido</t>
  </si>
  <si>
    <t>CAPEX</t>
  </si>
  <si>
    <t>Depreciação &amp; Amortização</t>
  </si>
  <si>
    <t>∆ Capital de Giro</t>
  </si>
  <si>
    <t>FCFF</t>
  </si>
  <si>
    <t>ROIC</t>
  </si>
  <si>
    <t>¹- "YoY", ou "year over year", significa "de um ano pro outro".</t>
  </si>
  <si>
    <t>Pessoal</t>
  </si>
  <si>
    <t>Material/Serviços de terceiros</t>
  </si>
  <si>
    <t>Depreciação de direito de uso</t>
  </si>
  <si>
    <t>Depreciação e amortização</t>
  </si>
  <si>
    <t>Ocupação</t>
  </si>
  <si>
    <t>Publicidade e Promoção</t>
  </si>
  <si>
    <t>Perdas em créditos, líquidas</t>
  </si>
  <si>
    <t>Outros</t>
  </si>
  <si>
    <t>Total:</t>
  </si>
  <si>
    <t>Resultado na baixa de ativos</t>
  </si>
  <si>
    <t>Reversão (provisão) impairment:</t>
  </si>
  <si>
    <t>Encerramento/reforma de lojas</t>
  </si>
  <si>
    <t>Teste de recuperabilidade</t>
  </si>
  <si>
    <t>Recuperação de créditos fiscais:</t>
  </si>
  <si>
    <t>ICMS na base de cálculo PIS/COFINS</t>
  </si>
  <si>
    <t>Ação Judicial ZFM e Reintegra</t>
  </si>
  <si>
    <t>PIS/COFINS importação base de cálculo</t>
  </si>
  <si>
    <t>Créditos previdenciários</t>
  </si>
  <si>
    <t>Outros créditos fiscais</t>
  </si>
  <si>
    <t>Despesas relacionadas aos créditos fiscais</t>
  </si>
  <si>
    <t>Reversão (provisão) contingências tributárias</t>
  </si>
  <si>
    <t>Consultorias estratégicas</t>
  </si>
  <si>
    <t>Depreciação e amortizção</t>
  </si>
  <si>
    <t>Perdas de Créditos Líquidas</t>
  </si>
  <si>
    <t>EBIT recorrente</t>
  </si>
  <si>
    <t>Margem EBIT recorrente</t>
  </si>
  <si>
    <t>Juros sobre empréstimos – partes relacionadas</t>
  </si>
  <si>
    <t>Juros sobre empréstimos – terceiros</t>
  </si>
  <si>
    <t>Despesas bancárias e IOF</t>
  </si>
  <si>
    <t>Juros sobre impostos e contingências</t>
  </si>
  <si>
    <t>Juros sobre arrendamento</t>
  </si>
  <si>
    <t>Despesa financeira de fornecedores – AVP</t>
  </si>
  <si>
    <t>Resultados com derivativos</t>
  </si>
  <si>
    <t>Variação Cambial</t>
  </si>
  <si>
    <t>Compras</t>
  </si>
  <si>
    <t>Empréstimos partes relacionadas</t>
  </si>
  <si>
    <t>Juros sobre aplicação financeira</t>
  </si>
  <si>
    <t>Juros e atualização monetária</t>
  </si>
  <si>
    <t>Atualização dos créditos tributários extemporâneos de PIS COFINS</t>
  </si>
  <si>
    <t>Atualização dos créditos tributários da ação judicial da Zona Franca de Manaus</t>
  </si>
  <si>
    <t>Tributação pelo PIS/COFINS</t>
  </si>
  <si>
    <t>Créditos extemporâneos de PIS/COFINS - Importação</t>
  </si>
  <si>
    <t>Receita financeira de fornecedores</t>
  </si>
  <si>
    <t>Lucro antes do IR Não Recorrente</t>
  </si>
  <si>
    <t>Lucro Antes do IR Recorrente</t>
  </si>
  <si>
    <t>Lucro (prejuízo) líquido antes de imposto Recorrente</t>
  </si>
  <si>
    <t>Alíquota Vigente</t>
  </si>
  <si>
    <t>Expectativa de despesa de acordo com alíquota vigente</t>
  </si>
  <si>
    <t>Efeito Fiscal das adiçoes e exclusões permanentes:</t>
  </si>
  <si>
    <t>Equivalência Patrimonial</t>
  </si>
  <si>
    <t>Juros sobre Capital Próprio</t>
  </si>
  <si>
    <t>Doações não dedutíveis</t>
  </si>
  <si>
    <t>PAT e Lei de Incentivo à cultura</t>
  </si>
  <si>
    <t xml:space="preserve">Ajustes de transfer pricing e incentivo à
Inovação tecnológica (P&amp;D) </t>
  </si>
  <si>
    <t>Brindes e multas não dedutíveis</t>
  </si>
  <si>
    <t>Subvenção para Investimento</t>
  </si>
  <si>
    <t>IR e CS de exercícios anteriores</t>
  </si>
  <si>
    <t>Instrumentos Patrimoniais Outorgados</t>
  </si>
  <si>
    <t>Outras adições e exclusões</t>
  </si>
  <si>
    <t>Indébito tributário</t>
  </si>
  <si>
    <t>IRPJ + CSLL</t>
  </si>
  <si>
    <t>Como % do EBIT Recorrente</t>
  </si>
  <si>
    <t xml:space="preserve">IRPJ + CSLL - Não-Recorrentes </t>
  </si>
  <si>
    <t>IRPJ + CSLL - Não-Recorrentes - Incentivos</t>
  </si>
  <si>
    <t>1T22</t>
  </si>
  <si>
    <t>Capital de Giro</t>
  </si>
  <si>
    <t>Ativo Total</t>
  </si>
  <si>
    <t>Ativo Circulante</t>
  </si>
  <si>
    <t>Caixa e Equivalentes de Caixa</t>
  </si>
  <si>
    <t>Caixa Operacional</t>
  </si>
  <si>
    <t>Excesso de caixa</t>
  </si>
  <si>
    <t>Contas a Receber</t>
  </si>
  <si>
    <t>Clientes</t>
  </si>
  <si>
    <t>Estoques</t>
  </si>
  <si>
    <t>Tributos a Recuperar</t>
  </si>
  <si>
    <t>Tributos Correntes a Recuperar</t>
  </si>
  <si>
    <t>Outros Ativos Circulantes</t>
  </si>
  <si>
    <t>Outros Créditos</t>
  </si>
  <si>
    <t>Instrumentos Financeiros Derivativos</t>
  </si>
  <si>
    <t>Partes Relacionadas</t>
  </si>
  <si>
    <t>Ativo Não Circulante</t>
  </si>
  <si>
    <t>Ativo Realizável a Longo Prazo</t>
  </si>
  <si>
    <t>Aplicações Financeiras</t>
  </si>
  <si>
    <t>Tributos Diferidos</t>
  </si>
  <si>
    <t>Outros Ativos Não Circulantes</t>
  </si>
  <si>
    <t>Depósito Judicial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</si>
  <si>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</si>
  <si>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</si>
  <si>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</si>
  <si>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</si>
  <si>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</si>
  <si>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</si>
  <si>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Passivo Total</t>
  </si>
  <si>
    <t>Passivo Circulante</t>
  </si>
  <si>
    <t>Obrigações Sociais e Trabalhistas</t>
  </si>
  <si>
    <t>Obrigações Trabalhistas</t>
  </si>
  <si>
    <t>Fornecedores</t>
  </si>
  <si>
    <t xml:space="preserve">Nacionais </t>
  </si>
  <si>
    <t>Estrangeiros</t>
  </si>
  <si>
    <t>Obrigações Fiscais</t>
  </si>
  <si>
    <t>Federais</t>
  </si>
  <si>
    <t>Estaduais</t>
  </si>
  <si>
    <t>Empréstimos e Financiamentos</t>
  </si>
  <si>
    <t>Empréstimos</t>
  </si>
  <si>
    <t>Financiamento por Arrendamento</t>
  </si>
  <si>
    <t>Outras Obrigações</t>
  </si>
  <si>
    <t>Passivos com Partes Relacionadas</t>
  </si>
  <si>
    <t>Débitos com Outras Partes Relacionadas</t>
  </si>
  <si>
    <t>Operações com Derivativos</t>
  </si>
  <si>
    <t>Outros Passivos</t>
  </si>
  <si>
    <t>Dividendos e juros sobre capital</t>
  </si>
  <si>
    <t>Passivo Não Circulante</t>
  </si>
  <si>
    <t>Impostos a Recolher</t>
  </si>
  <si>
    <t>Imposto de Renda e CSLL Diferidos</t>
  </si>
  <si>
    <t>Provisões</t>
  </si>
  <si>
    <t>Provisões Fiscais Previdenciárias Trabalhistas e Cíveis</t>
  </si>
  <si>
    <t>Provisões Fiscais</t>
  </si>
  <si>
    <t>Provisões Previdenciárias e Trabalhistas</t>
  </si>
  <si>
    <t>Provisões Cíveis</t>
  </si>
  <si>
    <t>Outras Previsões</t>
  </si>
  <si>
    <t>Patrimônio Líquido</t>
  </si>
  <si>
    <t>Capital Social Realizado</t>
  </si>
  <si>
    <t>Reservas de Capital</t>
  </si>
  <si>
    <t>Reservas de Lucros</t>
  </si>
  <si>
    <t>Lucros/Prejuiízos Acumulados</t>
  </si>
  <si>
    <t>Outros Resultados Abrangentes</t>
  </si>
  <si>
    <t>Participação dos Acionistas Não Controladores</t>
  </si>
  <si>
    <t>Liquidez Geral</t>
  </si>
  <si>
    <t>Liquidez Corrente</t>
  </si>
  <si>
    <t>Liquidez Seca</t>
  </si>
  <si>
    <t>Liquidez Imediata</t>
  </si>
  <si>
    <t>Retorno sobre o Equity (ROE)</t>
  </si>
  <si>
    <t>Retorno sobre o Ativo (ROA)</t>
  </si>
  <si>
    <t>Divida Líquida/EBITDA</t>
  </si>
  <si>
    <t>Cobertura de Juros</t>
  </si>
  <si>
    <t>Dívida/Ativo</t>
  </si>
  <si>
    <t>Dívida/Patrimônio Líquido</t>
  </si>
  <si>
    <t>Dívida/(Dívida + Patrimônio Líquido)</t>
  </si>
  <si>
    <t>Prazo Médio de Recebimento</t>
  </si>
  <si>
    <t>Prazo Médio de Estoques</t>
  </si>
  <si>
    <t>Prazo Médio de Pagamento</t>
  </si>
  <si>
    <t>Ciclo de Caixa</t>
  </si>
  <si>
    <t>Proventos por ação</t>
  </si>
  <si>
    <t>Dividend Yield (12 meses)</t>
  </si>
  <si>
    <t>Payout</t>
  </si>
  <si>
    <t>Remota</t>
  </si>
  <si>
    <t>Tributário</t>
  </si>
  <si>
    <t>Possível</t>
  </si>
  <si>
    <t>Cível</t>
  </si>
  <si>
    <t>Provável</t>
  </si>
  <si>
    <t>Trabalhista</t>
  </si>
  <si>
    <t>Administrativo</t>
  </si>
  <si>
    <t>Valor dos Processos</t>
  </si>
  <si>
    <t>Valor das Provisões</t>
  </si>
  <si>
    <t>Valor de Perdas Possiveis</t>
  </si>
  <si>
    <t>Valor de Perdas Remotas</t>
  </si>
  <si>
    <t>Tributários</t>
  </si>
  <si>
    <t>Cíveis</t>
  </si>
  <si>
    <t>Provisões e Processos</t>
  </si>
  <si>
    <t>Trabalhistas</t>
  </si>
  <si>
    <t>Administrativos</t>
  </si>
  <si>
    <t>Total</t>
  </si>
  <si>
    <t>Classificação</t>
  </si>
  <si>
    <t>Valor do Processo (R$ mil)</t>
  </si>
  <si>
    <t>Chance de Perda</t>
  </si>
  <si>
    <t>Comentário</t>
  </si>
  <si>
    <t>Ação judicial proposta pela Companhia para discutir o direito de fruição da alíquota zero do PIS e da COFINS, prevista pela Lei nº 11.196/2005 (“Lei do Bem”), para a venda a varejo de smartphones produzidos no país. A Companhia foi intimada da instauração de um processo administrativo para inclusão, controle e cobrança dos débitos confessados por meio de declaração. A Companhia ajuizou uma ação com pedido de tutela provisória de urgência, cautelar incidental e/ou tutela de evidência para a antecipação de garantia do débito mediante a apresentação de seguro garantia.</t>
  </si>
  <si>
    <t>Em caso de perda a Companhia, estará sujeita ao pagamento do valor do débito em discussão, devidamente atualizado. Em caso positivo, a Companhia terá direito à restituir os valores indevidamente recolhidos.</t>
  </si>
  <si>
    <t>Ação judicial proposta pela Companhia para discutir o reconhecimento do seu direito líquido e certo de não incluir o valor do ICMS nas bases de cálculo do PIS e da COFINS à luz da Lei nº 12.973/14, a partir da sua vigência.</t>
  </si>
  <si>
    <t>Trata-se de processo administrativo fiscal relativo a cobrança de contribuições previdenciárias incidentes sobre valores pagos a título de Assistência Médica e Hospitalar a seus funcionários e empregados segurados, dos períodos de 12/12/1997 e 28/02/2005.</t>
  </si>
  <si>
    <t>-</t>
  </si>
  <si>
    <t>Trata-se de Execução Fiscal ajuizada pela União, objetivando a cobrança de supostos créditos tributários inscritos nas Certidões de Dívida Ativa nº. 80.6.15.071746-61 e 80.7.15.017496-78, oriundos da não homologação das compensações relacionadas ao Processo Administrativo de Compensação nº 13896.722.554/2011-37, realizadas pela empresa para compensar débitos de PIS/COFINS com crédito decorrente de valores pagos indevidamente a título de PIS e COFINS sobre receitas de terceiros, referente ao ano-calendário de 2008.</t>
  </si>
  <si>
    <t>Trata-se de pedido de compensação, em razão de pagamento indevido ou a maior de COFINS, relativo ao mês de agosto de 2012 e recolhido em 25/09/13, compensado com débito do mesmo tributo (cód. 5856-01), referente ao período de apuração de setembro de 2012, com vencimento em 25/10/2012.</t>
  </si>
  <si>
    <t>Trata-se de processo administrativo decorrente ao Auto de Infração que visa à cobrança de Imposto sobre Importação, PIS/PASEP Importação e COFINS Importação ante a não inclusão de Royalties pagos por uso de marcas licenciadas, na base de cálculo de mercadorias importadas em 2012.</t>
  </si>
  <si>
    <t>Trata-se de processo administrativo fiscal federal relativo a PIS e COFINS sobre frete de transferência, taxa de cartão de crédito, propaganda e publicidade, mão de obra temporário, energia elétrica, ajustes positivos de créditos e despesas de aluguéis de imóveis.</t>
  </si>
  <si>
    <t>Chance de perda possível de R$ 16.764 e provável de R$ 42.377.</t>
  </si>
  <si>
    <t>Trata-se de processo administrativo fiscal federal relativo a PIS e COFINS sobre taxa de frete, mão de obra temporária, aquisição de cabides, aquisição de embalagens, cartão de terceiros, cartão PL, propaganda de televisão, jornal, rádio e contratos exclusivos de propaganda.</t>
  </si>
  <si>
    <t>Chance de perda possível de R$ 8.161 e provável de R$ 31.170.</t>
  </si>
  <si>
    <t>Trata-se de Ação Ordinária na qual se busca afastar o recolhimento da Contribuição instituída pelo ar. 1º da LC nº. 110/01, bem como a repetição dos valores indevidamente recolhidos no curso da ação ora ajuizada e nos 5 anos anteriores à propositura da demanda.</t>
  </si>
  <si>
    <t>Trata-se de Mandado de Segurança impetrado para assegurar o direito líquido e certo da Impetrante excluir o ICMS e o ISS da base de cálculo da Contribuição Previdenciária Substitutiva (Lei nº 12.546/2011), bem como o seu direito de crédito, no que concerne aos pagamentos indevidamente realizados àquele título nos últimos 5 (cinco) anos.</t>
  </si>
  <si>
    <t>C&amp;A (CEAB3)</t>
  </si>
  <si>
    <t>CAGR (16 - 19)</t>
  </si>
  <si>
    <t>Premissa</t>
  </si>
  <si>
    <t>Nível de Otimismo (0-5)</t>
  </si>
  <si>
    <t>Receita Total</t>
  </si>
  <si>
    <t>Receita de Varejo</t>
  </si>
  <si>
    <t>Receita Líquida Financeiro</t>
  </si>
  <si>
    <t>(%) da Receita de Varejo</t>
  </si>
  <si>
    <t>Receita Outros</t>
  </si>
  <si>
    <t>A Receita de "Outros" se refere a receita de comissões sobre recarga de celular e venda de planos em parceria com operadoras. Como não é o foco da empresa, vamos considerar que ela vai permanecer como 0,34% da Receita de Varejo. Qualquer erro aqui gera um impacto muito pequeno no valor final da ação.</t>
  </si>
  <si>
    <t>Número de Lojas</t>
  </si>
  <si>
    <t>Número de Lojas Abertas</t>
  </si>
  <si>
    <t>Vão abrir 25 lojas por ano seguindo, o guidance fornecido pela empresa, até 2025.</t>
  </si>
  <si>
    <t>Área Total (m²) - Considera lojas fechadas</t>
  </si>
  <si>
    <t>Área de Lojas Fechadas</t>
  </si>
  <si>
    <t>(% do total)</t>
  </si>
  <si>
    <t>A C&amp;A vai fechar, em média, o mesmo % de m² que fechou ao longo dos últimos 3 anos (2018 até 2020)</t>
  </si>
  <si>
    <t>Tamanho médio de uma loja (m²)</t>
  </si>
  <si>
    <t>As lojas que serão abertas terão o tamanho médio das lojas abertas desde 2015.</t>
  </si>
  <si>
    <t>Área Total</t>
  </si>
  <si>
    <t>Ano 4</t>
  </si>
  <si>
    <t>Ano 3</t>
  </si>
  <si>
    <t>Ano 2</t>
  </si>
  <si>
    <t>Ano 1</t>
  </si>
  <si>
    <t>m² 100% Maduro</t>
  </si>
  <si>
    <t xml:space="preserve"> </t>
  </si>
  <si>
    <t>EBIT Recorrente C&amp;A</t>
  </si>
  <si>
    <t>EBIT Recorrente Varejo + Outros</t>
  </si>
  <si>
    <t>EBIT Bradescard/ C&amp;A Pay</t>
  </si>
  <si>
    <t>Receita Líquida de Produtos Financeiros</t>
  </si>
  <si>
    <t>Como % da Receita Líquida</t>
  </si>
  <si>
    <t>EBIT de Produtos Financeiros</t>
  </si>
  <si>
    <t>Receita Líquida de Varejo + Outros</t>
  </si>
  <si>
    <t>EBIT do Varejo + Outras Receitas</t>
  </si>
  <si>
    <t>Inflação Implícita</t>
  </si>
  <si>
    <t>CAPEX Líquido (R$ mil)</t>
  </si>
  <si>
    <t>CAPEX (R$ mil)</t>
  </si>
  <si>
    <t>Novas lojas</t>
  </si>
  <si>
    <t>Lojas Abertas</t>
  </si>
  <si>
    <t>CAPEX por loja</t>
  </si>
  <si>
    <t>Reformas e manutenções</t>
  </si>
  <si>
    <t>Centros de distribuição</t>
  </si>
  <si>
    <t>TI e outros</t>
  </si>
  <si>
    <t>Aquisições</t>
  </si>
  <si>
    <t>Depreciação e Amortização como % da Receita Líquida</t>
  </si>
  <si>
    <t>Depreciação &amp; Amortização do Arrendamento</t>
  </si>
  <si>
    <t>Renner</t>
  </si>
  <si>
    <t>Marisa</t>
  </si>
  <si>
    <t>Guararapes</t>
  </si>
  <si>
    <t>CAGR</t>
  </si>
  <si>
    <t>Cartões emitidos</t>
  </si>
  <si>
    <t>Total de Cartões</t>
  </si>
  <si>
    <t>1T22R</t>
  </si>
  <si>
    <t>2T22E</t>
  </si>
  <si>
    <t>3T22E</t>
  </si>
  <si>
    <t>4T22E</t>
  </si>
  <si>
    <t>2022E</t>
  </si>
  <si>
    <t>Despesas Operacionais</t>
  </si>
  <si>
    <t>1º Trimestre</t>
  </si>
  <si>
    <t>2º Trimestre</t>
  </si>
  <si>
    <t>3º Trimestre</t>
  </si>
  <si>
    <t>4º Trimestre</t>
  </si>
  <si>
    <t>% sobre total do ano</t>
  </si>
  <si>
    <t>Data de Abertura</t>
  </si>
  <si>
    <t>Localização</t>
  </si>
  <si>
    <t>Tamanho (m²)</t>
  </si>
  <si>
    <t>Cidade</t>
  </si>
  <si>
    <t>Local</t>
  </si>
  <si>
    <t>Estado</t>
  </si>
  <si>
    <t>Região</t>
  </si>
  <si>
    <t>SHOPPING MALL</t>
  </si>
  <si>
    <t>SÃO PAULO</t>
  </si>
  <si>
    <t>SHOPPING IBIRAPUERA</t>
  </si>
  <si>
    <t>SP</t>
  </si>
  <si>
    <t>Sudeste</t>
  </si>
  <si>
    <t>STREET</t>
  </si>
  <si>
    <t>CAMPINAS</t>
  </si>
  <si>
    <t>CAMPINAS - CENTRO</t>
  </si>
  <si>
    <t>CURITIBA</t>
  </si>
  <si>
    <t>CURITIBA-CENTRO</t>
  </si>
  <si>
    <t>PR</t>
  </si>
  <si>
    <t>Sul</t>
  </si>
  <si>
    <t>PORTO ALEGRE</t>
  </si>
  <si>
    <t>RS</t>
  </si>
  <si>
    <t>RIO DE JANEIRO</t>
  </si>
  <si>
    <t>COPACABANA</t>
  </si>
  <si>
    <t>RJ</t>
  </si>
  <si>
    <t>BELO HORIZONTE</t>
  </si>
  <si>
    <t>BH SHOPPING</t>
  </si>
  <si>
    <t>MG</t>
  </si>
  <si>
    <t>SANTO ANDRE</t>
  </si>
  <si>
    <t>SANTO ANDRE CENTRO</t>
  </si>
  <si>
    <t>SHOPPING IGUATEMI CAMPINAS</t>
  </si>
  <si>
    <t>RIBEIRÃO PRETO</t>
  </si>
  <si>
    <t>RIBEIRAO SHOPPING</t>
  </si>
  <si>
    <t>TIJUCA</t>
  </si>
  <si>
    <t>GOIANIA</t>
  </si>
  <si>
    <t>FLAMBOYANT SHOPPING CENTER</t>
  </si>
  <si>
    <t>GO</t>
  </si>
  <si>
    <t>Centro oeste</t>
  </si>
  <si>
    <t>BARRA SHOPPING</t>
  </si>
  <si>
    <t>SHOPPING MORUMBI</t>
  </si>
  <si>
    <t>SANTOS</t>
  </si>
  <si>
    <t>CONJTO ATLANTICO (SHOPPING)</t>
  </si>
  <si>
    <t>CAXIAS DO SUL</t>
  </si>
  <si>
    <t>SHOPPING CENTER IGUATEMI</t>
  </si>
  <si>
    <t>BRASILIA</t>
  </si>
  <si>
    <t>SHOPPING CONJUNTO NACIONAL</t>
  </si>
  <si>
    <t>DF</t>
  </si>
  <si>
    <t>PARK SHOPPING</t>
  </si>
  <si>
    <t>SHOPPING CENTER NORTE</t>
  </si>
  <si>
    <t>SALVADOR</t>
  </si>
  <si>
    <t>SHOPPING IGUATEMI BAHIA</t>
  </si>
  <si>
    <t>BA</t>
  </si>
  <si>
    <t>Nordeste</t>
  </si>
  <si>
    <t>OUVIDOR</t>
  </si>
  <si>
    <t>MADUREIRA</t>
  </si>
  <si>
    <t>SHOPPING PIEDADE</t>
  </si>
  <si>
    <t>RECIFE</t>
  </si>
  <si>
    <t>SHOPPING RECIFE</t>
  </si>
  <si>
    <t>PE</t>
  </si>
  <si>
    <t>NITEROI</t>
  </si>
  <si>
    <t>PLAZA SHOPPING NITEROI</t>
  </si>
  <si>
    <t xml:space="preserve">SÃO JOSÉ DOS CAMPOS </t>
  </si>
  <si>
    <t>CENTER VALE SHOPPING</t>
  </si>
  <si>
    <t>RECIFE - CENTRO</t>
  </si>
  <si>
    <t>SHOPPING BARRA</t>
  </si>
  <si>
    <t>SHOPPING IGUATEMI</t>
  </si>
  <si>
    <t>SÃO BERNARDO DO CAMPO</t>
  </si>
  <si>
    <t>SAO BERNARDO DO CAMPO</t>
  </si>
  <si>
    <t>SHOPPING INTERLAGOS</t>
  </si>
  <si>
    <t>NORTE SHOPPING</t>
  </si>
  <si>
    <t>MACEIO</t>
  </si>
  <si>
    <t>SHOPPING IGUATEMI MACEIO</t>
  </si>
  <si>
    <t>AL</t>
  </si>
  <si>
    <t>JUNDIAÍ</t>
  </si>
  <si>
    <t>MAXI SHOPPING</t>
  </si>
  <si>
    <t>SHOPPING MEYER</t>
  </si>
  <si>
    <t>SHOPPING WEST PLAZA</t>
  </si>
  <si>
    <t>SHOPPING ARICANDUVA</t>
  </si>
  <si>
    <t>MINAS SHOPPING</t>
  </si>
  <si>
    <t>SHOPPING DEL REY</t>
  </si>
  <si>
    <t>VITORIA</t>
  </si>
  <si>
    <t>VITORIA SHOPPING</t>
  </si>
  <si>
    <t>ES</t>
  </si>
  <si>
    <t>BELEM</t>
  </si>
  <si>
    <t>SHOPPING PÁTIO BELEM</t>
  </si>
  <si>
    <t>PA</t>
  </si>
  <si>
    <t>Norte</t>
  </si>
  <si>
    <t>SHOPPING PRAIA DE BELAS</t>
  </si>
  <si>
    <t>SHOPING PLAZA SUL</t>
  </si>
  <si>
    <t>NOVA IGUAÇU</t>
  </si>
  <si>
    <t>NOVA IGUACU</t>
  </si>
  <si>
    <t>SAO PAULO CENTRO</t>
  </si>
  <si>
    <t>FORTALEZA</t>
  </si>
  <si>
    <t>FORTALEZA CENTRO</t>
  </si>
  <si>
    <t>CE</t>
  </si>
  <si>
    <t>DUQUE DE CAXIAS</t>
  </si>
  <si>
    <t>SHOPPING IGUATEMI FORTALEZA</t>
  </si>
  <si>
    <t>SHOPPING CURITIBA</t>
  </si>
  <si>
    <t>SHOPPING TACARUNA</t>
  </si>
  <si>
    <t>SHOPPING ABC</t>
  </si>
  <si>
    <t>PELOTAS</t>
  </si>
  <si>
    <t>PELOTAS CENTRO</t>
  </si>
  <si>
    <t>SHOPPING METRO TATUAPE</t>
  </si>
  <si>
    <t>PATIO BRASIL SHOPPING</t>
  </si>
  <si>
    <t>NOVO HAMBURGO</t>
  </si>
  <si>
    <t>SHOPPING NOVO HAMBURGO</t>
  </si>
  <si>
    <t>JOÃO PESSOA</t>
  </si>
  <si>
    <t>JOAO PESSOA</t>
  </si>
  <si>
    <t>PB</t>
  </si>
  <si>
    <t>ABC PLAZA SHOPPING</t>
  </si>
  <si>
    <t>ARACAJU</t>
  </si>
  <si>
    <t>SHOPPING JARDINS</t>
  </si>
  <si>
    <t>SE</t>
  </si>
  <si>
    <t>GUARULHOS</t>
  </si>
  <si>
    <t>SHOPPING INTERNACIONAL</t>
  </si>
  <si>
    <t>CENTRAL PLAZA SHOPPING</t>
  </si>
  <si>
    <t>GOIANIA SHOPPING</t>
  </si>
  <si>
    <t>SÃO LUIS</t>
  </si>
  <si>
    <t>SAO LUIZ</t>
  </si>
  <si>
    <t>MA</t>
  </si>
  <si>
    <t>FEIRA DE SANTANA</t>
  </si>
  <si>
    <t>SHOPP. IGUAT. FEIRA DE SANT</t>
  </si>
  <si>
    <t>SHOPPING MULLER</t>
  </si>
  <si>
    <t>SHOPPING TAGUATINGA</t>
  </si>
  <si>
    <t>SHOPP. PASSEIO CAMPO GRANDE</t>
  </si>
  <si>
    <t>MANAUS</t>
  </si>
  <si>
    <t>AMAZONAS SHOPPING</t>
  </si>
  <si>
    <t>AM</t>
  </si>
  <si>
    <t>SHOPPING CARIOCA</t>
  </si>
  <si>
    <t>JABOATÃO DOS GUARARAPES</t>
  </si>
  <si>
    <t>SHOPPING GUARARAPES</t>
  </si>
  <si>
    <t>SHOPPING PARQUE DOM PEDRO</t>
  </si>
  <si>
    <t>SHOPPING NOVA AMERICA</t>
  </si>
  <si>
    <t>TABOA DA SERRA</t>
  </si>
  <si>
    <t>SHOPPING TABOAO DA SERRA</t>
  </si>
  <si>
    <t>VILA VELHA</t>
  </si>
  <si>
    <t>SHOPPING PRAIA DA COSTA</t>
  </si>
  <si>
    <t>MAUA</t>
  </si>
  <si>
    <t>MAUA PLAZA SHOPPING</t>
  </si>
  <si>
    <t>MANAIRA</t>
  </si>
  <si>
    <t>MANARIA SHOPPING</t>
  </si>
  <si>
    <t>VOLTA REDONDA</t>
  </si>
  <si>
    <t>SIDER SHOPPING</t>
  </si>
  <si>
    <t>WEST SHOPPING RIO</t>
  </si>
  <si>
    <t>BELO HORIZONTE CENTRO - II</t>
  </si>
  <si>
    <t>CAMPO GRANDE</t>
  </si>
  <si>
    <t>SHOPPING CAMPO GRANDE</t>
  </si>
  <si>
    <t>MS</t>
  </si>
  <si>
    <t>GUARULHOS CENTRO</t>
  </si>
  <si>
    <t>SHOPPING CASTANHEIRA</t>
  </si>
  <si>
    <t>BARUERI</t>
  </si>
  <si>
    <t>SHOPPING TAMBORE</t>
  </si>
  <si>
    <t>PARK SHOPPING BARIGUI</t>
  </si>
  <si>
    <t>OSASCO</t>
  </si>
  <si>
    <t>OSASCO CENTRO</t>
  </si>
  <si>
    <t>CONTAGEM</t>
  </si>
  <si>
    <t>ITAU POWER SHOPPING</t>
  </si>
  <si>
    <t>SÃO GONÇALO</t>
  </si>
  <si>
    <t>SAO GONCALO SHOPPING</t>
  </si>
  <si>
    <t>SÃO JOAO DO MERITI</t>
  </si>
  <si>
    <t>SHOPPING GRANDE RIO</t>
  </si>
  <si>
    <t>APARECIDA DE GOIANIA</t>
  </si>
  <si>
    <t>BURITI SHOPPING</t>
  </si>
  <si>
    <t>SHOPPING BOA VISTA</t>
  </si>
  <si>
    <t>SHOPPING PENHA</t>
  </si>
  <si>
    <t>UBERLANDIA</t>
  </si>
  <si>
    <t>CENTER SHOPPING</t>
  </si>
  <si>
    <t>SÃO JOSÉ</t>
  </si>
  <si>
    <t>SHOPPING ITAGUAÇU</t>
  </si>
  <si>
    <t>SC</t>
  </si>
  <si>
    <t>SHOPPING RECREIO</t>
  </si>
  <si>
    <t>NATAL</t>
  </si>
  <si>
    <t>MIDWAY MALL</t>
  </si>
  <si>
    <t>RN</t>
  </si>
  <si>
    <t>PIRACICABA</t>
  </si>
  <si>
    <t>SHOPPING PIRACICABA</t>
  </si>
  <si>
    <t>ARACAJU CENTRO</t>
  </si>
  <si>
    <t>NATAL SHOPPING</t>
  </si>
  <si>
    <t>NORTH SHOPPING</t>
  </si>
  <si>
    <t>SHOPPING ALAMEDA</t>
  </si>
  <si>
    <t>PRAIA GRANDE</t>
  </si>
  <si>
    <t>LITORAL SHOPPING</t>
  </si>
  <si>
    <t>SOROCABA</t>
  </si>
  <si>
    <t>ESPLANADA SHOPP. SOROCABA</t>
  </si>
  <si>
    <t>LONDRINA</t>
  </si>
  <si>
    <t>SHOPPING CATUAI</t>
  </si>
  <si>
    <t>CARUARU</t>
  </si>
  <si>
    <t>SHOPPING CARUARU</t>
  </si>
  <si>
    <t>TERESINA</t>
  </si>
  <si>
    <t>TERESINA CENTRO</t>
  </si>
  <si>
    <t>PI</t>
  </si>
  <si>
    <t>SHOPPING JARDIM SUL</t>
  </si>
  <si>
    <t>MACEIO CENTRO</t>
  </si>
  <si>
    <t>SHOPPING CAMPO LIMPO</t>
  </si>
  <si>
    <t>SANTA BARBARA OESTE</t>
  </si>
  <si>
    <t>SHOPPING TIVOLI</t>
  </si>
  <si>
    <t>FRANCA</t>
  </si>
  <si>
    <t>FRANCA SHOPPING</t>
  </si>
  <si>
    <t>ITU</t>
  </si>
  <si>
    <t>PLAZA SHOPPING ITU</t>
  </si>
  <si>
    <t>NOVO SHOPPING</t>
  </si>
  <si>
    <t>ILHA DO GOVERN. PLAZA SHOPP</t>
  </si>
  <si>
    <t>TAUBATE</t>
  </si>
  <si>
    <t>SHOPPING TAUBATÉ</t>
  </si>
  <si>
    <t>JUIZ DE FORA</t>
  </si>
  <si>
    <t>SHOPPING SP MARKET</t>
  </si>
  <si>
    <t>SAO LUIS</t>
  </si>
  <si>
    <t>CAMPINA GRANDE</t>
  </si>
  <si>
    <t>SHOPPING ELDORADO</t>
  </si>
  <si>
    <t>FLORIANÓPOLIS</t>
  </si>
  <si>
    <t>FLORIPA SHOPPING</t>
  </si>
  <si>
    <t>SHOPPING D</t>
  </si>
  <si>
    <t>SÃO VICENTE</t>
  </si>
  <si>
    <t>SHOPPING BRISAMAR</t>
  </si>
  <si>
    <t>GUARATINGUETA</t>
  </si>
  <si>
    <t>BURITI SHOPPING GUARÁ</t>
  </si>
  <si>
    <t>SHOPPING SALVADOR</t>
  </si>
  <si>
    <t>SHOPPING BENFICA</t>
  </si>
  <si>
    <t>FEIRA DE SANTANA CENTRO</t>
  </si>
  <si>
    <t>MOGI DAS CRUZES</t>
  </si>
  <si>
    <t>SHOPPING MOGI</t>
  </si>
  <si>
    <t>PLAZA SHOPPING CASA FORTE</t>
  </si>
  <si>
    <t>SHOPPING VALE SUL</t>
  </si>
  <si>
    <t>SANTANA PARQUE SHOPPING</t>
  </si>
  <si>
    <t>CAMBURIU</t>
  </si>
  <si>
    <t>SHOPP. BALNEARIO CAMBURIU</t>
  </si>
  <si>
    <t>ALCANTARA CENTRO</t>
  </si>
  <si>
    <t>BANGÚ SHOPPING</t>
  </si>
  <si>
    <t>SHOPPING METRO ITAQUERA</t>
  </si>
  <si>
    <t>CUIABÁ</t>
  </si>
  <si>
    <t>SHOPPING PANTANAL</t>
  </si>
  <si>
    <t>MT</t>
  </si>
  <si>
    <t>BONSUCESSO CENTRO</t>
  </si>
  <si>
    <t>INDAIATUBA</t>
  </si>
  <si>
    <t>SHOPPING JARAGUA</t>
  </si>
  <si>
    <t>TIJUCA SHOPPING</t>
  </si>
  <si>
    <t>BAURU</t>
  </si>
  <si>
    <t>BAURU SHOPPING</t>
  </si>
  <si>
    <t>BELEM CENTRO</t>
  </si>
  <si>
    <t>SÃO CARLOS</t>
  </si>
  <si>
    <t>SHOPP. IGUATEMI SAO CARLOS</t>
  </si>
  <si>
    <t>SHOPPING BOURBON POMPÉIA</t>
  </si>
  <si>
    <t>INDEPENDENCIA SHOPPING</t>
  </si>
  <si>
    <t>SHOPPING PALLADIUM</t>
  </si>
  <si>
    <t>LIMEIRA</t>
  </si>
  <si>
    <t>SHOPPING PÁTIO LIMEIRA</t>
  </si>
  <si>
    <t>POÇOS DE CALDAS</t>
  </si>
  <si>
    <t>MINASSUL SHOPPING</t>
  </si>
  <si>
    <t>MACAE</t>
  </si>
  <si>
    <t>SHOPPING PLAZA MACAE</t>
  </si>
  <si>
    <t>BAY MARKET CENTER</t>
  </si>
  <si>
    <t>RIO PRETO</t>
  </si>
  <si>
    <t>SHOPPING RIO PRETO</t>
  </si>
  <si>
    <t>PORTO VELHO</t>
  </si>
  <si>
    <t>PORTO VELHO SHOPPING</t>
  </si>
  <si>
    <t>RO</t>
  </si>
  <si>
    <t>PETROLINA</t>
  </si>
  <si>
    <t>RIVER SHOPPING</t>
  </si>
  <si>
    <t>CAXIAS SHOPPING</t>
  </si>
  <si>
    <t>RIO CLARO</t>
  </si>
  <si>
    <t>RIO CLARO SHOPPING</t>
  </si>
  <si>
    <t>SUZANO</t>
  </si>
  <si>
    <t>SHOPPING SUZANO</t>
  </si>
  <si>
    <t>SHOPPING VIA SUL</t>
  </si>
  <si>
    <t>PRESIDENTE PRUDENTE</t>
  </si>
  <si>
    <t>PRUDENSHOPPING</t>
  </si>
  <si>
    <t>SHOPPING PARALELA</t>
  </si>
  <si>
    <t>SHOPPING BONSUCESSO</t>
  </si>
  <si>
    <t>SHOPPING MANAUARA</t>
  </si>
  <si>
    <t>SHOPPING UNIÃO</t>
  </si>
  <si>
    <t>BOULEVARD SHOPP. BRASILIA</t>
  </si>
  <si>
    <t>VIA SHOPPING BARREIRO</t>
  </si>
  <si>
    <t>DIADEMA</t>
  </si>
  <si>
    <t>SHOPPING PRAÇA DA MOÇA</t>
  </si>
  <si>
    <t>SHOPPING PÁTIO MACEIO</t>
  </si>
  <si>
    <t>SHOPPING BOULEVARD</t>
  </si>
  <si>
    <t>ITABORAI</t>
  </si>
  <si>
    <t>SHOPPING RIO ANIL</t>
  </si>
  <si>
    <t>JOINVILLE</t>
  </si>
  <si>
    <t>JOINVILLE GARTEN SHOPPING</t>
  </si>
  <si>
    <t>RAPOSO SHOPPING</t>
  </si>
  <si>
    <t>SETE LAGOAS</t>
  </si>
  <si>
    <t>SHOPPING SETE LAGOAS</t>
  </si>
  <si>
    <t>BOULEVARD SHOPPING</t>
  </si>
  <si>
    <t>ITAGUAI</t>
  </si>
  <si>
    <t>PÁTIOMIX COSTA VERDE</t>
  </si>
  <si>
    <t>CANOAS</t>
  </si>
  <si>
    <t>CANOAS SHOPPING</t>
  </si>
  <si>
    <t>SALVADOR NORTE SHOPPING</t>
  </si>
  <si>
    <t>COTIA</t>
  </si>
  <si>
    <t>SHOPPING GRANJA VIANNA</t>
  </si>
  <si>
    <t>BOULEV. SHOPP. SÃO GONÇALO</t>
  </si>
  <si>
    <t>ITABUNA</t>
  </si>
  <si>
    <t>JEQUITIBÁ PLAZA</t>
  </si>
  <si>
    <t>CENTRO</t>
  </si>
  <si>
    <t>POLO SHOPPING INDAIATUBA</t>
  </si>
  <si>
    <t>JACAREI</t>
  </si>
  <si>
    <t>JACAREÍ SHOPPING</t>
  </si>
  <si>
    <t>UBERABA</t>
  </si>
  <si>
    <t>SHOPPING UBERABA</t>
  </si>
  <si>
    <t>SÃO CAETANO DO SUL</t>
  </si>
  <si>
    <t>PARK SHOPPING SÃO CAETANO</t>
  </si>
  <si>
    <t>HORTOLANDIA</t>
  </si>
  <si>
    <t>SHOPPING HORTOLANDIA</t>
  </si>
  <si>
    <t>MONTES CLAROS</t>
  </si>
  <si>
    <t>SHOPPING MONTES CLAROS</t>
  </si>
  <si>
    <t>MOOCA PLAZA SHOPPING</t>
  </si>
  <si>
    <t>PARQUE SHOPPING BARUERI</t>
  </si>
  <si>
    <t>SERRA</t>
  </si>
  <si>
    <t>SHOPPING MESTRE ÁLVARO</t>
  </si>
  <si>
    <t>MARILIA</t>
  </si>
  <si>
    <t>MARILIA SHOPPING CENTER</t>
  </si>
  <si>
    <t>SHOPPING METRÓPOLE</t>
  </si>
  <si>
    <t>SERGIPE</t>
  </si>
  <si>
    <t>SHOPPING RIOMAR</t>
  </si>
  <si>
    <t>VITORIA DA CONQUISTA</t>
  </si>
  <si>
    <t>SHOPPING CONQUISTA SUL</t>
  </si>
  <si>
    <t>SHOPPING DA ILHA</t>
  </si>
  <si>
    <t>BOURBON SHOPPING WALLIG</t>
  </si>
  <si>
    <t>PARQUE SHOPPING BELÉM</t>
  </si>
  <si>
    <t>JUAZEIRO DO NORTE</t>
  </si>
  <si>
    <t>SHOPPING CARIRI</t>
  </si>
  <si>
    <t>SHOPPING ESTAÇÃO BH</t>
  </si>
  <si>
    <t>SHOPPING BELA VISTA</t>
  </si>
  <si>
    <t>SHOPPING DIFUSORA</t>
  </si>
  <si>
    <t>IMPERATRIZ</t>
  </si>
  <si>
    <t>SHOPPING IMPERIAL</t>
  </si>
  <si>
    <t>CABO DE SANTO AGOSTINHO</t>
  </si>
  <si>
    <t>SHOPPING COSTA DOURADA</t>
  </si>
  <si>
    <t>SÃO JOSÉ DO RIO PRETO</t>
  </si>
  <si>
    <t>SHOPPING CIDADE NORTE</t>
  </si>
  <si>
    <t>JUNDIAÍ SHOPPING</t>
  </si>
  <si>
    <t>CONTINENTE PARK SHOPPING</t>
  </si>
  <si>
    <t xml:space="preserve">RIOMAR SHOPPING </t>
  </si>
  <si>
    <t>SHOP. PARQUE DAS BANDEIRAS</t>
  </si>
  <si>
    <t>SHOPPING SÃO BERNARDO PLAZA</t>
  </si>
  <si>
    <t>MOGI GUAÇU</t>
  </si>
  <si>
    <t>BURITI SHOPPING MOGI GUAÇU</t>
  </si>
  <si>
    <t>BOULERVAD SHOPP. VILA VELHA</t>
  </si>
  <si>
    <t>PARK SHOPPING CAMPO GRANDE</t>
  </si>
  <si>
    <t>NORTE SHOPPING LONDRINA</t>
  </si>
  <si>
    <t>NOSSA SRA SOCORRO</t>
  </si>
  <si>
    <t>SHOPPING PRÊMIO</t>
  </si>
  <si>
    <t>MARABÁ</t>
  </si>
  <si>
    <t>SHOPPING PÁTIO MARABÁ</t>
  </si>
  <si>
    <t>BETIM</t>
  </si>
  <si>
    <t>METROPOLITAN GARDEN SHOPP.</t>
  </si>
  <si>
    <t>MACAPA</t>
  </si>
  <si>
    <t>SHOPPING AMAPÁ GARDEN</t>
  </si>
  <si>
    <t>AP</t>
  </si>
  <si>
    <t>ARAPIRACA</t>
  </si>
  <si>
    <t>SHOP PÁT. ARAPIRACA GARDEN</t>
  </si>
  <si>
    <t>ITAPECERICA DA SERRA</t>
  </si>
  <si>
    <t>SHOPPING ITAPECERICA</t>
  </si>
  <si>
    <t>PARQUE SHOPPING SULACAP</t>
  </si>
  <si>
    <t>SHOPPING MACEIÓ</t>
  </si>
  <si>
    <t>NORTH SHOPPING JÓQUEI</t>
  </si>
  <si>
    <t>SHOPPING PASSEIO DAS ÁGUAS</t>
  </si>
  <si>
    <t>CEILANDIA</t>
  </si>
  <si>
    <t>SHOPPING JK CEILÂNDIA</t>
  </si>
  <si>
    <t>SHOPPING PÁTIO CIANÊ</t>
  </si>
  <si>
    <t>IPANEMA</t>
  </si>
  <si>
    <t>SHOPPING PARANGABA</t>
  </si>
  <si>
    <t>SHOPPING CONTAGEM</t>
  </si>
  <si>
    <t>SHOPPING MONT SERRAT</t>
  </si>
  <si>
    <t>VALPARAÍSO</t>
  </si>
  <si>
    <t>SHOPPING SUL</t>
  </si>
  <si>
    <t>MARINGA</t>
  </si>
  <si>
    <t>MARINGÁ PARK SHOPPING</t>
  </si>
  <si>
    <t>SHOPPING TIETÊ PLAZA</t>
  </si>
  <si>
    <t>CARIACICA</t>
  </si>
  <si>
    <t>SHOPPING MOXUARA</t>
  </si>
  <si>
    <t>UBERLÂNDIA CENTRO</t>
  </si>
  <si>
    <t>SÃO LUIS SHOPPING</t>
  </si>
  <si>
    <t>SHOPPING VILA VELHA</t>
  </si>
  <si>
    <t>RIO MAR SHOPPING FORTALEZA</t>
  </si>
  <si>
    <t>MACAPÁ SHOPPING CENTER</t>
  </si>
  <si>
    <t>TERESINA SHOPPING</t>
  </si>
  <si>
    <t>RIO BRANCO</t>
  </si>
  <si>
    <t>SHOPPING VIA VERDE</t>
  </si>
  <si>
    <t>AC</t>
  </si>
  <si>
    <t>SHOPPNG IGUATEMI ALPHAVILLE</t>
  </si>
  <si>
    <t>RIO VERDE</t>
  </si>
  <si>
    <t>BURITI SHOPPING RIO VERDE</t>
  </si>
  <si>
    <t>ANÁPOLIS</t>
  </si>
  <si>
    <t>ANA SHOPPING</t>
  </si>
  <si>
    <t>BOA VISTA</t>
  </si>
  <si>
    <t>PÁTIO RORAIMA SHOPPING</t>
  </si>
  <si>
    <t>RR</t>
  </si>
  <si>
    <t>CAMPO GRANDE CENTRO</t>
  </si>
  <si>
    <t>MANGABEIRA SHOPPING</t>
  </si>
  <si>
    <t>MARACANAU</t>
  </si>
  <si>
    <t>NORTH SHOPPING MARACANAÚ</t>
  </si>
  <si>
    <t>SUMAÚMA PARK SHOPPING</t>
  </si>
  <si>
    <t>SHOPPING VIA NORTE MANAUS</t>
  </si>
  <si>
    <t>SANTARÉM</t>
  </si>
  <si>
    <t>RIO TAPAJÓS SHOPPING</t>
  </si>
  <si>
    <t>AMERICAS SHOPPING</t>
  </si>
  <si>
    <t>SAO JOSÉ DO RIBAMAR</t>
  </si>
  <si>
    <t>SHOPPING PÁTIO NORTE</t>
  </si>
  <si>
    <t>PARQUE SHOPPING MAIA</t>
  </si>
  <si>
    <t>SHOPPING ALDEOTA</t>
  </si>
  <si>
    <t>CAMPINAS SHOPPING</t>
  </si>
  <si>
    <t>PALMAS</t>
  </si>
  <si>
    <t>SHOPPING CAPIM DOURADO</t>
  </si>
  <si>
    <t>TO</t>
  </si>
  <si>
    <t>SHOPPING GRÃO PARÁ</t>
  </si>
  <si>
    <t>IPATINGA</t>
  </si>
  <si>
    <t>SHOPPING DO VALE DO AÇO</t>
  </si>
  <si>
    <t>AUGUSTA</t>
  </si>
  <si>
    <t>SHOPPING RIO POTY</t>
  </si>
  <si>
    <t>PAULISTA</t>
  </si>
  <si>
    <t>SHOPPING NORTH WAY PAULISTA</t>
  </si>
  <si>
    <t>UBERLÂNDIA SHOPPING</t>
  </si>
  <si>
    <t>SHOPPING NOVA IGUAÇU</t>
  </si>
  <si>
    <t>SHOPPING CANTAREIRA</t>
  </si>
  <si>
    <t>SÃO JOSÉ DOS PINHAIS</t>
  </si>
  <si>
    <t>SHOPPING ESTAÇÃO CUIABÁ</t>
  </si>
  <si>
    <t>OLINDA</t>
  </si>
  <si>
    <t>SHOPPING PATTEO OLINDA</t>
  </si>
  <si>
    <t>PARTAGE CAMPINA GRANDE</t>
  </si>
  <si>
    <t>CAMAÇARI</t>
  </si>
  <si>
    <t>BOULEVARD SHOPPING CAMAÇARI</t>
  </si>
  <si>
    <t>CAMARAGIBE</t>
  </si>
  <si>
    <t>CAMARÁ SHOPPING</t>
  </si>
  <si>
    <t>ANANINDEUA</t>
  </si>
  <si>
    <t>SHOPPING METRÓPOLE ANANINDEUA</t>
  </si>
  <si>
    <t>JOCKEY PLAZA SHOPPING</t>
  </si>
  <si>
    <t>ARAÇATUBA</t>
  </si>
  <si>
    <t>SHOPPING PRAÇA NOVA</t>
  </si>
  <si>
    <t>BLUMENAU</t>
  </si>
  <si>
    <t>SHOPPING PARK EUROPEU</t>
  </si>
  <si>
    <t>SHOPPING GRANDE CIRCULAR</t>
  </si>
  <si>
    <t>SHOPPING MAR RIO KENNEDY</t>
  </si>
  <si>
    <t>ARACAJU PARQUE SHOPPING</t>
  </si>
  <si>
    <t>CABO FRIO</t>
  </si>
  <si>
    <t>SHOPPING PARK LAGOS</t>
  </si>
  <si>
    <t>LAURO DE FREITAS</t>
  </si>
  <si>
    <t>PARQUE SHOPPING DA BAHIA</t>
  </si>
  <si>
    <t>CARAPICUÍBA</t>
  </si>
  <si>
    <t xml:space="preserve">PLAZA SHOPPING CARAPICUÍBA </t>
  </si>
  <si>
    <t xml:space="preserve">GOLDEN SQUARE SHOPPING </t>
  </si>
  <si>
    <t>GOLDEN SHOPPING CALHAU</t>
  </si>
  <si>
    <t>SHOPPING CENTER LAPA</t>
  </si>
  <si>
    <t>ÁGUAS CLARAS SHOPPING</t>
  </si>
  <si>
    <t>RIO GRANDE</t>
  </si>
  <si>
    <t>PARTAGE SHOPPING RIO GRANDE</t>
  </si>
  <si>
    <t>CRICÚMA</t>
  </si>
  <si>
    <t>NAÇÕES SHOPPING</t>
  </si>
  <si>
    <t>MOSSORÓ</t>
  </si>
  <si>
    <t>PARTAGE SHOPPING MOSSORÓ</t>
  </si>
  <si>
    <t>SHOPPING ANÁLIA FRANCO</t>
  </si>
  <si>
    <t>SHOPPING JARDIM ORIENTE</t>
  </si>
  <si>
    <t>FOZ DO IGUAÇU</t>
  </si>
  <si>
    <t>CATUAÍ PALLADIUM SHOPPING</t>
  </si>
  <si>
    <t>SHOPPING NORTE SUL PLAZA</t>
  </si>
  <si>
    <t>SUPER SHOPPING OSASCO</t>
  </si>
  <si>
    <t>SHOPPING PARK SUL</t>
  </si>
  <si>
    <t>GUARAPUAVA</t>
  </si>
  <si>
    <t>SHOPPING CIDADE DOS LAGOS</t>
  </si>
  <si>
    <t>BRAGANÇA PAULISTA</t>
  </si>
  <si>
    <t>BRAGANÇA GARDEN SHOPPING</t>
  </si>
  <si>
    <t>VÁRZEA GRANDE</t>
  </si>
  <si>
    <t>VÁRZEA GRANDE SHOPPING</t>
  </si>
  <si>
    <t>RIO DE JANERO</t>
  </si>
  <si>
    <t>SHOPPING RIO SUL</t>
  </si>
  <si>
    <t>UMUARAMA</t>
  </si>
  <si>
    <t>SHOPPING PALLADIUM UMUARAMA</t>
  </si>
  <si>
    <t>CARPINA</t>
  </si>
  <si>
    <t>SHOPPING CARPINA</t>
  </si>
  <si>
    <t>ARAGUAIA SHOPPING</t>
  </si>
  <si>
    <t>ITABAIANA</t>
  </si>
  <si>
    <t>SHOPPING PEIXOTO</t>
  </si>
  <si>
    <t>PATOS</t>
  </si>
  <si>
    <t>PATOS SHOPPING</t>
  </si>
  <si>
    <t>LAGES</t>
  </si>
  <si>
    <t>SHOPPING LAGES GARDEN</t>
  </si>
  <si>
    <t>SINOP</t>
  </si>
  <si>
    <t>Shopping Sinop</t>
  </si>
  <si>
    <t xml:space="preserve">Shopping Metropolitano </t>
  </si>
  <si>
    <t>Park Shopping Jacarepaguá</t>
  </si>
  <si>
    <t>PARAUAPEBAS</t>
  </si>
  <si>
    <t>Partage Shopping Parauapebas</t>
  </si>
  <si>
    <t>TEIXEIRA DE FREITAS</t>
  </si>
  <si>
    <t>Shopping Pátio Mix</t>
  </si>
  <si>
    <t>PARNAÍBA</t>
  </si>
  <si>
    <t xml:space="preserve">Parnaíba Shopping </t>
  </si>
  <si>
    <t>ParkShopping Canoas</t>
  </si>
  <si>
    <t>ITAPETININGA</t>
  </si>
  <si>
    <t>Itapê Shopping</t>
  </si>
  <si>
    <t>ANGRA DO REIS</t>
  </si>
  <si>
    <t xml:space="preserve">Shopping Piratas </t>
  </si>
  <si>
    <t>BOTUCATU</t>
  </si>
  <si>
    <t xml:space="preserve">Loja de Rua Botucatu </t>
  </si>
  <si>
    <t>GURUPI</t>
  </si>
  <si>
    <t xml:space="preserve">Shopping Center Araguaia </t>
  </si>
  <si>
    <t>Shopping Cidade Maringá</t>
  </si>
  <si>
    <t>Shopping Trimais Hiper Center</t>
  </si>
  <si>
    <t>DI</t>
  </si>
  <si>
    <t>Beta</t>
  </si>
  <si>
    <t>Receita por m² 100% Maduro</t>
  </si>
  <si>
    <t xml:space="preserve">Aliquota 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</si>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</sst>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R$&quot;\ #,##0;\-&quot;R$&quot;\ #,##0"/>
    <numFmt numFmtId="6" formatCode="&quot;R$&quot;\ #,##0;[Red]\-&quot;R$&quot;\ #,##0"/>
    <numFmt numFmtId="8" formatCode="&quot;R$&quot;\ #,##0.00;[Red]\-&quot;R$&quot;\ #,##0.00"/>
    <numFmt numFmtId="164" formatCode="0.0%"/>
    <numFmt numFmtId="165" formatCode="General&quot;E&quot;"/>
    <numFmt numFmtId="166" formatCode="#,##0;\(#,##0\)"/>
    <numFmt numFmtId="167" formatCode="0.0"/>
    <numFmt numFmtId="169" formatCode="#,##0.0;\(#,##0.0\)"/>
    <numFmt numFmtId="170" formatCode="#,##0.0000;\(#,##0.0000\)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rgb="FF00C556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0"/>
      <color rgb="FFCBCBCB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rgb="FF00C556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rgb="FF00C556"/>
      <name val="Calibri"/>
      <family val="2"/>
      <scheme val="minor"/>
    </font>
    <font>
      <i/>
      <sz val="10"/>
      <color rgb="FF00C556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00C556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43434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medium">
        <color rgb="FFE5E7EB"/>
      </left>
      <right/>
      <top/>
      <bottom/>
      <diagonal/>
    </border>
    <border>
      <left/>
      <right style="medium">
        <color rgb="FFE5E7EB"/>
      </right>
      <top/>
      <bottom/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/>
      <top style="thin">
        <color rgb="FFE5E7EB"/>
      </top>
      <bottom/>
      <diagonal/>
    </border>
    <border>
      <left style="medium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medium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medium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rgb="FFE5E7EB"/>
      </right>
      <top/>
      <bottom/>
      <diagonal/>
    </border>
    <border>
      <left style="thin">
        <color rgb="FFE5E7EB"/>
      </left>
      <right style="medium">
        <color rgb="FFE5E7EB"/>
      </right>
      <top style="thin">
        <color rgb="FFE5E7EB"/>
      </top>
      <bottom style="medium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E5E7EB"/>
      </bottom>
      <diagonal/>
    </border>
    <border>
      <left style="medium">
        <color rgb="FFE5E7EB"/>
      </left>
      <right style="thin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thin">
        <color rgb="FFE5E7EB"/>
      </right>
      <top/>
      <bottom/>
      <diagonal/>
    </border>
    <border>
      <left style="thin">
        <color theme="2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thin">
        <color theme="2"/>
      </right>
      <top/>
      <bottom style="thin">
        <color rgb="FFE5E7EB"/>
      </bottom>
      <diagonal/>
    </border>
    <border>
      <left style="medium">
        <color rgb="FFE5E7EB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/>
      <right/>
      <top style="thin">
        <color theme="2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/>
      <right style="medium">
        <color rgb="FFE5E7EB"/>
      </right>
      <top/>
      <bottom style="thin">
        <color rgb="FFE5E7EB"/>
      </bottom>
      <diagonal/>
    </border>
    <border>
      <left style="medium">
        <color rgb="FFE5E7EB"/>
      </left>
      <right style="thin">
        <color theme="2"/>
      </right>
      <top style="thin">
        <color rgb="FFE5E7EB"/>
      </top>
      <bottom style="medium">
        <color rgb="FFE5E7EB"/>
      </bottom>
      <diagonal/>
    </border>
    <border>
      <left/>
      <right style="thin">
        <color rgb="FFE5E7EB"/>
      </right>
      <top style="thin">
        <color rgb="FFE5E7EB"/>
      </top>
      <bottom style="medium">
        <color rgb="FFE5E7EB"/>
      </bottom>
      <diagonal/>
    </border>
    <border>
      <left style="thin">
        <color rgb="FFE5E7EB"/>
      </left>
      <right style="medium">
        <color theme="2"/>
      </right>
      <top/>
      <bottom style="thin">
        <color rgb="FFE5E7EB"/>
      </bottom>
      <diagonal/>
    </border>
    <border>
      <left/>
      <right style="medium">
        <color theme="2"/>
      </right>
      <top/>
      <bottom/>
      <diagonal/>
    </border>
    <border>
      <left style="medium">
        <color rgb="FFE5E7EB"/>
      </left>
      <right style="thin">
        <color rgb="FFE5E7EB"/>
      </right>
      <top style="thin">
        <color rgb="FFE5E7EB"/>
      </top>
      <bottom style="medium">
        <color rgb="FFE5E7EB"/>
      </bottom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theme="2"/>
      </right>
      <top/>
      <bottom/>
      <diagonal/>
    </border>
    <border>
      <left style="medium">
        <color theme="2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 style="thin">
        <color theme="2"/>
      </left>
      <right/>
      <top style="thin">
        <color rgb="FFE5E7EB"/>
      </top>
      <bottom style="thin">
        <color rgb="FFE5E7EB"/>
      </bottom>
      <diagonal/>
    </border>
    <border>
      <left style="thin">
        <color theme="2"/>
      </left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thin">
        <color theme="2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 style="medium">
        <color theme="2"/>
      </left>
      <right/>
      <top/>
      <bottom/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medium">
        <color rgb="FFE5E7EB"/>
      </bottom>
      <diagonal/>
    </border>
    <border>
      <left/>
      <right/>
      <top style="thin">
        <color rgb="FFE5E7EB"/>
      </top>
      <bottom style="medium">
        <color rgb="FFE5E7EB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/>
  </cellStyleXfs>
  <cellXfs count="3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/>
    <xf numFmtId="0" fontId="11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center" indent="2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left" vertical="center" indent="2"/>
    </xf>
    <xf numFmtId="0" fontId="14" fillId="2" borderId="5" xfId="0" applyFont="1" applyFill="1" applyBorder="1" applyAlignment="1">
      <alignment vertical="center"/>
    </xf>
    <xf numFmtId="0" fontId="14" fillId="2" borderId="0" xfId="0" applyFont="1" applyFill="1" applyAlignment="1">
      <alignment horizontal="right" vertical="center"/>
    </xf>
    <xf numFmtId="0" fontId="14" fillId="2" borderId="6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 indent="2"/>
    </xf>
    <xf numFmtId="0" fontId="16" fillId="2" borderId="27" xfId="0" applyFont="1" applyFill="1" applyBorder="1" applyAlignment="1">
      <alignment horizontal="left" vertical="center" indent="2"/>
    </xf>
    <xf numFmtId="0" fontId="10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10" fontId="17" fillId="2" borderId="0" xfId="0" applyNumberFormat="1" applyFont="1" applyFill="1" applyAlignment="1">
      <alignment horizontal="center" vertical="center"/>
    </xf>
    <xf numFmtId="8" fontId="18" fillId="2" borderId="0" xfId="0" applyNumberFormat="1" applyFont="1" applyFill="1" applyAlignment="1">
      <alignment horizontal="center" vertical="center"/>
    </xf>
    <xf numFmtId="8" fontId="18" fillId="2" borderId="6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vertical="center"/>
    </xf>
    <xf numFmtId="6" fontId="14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left" vertical="center" indent="4"/>
    </xf>
    <xf numFmtId="0" fontId="14" fillId="2" borderId="27" xfId="0" applyFont="1" applyFill="1" applyBorder="1" applyAlignment="1">
      <alignment horizontal="left" vertical="center" indent="4"/>
    </xf>
    <xf numFmtId="5" fontId="14" fillId="2" borderId="0" xfId="0" applyNumberFormat="1" applyFont="1" applyFill="1" applyAlignment="1">
      <alignment vertical="center"/>
    </xf>
    <xf numFmtId="8" fontId="16" fillId="2" borderId="0" xfId="0" applyNumberFormat="1" applyFont="1" applyFill="1" applyAlignment="1">
      <alignment vertical="center"/>
    </xf>
    <xf numFmtId="8" fontId="18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8" fontId="9" fillId="2" borderId="0" xfId="0" applyNumberFormat="1" applyFont="1" applyFill="1" applyAlignment="1">
      <alignment vertical="center"/>
    </xf>
    <xf numFmtId="10" fontId="17" fillId="2" borderId="6" xfId="0" applyNumberFormat="1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left" vertical="center" indent="2"/>
    </xf>
    <xf numFmtId="0" fontId="14" fillId="2" borderId="7" xfId="0" applyFont="1" applyFill="1" applyBorder="1" applyAlignment="1">
      <alignment horizontal="left" vertical="center" indent="4"/>
    </xf>
    <xf numFmtId="0" fontId="0" fillId="2" borderId="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8" fontId="0" fillId="3" borderId="0" xfId="0" applyNumberFormat="1" applyFill="1" applyAlignment="1">
      <alignment vertical="center"/>
    </xf>
    <xf numFmtId="0" fontId="12" fillId="3" borderId="0" xfId="0" applyFont="1" applyFill="1" applyAlignment="1">
      <alignment vertical="center"/>
    </xf>
    <xf numFmtId="0" fontId="0" fillId="3" borderId="31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22" fillId="2" borderId="29" xfId="0" applyFont="1" applyFill="1" applyBorder="1" applyAlignment="1">
      <alignment horizontal="left" vertical="center" indent="2"/>
    </xf>
    <xf numFmtId="0" fontId="17" fillId="2" borderId="1" xfId="0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165" fontId="17" fillId="4" borderId="37" xfId="0" applyNumberFormat="1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left" vertical="center" indent="2"/>
    </xf>
    <xf numFmtId="166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166" fontId="17" fillId="2" borderId="11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 indent="4"/>
    </xf>
    <xf numFmtId="164" fontId="22" fillId="2" borderId="13" xfId="0" applyNumberFormat="1" applyFont="1" applyFill="1" applyBorder="1" applyAlignment="1">
      <alignment horizontal="center" vertical="center"/>
    </xf>
    <xf numFmtId="164" fontId="22" fillId="2" borderId="40" xfId="0" applyNumberFormat="1" applyFont="1" applyFill="1" applyBorder="1" applyAlignment="1">
      <alignment horizontal="center" vertical="center"/>
    </xf>
    <xf numFmtId="166" fontId="22" fillId="2" borderId="13" xfId="0" applyNumberFormat="1" applyFont="1" applyFill="1" applyBorder="1" applyAlignment="1">
      <alignment horizontal="center" vertical="center"/>
    </xf>
    <xf numFmtId="166" fontId="22" fillId="2" borderId="40" xfId="0" applyNumberFormat="1" applyFont="1" applyFill="1" applyBorder="1" applyAlignment="1">
      <alignment horizontal="center" vertical="center"/>
    </xf>
    <xf numFmtId="166" fontId="17" fillId="2" borderId="40" xfId="0" applyNumberFormat="1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left" vertical="center" indent="2"/>
    </xf>
    <xf numFmtId="166" fontId="22" fillId="2" borderId="3" xfId="0" applyNumberFormat="1" applyFont="1" applyFill="1" applyBorder="1" applyAlignment="1">
      <alignment horizontal="center" vertical="center"/>
    </xf>
    <xf numFmtId="166" fontId="22" fillId="2" borderId="28" xfId="0" applyNumberFormat="1" applyFont="1" applyFill="1" applyBorder="1" applyAlignment="1">
      <alignment horizontal="center" vertical="center"/>
    </xf>
    <xf numFmtId="10" fontId="0" fillId="3" borderId="0" xfId="0" applyNumberFormat="1" applyFill="1" applyAlignment="1">
      <alignment vertical="center"/>
    </xf>
    <xf numFmtId="0" fontId="22" fillId="2" borderId="29" xfId="0" applyFont="1" applyFill="1" applyBorder="1" applyAlignment="1">
      <alignment horizontal="left" vertical="center" indent="6"/>
    </xf>
    <xf numFmtId="10" fontId="22" fillId="2" borderId="13" xfId="1" applyNumberFormat="1" applyFont="1" applyFill="1" applyBorder="1" applyAlignment="1">
      <alignment horizontal="center" vertical="center"/>
    </xf>
    <xf numFmtId="166" fontId="22" fillId="2" borderId="11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 indent="8"/>
    </xf>
    <xf numFmtId="166" fontId="17" fillId="2" borderId="19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center" vertical="center"/>
    </xf>
    <xf numFmtId="166" fontId="0" fillId="3" borderId="48" xfId="0" applyNumberFormat="1" applyFill="1" applyBorder="1" applyAlignment="1">
      <alignment vertical="center"/>
    </xf>
    <xf numFmtId="2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164" fontId="22" fillId="2" borderId="11" xfId="0" applyNumberFormat="1" applyFont="1" applyFill="1" applyBorder="1" applyAlignment="1">
      <alignment horizontal="center" vertical="center"/>
    </xf>
    <xf numFmtId="10" fontId="0" fillId="3" borderId="0" xfId="1" applyNumberFormat="1" applyFont="1" applyFill="1" applyAlignment="1">
      <alignment vertical="center"/>
    </xf>
    <xf numFmtId="0" fontId="24" fillId="2" borderId="29" xfId="0" applyFont="1" applyFill="1" applyBorder="1" applyAlignment="1">
      <alignment horizontal="left" vertical="center" indent="2"/>
    </xf>
    <xf numFmtId="164" fontId="22" fillId="2" borderId="2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 indent="2"/>
    </xf>
    <xf numFmtId="16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2" fillId="2" borderId="29" xfId="0" applyFont="1" applyFill="1" applyBorder="1" applyAlignment="1">
      <alignment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left" vertical="center" indent="2"/>
    </xf>
    <xf numFmtId="164" fontId="17" fillId="2" borderId="13" xfId="0" applyNumberFormat="1" applyFont="1" applyFill="1" applyBorder="1" applyAlignment="1">
      <alignment horizontal="center" vertical="center"/>
    </xf>
    <xf numFmtId="164" fontId="17" fillId="2" borderId="25" xfId="0" applyNumberFormat="1" applyFont="1" applyFill="1" applyBorder="1" applyAlignment="1">
      <alignment horizontal="center" vertical="center"/>
    </xf>
    <xf numFmtId="10" fontId="17" fillId="2" borderId="24" xfId="0" applyNumberFormat="1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left" vertical="center" indent="4"/>
    </xf>
    <xf numFmtId="166" fontId="22" fillId="2" borderId="19" xfId="0" applyNumberFormat="1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left" vertical="center" indent="6"/>
    </xf>
    <xf numFmtId="164" fontId="23" fillId="2" borderId="13" xfId="1" applyNumberFormat="1" applyFont="1" applyFill="1" applyBorder="1" applyAlignment="1">
      <alignment horizontal="center" vertical="center"/>
    </xf>
    <xf numFmtId="164" fontId="23" fillId="2" borderId="19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5" fillId="0" borderId="1" xfId="0" applyFont="1" applyBorder="1" applyAlignment="1">
      <alignment horizontal="left" vertical="center" indent="2"/>
    </xf>
    <xf numFmtId="9" fontId="17" fillId="2" borderId="19" xfId="0" applyNumberFormat="1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left" vertical="center" indent="6"/>
    </xf>
    <xf numFmtId="166" fontId="22" fillId="2" borderId="19" xfId="0" applyNumberFormat="1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left" vertical="center" indent="8"/>
    </xf>
    <xf numFmtId="0" fontId="23" fillId="2" borderId="30" xfId="0" applyFont="1" applyFill="1" applyBorder="1" applyAlignment="1">
      <alignment horizontal="left" vertical="center" indent="2"/>
    </xf>
    <xf numFmtId="164" fontId="17" fillId="2" borderId="19" xfId="0" applyNumberFormat="1" applyFont="1" applyFill="1" applyBorder="1" applyAlignment="1">
      <alignment horizontal="center" vertical="center"/>
    </xf>
    <xf numFmtId="0" fontId="26" fillId="3" borderId="0" xfId="0" applyFont="1" applyFill="1" applyAlignment="1">
      <alignment horizontal="left" vertical="center" indent="2"/>
    </xf>
    <xf numFmtId="164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0" fontId="17" fillId="2" borderId="35" xfId="0" applyFont="1" applyFill="1" applyBorder="1" applyAlignment="1">
      <alignment horizontal="left" vertical="center" indent="2"/>
    </xf>
    <xf numFmtId="166" fontId="17" fillId="2" borderId="36" xfId="0" applyNumberFormat="1" applyFont="1" applyFill="1" applyBorder="1" applyAlignment="1">
      <alignment horizontal="center" vertical="center"/>
    </xf>
    <xf numFmtId="166" fontId="17" fillId="2" borderId="49" xfId="0" applyNumberFormat="1" applyFont="1" applyFill="1" applyBorder="1" applyAlignment="1">
      <alignment horizontal="center" vertical="center"/>
    </xf>
    <xf numFmtId="166" fontId="1" fillId="3" borderId="0" xfId="0" applyNumberFormat="1" applyFont="1" applyFill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166" fontId="17" fillId="2" borderId="50" xfId="0" applyNumberFormat="1" applyFont="1" applyFill="1" applyBorder="1" applyAlignment="1">
      <alignment horizontal="center" vertical="center"/>
    </xf>
    <xf numFmtId="0" fontId="0" fillId="3" borderId="48" xfId="0" applyFill="1" applyBorder="1" applyAlignment="1">
      <alignment vertical="center"/>
    </xf>
    <xf numFmtId="0" fontId="27" fillId="2" borderId="29" xfId="0" applyFont="1" applyFill="1" applyBorder="1" applyAlignment="1">
      <alignment horizontal="left" vertical="center" indent="5"/>
    </xf>
    <xf numFmtId="166" fontId="27" fillId="2" borderId="13" xfId="0" applyNumberFormat="1" applyFont="1" applyFill="1" applyBorder="1" applyAlignment="1">
      <alignment horizontal="center" vertical="center"/>
    </xf>
    <xf numFmtId="166" fontId="27" fillId="2" borderId="11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left" vertical="center" indent="2"/>
    </xf>
    <xf numFmtId="0" fontId="28" fillId="2" borderId="35" xfId="0" applyFont="1" applyFill="1" applyBorder="1" applyAlignment="1">
      <alignment horizontal="left" vertical="center" indent="2"/>
    </xf>
    <xf numFmtId="164" fontId="22" fillId="2" borderId="36" xfId="0" applyNumberFormat="1" applyFont="1" applyFill="1" applyBorder="1" applyAlignment="1">
      <alignment horizontal="center" vertical="center"/>
    </xf>
    <xf numFmtId="164" fontId="22" fillId="2" borderId="49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6" fontId="27" fillId="2" borderId="19" xfId="0" applyNumberFormat="1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 indent="2"/>
    </xf>
    <xf numFmtId="166" fontId="29" fillId="2" borderId="36" xfId="0" applyNumberFormat="1" applyFont="1" applyFill="1" applyBorder="1" applyAlignment="1">
      <alignment horizontal="center" vertical="center"/>
    </xf>
    <xf numFmtId="166" fontId="29" fillId="2" borderId="49" xfId="0" applyNumberFormat="1" applyFont="1" applyFill="1" applyBorder="1" applyAlignment="1">
      <alignment horizontal="center" vertical="center"/>
    </xf>
    <xf numFmtId="166" fontId="29" fillId="2" borderId="50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 indent="2"/>
    </xf>
    <xf numFmtId="0" fontId="17" fillId="2" borderId="18" xfId="0" applyFont="1" applyFill="1" applyBorder="1" applyAlignment="1">
      <alignment horizontal="left" vertical="center" indent="4"/>
    </xf>
    <xf numFmtId="0" fontId="22" fillId="2" borderId="18" xfId="0" applyFont="1" applyFill="1" applyBorder="1" applyAlignment="1">
      <alignment horizontal="left" vertical="center" indent="4"/>
    </xf>
    <xf numFmtId="9" fontId="22" fillId="2" borderId="17" xfId="1" applyFont="1" applyFill="1" applyBorder="1" applyAlignment="1">
      <alignment horizontal="center" vertical="center"/>
    </xf>
    <xf numFmtId="9" fontId="22" fillId="2" borderId="37" xfId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 indent="7"/>
    </xf>
    <xf numFmtId="0" fontId="22" fillId="2" borderId="18" xfId="0" applyFont="1" applyFill="1" applyBorder="1" applyAlignment="1">
      <alignment horizontal="left" vertical="center" wrapText="1" indent="7"/>
    </xf>
    <xf numFmtId="0" fontId="30" fillId="2" borderId="18" xfId="0" applyFont="1" applyFill="1" applyBorder="1" applyAlignment="1">
      <alignment horizontal="left" vertical="center" indent="5"/>
    </xf>
    <xf numFmtId="10" fontId="30" fillId="2" borderId="13" xfId="1" applyNumberFormat="1" applyFont="1" applyFill="1" applyBorder="1" applyAlignment="1">
      <alignment horizontal="center" vertical="center"/>
    </xf>
    <xf numFmtId="10" fontId="30" fillId="2" borderId="40" xfId="1" applyNumberFormat="1" applyFont="1" applyFill="1" applyBorder="1" applyAlignment="1">
      <alignment horizontal="center" vertical="center"/>
    </xf>
    <xf numFmtId="10" fontId="30" fillId="2" borderId="17" xfId="1" applyNumberFormat="1" applyFont="1" applyFill="1" applyBorder="1" applyAlignment="1">
      <alignment horizontal="center" vertical="center"/>
    </xf>
    <xf numFmtId="10" fontId="30" fillId="2" borderId="37" xfId="1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 indent="2"/>
    </xf>
    <xf numFmtId="0" fontId="17" fillId="2" borderId="21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left" vertical="center" indent="2"/>
    </xf>
    <xf numFmtId="166" fontId="23" fillId="2" borderId="13" xfId="0" applyNumberFormat="1" applyFont="1" applyFill="1" applyBorder="1" applyAlignment="1">
      <alignment horizontal="center" vertical="center"/>
    </xf>
    <xf numFmtId="166" fontId="23" fillId="2" borderId="43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 indent="2"/>
    </xf>
    <xf numFmtId="166" fontId="17" fillId="2" borderId="43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 indent="4"/>
    </xf>
    <xf numFmtId="0" fontId="22" fillId="2" borderId="18" xfId="0" applyFont="1" applyFill="1" applyBorder="1" applyAlignment="1">
      <alignment horizontal="left" vertical="center" indent="6"/>
    </xf>
    <xf numFmtId="0" fontId="31" fillId="2" borderId="18" xfId="0" applyFont="1" applyFill="1" applyBorder="1" applyAlignment="1">
      <alignment horizontal="left" vertical="center" indent="8"/>
    </xf>
    <xf numFmtId="166" fontId="31" fillId="2" borderId="13" xfId="0" applyNumberFormat="1" applyFont="1" applyFill="1" applyBorder="1" applyAlignment="1">
      <alignment horizontal="center" vertical="center"/>
    </xf>
    <xf numFmtId="166" fontId="31" fillId="2" borderId="43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 indent="8"/>
    </xf>
    <xf numFmtId="0" fontId="22" fillId="2" borderId="18" xfId="0" applyFont="1" applyFill="1" applyBorder="1" applyAlignment="1">
      <alignment horizontal="left" vertical="center" indent="10"/>
    </xf>
    <xf numFmtId="166" fontId="22" fillId="2" borderId="43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 wrapText="1" indent="8"/>
    </xf>
    <xf numFmtId="0" fontId="17" fillId="2" borderId="18" xfId="0" applyFont="1" applyFill="1" applyBorder="1" applyAlignment="1">
      <alignment horizontal="left" vertical="center" indent="2"/>
    </xf>
    <xf numFmtId="166" fontId="22" fillId="2" borderId="47" xfId="0" applyNumberFormat="1" applyFont="1" applyFill="1" applyBorder="1" applyAlignment="1">
      <alignment horizontal="center" vertical="center"/>
    </xf>
    <xf numFmtId="166" fontId="22" fillId="2" borderId="45" xfId="0" applyNumberFormat="1" applyFont="1" applyFill="1" applyBorder="1" applyAlignment="1">
      <alignment horizontal="center" vertical="center"/>
    </xf>
    <xf numFmtId="166" fontId="22" fillId="2" borderId="46" xfId="0" applyNumberFormat="1" applyFont="1" applyFill="1" applyBorder="1" applyAlignment="1">
      <alignment horizontal="center" vertical="center"/>
    </xf>
    <xf numFmtId="166" fontId="22" fillId="2" borderId="44" xfId="0" applyNumberFormat="1" applyFont="1" applyFill="1" applyBorder="1" applyAlignment="1">
      <alignment horizontal="center" vertical="center"/>
    </xf>
    <xf numFmtId="0" fontId="0" fillId="3" borderId="38" xfId="0" applyFill="1" applyBorder="1" applyAlignment="1">
      <alignment horizontal="left" vertical="center"/>
    </xf>
    <xf numFmtId="166" fontId="28" fillId="2" borderId="13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0" fillId="3" borderId="38" xfId="0" applyFill="1" applyBorder="1" applyAlignment="1">
      <alignment vertical="center"/>
    </xf>
    <xf numFmtId="0" fontId="22" fillId="2" borderId="17" xfId="0" applyFont="1" applyFill="1" applyBorder="1" applyAlignment="1">
      <alignment horizontal="center" vertical="center"/>
    </xf>
    <xf numFmtId="4" fontId="22" fillId="2" borderId="13" xfId="0" applyNumberFormat="1" applyFont="1" applyFill="1" applyBorder="1" applyAlignment="1">
      <alignment horizontal="center" vertical="center"/>
    </xf>
    <xf numFmtId="4" fontId="22" fillId="2" borderId="40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64" fontId="22" fillId="2" borderId="13" xfId="1" applyNumberFormat="1" applyFont="1" applyFill="1" applyBorder="1" applyAlignment="1">
      <alignment horizontal="center" vertical="center"/>
    </xf>
    <xf numFmtId="9" fontId="22" fillId="2" borderId="40" xfId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2" fontId="22" fillId="2" borderId="13" xfId="1" applyNumberFormat="1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167" fontId="22" fillId="2" borderId="13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wrapText="1"/>
    </xf>
    <xf numFmtId="0" fontId="33" fillId="0" borderId="0" xfId="2" applyFont="1"/>
    <xf numFmtId="0" fontId="32" fillId="0" borderId="0" xfId="2" applyFont="1"/>
    <xf numFmtId="0" fontId="34" fillId="0" borderId="0" xfId="2" applyFont="1"/>
    <xf numFmtId="0" fontId="22" fillId="2" borderId="18" xfId="0" applyFont="1" applyFill="1" applyBorder="1" applyAlignment="1">
      <alignment horizontal="left" vertical="center"/>
    </xf>
    <xf numFmtId="0" fontId="22" fillId="2" borderId="18" xfId="0" applyFont="1" applyFill="1" applyBorder="1" applyAlignment="1">
      <alignment horizontal="left" vertical="center" indent="1"/>
    </xf>
    <xf numFmtId="0" fontId="22" fillId="2" borderId="39" xfId="0" applyFont="1" applyFill="1" applyBorder="1" applyAlignment="1">
      <alignment horizontal="left" vertical="center" indent="1"/>
    </xf>
    <xf numFmtId="166" fontId="22" fillId="2" borderId="36" xfId="0" applyNumberFormat="1" applyFont="1" applyFill="1" applyBorder="1" applyAlignment="1">
      <alignment horizontal="center" vertical="center"/>
    </xf>
    <xf numFmtId="166" fontId="22" fillId="2" borderId="24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166" fontId="22" fillId="2" borderId="13" xfId="0" applyNumberFormat="1" applyFont="1" applyFill="1" applyBorder="1" applyAlignment="1">
      <alignment horizontal="center" vertical="center" wrapText="1"/>
    </xf>
    <xf numFmtId="166" fontId="22" fillId="2" borderId="36" xfId="0" applyNumberFormat="1" applyFont="1" applyFill="1" applyBorder="1" applyAlignment="1">
      <alignment horizontal="center" vertical="center" wrapText="1"/>
    </xf>
    <xf numFmtId="166" fontId="22" fillId="2" borderId="24" xfId="0" applyNumberFormat="1" applyFont="1" applyFill="1" applyBorder="1" applyAlignment="1">
      <alignment horizontal="center" vertical="center" wrapText="1"/>
    </xf>
    <xf numFmtId="166" fontId="0" fillId="3" borderId="0" xfId="0" applyNumberFormat="1" applyFill="1" applyAlignment="1">
      <alignment horizontal="left" vertical="center"/>
    </xf>
    <xf numFmtId="0" fontId="17" fillId="2" borderId="17" xfId="0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64" fontId="28" fillId="2" borderId="13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left" vertical="center" wrapText="1" indent="1"/>
    </xf>
    <xf numFmtId="4" fontId="22" fillId="2" borderId="19" xfId="0" applyNumberFormat="1" applyFont="1" applyFill="1" applyBorder="1" applyAlignment="1">
      <alignment horizontal="left" vertical="center" wrapText="1" indent="1"/>
    </xf>
    <xf numFmtId="0" fontId="23" fillId="2" borderId="18" xfId="0" applyFont="1" applyFill="1" applyBorder="1" applyAlignment="1">
      <alignment horizontal="left" vertical="center" indent="5"/>
    </xf>
    <xf numFmtId="10" fontId="23" fillId="2" borderId="13" xfId="0" applyNumberFormat="1" applyFont="1" applyFill="1" applyBorder="1" applyAlignment="1">
      <alignment horizontal="center" vertical="center"/>
    </xf>
    <xf numFmtId="4" fontId="21" fillId="2" borderId="19" xfId="0" applyNumberFormat="1" applyFont="1" applyFill="1" applyBorder="1" applyAlignment="1">
      <alignment horizontal="left" vertical="center" wrapText="1" indent="1"/>
    </xf>
    <xf numFmtId="4" fontId="22" fillId="2" borderId="22" xfId="0" applyNumberFormat="1" applyFont="1" applyFill="1" applyBorder="1" applyAlignment="1">
      <alignment horizontal="left" vertical="center" wrapText="1" indent="1"/>
    </xf>
    <xf numFmtId="4" fontId="21" fillId="2" borderId="22" xfId="0" applyNumberFormat="1" applyFont="1" applyFill="1" applyBorder="1" applyAlignment="1">
      <alignment horizontal="left" vertical="center" wrapText="1" indent="1"/>
    </xf>
    <xf numFmtId="0" fontId="32" fillId="3" borderId="0" xfId="0" applyFont="1" applyFill="1" applyAlignment="1">
      <alignment horizontal="left" vertical="center"/>
    </xf>
    <xf numFmtId="10" fontId="32" fillId="3" borderId="0" xfId="1" applyNumberFormat="1" applyFont="1" applyFill="1" applyAlignment="1">
      <alignment horizontal="left" vertical="center"/>
    </xf>
    <xf numFmtId="0" fontId="17" fillId="2" borderId="32" xfId="0" applyFont="1" applyFill="1" applyBorder="1" applyAlignment="1">
      <alignment horizontal="center" vertical="center"/>
    </xf>
    <xf numFmtId="165" fontId="17" fillId="4" borderId="17" xfId="0" applyNumberFormat="1" applyFont="1" applyFill="1" applyBorder="1" applyAlignment="1">
      <alignment horizontal="center" vertical="center"/>
    </xf>
    <xf numFmtId="165" fontId="17" fillId="2" borderId="32" xfId="0" applyNumberFormat="1" applyFont="1" applyFill="1" applyBorder="1" applyAlignment="1">
      <alignment horizontal="center" vertical="center"/>
    </xf>
    <xf numFmtId="4" fontId="22" fillId="2" borderId="22" xfId="0" applyNumberFormat="1" applyFont="1" applyFill="1" applyBorder="1" applyAlignment="1">
      <alignment vertical="center" wrapText="1"/>
    </xf>
    <xf numFmtId="166" fontId="17" fillId="2" borderId="1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22" fillId="2" borderId="22" xfId="0" applyFont="1" applyFill="1" applyBorder="1" applyAlignment="1">
      <alignment horizontal="left" vertical="center" wrapText="1"/>
    </xf>
    <xf numFmtId="3" fontId="22" fillId="2" borderId="13" xfId="0" applyNumberFormat="1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left" vertical="center" indent="4"/>
    </xf>
    <xf numFmtId="4" fontId="22" fillId="2" borderId="22" xfId="0" applyNumberFormat="1" applyFont="1" applyFill="1" applyBorder="1" applyAlignment="1">
      <alignment horizontal="left" vertical="center" wrapText="1" indent="2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35" fillId="2" borderId="18" xfId="0" applyFont="1" applyFill="1" applyBorder="1" applyAlignment="1">
      <alignment horizontal="center" vertical="center"/>
    </xf>
    <xf numFmtId="0" fontId="35" fillId="2" borderId="32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9" fontId="22" fillId="2" borderId="18" xfId="1" applyFont="1" applyFill="1" applyBorder="1" applyAlignment="1">
      <alignment horizontal="center" vertical="center"/>
    </xf>
    <xf numFmtId="9" fontId="22" fillId="2" borderId="32" xfId="1" applyFont="1" applyFill="1" applyBorder="1" applyAlignment="1">
      <alignment horizontal="center" vertical="center"/>
    </xf>
    <xf numFmtId="9" fontId="22" fillId="2" borderId="34" xfId="1" applyFont="1" applyFill="1" applyBorder="1" applyAlignment="1">
      <alignment horizontal="center" vertical="center"/>
    </xf>
    <xf numFmtId="169" fontId="22" fillId="2" borderId="13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166" fontId="22" fillId="0" borderId="13" xfId="0" applyNumberFormat="1" applyFont="1" applyBorder="1" applyAlignment="1">
      <alignment horizontal="center" vertical="center"/>
    </xf>
    <xf numFmtId="166" fontId="22" fillId="0" borderId="40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17" fillId="2" borderId="29" xfId="0" applyFont="1" applyFill="1" applyBorder="1" applyAlignment="1">
      <alignment horizontal="left" vertical="center" indent="4"/>
    </xf>
    <xf numFmtId="0" fontId="22" fillId="2" borderId="35" xfId="0" applyFont="1" applyFill="1" applyBorder="1" applyAlignment="1">
      <alignment horizontal="left" vertical="center" indent="4"/>
    </xf>
    <xf numFmtId="164" fontId="22" fillId="2" borderId="36" xfId="1" applyNumberFormat="1" applyFont="1" applyFill="1" applyBorder="1" applyAlignment="1">
      <alignment horizontal="center" vertical="center"/>
    </xf>
    <xf numFmtId="9" fontId="22" fillId="2" borderId="36" xfId="1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left" vertical="center" indent="4"/>
    </xf>
    <xf numFmtId="10" fontId="22" fillId="2" borderId="36" xfId="1" applyNumberFormat="1" applyFont="1" applyFill="1" applyBorder="1" applyAlignment="1">
      <alignment horizontal="center" vertical="center"/>
    </xf>
    <xf numFmtId="165" fontId="17" fillId="4" borderId="23" xfId="0" applyNumberFormat="1" applyFont="1" applyFill="1" applyBorder="1" applyAlignment="1">
      <alignment horizontal="center" vertical="center"/>
    </xf>
    <xf numFmtId="164" fontId="23" fillId="2" borderId="3" xfId="1" applyNumberFormat="1" applyFont="1" applyFill="1" applyBorder="1" applyAlignment="1">
      <alignment horizontal="center" vertical="center"/>
    </xf>
    <xf numFmtId="3" fontId="17" fillId="2" borderId="19" xfId="0" applyNumberFormat="1" applyFont="1" applyFill="1" applyBorder="1" applyAlignment="1">
      <alignment horizontal="center" vertical="center"/>
    </xf>
    <xf numFmtId="10" fontId="23" fillId="2" borderId="19" xfId="0" applyNumberFormat="1" applyFont="1" applyFill="1" applyBorder="1" applyAlignment="1">
      <alignment horizontal="center" vertical="center"/>
    </xf>
    <xf numFmtId="166" fontId="31" fillId="2" borderId="19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 indent="6"/>
    </xf>
    <xf numFmtId="0" fontId="36" fillId="2" borderId="18" xfId="0" applyFont="1" applyFill="1" applyBorder="1" applyAlignment="1">
      <alignment horizontal="left" vertical="center" indent="2"/>
    </xf>
    <xf numFmtId="166" fontId="17" fillId="2" borderId="34" xfId="0" applyNumberFormat="1" applyFont="1" applyFill="1" applyBorder="1" applyAlignment="1">
      <alignment horizontal="center" vertical="center"/>
    </xf>
    <xf numFmtId="10" fontId="37" fillId="2" borderId="18" xfId="1" applyNumberFormat="1" applyFont="1" applyFill="1" applyBorder="1" applyAlignment="1">
      <alignment horizontal="left" vertical="center" indent="2"/>
    </xf>
    <xf numFmtId="10" fontId="37" fillId="2" borderId="13" xfId="1" applyNumberFormat="1" applyFont="1" applyFill="1" applyBorder="1" applyAlignment="1">
      <alignment horizontal="center" vertical="center"/>
    </xf>
    <xf numFmtId="10" fontId="37" fillId="2" borderId="11" xfId="1" applyNumberFormat="1" applyFont="1" applyFill="1" applyBorder="1" applyAlignment="1">
      <alignment horizontal="center" vertical="center"/>
    </xf>
    <xf numFmtId="3" fontId="17" fillId="2" borderId="40" xfId="0" applyNumberFormat="1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left" vertical="center" indent="4"/>
    </xf>
    <xf numFmtId="9" fontId="28" fillId="2" borderId="13" xfId="1" applyFont="1" applyFill="1" applyBorder="1" applyAlignment="1">
      <alignment horizontal="center" vertical="center"/>
    </xf>
    <xf numFmtId="3" fontId="22" fillId="2" borderId="40" xfId="0" applyNumberFormat="1" applyFont="1" applyFill="1" applyBorder="1" applyAlignment="1">
      <alignment horizontal="center" vertical="center"/>
    </xf>
    <xf numFmtId="9" fontId="0" fillId="3" borderId="0" xfId="1" applyFont="1" applyFill="1" applyAlignment="1">
      <alignment vertical="center"/>
    </xf>
    <xf numFmtId="9" fontId="23" fillId="2" borderId="13" xfId="1" applyFont="1" applyFill="1" applyBorder="1" applyAlignment="1">
      <alignment horizontal="center" vertical="center"/>
    </xf>
    <xf numFmtId="9" fontId="23" fillId="2" borderId="40" xfId="1" applyFont="1" applyFill="1" applyBorder="1" applyAlignment="1">
      <alignment horizontal="center" vertical="center"/>
    </xf>
    <xf numFmtId="3" fontId="0" fillId="3" borderId="0" xfId="0" applyNumberFormat="1" applyFill="1" applyAlignment="1">
      <alignment vertical="center"/>
    </xf>
    <xf numFmtId="0" fontId="0" fillId="3" borderId="4" xfId="0" applyFill="1" applyBorder="1" applyAlignment="1">
      <alignment vertical="center"/>
    </xf>
    <xf numFmtId="165" fontId="17" fillId="2" borderId="23" xfId="0" applyNumberFormat="1" applyFont="1" applyFill="1" applyBorder="1" applyAlignment="1">
      <alignment horizontal="center" vertical="center"/>
    </xf>
    <xf numFmtId="0" fontId="38" fillId="2" borderId="20" xfId="0" applyFont="1" applyFill="1" applyBorder="1" applyAlignment="1">
      <alignment horizontal="left" vertical="center" indent="2"/>
    </xf>
    <xf numFmtId="166" fontId="38" fillId="2" borderId="13" xfId="0" applyNumberFormat="1" applyFont="1" applyFill="1" applyBorder="1" applyAlignment="1">
      <alignment horizontal="center" vertical="center"/>
    </xf>
    <xf numFmtId="166" fontId="38" fillId="2" borderId="19" xfId="0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indent="4"/>
    </xf>
    <xf numFmtId="164" fontId="22" fillId="2" borderId="0" xfId="1" applyNumberFormat="1" applyFont="1" applyFill="1" applyBorder="1" applyAlignment="1">
      <alignment horizontal="center" vertical="center"/>
    </xf>
    <xf numFmtId="9" fontId="22" fillId="2" borderId="0" xfId="1" applyFont="1" applyFill="1" applyBorder="1" applyAlignment="1">
      <alignment horizontal="center" vertical="center"/>
    </xf>
    <xf numFmtId="166" fontId="28" fillId="2" borderId="20" xfId="0" applyNumberFormat="1" applyFont="1" applyFill="1" applyBorder="1" applyAlignment="1">
      <alignment horizontal="center" vertical="center"/>
    </xf>
    <xf numFmtId="9" fontId="28" fillId="2" borderId="19" xfId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164" fontId="22" fillId="2" borderId="19" xfId="0" applyNumberFormat="1" applyFont="1" applyFill="1" applyBorder="1" applyAlignment="1">
      <alignment horizontal="center" vertical="center"/>
    </xf>
    <xf numFmtId="165" fontId="17" fillId="4" borderId="0" xfId="0" applyNumberFormat="1" applyFont="1" applyFill="1" applyAlignment="1">
      <alignment horizontal="center" vertical="center"/>
    </xf>
    <xf numFmtId="166" fontId="17" fillId="2" borderId="3" xfId="0" applyNumberFormat="1" applyFont="1" applyFill="1" applyBorder="1" applyAlignment="1">
      <alignment horizontal="center" vertical="center"/>
    </xf>
    <xf numFmtId="164" fontId="22" fillId="2" borderId="43" xfId="0" applyNumberFormat="1" applyFont="1" applyFill="1" applyBorder="1" applyAlignment="1">
      <alignment horizontal="center" vertical="center"/>
    </xf>
    <xf numFmtId="165" fontId="17" fillId="4" borderId="32" xfId="0" applyNumberFormat="1" applyFont="1" applyFill="1" applyBorder="1" applyAlignment="1">
      <alignment horizontal="center" vertical="center"/>
    </xf>
    <xf numFmtId="166" fontId="22" fillId="2" borderId="22" xfId="0" applyNumberFormat="1" applyFont="1" applyFill="1" applyBorder="1" applyAlignment="1">
      <alignment horizontal="center" vertical="center"/>
    </xf>
    <xf numFmtId="166" fontId="17" fillId="2" borderId="22" xfId="0" applyNumberFormat="1" applyFont="1" applyFill="1" applyBorder="1" applyAlignment="1">
      <alignment horizontal="center" vertical="center"/>
    </xf>
    <xf numFmtId="165" fontId="17" fillId="4" borderId="21" xfId="0" applyNumberFormat="1" applyFont="1" applyFill="1" applyBorder="1" applyAlignment="1">
      <alignment horizontal="center" vertical="center"/>
    </xf>
    <xf numFmtId="10" fontId="22" fillId="2" borderId="50" xfId="1" applyNumberFormat="1" applyFont="1" applyFill="1" applyBorder="1" applyAlignment="1">
      <alignment horizontal="center" vertical="center"/>
    </xf>
    <xf numFmtId="170" fontId="22" fillId="2" borderId="13" xfId="0" applyNumberFormat="1" applyFon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10" fontId="14" fillId="2" borderId="7" xfId="0" applyNumberFormat="1" applyFont="1" applyFill="1" applyBorder="1" applyAlignment="1">
      <alignment horizontal="center" vertical="top"/>
    </xf>
    <xf numFmtId="10" fontId="14" fillId="2" borderId="8" xfId="0" applyNumberFormat="1" applyFont="1" applyFill="1" applyBorder="1" applyAlignment="1">
      <alignment horizontal="center" vertical="top"/>
    </xf>
    <xf numFmtId="0" fontId="14" fillId="2" borderId="0" xfId="0" applyFont="1" applyFill="1" applyAlignment="1">
      <alignment horizontal="right" vertical="center" textRotation="90"/>
    </xf>
    <xf numFmtId="0" fontId="12" fillId="3" borderId="0" xfId="0" applyFont="1" applyFill="1" applyAlignment="1">
      <alignment horizontal="center" vertical="center" shrinkToFi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 indent="1"/>
    </xf>
    <xf numFmtId="0" fontId="20" fillId="2" borderId="11" xfId="0" applyFont="1" applyFill="1" applyBorder="1" applyAlignment="1">
      <alignment horizontal="left" vertical="center" wrapText="1" indent="1"/>
    </xf>
    <xf numFmtId="10" fontId="19" fillId="2" borderId="16" xfId="0" applyNumberFormat="1" applyFont="1" applyFill="1" applyBorder="1" applyAlignment="1">
      <alignment horizontal="center" vertical="center"/>
    </xf>
    <xf numFmtId="10" fontId="19" fillId="2" borderId="3" xfId="0" applyNumberFormat="1" applyFont="1" applyFill="1" applyBorder="1" applyAlignment="1">
      <alignment horizontal="center" vertical="center"/>
    </xf>
    <xf numFmtId="10" fontId="19" fillId="2" borderId="13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 indent="2"/>
    </xf>
    <xf numFmtId="0" fontId="19" fillId="2" borderId="3" xfId="0" applyFont="1" applyFill="1" applyBorder="1" applyAlignment="1">
      <alignment horizontal="left" vertical="center" indent="2"/>
    </xf>
    <xf numFmtId="0" fontId="19" fillId="2" borderId="13" xfId="0" applyFont="1" applyFill="1" applyBorder="1" applyAlignment="1">
      <alignment horizontal="left" vertical="center" indent="2"/>
    </xf>
    <xf numFmtId="0" fontId="14" fillId="2" borderId="9" xfId="0" applyFont="1" applyFill="1" applyBorder="1" applyAlignment="1">
      <alignment horizontal="left" vertical="center" indent="6"/>
    </xf>
    <xf numFmtId="0" fontId="14" fillId="2" borderId="4" xfId="0" applyFont="1" applyFill="1" applyBorder="1" applyAlignment="1">
      <alignment horizontal="left" vertical="center" indent="6"/>
    </xf>
    <xf numFmtId="0" fontId="14" fillId="2" borderId="12" xfId="0" applyFont="1" applyFill="1" applyBorder="1" applyAlignment="1">
      <alignment horizontal="left" vertical="center" indent="6"/>
    </xf>
    <xf numFmtId="6" fontId="14" fillId="2" borderId="16" xfId="0" applyNumberFormat="1" applyFont="1" applyFill="1" applyBorder="1" applyAlignment="1">
      <alignment horizontal="center" vertical="center"/>
    </xf>
    <xf numFmtId="6" fontId="14" fillId="2" borderId="3" xfId="0" applyNumberFormat="1" applyFont="1" applyFill="1" applyBorder="1" applyAlignment="1">
      <alignment horizontal="center" vertical="center"/>
    </xf>
    <xf numFmtId="6" fontId="14" fillId="2" borderId="13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center" indent="2"/>
    </xf>
    <xf numFmtId="0" fontId="16" fillId="2" borderId="3" xfId="0" applyFont="1" applyFill="1" applyBorder="1" applyAlignment="1">
      <alignment horizontal="left" vertical="center" indent="2"/>
    </xf>
    <xf numFmtId="0" fontId="16" fillId="2" borderId="13" xfId="0" applyFont="1" applyFill="1" applyBorder="1" applyAlignment="1">
      <alignment horizontal="left" vertical="center" indent="2"/>
    </xf>
    <xf numFmtId="10" fontId="16" fillId="2" borderId="16" xfId="0" applyNumberFormat="1" applyFont="1" applyFill="1" applyBorder="1" applyAlignment="1">
      <alignment horizontal="center" vertical="center"/>
    </xf>
    <xf numFmtId="10" fontId="16" fillId="2" borderId="3" xfId="0" applyNumberFormat="1" applyFont="1" applyFill="1" applyBorder="1" applyAlignment="1">
      <alignment horizontal="center" vertical="center"/>
    </xf>
    <xf numFmtId="10" fontId="16" fillId="2" borderId="13" xfId="0" applyNumberFormat="1" applyFont="1" applyFill="1" applyBorder="1" applyAlignment="1">
      <alignment horizontal="center" vertical="center"/>
    </xf>
    <xf numFmtId="4" fontId="14" fillId="2" borderId="16" xfId="0" applyNumberFormat="1" applyFont="1" applyFill="1" applyBorder="1" applyAlignment="1">
      <alignment horizontal="center" vertical="center"/>
    </xf>
    <xf numFmtId="4" fontId="14" fillId="2" borderId="3" xfId="0" applyNumberFormat="1" applyFont="1" applyFill="1" applyBorder="1" applyAlignment="1">
      <alignment horizontal="center" vertical="center"/>
    </xf>
    <xf numFmtId="4" fontId="14" fillId="2" borderId="13" xfId="0" applyNumberFormat="1" applyFont="1" applyFill="1" applyBorder="1" applyAlignment="1">
      <alignment horizontal="center" vertical="center"/>
    </xf>
    <xf numFmtId="10" fontId="14" fillId="2" borderId="15" xfId="0" applyNumberFormat="1" applyFont="1" applyFill="1" applyBorder="1" applyAlignment="1">
      <alignment horizontal="center" vertical="center"/>
    </xf>
    <xf numFmtId="10" fontId="14" fillId="2" borderId="4" xfId="0" applyNumberFormat="1" applyFont="1" applyFill="1" applyBorder="1" applyAlignment="1">
      <alignment horizontal="center" vertical="center"/>
    </xf>
    <xf numFmtId="10" fontId="14" fillId="2" borderId="12" xfId="0" applyNumberFormat="1" applyFont="1" applyFill="1" applyBorder="1" applyAlignment="1">
      <alignment horizontal="center" vertical="center"/>
    </xf>
    <xf numFmtId="10" fontId="16" fillId="2" borderId="15" xfId="0" applyNumberFormat="1" applyFont="1" applyFill="1" applyBorder="1" applyAlignment="1">
      <alignment horizontal="center" vertical="center"/>
    </xf>
    <xf numFmtId="10" fontId="16" fillId="2" borderId="4" xfId="0" applyNumberFormat="1" applyFont="1" applyFill="1" applyBorder="1" applyAlignment="1">
      <alignment horizontal="center" vertical="center"/>
    </xf>
    <xf numFmtId="10" fontId="16" fillId="2" borderId="12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 indent="6"/>
    </xf>
    <xf numFmtId="0" fontId="14" fillId="2" borderId="3" xfId="0" applyFont="1" applyFill="1" applyBorder="1" applyAlignment="1">
      <alignment horizontal="left" vertical="center" indent="6"/>
    </xf>
    <xf numFmtId="0" fontId="14" fillId="2" borderId="13" xfId="0" applyFont="1" applyFill="1" applyBorder="1" applyAlignment="1">
      <alignment horizontal="left" vertical="center" indent="6"/>
    </xf>
    <xf numFmtId="10" fontId="14" fillId="2" borderId="16" xfId="0" applyNumberFormat="1" applyFont="1" applyFill="1" applyBorder="1" applyAlignment="1">
      <alignment horizontal="center" vertical="center"/>
    </xf>
    <xf numFmtId="10" fontId="14" fillId="2" borderId="3" xfId="0" applyNumberFormat="1" applyFont="1" applyFill="1" applyBorder="1" applyAlignment="1">
      <alignment horizontal="center" vertical="center"/>
    </xf>
    <xf numFmtId="10" fontId="14" fillId="2" borderId="13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center" indent="4"/>
    </xf>
    <xf numFmtId="0" fontId="16" fillId="2" borderId="3" xfId="0" applyFont="1" applyFill="1" applyBorder="1" applyAlignment="1">
      <alignment horizontal="left" vertical="center" indent="4"/>
    </xf>
    <xf numFmtId="0" fontId="16" fillId="2" borderId="13" xfId="0" applyFont="1" applyFill="1" applyBorder="1" applyAlignment="1">
      <alignment horizontal="left" vertical="center" indent="4"/>
    </xf>
    <xf numFmtId="0" fontId="12" fillId="3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top"/>
    </xf>
    <xf numFmtId="169" fontId="17" fillId="2" borderId="13" xfId="0" applyNumberFormat="1" applyFont="1" applyFill="1" applyBorder="1" applyAlignment="1">
      <alignment horizontal="center" vertical="center"/>
    </xf>
    <xf numFmtId="9" fontId="0" fillId="3" borderId="0" xfId="0" applyNumberFormat="1" applyFill="1" applyAlignment="1">
      <alignment vertical="center"/>
    </xf>
    <xf numFmtId="8" fontId="14" fillId="2" borderId="7" xfId="0" applyNumberFormat="1" applyFont="1" applyFill="1" applyBorder="1" applyAlignment="1">
      <alignment vertical="center"/>
    </xf>
  </cellXfs>
  <cellStyles count="3">
    <cellStyle name="Normal" xfId="0" builtinId="0"/>
    <cellStyle name="Normal 2" xfId="2" xr:uid="{BBB3A232-A848-4E54-92D4-C1B10D9B5DAC}"/>
    <cellStyle name="Percent" xfId="1" builtinId="5"/>
  </cellStyles>
  <dxfs count="167"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2" formatCode="\-"/>
    </dxf>
    <dxf>
      <numFmt numFmtId="172" formatCode="\-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1" formatCode="&quot;-&quot;"/>
    </dxf>
    <dxf>
      <numFmt numFmtId="172" formatCode="\-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1" formatCode="&quot;-&quot;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numFmt numFmtId="172" formatCode="\-"/>
    </dxf>
    <dxf>
      <font>
        <color rgb="FF00C556"/>
      </font>
    </dxf>
    <dxf>
      <font>
        <color rgb="FFFF5757"/>
      </font>
    </dxf>
    <dxf>
      <font>
        <color rgb="FF00C556"/>
      </font>
    </dxf>
    <dxf>
      <font>
        <color rgb="FFFF5757"/>
      </font>
    </dxf>
  </dxfs>
  <tableStyles count="0" defaultTableStyle="TableStyleMedium2" defaultPivotStyle="PivotStyleLight16"/>
  <colors>
    <mruColors>
      <color rgb="FFE5E7EB"/>
      <color rgb="FF00C556"/>
      <color rgb="FFD9FBE2"/>
      <color rgb="FFFF5757"/>
      <color rgb="FFFD8A77"/>
      <color rgb="FFA5A5A5"/>
      <color rgb="FF074116"/>
      <color rgb="FFF9FAFB"/>
      <color rgb="FFFAFBFB"/>
      <color rgb="FF6B72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DRE - Contas Abertas'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DRE + DCF'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Provis&#245;es e Processos'!A1"/><Relationship Id="rId2" Type="http://schemas.openxmlformats.org/officeDocument/2006/relationships/hyperlink" Target="#'Painel de &#205;ndices'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Balan&#231;o Patrimonial'!A1"/><Relationship Id="rId2" Type="http://schemas.openxmlformats.org/officeDocument/2006/relationships/hyperlink" Target="#'Provis&#245;es e Processos'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Painel de &#205;ndices'!A1"/><Relationship Id="rId2" Type="http://schemas.openxmlformats.org/officeDocument/2006/relationships/hyperlink" Target="#'Balan&#231;o Patrimonial'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Proje&#231;&#245;es - Capex + CG'!A1"/><Relationship Id="rId2" Type="http://schemas.openxmlformats.org/officeDocument/2006/relationships/hyperlink" Target="#'Proje&#231;&#245;es - EBIT'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Proje&#231;&#245;es - Receita'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Proje&#231;&#245;es - Receita'!A1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Proje&#231;&#245;es - Receita'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CEB235-65CE-4E41-901E-69EAE5064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</xdr:row>
      <xdr:rowOff>200024</xdr:rowOff>
    </xdr:from>
    <xdr:to>
      <xdr:col>19</xdr:col>
      <xdr:colOff>0</xdr:colOff>
      <xdr:row>7</xdr:row>
      <xdr:rowOff>285750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093B55CA-88EF-40A7-A315-D3DC4BC82B17}"/>
            </a:ext>
          </a:extLst>
        </xdr:cNvPr>
        <xdr:cNvSpPr/>
      </xdr:nvSpPr>
      <xdr:spPr>
        <a:xfrm>
          <a:off x="4556760" y="1335404"/>
          <a:ext cx="12641580" cy="39814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Dashboard</a:t>
          </a:r>
        </a:p>
      </xdr:txBody>
    </xdr:sp>
    <xdr:clientData/>
  </xdr:twoCellAnchor>
  <xdr:twoCellAnchor>
    <xdr:from>
      <xdr:col>4</xdr:col>
      <xdr:colOff>0</xdr:colOff>
      <xdr:row>18</xdr:row>
      <xdr:rowOff>361950</xdr:rowOff>
    </xdr:from>
    <xdr:to>
      <xdr:col>19</xdr:col>
      <xdr:colOff>3375</xdr:colOff>
      <xdr:row>19</xdr:row>
      <xdr:rowOff>85725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ECC7F7E9-38B2-4AF2-A69E-5F94F97150C5}"/>
            </a:ext>
          </a:extLst>
        </xdr:cNvPr>
        <xdr:cNvGrpSpPr/>
      </xdr:nvGrpSpPr>
      <xdr:grpSpPr>
        <a:xfrm>
          <a:off x="5080000" y="6014882"/>
          <a:ext cx="14393525" cy="105730"/>
          <a:chOff x="5048250" y="5231131"/>
          <a:chExt cx="9258300" cy="179069"/>
        </a:xfrm>
      </xdr:grpSpPr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732D0783-F660-4387-B7FA-92597E473358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D418D32-4D9A-413F-BC8B-B7F6C24D6F45}"/>
              </a:ext>
            </a:extLst>
          </xdr:cNvPr>
          <xdr:cNvSpPr/>
        </xdr:nvSpPr>
        <xdr:spPr>
          <a:xfrm>
            <a:off x="5057774" y="5231131"/>
            <a:ext cx="9234000" cy="45719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4</xdr:row>
      <xdr:rowOff>3810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0A141F-F567-4650-A50B-FEDD6D6E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7</xdr:row>
      <xdr:rowOff>219074</xdr:rowOff>
    </xdr:from>
    <xdr:to>
      <xdr:col>19</xdr:col>
      <xdr:colOff>0</xdr:colOff>
      <xdr:row>8</xdr:row>
      <xdr:rowOff>304800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DE534B6F-0803-45E9-B498-4B9DBA7602C7}"/>
            </a:ext>
          </a:extLst>
        </xdr:cNvPr>
        <xdr:cNvSpPr/>
      </xdr:nvSpPr>
      <xdr:spPr>
        <a:xfrm>
          <a:off x="4429125" y="2052637"/>
          <a:ext cx="9227344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WACC</a:t>
          </a:r>
        </a:p>
      </xdr:txBody>
    </xdr:sp>
    <xdr:clientData/>
  </xdr:twoCellAnchor>
  <xdr:twoCellAnchor>
    <xdr:from>
      <xdr:col>4</xdr:col>
      <xdr:colOff>0</xdr:colOff>
      <xdr:row>19</xdr:row>
      <xdr:rowOff>363856</xdr:rowOff>
    </xdr:from>
    <xdr:to>
      <xdr:col>19</xdr:col>
      <xdr:colOff>0</xdr:colOff>
      <xdr:row>20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B6E521F-4AFB-4004-9F66-B01A6A9B6C44}"/>
            </a:ext>
          </a:extLst>
        </xdr:cNvPr>
        <xdr:cNvGrpSpPr/>
      </xdr:nvGrpSpPr>
      <xdr:grpSpPr>
        <a:xfrm>
          <a:off x="5080000" y="6398743"/>
          <a:ext cx="10580150" cy="122874"/>
          <a:chOff x="5048250" y="5231131"/>
          <a:chExt cx="9258300" cy="179069"/>
        </a:xfrm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785BF58-3348-42F4-9AE6-74663D296ABD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49A4CF59-12AB-4536-BEEA-76E63FBACB27}"/>
              </a:ext>
            </a:extLst>
          </xdr:cNvPr>
          <xdr:cNvSpPr/>
        </xdr:nvSpPr>
        <xdr:spPr>
          <a:xfrm>
            <a:off x="5057774" y="5231131"/>
            <a:ext cx="9234000" cy="45719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</xdr:col>
      <xdr:colOff>0</xdr:colOff>
      <xdr:row>30</xdr:row>
      <xdr:rowOff>0</xdr:rowOff>
    </xdr:from>
    <xdr:to>
      <xdr:col>20</xdr:col>
      <xdr:colOff>0</xdr:colOff>
      <xdr:row>30</xdr:row>
      <xdr:rowOff>179069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A4964846-269B-4AC8-AF8C-CC37EA4CB205}"/>
            </a:ext>
          </a:extLst>
        </xdr:cNvPr>
        <xdr:cNvGrpSpPr/>
      </xdr:nvGrpSpPr>
      <xdr:grpSpPr>
        <a:xfrm>
          <a:off x="5777068" y="8708571"/>
          <a:ext cx="10580150" cy="0"/>
          <a:chOff x="5048250" y="5231131"/>
          <a:chExt cx="9258300" cy="179069"/>
        </a:xfrm>
      </xdr:grpSpPr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219E5CD1-051B-48EC-951C-FC10E0B42ECA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1ACC61B9-9739-4B9F-AFE6-B8674D72799F}"/>
              </a:ext>
            </a:extLst>
          </xdr:cNvPr>
          <xdr:cNvSpPr/>
        </xdr:nvSpPr>
        <xdr:spPr>
          <a:xfrm>
            <a:off x="5057774" y="5231131"/>
            <a:ext cx="9234000" cy="45719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2</xdr:row>
      <xdr:rowOff>104775</xdr:rowOff>
    </xdr:from>
    <xdr:to>
      <xdr:col>0</xdr:col>
      <xdr:colOff>1524000</xdr:colOff>
      <xdr:row>4</xdr:row>
      <xdr:rowOff>194310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06CB9D-4BAE-407A-BE91-D8CF99A6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3967</xdr:colOff>
      <xdr:row>7</xdr:row>
      <xdr:rowOff>219074</xdr:rowOff>
    </xdr:from>
    <xdr:to>
      <xdr:col>20</xdr:col>
      <xdr:colOff>0</xdr:colOff>
      <xdr:row>8</xdr:row>
      <xdr:rowOff>304800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90E4D2A0-D5F5-4BAE-B8B3-EEB5F6029D29}"/>
            </a:ext>
          </a:extLst>
        </xdr:cNvPr>
        <xdr:cNvSpPr/>
      </xdr:nvSpPr>
      <xdr:spPr>
        <a:xfrm>
          <a:off x="5083967" y="1612702"/>
          <a:ext cx="22170458" cy="467850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DRE </a:t>
          </a:r>
        </a:p>
      </xdr:txBody>
    </xdr:sp>
    <xdr:clientData/>
  </xdr:twoCellAnchor>
  <xdr:twoCellAnchor>
    <xdr:from>
      <xdr:col>4</xdr:col>
      <xdr:colOff>0</xdr:colOff>
      <xdr:row>33</xdr:row>
      <xdr:rowOff>321467</xdr:rowOff>
    </xdr:from>
    <xdr:to>
      <xdr:col>23</xdr:col>
      <xdr:colOff>0</xdr:colOff>
      <xdr:row>34</xdr:row>
      <xdr:rowOff>378619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19337F9B-976B-4D63-9962-1651A03DA33E}"/>
            </a:ext>
          </a:extLst>
        </xdr:cNvPr>
        <xdr:cNvSpPr/>
      </xdr:nvSpPr>
      <xdr:spPr>
        <a:xfrm>
          <a:off x="4429125" y="11644311"/>
          <a:ext cx="18407063" cy="438152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rPr>
            <a:t>DCF</a:t>
          </a:r>
        </a:p>
      </xdr:txBody>
    </xdr:sp>
    <xdr:clientData/>
  </xdr:twoCellAnchor>
  <xdr:twoCellAnchor>
    <xdr:from>
      <xdr:col>4</xdr:col>
      <xdr:colOff>2381</xdr:colOff>
      <xdr:row>32</xdr:row>
      <xdr:rowOff>342898</xdr:rowOff>
    </xdr:from>
    <xdr:to>
      <xdr:col>20</xdr:col>
      <xdr:colOff>563</xdr:colOff>
      <xdr:row>33</xdr:row>
      <xdr:rowOff>219075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93774C8A-4357-4A1F-AB62-7D1825617B0B}"/>
            </a:ext>
          </a:extLst>
        </xdr:cNvPr>
        <xdr:cNvGrpSpPr/>
      </xdr:nvGrpSpPr>
      <xdr:grpSpPr>
        <a:xfrm>
          <a:off x="5092541" y="11407138"/>
          <a:ext cx="22187622" cy="262257"/>
          <a:chOff x="5048250" y="5231131"/>
          <a:chExt cx="9258300" cy="179069"/>
        </a:xfrm>
      </xdr:grpSpPr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2F98D3AA-40C5-4702-8607-91BA77EE35BD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5CD0F241-540F-4940-A2F8-D97B9FA785E7}"/>
              </a:ext>
            </a:extLst>
          </xdr:cNvPr>
          <xdr:cNvSpPr/>
        </xdr:nvSpPr>
        <xdr:spPr>
          <a:xfrm>
            <a:off x="5050343" y="5231131"/>
            <a:ext cx="9244426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915</xdr:colOff>
      <xdr:row>47</xdr:row>
      <xdr:rowOff>374131</xdr:rowOff>
    </xdr:from>
    <xdr:to>
      <xdr:col>21</xdr:col>
      <xdr:colOff>0</xdr:colOff>
      <xdr:row>48</xdr:row>
      <xdr:rowOff>214588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924CE42-6911-4EF6-AEFD-06ED85886CFD}"/>
            </a:ext>
          </a:extLst>
        </xdr:cNvPr>
        <xdr:cNvGrpSpPr/>
      </xdr:nvGrpSpPr>
      <xdr:grpSpPr>
        <a:xfrm>
          <a:off x="5091075" y="17229571"/>
          <a:ext cx="23367085" cy="226537"/>
          <a:chOff x="5048250" y="5256001"/>
          <a:chExt cx="9258300" cy="154199"/>
        </a:xfrm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C3545B24-A497-4DB9-ABB6-08ACCB14F55B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05AEFBFD-20E0-4B11-AC8D-3FECE161E094}"/>
              </a:ext>
            </a:extLst>
          </xdr:cNvPr>
          <xdr:cNvSpPr/>
        </xdr:nvSpPr>
        <xdr:spPr>
          <a:xfrm>
            <a:off x="5055743" y="5256001"/>
            <a:ext cx="9239118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4</xdr:row>
      <xdr:rowOff>119065</xdr:rowOff>
    </xdr:from>
    <xdr:to>
      <xdr:col>4</xdr:col>
      <xdr:colOff>2082404</xdr:colOff>
      <xdr:row>6</xdr:row>
      <xdr:rowOff>45190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62FEF5-8B0D-4F5F-A481-F921E1AE6C26}"/>
            </a:ext>
          </a:extLst>
        </xdr:cNvPr>
        <xdr:cNvSpPr/>
      </xdr:nvSpPr>
      <xdr:spPr>
        <a:xfrm>
          <a:off x="4429125" y="690565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Contas</a:t>
          </a:r>
          <a:r>
            <a:rPr lang="pt-BR" sz="1600" b="1" baseline="0"/>
            <a:t> Abertas</a:t>
          </a:r>
          <a:endParaRPr lang="pt-BR" sz="1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4</xdr:row>
      <xdr:rowOff>3810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AF2625-2E55-4821-96DC-F0F04F8B3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0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</xdr:row>
      <xdr:rowOff>28575</xdr:rowOff>
    </xdr:from>
    <xdr:to>
      <xdr:col>11</xdr:col>
      <xdr:colOff>-1</xdr:colOff>
      <xdr:row>8</xdr:row>
      <xdr:rowOff>0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806C3642-98DA-40A3-B61B-20477C48ECAF}"/>
            </a:ext>
          </a:extLst>
        </xdr:cNvPr>
        <xdr:cNvSpPr/>
      </xdr:nvSpPr>
      <xdr:spPr>
        <a:xfrm>
          <a:off x="4429125" y="1314450"/>
          <a:ext cx="9882187" cy="54292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Despesas com Vendas</a:t>
          </a:r>
        </a:p>
      </xdr:txBody>
    </xdr:sp>
    <xdr:clientData/>
  </xdr:twoCellAnchor>
  <xdr:twoCellAnchor>
    <xdr:from>
      <xdr:col>4</xdr:col>
      <xdr:colOff>0</xdr:colOff>
      <xdr:row>19</xdr:row>
      <xdr:rowOff>219074</xdr:rowOff>
    </xdr:from>
    <xdr:to>
      <xdr:col>11</xdr:col>
      <xdr:colOff>-1</xdr:colOff>
      <xdr:row>20</xdr:row>
      <xdr:rowOff>304800</xdr:rowOff>
    </xdr:to>
    <xdr:sp macro="" textlink="">
      <xdr:nvSpPr>
        <xdr:cNvPr id="19" name="Retângulo: Cantos Superiores Arredondados 18">
          <a:extLst>
            <a:ext uri="{FF2B5EF4-FFF2-40B4-BE49-F238E27FC236}">
              <a16:creationId xmlns:a16="http://schemas.microsoft.com/office/drawing/2014/main" id="{27D158F7-AAA1-465F-B41C-9BB417D0F45B}"/>
            </a:ext>
          </a:extLst>
        </xdr:cNvPr>
        <xdr:cNvSpPr/>
      </xdr:nvSpPr>
      <xdr:spPr>
        <a:xfrm>
          <a:off x="4429125" y="5505449"/>
          <a:ext cx="9882187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Despesas Gerais e Administrativas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752</xdr:colOff>
      <xdr:row>30</xdr:row>
      <xdr:rowOff>190500</xdr:rowOff>
    </xdr:from>
    <xdr:to>
      <xdr:col>11</xdr:col>
      <xdr:colOff>100357</xdr:colOff>
      <xdr:row>31</xdr:row>
      <xdr:rowOff>304800</xdr:rowOff>
    </xdr:to>
    <xdr:sp macro="" textlink="">
      <xdr:nvSpPr>
        <xdr:cNvPr id="20" name="Retângulo: Cantos Superiores Arredondados 19">
          <a:extLst>
            <a:ext uri="{FF2B5EF4-FFF2-40B4-BE49-F238E27FC236}">
              <a16:creationId xmlns:a16="http://schemas.microsoft.com/office/drawing/2014/main" id="{15373B75-98C4-42E9-8E01-CA3D2DE61343}"/>
            </a:ext>
          </a:extLst>
        </xdr:cNvPr>
        <xdr:cNvSpPr/>
      </xdr:nvSpPr>
      <xdr:spPr>
        <a:xfrm>
          <a:off x="5080752" y="10350500"/>
          <a:ext cx="12599830" cy="49958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Outras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Despesas (Receitas) Operacionais</a:t>
          </a:r>
        </a:p>
      </xdr:txBody>
    </xdr:sp>
    <xdr:clientData/>
  </xdr:twoCellAnchor>
  <xdr:twoCellAnchor>
    <xdr:from>
      <xdr:col>4</xdr:col>
      <xdr:colOff>0</xdr:colOff>
      <xdr:row>51</xdr:row>
      <xdr:rowOff>214312</xdr:rowOff>
    </xdr:from>
    <xdr:to>
      <xdr:col>11</xdr:col>
      <xdr:colOff>0</xdr:colOff>
      <xdr:row>52</xdr:row>
      <xdr:rowOff>304800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8281DD48-BF8A-4DC0-8630-33A1F108A9FB}"/>
            </a:ext>
          </a:extLst>
        </xdr:cNvPr>
        <xdr:cNvSpPr/>
      </xdr:nvSpPr>
      <xdr:spPr>
        <a:xfrm>
          <a:off x="4429125" y="18311812"/>
          <a:ext cx="10941844" cy="47148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EBIT</a:t>
          </a:r>
        </a:p>
      </xdr:txBody>
    </xdr:sp>
    <xdr:clientData/>
  </xdr:twoCellAnchor>
  <xdr:twoCellAnchor>
    <xdr:from>
      <xdr:col>4</xdr:col>
      <xdr:colOff>0</xdr:colOff>
      <xdr:row>78</xdr:row>
      <xdr:rowOff>219074</xdr:rowOff>
    </xdr:from>
    <xdr:to>
      <xdr:col>11</xdr:col>
      <xdr:colOff>0</xdr:colOff>
      <xdr:row>79</xdr:row>
      <xdr:rowOff>304800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4E9014FB-7103-437F-BF3F-36D099B28883}"/>
            </a:ext>
          </a:extLst>
        </xdr:cNvPr>
        <xdr:cNvSpPr/>
      </xdr:nvSpPr>
      <xdr:spPr>
        <a:xfrm>
          <a:off x="4429125" y="26460449"/>
          <a:ext cx="10941844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Receita Financeira</a:t>
          </a:r>
        </a:p>
      </xdr:txBody>
    </xdr:sp>
    <xdr:clientData/>
  </xdr:twoCellAnchor>
  <xdr:twoCellAnchor>
    <xdr:from>
      <xdr:col>4</xdr:col>
      <xdr:colOff>0</xdr:colOff>
      <xdr:row>93</xdr:row>
      <xdr:rowOff>219074</xdr:rowOff>
    </xdr:from>
    <xdr:to>
      <xdr:col>11</xdr:col>
      <xdr:colOff>0</xdr:colOff>
      <xdr:row>94</xdr:row>
      <xdr:rowOff>304800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FDA83020-0CAF-440A-9646-A7404C0D349E}"/>
            </a:ext>
          </a:extLst>
        </xdr:cNvPr>
        <xdr:cNvSpPr/>
      </xdr:nvSpPr>
      <xdr:spPr>
        <a:xfrm>
          <a:off x="4429125" y="31794449"/>
          <a:ext cx="10941844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Lucro antes do IR</a:t>
          </a:r>
        </a:p>
      </xdr:txBody>
    </xdr:sp>
    <xdr:clientData/>
  </xdr:twoCellAnchor>
  <xdr:twoCellAnchor>
    <xdr:from>
      <xdr:col>4</xdr:col>
      <xdr:colOff>0</xdr:colOff>
      <xdr:row>101</xdr:row>
      <xdr:rowOff>238124</xdr:rowOff>
    </xdr:from>
    <xdr:to>
      <xdr:col>11</xdr:col>
      <xdr:colOff>0</xdr:colOff>
      <xdr:row>102</xdr:row>
      <xdr:rowOff>304799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5A39E227-B7F7-43CE-9077-A10E389ED2A5}"/>
            </a:ext>
          </a:extLst>
        </xdr:cNvPr>
        <xdr:cNvSpPr/>
      </xdr:nvSpPr>
      <xdr:spPr>
        <a:xfrm>
          <a:off x="4429125" y="34480499"/>
          <a:ext cx="10941844" cy="447675"/>
        </a:xfrm>
        <a:prstGeom prst="round2SameRect">
          <a:avLst>
            <a:gd name="adj1" fmla="val 37075"/>
            <a:gd name="adj2" fmla="val 0"/>
          </a:avLst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Imposto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Renda (R$ Mil)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4762</xdr:colOff>
      <xdr:row>124</xdr:row>
      <xdr:rowOff>311945</xdr:rowOff>
    </xdr:from>
    <xdr:to>
      <xdr:col>11</xdr:col>
      <xdr:colOff>3318</xdr:colOff>
      <xdr:row>125</xdr:row>
      <xdr:rowOff>297659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CB67F0C-86D7-4ED1-820D-9A26F4C3B684}"/>
            </a:ext>
          </a:extLst>
        </xdr:cNvPr>
        <xdr:cNvGrpSpPr/>
      </xdr:nvGrpSpPr>
      <xdr:grpSpPr>
        <a:xfrm>
          <a:off x="5094922" y="46834585"/>
          <a:ext cx="12515676" cy="371794"/>
          <a:chOff x="5048250" y="5236762"/>
          <a:chExt cx="9258300" cy="173438"/>
        </a:xfrm>
      </xdr:grpSpPr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D7A782A1-EB50-4D0D-BEA8-1C242BF1AAEF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4FD03350-E243-48B5-92D9-B0D065453944}"/>
              </a:ext>
            </a:extLst>
          </xdr:cNvPr>
          <xdr:cNvSpPr/>
        </xdr:nvSpPr>
        <xdr:spPr>
          <a:xfrm>
            <a:off x="5049954" y="5236762"/>
            <a:ext cx="9233928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62</xdr:row>
      <xdr:rowOff>83344</xdr:rowOff>
    </xdr:from>
    <xdr:to>
      <xdr:col>11</xdr:col>
      <xdr:colOff>0</xdr:colOff>
      <xdr:row>63</xdr:row>
      <xdr:rowOff>304800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85A8B1F9-1613-44FE-B535-C53994E0F6D4}"/>
            </a:ext>
          </a:extLst>
        </xdr:cNvPr>
        <xdr:cNvSpPr/>
      </xdr:nvSpPr>
      <xdr:spPr>
        <a:xfrm>
          <a:off x="4429125" y="21990844"/>
          <a:ext cx="10941844" cy="60245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 Financeira</a:t>
          </a:r>
        </a:p>
      </xdr:txBody>
    </xdr:sp>
    <xdr:clientData/>
  </xdr:twoCellAnchor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4</xdr:row>
      <xdr:rowOff>3810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9DA7F9DC-E74E-4BA5-8934-14504503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0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1022</xdr:colOff>
      <xdr:row>17</xdr:row>
      <xdr:rowOff>285742</xdr:rowOff>
    </xdr:from>
    <xdr:to>
      <xdr:col>11</xdr:col>
      <xdr:colOff>3178</xdr:colOff>
      <xdr:row>18</xdr:row>
      <xdr:rowOff>345275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D5B1F9AA-CA12-4126-B548-4B8A2DC46DF2}"/>
            </a:ext>
          </a:extLst>
        </xdr:cNvPr>
        <xdr:cNvGrpSpPr/>
      </xdr:nvGrpSpPr>
      <xdr:grpSpPr>
        <a:xfrm>
          <a:off x="5091182" y="5497822"/>
          <a:ext cx="12519276" cy="445613"/>
          <a:chOff x="5048250" y="5240313"/>
          <a:chExt cx="9258300" cy="169887"/>
        </a:xfrm>
      </xdr:grpSpPr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CB8DBEF3-74EF-86C7-3924-E7D1B7CE5862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79FB9ADE-7143-9275-4DA7-9A8B10857DF1}"/>
              </a:ext>
            </a:extLst>
          </xdr:cNvPr>
          <xdr:cNvSpPr/>
        </xdr:nvSpPr>
        <xdr:spPr>
          <a:xfrm>
            <a:off x="5060407" y="5240313"/>
            <a:ext cx="9227845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692838</xdr:colOff>
      <xdr:row>28</xdr:row>
      <xdr:rowOff>309562</xdr:rowOff>
    </xdr:from>
    <xdr:to>
      <xdr:col>10</xdr:col>
      <xdr:colOff>1096206</xdr:colOff>
      <xdr:row>29</xdr:row>
      <xdr:rowOff>309562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D100BFD-D6E8-4C36-A46F-579FB461E7B5}"/>
            </a:ext>
          </a:extLst>
        </xdr:cNvPr>
        <xdr:cNvGrpSpPr/>
      </xdr:nvGrpSpPr>
      <xdr:grpSpPr>
        <a:xfrm>
          <a:off x="5081958" y="9768522"/>
          <a:ext cx="12463288" cy="386080"/>
          <a:chOff x="5048250" y="5231131"/>
          <a:chExt cx="9258300" cy="179069"/>
        </a:xfrm>
      </xdr:grpSpPr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AEF9380E-AEDE-65C1-EB85-A9D0E0366B9D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1EAED547-F802-48F9-31EF-CF27B15F9319}"/>
              </a:ext>
            </a:extLst>
          </xdr:cNvPr>
          <xdr:cNvSpPr/>
        </xdr:nvSpPr>
        <xdr:spPr>
          <a:xfrm>
            <a:off x="5060418" y="5231131"/>
            <a:ext cx="9227835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49</xdr:row>
      <xdr:rowOff>238126</xdr:rowOff>
    </xdr:from>
    <xdr:to>
      <xdr:col>11</xdr:col>
      <xdr:colOff>0</xdr:colOff>
      <xdr:row>50</xdr:row>
      <xdr:rowOff>120858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65E91EA-E9FE-433B-BE81-60036DFA87E7}"/>
            </a:ext>
          </a:extLst>
        </xdr:cNvPr>
        <xdr:cNvGrpSpPr/>
      </xdr:nvGrpSpPr>
      <xdr:grpSpPr>
        <a:xfrm>
          <a:off x="5090160" y="17804766"/>
          <a:ext cx="12517120" cy="268812"/>
          <a:chOff x="5048250" y="5231131"/>
          <a:chExt cx="9258300" cy="179069"/>
        </a:xfrm>
      </xdr:grpSpPr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F69BA946-78DE-A858-ABA4-EA9856E48518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08F53B4F-5D20-7B6E-9E5E-1EE533F7F1D2}"/>
              </a:ext>
            </a:extLst>
          </xdr:cNvPr>
          <xdr:cNvSpPr/>
        </xdr:nvSpPr>
        <xdr:spPr>
          <a:xfrm>
            <a:off x="5060416" y="5231131"/>
            <a:ext cx="9229663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59</xdr:row>
      <xdr:rowOff>345313</xdr:rowOff>
    </xdr:from>
    <xdr:to>
      <xdr:col>11</xdr:col>
      <xdr:colOff>2156</xdr:colOff>
      <xdr:row>60</xdr:row>
      <xdr:rowOff>273842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16BEDAA8-37FF-45F2-AABB-762190A56626}"/>
            </a:ext>
          </a:extLst>
        </xdr:cNvPr>
        <xdr:cNvGrpSpPr/>
      </xdr:nvGrpSpPr>
      <xdr:grpSpPr>
        <a:xfrm>
          <a:off x="5090160" y="21772753"/>
          <a:ext cx="12519276" cy="314609"/>
          <a:chOff x="5048250" y="5231131"/>
          <a:chExt cx="9258300" cy="142536"/>
        </a:xfrm>
      </xdr:grpSpPr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B0C1D243-FBC8-355F-5088-C93F61C47034}"/>
              </a:ext>
            </a:extLst>
          </xdr:cNvPr>
          <xdr:cNvSpPr/>
        </xdr:nvSpPr>
        <xdr:spPr>
          <a:xfrm rot="10800000">
            <a:off x="5048250" y="5240314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C8D7EBC7-750E-C249-D29C-3C3CB4C161BE}"/>
              </a:ext>
            </a:extLst>
          </xdr:cNvPr>
          <xdr:cNvSpPr/>
        </xdr:nvSpPr>
        <xdr:spPr>
          <a:xfrm>
            <a:off x="5060414" y="5231131"/>
            <a:ext cx="9221754" cy="3653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76</xdr:row>
      <xdr:rowOff>250031</xdr:rowOff>
    </xdr:from>
    <xdr:to>
      <xdr:col>11</xdr:col>
      <xdr:colOff>5756</xdr:colOff>
      <xdr:row>77</xdr:row>
      <xdr:rowOff>285750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3090D3F6-9993-4AF0-AB59-96F137D149BD}"/>
            </a:ext>
          </a:extLst>
        </xdr:cNvPr>
        <xdr:cNvGrpSpPr/>
      </xdr:nvGrpSpPr>
      <xdr:grpSpPr>
        <a:xfrm>
          <a:off x="5090160" y="28240831"/>
          <a:ext cx="12522876" cy="421799"/>
          <a:chOff x="5048250" y="5231131"/>
          <a:chExt cx="9258300" cy="179069"/>
        </a:xfrm>
      </xdr:grpSpPr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243C28DA-9944-6622-7A36-3AE03519690F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C45895AD-12B0-33ED-E6EB-CCDD082D3ADE}"/>
              </a:ext>
            </a:extLst>
          </xdr:cNvPr>
          <xdr:cNvSpPr/>
        </xdr:nvSpPr>
        <xdr:spPr>
          <a:xfrm>
            <a:off x="5060406" y="5231131"/>
            <a:ext cx="9219631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91</xdr:row>
      <xdr:rowOff>250031</xdr:rowOff>
    </xdr:from>
    <xdr:to>
      <xdr:col>11</xdr:col>
      <xdr:colOff>0</xdr:colOff>
      <xdr:row>92</xdr:row>
      <xdr:rowOff>297656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6528EF2F-0C1E-4C3D-A2CD-BEA2F7124535}"/>
            </a:ext>
          </a:extLst>
        </xdr:cNvPr>
        <xdr:cNvGrpSpPr/>
      </xdr:nvGrpSpPr>
      <xdr:grpSpPr>
        <a:xfrm>
          <a:off x="5090160" y="34032031"/>
          <a:ext cx="12517120" cy="433705"/>
          <a:chOff x="5048250" y="5231131"/>
          <a:chExt cx="9258300" cy="179069"/>
        </a:xfrm>
      </xdr:grpSpPr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9F794A75-7EA4-FD62-D5D0-758264CB1C7A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5DE6F689-7B7D-4BF1-20D8-10601EC68471}"/>
              </a:ext>
            </a:extLst>
          </xdr:cNvPr>
          <xdr:cNvSpPr/>
        </xdr:nvSpPr>
        <xdr:spPr>
          <a:xfrm>
            <a:off x="5060416" y="5231131"/>
            <a:ext cx="922661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99</xdr:row>
      <xdr:rowOff>273866</xdr:rowOff>
    </xdr:from>
    <xdr:to>
      <xdr:col>11</xdr:col>
      <xdr:colOff>0</xdr:colOff>
      <xdr:row>100</xdr:row>
      <xdr:rowOff>321493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82311483-A535-40FC-9D75-F1F7CD8DA628}"/>
            </a:ext>
          </a:extLst>
        </xdr:cNvPr>
        <xdr:cNvGrpSpPr/>
      </xdr:nvGrpSpPr>
      <xdr:grpSpPr>
        <a:xfrm>
          <a:off x="5090160" y="37144506"/>
          <a:ext cx="12517120" cy="433707"/>
          <a:chOff x="5048250" y="5240555"/>
          <a:chExt cx="9258300" cy="169645"/>
        </a:xfrm>
      </xdr:grpSpPr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F65513D2-21C5-8C25-D6C1-693ABAC16F70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2EFEC93C-A80A-BDC9-91AA-6E52557987F6}"/>
              </a:ext>
            </a:extLst>
          </xdr:cNvPr>
          <xdr:cNvSpPr/>
        </xdr:nvSpPr>
        <xdr:spPr>
          <a:xfrm>
            <a:off x="5060415" y="5240555"/>
            <a:ext cx="922661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2</xdr:row>
      <xdr:rowOff>119065</xdr:rowOff>
    </xdr:from>
    <xdr:to>
      <xdr:col>4</xdr:col>
      <xdr:colOff>2082404</xdr:colOff>
      <xdr:row>4</xdr:row>
      <xdr:rowOff>188065</xdr:rowOff>
    </xdr:to>
    <xdr:sp macro="" textlink="">
      <xdr:nvSpPr>
        <xdr:cNvPr id="50" name="Retângulo: Cantos Arredondados 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6FE7BF-F345-4255-92F5-AE327A72AA33}"/>
            </a:ext>
          </a:extLst>
        </xdr:cNvPr>
        <xdr:cNvSpPr/>
      </xdr:nvSpPr>
      <xdr:spPr>
        <a:xfrm>
          <a:off x="4429125" y="500065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DRE + DCF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3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B5AB8A-93FA-4B2C-ACB4-B36361A5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701048</xdr:colOff>
      <xdr:row>4</xdr:row>
      <xdr:rowOff>130969</xdr:rowOff>
    </xdr:from>
    <xdr:to>
      <xdr:col>12</xdr:col>
      <xdr:colOff>9622</xdr:colOff>
      <xdr:row>6</xdr:row>
      <xdr:rowOff>214310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A78EC1CD-E330-4840-BD2C-D75225B4F73E}"/>
            </a:ext>
          </a:extLst>
        </xdr:cNvPr>
        <xdr:cNvSpPr/>
      </xdr:nvSpPr>
      <xdr:spPr>
        <a:xfrm>
          <a:off x="5088321" y="1035363"/>
          <a:ext cx="11007968" cy="468189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Balanço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Patrimonial</a:t>
          </a:r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</a:t>
          </a:r>
        </a:p>
      </xdr:txBody>
    </xdr:sp>
    <xdr:clientData/>
  </xdr:twoCellAnchor>
  <xdr:twoCellAnchor>
    <xdr:from>
      <xdr:col>4</xdr:col>
      <xdr:colOff>2100</xdr:colOff>
      <xdr:row>87</xdr:row>
      <xdr:rowOff>319087</xdr:rowOff>
    </xdr:from>
    <xdr:to>
      <xdr:col>12</xdr:col>
      <xdr:colOff>4425</xdr:colOff>
      <xdr:row>88</xdr:row>
      <xdr:rowOff>257175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6328AEEC-AA24-415F-BE88-5CF7BB0567B1}"/>
            </a:ext>
          </a:extLst>
        </xdr:cNvPr>
        <xdr:cNvGrpSpPr/>
      </xdr:nvGrpSpPr>
      <xdr:grpSpPr>
        <a:xfrm>
          <a:off x="5091721" y="32704087"/>
          <a:ext cx="10999371" cy="322936"/>
          <a:chOff x="5048250" y="5231131"/>
          <a:chExt cx="9258300" cy="179069"/>
        </a:xfrm>
      </xdr:grpSpPr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2A382A31-8E60-4B7F-B460-CD1AB5616328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D234AFC2-7DDA-4A19-90BA-00C7C56C75E6}"/>
              </a:ext>
            </a:extLst>
          </xdr:cNvPr>
          <xdr:cNvSpPr/>
        </xdr:nvSpPr>
        <xdr:spPr>
          <a:xfrm>
            <a:off x="5056613" y="5231131"/>
            <a:ext cx="9227034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2226469</xdr:colOff>
      <xdr:row>2</xdr:row>
      <xdr:rowOff>48382</xdr:rowOff>
    </xdr:from>
    <xdr:to>
      <xdr:col>5</xdr:col>
      <xdr:colOff>522685</xdr:colOff>
      <xdr:row>3</xdr:row>
      <xdr:rowOff>307882</xdr:rowOff>
    </xdr:to>
    <xdr:sp macro="" textlink="">
      <xdr:nvSpPr>
        <xdr:cNvPr id="8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FA1F7C-D461-4740-B00B-A858EA4AAE96}"/>
            </a:ext>
          </a:extLst>
        </xdr:cNvPr>
        <xdr:cNvSpPr/>
      </xdr:nvSpPr>
      <xdr:spPr>
        <a:xfrm>
          <a:off x="6655594" y="429382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Painel de Índices</a:t>
          </a:r>
        </a:p>
      </xdr:txBody>
    </xdr:sp>
    <xdr:clientData/>
  </xdr:twoCellAnchor>
  <xdr:twoCellAnchor>
    <xdr:from>
      <xdr:col>3</xdr:col>
      <xdr:colOff>604838</xdr:colOff>
      <xdr:row>2</xdr:row>
      <xdr:rowOff>47625</xdr:rowOff>
    </xdr:from>
    <xdr:to>
      <xdr:col>4</xdr:col>
      <xdr:colOff>2080023</xdr:colOff>
      <xdr:row>3</xdr:row>
      <xdr:rowOff>307125</xdr:rowOff>
    </xdr:to>
    <xdr:sp macro="" textlink="">
      <xdr:nvSpPr>
        <xdr:cNvPr id="9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CFB657-EECA-44B0-98BD-DD970969E0E3}"/>
            </a:ext>
          </a:extLst>
        </xdr:cNvPr>
        <xdr:cNvSpPr/>
      </xdr:nvSpPr>
      <xdr:spPr>
        <a:xfrm>
          <a:off x="4426744" y="428625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Provisões e Processos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1</xdr:row>
      <xdr:rowOff>104775</xdr:rowOff>
    </xdr:from>
    <xdr:ext cx="476250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78728529-7B34-44FF-A241-50CBB384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1</xdr:colOff>
      <xdr:row>12</xdr:row>
      <xdr:rowOff>379609</xdr:rowOff>
    </xdr:from>
    <xdr:to>
      <xdr:col>12</xdr:col>
      <xdr:colOff>1</xdr:colOff>
      <xdr:row>13</xdr:row>
      <xdr:rowOff>319406</xdr:rowOff>
    </xdr:to>
    <xdr:grpSp>
      <xdr:nvGrpSpPr>
        <xdr:cNvPr id="3" name="Agrupar 16">
          <a:extLst>
            <a:ext uri="{FF2B5EF4-FFF2-40B4-BE49-F238E27FC236}">
              <a16:creationId xmlns:a16="http://schemas.microsoft.com/office/drawing/2014/main" id="{8EAA003C-C894-479F-B51D-C77ADDE78092}"/>
            </a:ext>
          </a:extLst>
        </xdr:cNvPr>
        <xdr:cNvGrpSpPr/>
      </xdr:nvGrpSpPr>
      <xdr:grpSpPr>
        <a:xfrm>
          <a:off x="5094942" y="3591962"/>
          <a:ext cx="9711765" cy="328268"/>
          <a:chOff x="5048250" y="5252231"/>
          <a:chExt cx="9258300" cy="142144"/>
        </a:xfrm>
      </xdr:grpSpPr>
      <xdr:sp macro="" textlink="">
        <xdr:nvSpPr>
          <xdr:cNvPr id="4" name="Retângulo: Cantos Superiores Arredondados 17">
            <a:extLst>
              <a:ext uri="{FF2B5EF4-FFF2-40B4-BE49-F238E27FC236}">
                <a16:creationId xmlns:a16="http://schemas.microsoft.com/office/drawing/2014/main" id="{2EF188F6-F15F-B716-1AB1-5A9046C1D72A}"/>
              </a:ext>
            </a:extLst>
          </xdr:cNvPr>
          <xdr:cNvSpPr/>
        </xdr:nvSpPr>
        <xdr:spPr>
          <a:xfrm rot="10800000">
            <a:off x="5048250" y="5261022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5" name="Retângulo 18">
            <a:extLst>
              <a:ext uri="{FF2B5EF4-FFF2-40B4-BE49-F238E27FC236}">
                <a16:creationId xmlns:a16="http://schemas.microsoft.com/office/drawing/2014/main" id="{0B0C2FDF-36FB-F173-9AA8-B21114140749}"/>
              </a:ext>
            </a:extLst>
          </xdr:cNvPr>
          <xdr:cNvSpPr/>
        </xdr:nvSpPr>
        <xdr:spPr>
          <a:xfrm>
            <a:off x="5063309" y="5252231"/>
            <a:ext cx="922266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606198</xdr:colOff>
      <xdr:row>6</xdr:row>
      <xdr:rowOff>283029</xdr:rowOff>
    </xdr:from>
    <xdr:to>
      <xdr:col>12</xdr:col>
      <xdr:colOff>1116</xdr:colOff>
      <xdr:row>8</xdr:row>
      <xdr:rowOff>42184</xdr:rowOff>
    </xdr:to>
    <xdr:sp macro="" textlink="">
      <xdr:nvSpPr>
        <xdr:cNvPr id="6" name="Retângulo: Cantos Superiores Arredondados 2">
          <a:extLst>
            <a:ext uri="{FF2B5EF4-FFF2-40B4-BE49-F238E27FC236}">
              <a16:creationId xmlns:a16="http://schemas.microsoft.com/office/drawing/2014/main" id="{A60D6323-CBB5-48D9-A269-ABDC9C14F2D6}"/>
            </a:ext>
          </a:extLst>
        </xdr:cNvPr>
        <xdr:cNvSpPr/>
      </xdr:nvSpPr>
      <xdr:spPr>
        <a:xfrm>
          <a:off x="4428104" y="1235529"/>
          <a:ext cx="8503200" cy="44971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Liquidez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609599</xdr:colOff>
      <xdr:row>14</xdr:row>
      <xdr:rowOff>348344</xdr:rowOff>
    </xdr:from>
    <xdr:to>
      <xdr:col>12</xdr:col>
      <xdr:colOff>1980</xdr:colOff>
      <xdr:row>16</xdr:row>
      <xdr:rowOff>42185</xdr:rowOff>
    </xdr:to>
    <xdr:sp macro="" textlink="">
      <xdr:nvSpPr>
        <xdr:cNvPr id="10" name="Retângulo: Cantos Superiores Arredondados 2">
          <a:extLst>
            <a:ext uri="{FF2B5EF4-FFF2-40B4-BE49-F238E27FC236}">
              <a16:creationId xmlns:a16="http://schemas.microsoft.com/office/drawing/2014/main" id="{7712E461-9C10-4432-BE9F-8C9F02E5E525}"/>
            </a:ext>
          </a:extLst>
        </xdr:cNvPr>
        <xdr:cNvSpPr/>
      </xdr:nvSpPr>
      <xdr:spPr>
        <a:xfrm>
          <a:off x="4446813" y="4280808"/>
          <a:ext cx="8509167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Rentabilidade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598713</xdr:colOff>
      <xdr:row>21</xdr:row>
      <xdr:rowOff>315686</xdr:rowOff>
    </xdr:from>
    <xdr:to>
      <xdr:col>11</xdr:col>
      <xdr:colOff>606346</xdr:colOff>
      <xdr:row>23</xdr:row>
      <xdr:rowOff>9527</xdr:rowOff>
    </xdr:to>
    <xdr:sp macro="" textlink="">
      <xdr:nvSpPr>
        <xdr:cNvPr id="14" name="Retângulo: Cantos Superiores Arredondados 2">
          <a:extLst>
            <a:ext uri="{FF2B5EF4-FFF2-40B4-BE49-F238E27FC236}">
              <a16:creationId xmlns:a16="http://schemas.microsoft.com/office/drawing/2014/main" id="{C4C43AD9-88D4-4BEC-A0B4-796C58FE6F0B}"/>
            </a:ext>
          </a:extLst>
        </xdr:cNvPr>
        <xdr:cNvSpPr/>
      </xdr:nvSpPr>
      <xdr:spPr>
        <a:xfrm>
          <a:off x="4435927" y="6915150"/>
          <a:ext cx="8512098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Endividamento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610960</xdr:colOff>
      <xdr:row>30</xdr:row>
      <xdr:rowOff>315686</xdr:rowOff>
    </xdr:from>
    <xdr:to>
      <xdr:col>12</xdr:col>
      <xdr:colOff>13607</xdr:colOff>
      <xdr:row>32</xdr:row>
      <xdr:rowOff>9527</xdr:rowOff>
    </xdr:to>
    <xdr:sp macro="" textlink="">
      <xdr:nvSpPr>
        <xdr:cNvPr id="15" name="Retângulo: Cantos Superiores Arredondados 2">
          <a:extLst>
            <a:ext uri="{FF2B5EF4-FFF2-40B4-BE49-F238E27FC236}">
              <a16:creationId xmlns:a16="http://schemas.microsoft.com/office/drawing/2014/main" id="{B3BB6002-8881-43A6-A23E-4672F10C33D7}"/>
            </a:ext>
          </a:extLst>
        </xdr:cNvPr>
        <xdr:cNvSpPr/>
      </xdr:nvSpPr>
      <xdr:spPr>
        <a:xfrm>
          <a:off x="4448174" y="10344150"/>
          <a:ext cx="8519433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Capital de Giro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606878</xdr:colOff>
      <xdr:row>38</xdr:row>
      <xdr:rowOff>345622</xdr:rowOff>
    </xdr:from>
    <xdr:to>
      <xdr:col>12</xdr:col>
      <xdr:colOff>9525</xdr:colOff>
      <xdr:row>40</xdr:row>
      <xdr:rowOff>43543</xdr:rowOff>
    </xdr:to>
    <xdr:sp macro="" textlink="">
      <xdr:nvSpPr>
        <xdr:cNvPr id="19" name="Retângulo: Cantos Superiores Arredondados 2">
          <a:extLst>
            <a:ext uri="{FF2B5EF4-FFF2-40B4-BE49-F238E27FC236}">
              <a16:creationId xmlns:a16="http://schemas.microsoft.com/office/drawing/2014/main" id="{CA37D485-AC85-4773-AF12-9DEF91D51FAC}"/>
            </a:ext>
          </a:extLst>
        </xdr:cNvPr>
        <xdr:cNvSpPr/>
      </xdr:nvSpPr>
      <xdr:spPr>
        <a:xfrm>
          <a:off x="4444092" y="13041086"/>
          <a:ext cx="8519433" cy="45992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Dividendos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583406</xdr:colOff>
      <xdr:row>3</xdr:row>
      <xdr:rowOff>23812</xdr:rowOff>
    </xdr:from>
    <xdr:to>
      <xdr:col>4</xdr:col>
      <xdr:colOff>2058591</xdr:colOff>
      <xdr:row>6</xdr:row>
      <xdr:rowOff>92812</xdr:rowOff>
    </xdr:to>
    <xdr:sp macro="" textlink="">
      <xdr:nvSpPr>
        <xdr:cNvPr id="23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96DF4D-5AE6-43B9-80A0-29516D1FEB23}"/>
            </a:ext>
          </a:extLst>
        </xdr:cNvPr>
        <xdr:cNvSpPr/>
      </xdr:nvSpPr>
      <xdr:spPr>
        <a:xfrm>
          <a:off x="4405312" y="595312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Provisões e Processos</a:t>
          </a:r>
        </a:p>
      </xdr:txBody>
    </xdr:sp>
    <xdr:clientData/>
  </xdr:twoCellAnchor>
  <xdr:twoCellAnchor>
    <xdr:from>
      <xdr:col>4</xdr:col>
      <xdr:colOff>2286000</xdr:colOff>
      <xdr:row>3</xdr:row>
      <xdr:rowOff>23812</xdr:rowOff>
    </xdr:from>
    <xdr:to>
      <xdr:col>6</xdr:col>
      <xdr:colOff>808435</xdr:colOff>
      <xdr:row>6</xdr:row>
      <xdr:rowOff>92812</xdr:rowOff>
    </xdr:to>
    <xdr:sp macro="" textlink="">
      <xdr:nvSpPr>
        <xdr:cNvPr id="24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6F3165-139E-4C3E-B96B-BE921249B425}"/>
            </a:ext>
          </a:extLst>
        </xdr:cNvPr>
        <xdr:cNvSpPr/>
      </xdr:nvSpPr>
      <xdr:spPr>
        <a:xfrm>
          <a:off x="6715125" y="595312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Balanço Patrimonial</a:t>
          </a:r>
        </a:p>
      </xdr:txBody>
    </xdr:sp>
    <xdr:clientData/>
  </xdr:twoCellAnchor>
  <xdr:twoCellAnchor>
    <xdr:from>
      <xdr:col>4</xdr:col>
      <xdr:colOff>1</xdr:colOff>
      <xdr:row>19</xdr:row>
      <xdr:rowOff>351069</xdr:rowOff>
    </xdr:from>
    <xdr:to>
      <xdr:col>12</xdr:col>
      <xdr:colOff>1</xdr:colOff>
      <xdr:row>20</xdr:row>
      <xdr:rowOff>314325</xdr:rowOff>
    </xdr:to>
    <xdr:grpSp>
      <xdr:nvGrpSpPr>
        <xdr:cNvPr id="25" name="Agrupar 16">
          <a:extLst>
            <a:ext uri="{FF2B5EF4-FFF2-40B4-BE49-F238E27FC236}">
              <a16:creationId xmlns:a16="http://schemas.microsoft.com/office/drawing/2014/main" id="{5BD70D03-FFD5-448F-97E5-9CC156FFDCCE}"/>
            </a:ext>
          </a:extLst>
        </xdr:cNvPr>
        <xdr:cNvGrpSpPr/>
      </xdr:nvGrpSpPr>
      <xdr:grpSpPr>
        <a:xfrm>
          <a:off x="5094942" y="6282716"/>
          <a:ext cx="9711765" cy="351727"/>
          <a:chOff x="5048250" y="5252231"/>
          <a:chExt cx="9258300" cy="142144"/>
        </a:xfrm>
      </xdr:grpSpPr>
      <xdr:sp macro="" textlink="">
        <xdr:nvSpPr>
          <xdr:cNvPr id="26" name="Retângulo: Cantos Superiores Arredondados 17">
            <a:extLst>
              <a:ext uri="{FF2B5EF4-FFF2-40B4-BE49-F238E27FC236}">
                <a16:creationId xmlns:a16="http://schemas.microsoft.com/office/drawing/2014/main" id="{A1CDA1B7-B487-6AAD-59CE-C0FF3B9E70AA}"/>
              </a:ext>
            </a:extLst>
          </xdr:cNvPr>
          <xdr:cNvSpPr/>
        </xdr:nvSpPr>
        <xdr:spPr>
          <a:xfrm rot="10800000">
            <a:off x="5048250" y="5261022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27" name="Retângulo 18">
            <a:extLst>
              <a:ext uri="{FF2B5EF4-FFF2-40B4-BE49-F238E27FC236}">
                <a16:creationId xmlns:a16="http://schemas.microsoft.com/office/drawing/2014/main" id="{6826AC1A-C80D-318E-AF97-80790C0BEC25}"/>
              </a:ext>
            </a:extLst>
          </xdr:cNvPr>
          <xdr:cNvSpPr/>
        </xdr:nvSpPr>
        <xdr:spPr>
          <a:xfrm>
            <a:off x="5063309" y="5252231"/>
            <a:ext cx="922266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29</xdr:row>
      <xdr:rowOff>0</xdr:rowOff>
    </xdr:from>
    <xdr:to>
      <xdr:col>12</xdr:col>
      <xdr:colOff>0</xdr:colOff>
      <xdr:row>29</xdr:row>
      <xdr:rowOff>344256</xdr:rowOff>
    </xdr:to>
    <xdr:grpSp>
      <xdr:nvGrpSpPr>
        <xdr:cNvPr id="31" name="Agrupar 16">
          <a:extLst>
            <a:ext uri="{FF2B5EF4-FFF2-40B4-BE49-F238E27FC236}">
              <a16:creationId xmlns:a16="http://schemas.microsoft.com/office/drawing/2014/main" id="{B161971E-3BED-40BE-B4E3-1AADDB0AFF89}"/>
            </a:ext>
          </a:extLst>
        </xdr:cNvPr>
        <xdr:cNvGrpSpPr/>
      </xdr:nvGrpSpPr>
      <xdr:grpSpPr>
        <a:xfrm>
          <a:off x="5094941" y="9816353"/>
          <a:ext cx="9711765" cy="344256"/>
          <a:chOff x="5048250" y="5252231"/>
          <a:chExt cx="9258300" cy="142144"/>
        </a:xfrm>
      </xdr:grpSpPr>
      <xdr:sp macro="" textlink="">
        <xdr:nvSpPr>
          <xdr:cNvPr id="32" name="Retângulo: Cantos Superiores Arredondados 17">
            <a:extLst>
              <a:ext uri="{FF2B5EF4-FFF2-40B4-BE49-F238E27FC236}">
                <a16:creationId xmlns:a16="http://schemas.microsoft.com/office/drawing/2014/main" id="{4D139492-DE92-8F10-9AFD-7EEA18CB3861}"/>
              </a:ext>
            </a:extLst>
          </xdr:cNvPr>
          <xdr:cNvSpPr/>
        </xdr:nvSpPr>
        <xdr:spPr>
          <a:xfrm rot="10800000">
            <a:off x="5048250" y="5261022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3" name="Retângulo 18">
            <a:extLst>
              <a:ext uri="{FF2B5EF4-FFF2-40B4-BE49-F238E27FC236}">
                <a16:creationId xmlns:a16="http://schemas.microsoft.com/office/drawing/2014/main" id="{39A42C64-3E6E-F27C-FA27-ABB92E25D7A7}"/>
              </a:ext>
            </a:extLst>
          </xdr:cNvPr>
          <xdr:cNvSpPr/>
        </xdr:nvSpPr>
        <xdr:spPr>
          <a:xfrm>
            <a:off x="5063309" y="5252231"/>
            <a:ext cx="922266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37</xdr:row>
      <xdr:rowOff>0</xdr:rowOff>
    </xdr:from>
    <xdr:to>
      <xdr:col>12</xdr:col>
      <xdr:colOff>0</xdr:colOff>
      <xdr:row>37</xdr:row>
      <xdr:rowOff>344256</xdr:rowOff>
    </xdr:to>
    <xdr:grpSp>
      <xdr:nvGrpSpPr>
        <xdr:cNvPr id="34" name="Agrupar 16">
          <a:extLst>
            <a:ext uri="{FF2B5EF4-FFF2-40B4-BE49-F238E27FC236}">
              <a16:creationId xmlns:a16="http://schemas.microsoft.com/office/drawing/2014/main" id="{7C0D2A08-2FFE-4558-A550-E9AF8C720836}"/>
            </a:ext>
          </a:extLst>
        </xdr:cNvPr>
        <xdr:cNvGrpSpPr/>
      </xdr:nvGrpSpPr>
      <xdr:grpSpPr>
        <a:xfrm>
          <a:off x="5094941" y="12924118"/>
          <a:ext cx="9711765" cy="344256"/>
          <a:chOff x="5048250" y="5252231"/>
          <a:chExt cx="9258300" cy="142144"/>
        </a:xfrm>
      </xdr:grpSpPr>
      <xdr:sp macro="" textlink="">
        <xdr:nvSpPr>
          <xdr:cNvPr id="35" name="Retângulo: Cantos Superiores Arredondados 17">
            <a:extLst>
              <a:ext uri="{FF2B5EF4-FFF2-40B4-BE49-F238E27FC236}">
                <a16:creationId xmlns:a16="http://schemas.microsoft.com/office/drawing/2014/main" id="{EB33F53F-E7DC-194B-8AFE-D2E995ABB06D}"/>
              </a:ext>
            </a:extLst>
          </xdr:cNvPr>
          <xdr:cNvSpPr/>
        </xdr:nvSpPr>
        <xdr:spPr>
          <a:xfrm rot="10800000">
            <a:off x="5048250" y="5261022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6" name="Retângulo 18">
            <a:extLst>
              <a:ext uri="{FF2B5EF4-FFF2-40B4-BE49-F238E27FC236}">
                <a16:creationId xmlns:a16="http://schemas.microsoft.com/office/drawing/2014/main" id="{F3C2AB00-53C0-400A-177A-857E240C1D75}"/>
              </a:ext>
            </a:extLst>
          </xdr:cNvPr>
          <xdr:cNvSpPr/>
        </xdr:nvSpPr>
        <xdr:spPr>
          <a:xfrm>
            <a:off x="5063309" y="5252231"/>
            <a:ext cx="922266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44</xdr:row>
      <xdr:rowOff>0</xdr:rowOff>
    </xdr:from>
    <xdr:to>
      <xdr:col>12</xdr:col>
      <xdr:colOff>0</xdr:colOff>
      <xdr:row>44</xdr:row>
      <xdr:rowOff>344256</xdr:rowOff>
    </xdr:to>
    <xdr:grpSp>
      <xdr:nvGrpSpPr>
        <xdr:cNvPr id="40" name="Agrupar 16">
          <a:extLst>
            <a:ext uri="{FF2B5EF4-FFF2-40B4-BE49-F238E27FC236}">
              <a16:creationId xmlns:a16="http://schemas.microsoft.com/office/drawing/2014/main" id="{7DF68899-3CD1-4864-B306-8FCE76CC76B3}"/>
            </a:ext>
          </a:extLst>
        </xdr:cNvPr>
        <xdr:cNvGrpSpPr/>
      </xdr:nvGrpSpPr>
      <xdr:grpSpPr>
        <a:xfrm>
          <a:off x="5094941" y="15643412"/>
          <a:ext cx="9711765" cy="344256"/>
          <a:chOff x="5048250" y="5252231"/>
          <a:chExt cx="9258300" cy="142144"/>
        </a:xfrm>
      </xdr:grpSpPr>
      <xdr:sp macro="" textlink="">
        <xdr:nvSpPr>
          <xdr:cNvPr id="41" name="Retângulo: Cantos Superiores Arredondados 17">
            <a:extLst>
              <a:ext uri="{FF2B5EF4-FFF2-40B4-BE49-F238E27FC236}">
                <a16:creationId xmlns:a16="http://schemas.microsoft.com/office/drawing/2014/main" id="{69D2639D-7D9D-8B7B-88AA-5ABB14E3F202}"/>
              </a:ext>
            </a:extLst>
          </xdr:cNvPr>
          <xdr:cNvSpPr/>
        </xdr:nvSpPr>
        <xdr:spPr>
          <a:xfrm rot="10800000">
            <a:off x="5048250" y="5261022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42" name="Retângulo 18">
            <a:extLst>
              <a:ext uri="{FF2B5EF4-FFF2-40B4-BE49-F238E27FC236}">
                <a16:creationId xmlns:a16="http://schemas.microsoft.com/office/drawing/2014/main" id="{F4B7106F-E8A9-F783-C0D4-695A88089A90}"/>
              </a:ext>
            </a:extLst>
          </xdr:cNvPr>
          <xdr:cNvSpPr/>
        </xdr:nvSpPr>
        <xdr:spPr>
          <a:xfrm>
            <a:off x="5063309" y="5252231"/>
            <a:ext cx="922266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1</xdr:row>
      <xdr:rowOff>104775</xdr:rowOff>
    </xdr:from>
    <xdr:ext cx="476250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B3B18E5E-1F4F-4508-9AC1-05FCB42DF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2383</xdr:colOff>
      <xdr:row>7</xdr:row>
      <xdr:rowOff>-1</xdr:rowOff>
    </xdr:from>
    <xdr:to>
      <xdr:col>9</xdr:col>
      <xdr:colOff>0</xdr:colOff>
      <xdr:row>7</xdr:row>
      <xdr:rowOff>366714</xdr:rowOff>
    </xdr:to>
    <xdr:sp macro="" textlink="">
      <xdr:nvSpPr>
        <xdr:cNvPr id="3" name="Retângulo: Cantos Superiores Arredondados 6">
          <a:extLst>
            <a:ext uri="{FF2B5EF4-FFF2-40B4-BE49-F238E27FC236}">
              <a16:creationId xmlns:a16="http://schemas.microsoft.com/office/drawing/2014/main" id="{3CB1C770-D695-421D-AB0B-1A96643884F4}"/>
            </a:ext>
          </a:extLst>
        </xdr:cNvPr>
        <xdr:cNvSpPr/>
      </xdr:nvSpPr>
      <xdr:spPr>
        <a:xfrm>
          <a:off x="4431508" y="1452562"/>
          <a:ext cx="9653586" cy="36671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Valor dos Processos ao fim de 2020</a:t>
          </a:r>
        </a:p>
      </xdr:txBody>
    </xdr:sp>
    <xdr:clientData/>
  </xdr:twoCellAnchor>
  <xdr:twoCellAnchor>
    <xdr:from>
      <xdr:col>3</xdr:col>
      <xdr:colOff>604839</xdr:colOff>
      <xdr:row>15</xdr:row>
      <xdr:rowOff>235323</xdr:rowOff>
    </xdr:from>
    <xdr:to>
      <xdr:col>9</xdr:col>
      <xdr:colOff>0</xdr:colOff>
      <xdr:row>17</xdr:row>
      <xdr:rowOff>4764</xdr:rowOff>
    </xdr:to>
    <xdr:sp macro="" textlink="">
      <xdr:nvSpPr>
        <xdr:cNvPr id="4" name="Retângulo: Cantos Superiores Arredondados 7">
          <a:extLst>
            <a:ext uri="{FF2B5EF4-FFF2-40B4-BE49-F238E27FC236}">
              <a16:creationId xmlns:a16="http://schemas.microsoft.com/office/drawing/2014/main" id="{10384F54-2BAB-4F79-B469-E82F805659CE}"/>
            </a:ext>
          </a:extLst>
        </xdr:cNvPr>
        <xdr:cNvSpPr/>
      </xdr:nvSpPr>
      <xdr:spPr>
        <a:xfrm>
          <a:off x="4426045" y="5121088"/>
          <a:ext cx="11508720" cy="5314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Processos Relevantes (FRE)</a:t>
          </a:r>
        </a:p>
      </xdr:txBody>
    </xdr:sp>
    <xdr:clientData/>
  </xdr:twoCellAnchor>
  <xdr:twoCellAnchor>
    <xdr:from>
      <xdr:col>4</xdr:col>
      <xdr:colOff>666750</xdr:colOff>
      <xdr:row>14</xdr:row>
      <xdr:rowOff>35719</xdr:rowOff>
    </xdr:from>
    <xdr:to>
      <xdr:col>8</xdr:col>
      <xdr:colOff>21550</xdr:colOff>
      <xdr:row>14</xdr:row>
      <xdr:rowOff>176287</xdr:rowOff>
    </xdr:to>
    <xdr:sp macro="" textlink="">
      <xdr:nvSpPr>
        <xdr:cNvPr id="5" name="Retângulo 18">
          <a:extLst>
            <a:ext uri="{FF2B5EF4-FFF2-40B4-BE49-F238E27FC236}">
              <a16:creationId xmlns:a16="http://schemas.microsoft.com/office/drawing/2014/main" id="{0C718ED7-B5B5-46C1-BE88-B53A071E35F7}"/>
            </a:ext>
          </a:extLst>
        </xdr:cNvPr>
        <xdr:cNvSpPr/>
      </xdr:nvSpPr>
      <xdr:spPr>
        <a:xfrm>
          <a:off x="5095875" y="4155282"/>
          <a:ext cx="8498800" cy="14056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2588</xdr:colOff>
      <xdr:row>13</xdr:row>
      <xdr:rowOff>337021</xdr:rowOff>
    </xdr:from>
    <xdr:to>
      <xdr:col>8</xdr:col>
      <xdr:colOff>2044253</xdr:colOff>
      <xdr:row>14</xdr:row>
      <xdr:rowOff>253654</xdr:rowOff>
    </xdr:to>
    <xdr:grpSp>
      <xdr:nvGrpSpPr>
        <xdr:cNvPr id="6" name="Agrupar 16">
          <a:extLst>
            <a:ext uri="{FF2B5EF4-FFF2-40B4-BE49-F238E27FC236}">
              <a16:creationId xmlns:a16="http://schemas.microsoft.com/office/drawing/2014/main" id="{EF612CD3-D914-43C8-8200-8156C3F38FF6}"/>
            </a:ext>
          </a:extLst>
        </xdr:cNvPr>
        <xdr:cNvGrpSpPr/>
      </xdr:nvGrpSpPr>
      <xdr:grpSpPr>
        <a:xfrm>
          <a:off x="5097529" y="4132080"/>
          <a:ext cx="12874018" cy="305103"/>
          <a:chOff x="5048250" y="5231131"/>
          <a:chExt cx="9258300" cy="89681"/>
        </a:xfrm>
      </xdr:grpSpPr>
      <xdr:sp macro="" textlink="">
        <xdr:nvSpPr>
          <xdr:cNvPr id="7" name="Retângulo: Cantos Superiores Arredondados 17">
            <a:extLst>
              <a:ext uri="{FF2B5EF4-FFF2-40B4-BE49-F238E27FC236}">
                <a16:creationId xmlns:a16="http://schemas.microsoft.com/office/drawing/2014/main" id="{9AE884BE-C7EF-E999-3F0D-330C0772039D}"/>
              </a:ext>
            </a:extLst>
          </xdr:cNvPr>
          <xdr:cNvSpPr/>
        </xdr:nvSpPr>
        <xdr:spPr>
          <a:xfrm rot="10800000">
            <a:off x="5048250" y="5250465"/>
            <a:ext cx="9258300" cy="70347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8" name="Retângulo 18">
            <a:extLst>
              <a:ext uri="{FF2B5EF4-FFF2-40B4-BE49-F238E27FC236}">
                <a16:creationId xmlns:a16="http://schemas.microsoft.com/office/drawing/2014/main" id="{3C2E817B-3BF3-8907-6326-BFAF5DD287C8}"/>
              </a:ext>
            </a:extLst>
          </xdr:cNvPr>
          <xdr:cNvSpPr/>
        </xdr:nvSpPr>
        <xdr:spPr>
          <a:xfrm>
            <a:off x="5063201" y="5231131"/>
            <a:ext cx="9228993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592931</xdr:colOff>
      <xdr:row>28</xdr:row>
      <xdr:rowOff>21454</xdr:rowOff>
    </xdr:from>
    <xdr:to>
      <xdr:col>8</xdr:col>
      <xdr:colOff>2014235</xdr:colOff>
      <xdr:row>28</xdr:row>
      <xdr:rowOff>162022</xdr:rowOff>
    </xdr:to>
    <xdr:sp macro="" textlink="">
      <xdr:nvSpPr>
        <xdr:cNvPr id="10" name="Retângulo 18">
          <a:extLst>
            <a:ext uri="{FF2B5EF4-FFF2-40B4-BE49-F238E27FC236}">
              <a16:creationId xmlns:a16="http://schemas.microsoft.com/office/drawing/2014/main" id="{77AEA49C-7385-40A2-A48E-387DC146409B}"/>
            </a:ext>
          </a:extLst>
        </xdr:cNvPr>
        <xdr:cNvSpPr/>
      </xdr:nvSpPr>
      <xdr:spPr>
        <a:xfrm>
          <a:off x="4414837" y="19404829"/>
          <a:ext cx="11172523" cy="14056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4761</xdr:colOff>
      <xdr:row>27</xdr:row>
      <xdr:rowOff>1023961</xdr:rowOff>
    </xdr:from>
    <xdr:to>
      <xdr:col>9</xdr:col>
      <xdr:colOff>1836</xdr:colOff>
      <xdr:row>28</xdr:row>
      <xdr:rowOff>285750</xdr:rowOff>
    </xdr:to>
    <xdr:grpSp>
      <xdr:nvGrpSpPr>
        <xdr:cNvPr id="11" name="Agrupar 16">
          <a:extLst>
            <a:ext uri="{FF2B5EF4-FFF2-40B4-BE49-F238E27FC236}">
              <a16:creationId xmlns:a16="http://schemas.microsoft.com/office/drawing/2014/main" id="{7C60DF72-3364-42B5-8D80-95010AECF40B}"/>
            </a:ext>
          </a:extLst>
        </xdr:cNvPr>
        <xdr:cNvGrpSpPr/>
      </xdr:nvGrpSpPr>
      <xdr:grpSpPr>
        <a:xfrm>
          <a:off x="5099702" y="17758079"/>
          <a:ext cx="13160252" cy="352495"/>
          <a:chOff x="5048250" y="5231131"/>
          <a:chExt cx="9258300" cy="89681"/>
        </a:xfrm>
      </xdr:grpSpPr>
      <xdr:sp macro="" textlink="">
        <xdr:nvSpPr>
          <xdr:cNvPr id="12" name="Retângulo: Cantos Superiores Arredondados 17">
            <a:extLst>
              <a:ext uri="{FF2B5EF4-FFF2-40B4-BE49-F238E27FC236}">
                <a16:creationId xmlns:a16="http://schemas.microsoft.com/office/drawing/2014/main" id="{CD1F1E9C-A578-10A9-6FCC-8A624DFCC38C}"/>
              </a:ext>
            </a:extLst>
          </xdr:cNvPr>
          <xdr:cNvSpPr/>
        </xdr:nvSpPr>
        <xdr:spPr>
          <a:xfrm rot="10800000">
            <a:off x="5048250" y="5250465"/>
            <a:ext cx="9258300" cy="70347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3" name="Retângulo 18">
            <a:extLst>
              <a:ext uri="{FF2B5EF4-FFF2-40B4-BE49-F238E27FC236}">
                <a16:creationId xmlns:a16="http://schemas.microsoft.com/office/drawing/2014/main" id="{B09FD939-737D-FCC8-D520-FF0582D88B30}"/>
              </a:ext>
            </a:extLst>
          </xdr:cNvPr>
          <xdr:cNvSpPr/>
        </xdr:nvSpPr>
        <xdr:spPr>
          <a:xfrm>
            <a:off x="5050338" y="5231131"/>
            <a:ext cx="924043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571500</xdr:colOff>
      <xdr:row>4</xdr:row>
      <xdr:rowOff>3362</xdr:rowOff>
    </xdr:from>
    <xdr:to>
      <xdr:col>5</xdr:col>
      <xdr:colOff>614434</xdr:colOff>
      <xdr:row>6</xdr:row>
      <xdr:rowOff>72362</xdr:rowOff>
    </xdr:to>
    <xdr:sp macro="" textlink="">
      <xdr:nvSpPr>
        <xdr:cNvPr id="14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38AA89-D6A9-434B-8373-5A3B12C3BE8A}"/>
            </a:ext>
          </a:extLst>
        </xdr:cNvPr>
        <xdr:cNvSpPr/>
      </xdr:nvSpPr>
      <xdr:spPr>
        <a:xfrm>
          <a:off x="4392706" y="765362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Balanço Patrimonial</a:t>
          </a:r>
        </a:p>
      </xdr:txBody>
    </xdr:sp>
    <xdr:clientData/>
  </xdr:twoCellAnchor>
  <xdr:twoCellAnchor>
    <xdr:from>
      <xdr:col>5</xdr:col>
      <xdr:colOff>824753</xdr:colOff>
      <xdr:row>4</xdr:row>
      <xdr:rowOff>3362</xdr:rowOff>
    </xdr:from>
    <xdr:to>
      <xdr:col>5</xdr:col>
      <xdr:colOff>2907157</xdr:colOff>
      <xdr:row>6</xdr:row>
      <xdr:rowOff>72362</xdr:rowOff>
    </xdr:to>
    <xdr:sp macro="" textlink="">
      <xdr:nvSpPr>
        <xdr:cNvPr id="15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3CFF23-B223-D688-4434-8FA51FF661AF}"/>
            </a:ext>
          </a:extLst>
        </xdr:cNvPr>
        <xdr:cNvSpPr/>
      </xdr:nvSpPr>
      <xdr:spPr>
        <a:xfrm>
          <a:off x="6685429" y="765362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Painel de Índices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3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C079DE-1E35-4EAD-B039-B03C0D33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687508</xdr:colOff>
      <xdr:row>16</xdr:row>
      <xdr:rowOff>152399</xdr:rowOff>
    </xdr:from>
    <xdr:to>
      <xdr:col>21</xdr:col>
      <xdr:colOff>0</xdr:colOff>
      <xdr:row>17</xdr:row>
      <xdr:rowOff>304800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1F30BB1A-0E94-4D69-91A0-C8CD3A8151EB}"/>
            </a:ext>
          </a:extLst>
        </xdr:cNvPr>
        <xdr:cNvSpPr/>
      </xdr:nvSpPr>
      <xdr:spPr>
        <a:xfrm>
          <a:off x="5070440" y="5585707"/>
          <a:ext cx="30174447" cy="53435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Projeção -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Abertura de Lojas</a:t>
          </a:r>
        </a:p>
      </xdr:txBody>
    </xdr:sp>
    <xdr:clientData/>
  </xdr:twoCellAnchor>
  <xdr:twoCellAnchor>
    <xdr:from>
      <xdr:col>4</xdr:col>
      <xdr:colOff>0</xdr:colOff>
      <xdr:row>6</xdr:row>
      <xdr:rowOff>219074</xdr:rowOff>
    </xdr:from>
    <xdr:to>
      <xdr:col>21</xdr:col>
      <xdr:colOff>0</xdr:colOff>
      <xdr:row>7</xdr:row>
      <xdr:rowOff>304800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67EF255F-66E2-43F8-A360-BC965C7D53F0}"/>
            </a:ext>
          </a:extLst>
        </xdr:cNvPr>
        <xdr:cNvSpPr/>
      </xdr:nvSpPr>
      <xdr:spPr>
        <a:xfrm>
          <a:off x="4433455" y="1500619"/>
          <a:ext cx="21093545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 - Receita Total</a:t>
          </a:r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8</xdr:col>
      <xdr:colOff>1</xdr:colOff>
      <xdr:row>33</xdr:row>
      <xdr:rowOff>363000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1EE85E47-F8DA-4035-93D9-FBAF59A82C6A}"/>
            </a:ext>
          </a:extLst>
        </xdr:cNvPr>
        <xdr:cNvSpPr/>
      </xdr:nvSpPr>
      <xdr:spPr>
        <a:xfrm>
          <a:off x="4438650" y="12610397"/>
          <a:ext cx="5162551" cy="46847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Maturação das Lojas</a:t>
          </a:r>
        </a:p>
      </xdr:txBody>
    </xdr:sp>
    <xdr:clientData/>
  </xdr:twoCellAnchor>
  <xdr:twoCellAnchor>
    <xdr:from>
      <xdr:col>4</xdr:col>
      <xdr:colOff>4133</xdr:colOff>
      <xdr:row>35</xdr:row>
      <xdr:rowOff>304643</xdr:rowOff>
    </xdr:from>
    <xdr:to>
      <xdr:col>8</xdr:col>
      <xdr:colOff>11442</xdr:colOff>
      <xdr:row>36</xdr:row>
      <xdr:rowOff>102973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D05FBFC1-030C-4EB1-B056-8465697376C0}"/>
            </a:ext>
          </a:extLst>
        </xdr:cNvPr>
        <xdr:cNvSpPr/>
      </xdr:nvSpPr>
      <xdr:spPr>
        <a:xfrm rot="10800000">
          <a:off x="5084133" y="12524102"/>
          <a:ext cx="7947669" cy="175898"/>
        </a:xfrm>
        <a:prstGeom prst="round2SameRect">
          <a:avLst/>
        </a:prstGeom>
        <a:solidFill>
          <a:schemeClr val="bg1"/>
        </a:solidFill>
        <a:ln w="19050">
          <a:solidFill>
            <a:srgbClr val="E5E7EB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SF Pro Display" panose="00000500000000000000" pitchFamily="2" charset="0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15104</xdr:colOff>
      <xdr:row>35</xdr:row>
      <xdr:rowOff>279379</xdr:rowOff>
    </xdr:from>
    <xdr:to>
      <xdr:col>7</xdr:col>
      <xdr:colOff>884823</xdr:colOff>
      <xdr:row>35</xdr:row>
      <xdr:rowOff>325098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DDD5DD99-BF72-45F5-8816-9AA1D900C0C7}"/>
            </a:ext>
          </a:extLst>
        </xdr:cNvPr>
        <xdr:cNvSpPr/>
      </xdr:nvSpPr>
      <xdr:spPr>
        <a:xfrm>
          <a:off x="4444229" y="13030973"/>
          <a:ext cx="6930000" cy="4571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4474</xdr:colOff>
      <xdr:row>15</xdr:row>
      <xdr:rowOff>4491</xdr:rowOff>
    </xdr:from>
    <xdr:to>
      <xdr:col>21</xdr:col>
      <xdr:colOff>0</xdr:colOff>
      <xdr:row>15</xdr:row>
      <xdr:rowOff>276234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2408A72D-AA64-4322-8D68-9CC15194CCD3}"/>
            </a:ext>
          </a:extLst>
        </xdr:cNvPr>
        <xdr:cNvGrpSpPr/>
      </xdr:nvGrpSpPr>
      <xdr:grpSpPr>
        <a:xfrm>
          <a:off x="5084474" y="5055844"/>
          <a:ext cx="30160413" cy="271743"/>
          <a:chOff x="4430798" y="5090109"/>
          <a:chExt cx="21869407" cy="344748"/>
        </a:xfrm>
      </xdr:grpSpPr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89F80211-BAEB-4AAA-8408-32C1177A0782}"/>
              </a:ext>
            </a:extLst>
          </xdr:cNvPr>
          <xdr:cNvSpPr/>
        </xdr:nvSpPr>
        <xdr:spPr>
          <a:xfrm rot="10800000">
            <a:off x="4430798" y="5102041"/>
            <a:ext cx="21869407" cy="332816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01C06D2-F1AD-4069-AA7E-AA5AC6A38B0D}"/>
              </a:ext>
            </a:extLst>
          </xdr:cNvPr>
          <xdr:cNvSpPr/>
        </xdr:nvSpPr>
        <xdr:spPr>
          <a:xfrm>
            <a:off x="4447012" y="5090109"/>
            <a:ext cx="21816000" cy="108001"/>
          </a:xfrm>
          <a:prstGeom prst="rect">
            <a:avLst/>
          </a:prstGeom>
          <a:solidFill>
            <a:schemeClr val="bg1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4481</xdr:colOff>
      <xdr:row>31</xdr:row>
      <xdr:rowOff>369093</xdr:rowOff>
    </xdr:from>
    <xdr:to>
      <xdr:col>21</xdr:col>
      <xdr:colOff>9072</xdr:colOff>
      <xdr:row>32</xdr:row>
      <xdr:rowOff>263070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DFECB00-3F0F-4731-BA61-E35BB73E304A}"/>
            </a:ext>
          </a:extLst>
        </xdr:cNvPr>
        <xdr:cNvGrpSpPr/>
      </xdr:nvGrpSpPr>
      <xdr:grpSpPr>
        <a:xfrm>
          <a:off x="5084481" y="11531725"/>
          <a:ext cx="30169478" cy="275931"/>
          <a:chOff x="4430804" y="11154206"/>
          <a:chExt cx="21853024" cy="188388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C649D2F-76EF-4056-AC08-0AAB4F59940D}"/>
              </a:ext>
            </a:extLst>
          </xdr:cNvPr>
          <xdr:cNvGrpSpPr/>
        </xdr:nvGrpSpPr>
        <xdr:grpSpPr>
          <a:xfrm>
            <a:off x="4430804" y="11154206"/>
            <a:ext cx="21853024" cy="188388"/>
            <a:chOff x="5048250" y="5231131"/>
            <a:chExt cx="9258300" cy="179069"/>
          </a:xfrm>
        </xdr:grpSpPr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412EF5D6-BFBE-420A-9CC0-FE32837DCBA0}"/>
                </a:ext>
              </a:extLst>
            </xdr:cNvPr>
            <xdr:cNvSpPr/>
          </xdr:nvSpPr>
          <xdr:spPr>
            <a:xfrm rot="10800000">
              <a:off x="5048250" y="5276847"/>
              <a:ext cx="9258300" cy="133353"/>
            </a:xfrm>
            <a:prstGeom prst="round2SameRect">
              <a:avLst/>
            </a:prstGeom>
            <a:solidFill>
              <a:schemeClr val="bg1"/>
            </a:solidFill>
            <a:ln w="19050">
              <a:solidFill>
                <a:srgbClr val="E5E7EB"/>
              </a:solidFill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0">
                <a:solidFill>
                  <a:schemeClr val="tx1">
                    <a:lumMod val="75000"/>
                    <a:lumOff val="25000"/>
                  </a:schemeClr>
                </a:solidFill>
                <a:latin typeface="SF Pro Display" panose="00000500000000000000" pitchFamily="2" charset="0"/>
                <a:ea typeface="SF Pro Display" panose="00000500000000000000" pitchFamily="2" charset="0"/>
              </a:endParaRPr>
            </a:p>
          </xdr:txBody>
        </xdr:sp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017728F6-D76F-4549-BF5C-3F792A52DA99}"/>
                </a:ext>
              </a:extLst>
            </xdr:cNvPr>
            <xdr:cNvSpPr/>
          </xdr:nvSpPr>
          <xdr:spPr>
            <a:xfrm>
              <a:off x="5050343" y="5231131"/>
              <a:ext cx="9252134" cy="6228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E97CC807-E26F-4B86-9245-34747C8691F6}"/>
              </a:ext>
            </a:extLst>
          </xdr:cNvPr>
          <xdr:cNvSpPr/>
        </xdr:nvSpPr>
        <xdr:spPr>
          <a:xfrm>
            <a:off x="4459942" y="11172269"/>
            <a:ext cx="21816000" cy="10800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2</xdr:row>
      <xdr:rowOff>140155</xdr:rowOff>
    </xdr:from>
    <xdr:to>
      <xdr:col>4</xdr:col>
      <xdr:colOff>2082404</xdr:colOff>
      <xdr:row>4</xdr:row>
      <xdr:rowOff>66280</xdr:rowOff>
    </xdr:to>
    <xdr:sp macro="" textlink="">
      <xdr:nvSpPr>
        <xdr:cNvPr id="22" name="Retângulo: Cantos Arredondados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8D4FD4-98FF-4883-9B59-273539FEFC50}"/>
            </a:ext>
          </a:extLst>
        </xdr:cNvPr>
        <xdr:cNvSpPr/>
      </xdr:nvSpPr>
      <xdr:spPr>
        <a:xfrm>
          <a:off x="4429125" y="521155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Projeções - EBIT</a:t>
          </a:r>
        </a:p>
      </xdr:txBody>
    </xdr:sp>
    <xdr:clientData/>
  </xdr:twoCellAnchor>
  <xdr:twoCellAnchor>
    <xdr:from>
      <xdr:col>4</xdr:col>
      <xdr:colOff>2186667</xdr:colOff>
      <xdr:row>2</xdr:row>
      <xdr:rowOff>140155</xdr:rowOff>
    </xdr:from>
    <xdr:to>
      <xdr:col>5</xdr:col>
      <xdr:colOff>68036</xdr:colOff>
      <xdr:row>4</xdr:row>
      <xdr:rowOff>66280</xdr:rowOff>
    </xdr:to>
    <xdr:sp macro="" textlink="">
      <xdr:nvSpPr>
        <xdr:cNvPr id="32" name="Retângulo: Cantos Arredondados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64C051-EB44-4A08-B07C-46E2C272B048}"/>
            </a:ext>
          </a:extLst>
        </xdr:cNvPr>
        <xdr:cNvSpPr/>
      </xdr:nvSpPr>
      <xdr:spPr>
        <a:xfrm>
          <a:off x="6615792" y="521155"/>
          <a:ext cx="2274775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Projeções - CAPEX + CG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2</xdr:row>
      <xdr:rowOff>104775</xdr:rowOff>
    </xdr:from>
    <xdr:to>
      <xdr:col>0</xdr:col>
      <xdr:colOff>1524000</xdr:colOff>
      <xdr:row>4</xdr:row>
      <xdr:rowOff>194310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F7A1C5-5CB7-438A-A5C8-7A0B839CE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0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-1</xdr:colOff>
      <xdr:row>6</xdr:row>
      <xdr:rowOff>268941</xdr:rowOff>
    </xdr:from>
    <xdr:to>
      <xdr:col>17</xdr:col>
      <xdr:colOff>0</xdr:colOff>
      <xdr:row>8</xdr:row>
      <xdr:rowOff>40819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B9A767E4-E372-4945-90A2-C1A56C38806E}"/>
            </a:ext>
          </a:extLst>
        </xdr:cNvPr>
        <xdr:cNvSpPr/>
      </xdr:nvSpPr>
      <xdr:spPr>
        <a:xfrm>
          <a:off x="4426323" y="1367117"/>
          <a:ext cx="14814177" cy="466643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 EBIT </a:t>
          </a:r>
        </a:p>
      </xdr:txBody>
    </xdr:sp>
    <xdr:clientData/>
  </xdr:twoCellAnchor>
  <xdr:twoCellAnchor>
    <xdr:from>
      <xdr:col>4</xdr:col>
      <xdr:colOff>0</xdr:colOff>
      <xdr:row>11</xdr:row>
      <xdr:rowOff>285755</xdr:rowOff>
    </xdr:from>
    <xdr:to>
      <xdr:col>17</xdr:col>
      <xdr:colOff>0</xdr:colOff>
      <xdr:row>12</xdr:row>
      <xdr:rowOff>190500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65F543A-0A3A-4234-9D81-1D4883FECEA5}"/>
            </a:ext>
          </a:extLst>
        </xdr:cNvPr>
        <xdr:cNvGrpSpPr/>
      </xdr:nvGrpSpPr>
      <xdr:grpSpPr>
        <a:xfrm>
          <a:off x="5090948" y="3197996"/>
          <a:ext cx="16969828" cy="287935"/>
          <a:chOff x="4430798" y="5090109"/>
          <a:chExt cx="21869407" cy="344748"/>
        </a:xfrm>
      </xdr:grpSpPr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EBFF58F6-E0AB-2D10-E990-F438EC54882A}"/>
              </a:ext>
            </a:extLst>
          </xdr:cNvPr>
          <xdr:cNvSpPr/>
        </xdr:nvSpPr>
        <xdr:spPr>
          <a:xfrm rot="10800000">
            <a:off x="4430798" y="5102041"/>
            <a:ext cx="21869407" cy="332816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2EBF0F12-2848-52A5-ACAA-DC59EC066857}"/>
              </a:ext>
            </a:extLst>
          </xdr:cNvPr>
          <xdr:cNvSpPr/>
        </xdr:nvSpPr>
        <xdr:spPr>
          <a:xfrm>
            <a:off x="4463639" y="5090109"/>
            <a:ext cx="21805481" cy="108001"/>
          </a:xfrm>
          <a:prstGeom prst="rect">
            <a:avLst/>
          </a:prstGeom>
          <a:solidFill>
            <a:schemeClr val="bg1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2082404</xdr:colOff>
      <xdr:row>5</xdr:row>
      <xdr:rowOff>116625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5A4F4F-B7A0-4E03-A5DB-BC214740FC04}"/>
            </a:ext>
          </a:extLst>
        </xdr:cNvPr>
        <xdr:cNvSpPr/>
      </xdr:nvSpPr>
      <xdr:spPr>
        <a:xfrm>
          <a:off x="4438650" y="571500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Projeções - Receita</a:t>
          </a:r>
        </a:p>
      </xdr:txBody>
    </xdr:sp>
    <xdr:clientData/>
  </xdr:twoCellAnchor>
  <xdr:twoCellAnchor>
    <xdr:from>
      <xdr:col>4</xdr:col>
      <xdr:colOff>2099</xdr:colOff>
      <xdr:row>20</xdr:row>
      <xdr:rowOff>302417</xdr:rowOff>
    </xdr:from>
    <xdr:to>
      <xdr:col>17</xdr:col>
      <xdr:colOff>0</xdr:colOff>
      <xdr:row>22</xdr:row>
      <xdr:rowOff>47624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59746D35-DE21-45E3-8142-92681F528FAB}"/>
            </a:ext>
          </a:extLst>
        </xdr:cNvPr>
        <xdr:cNvSpPr/>
      </xdr:nvSpPr>
      <xdr:spPr>
        <a:xfrm>
          <a:off x="4428423" y="8572358"/>
          <a:ext cx="14812077" cy="507207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 EBIT - Varejo e Outros</a:t>
          </a:r>
        </a:p>
      </xdr:txBody>
    </xdr:sp>
    <xdr:clientData/>
  </xdr:twoCellAnchor>
  <xdr:twoCellAnchor>
    <xdr:from>
      <xdr:col>4</xdr:col>
      <xdr:colOff>3122</xdr:colOff>
      <xdr:row>13</xdr:row>
      <xdr:rowOff>212912</xdr:rowOff>
    </xdr:from>
    <xdr:to>
      <xdr:col>17</xdr:col>
      <xdr:colOff>14941</xdr:colOff>
      <xdr:row>14</xdr:row>
      <xdr:rowOff>378278</xdr:rowOff>
    </xdr:to>
    <xdr:sp macro="" textlink="">
      <xdr:nvSpPr>
        <xdr:cNvPr id="19" name="Retângulo: Cantos Superiores Arredondados 2">
          <a:extLst>
            <a:ext uri="{FF2B5EF4-FFF2-40B4-BE49-F238E27FC236}">
              <a16:creationId xmlns:a16="http://schemas.microsoft.com/office/drawing/2014/main" id="{B32D3CBE-25AB-4ADD-9B2C-EA574EC2424D}"/>
            </a:ext>
          </a:extLst>
        </xdr:cNvPr>
        <xdr:cNvSpPr/>
      </xdr:nvSpPr>
      <xdr:spPr>
        <a:xfrm>
          <a:off x="5098063" y="3948206"/>
          <a:ext cx="16955113" cy="553837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 EBIT - Serviços Financeiros</a:t>
          </a:r>
        </a:p>
      </xdr:txBody>
    </xdr:sp>
    <xdr:clientData/>
  </xdr:twoCellAnchor>
  <xdr:twoCellAnchor>
    <xdr:from>
      <xdr:col>4</xdr:col>
      <xdr:colOff>2958</xdr:colOff>
      <xdr:row>18</xdr:row>
      <xdr:rowOff>378369</xdr:rowOff>
    </xdr:from>
    <xdr:to>
      <xdr:col>17</xdr:col>
      <xdr:colOff>4083</xdr:colOff>
      <xdr:row>19</xdr:row>
      <xdr:rowOff>377275</xdr:rowOff>
    </xdr:to>
    <xdr:sp macro="" textlink="">
      <xdr:nvSpPr>
        <xdr:cNvPr id="13" name="Retângulo: Cantos Superiores Arredondados 5">
          <a:extLst>
            <a:ext uri="{FF2B5EF4-FFF2-40B4-BE49-F238E27FC236}">
              <a16:creationId xmlns:a16="http://schemas.microsoft.com/office/drawing/2014/main" id="{8CB17F7F-BCCA-F1C5-FD3A-5A877ADAACCA}"/>
            </a:ext>
          </a:extLst>
        </xdr:cNvPr>
        <xdr:cNvSpPr/>
      </xdr:nvSpPr>
      <xdr:spPr>
        <a:xfrm rot="10800000">
          <a:off x="4441608" y="7884069"/>
          <a:ext cx="13402800" cy="379906"/>
        </a:xfrm>
        <a:prstGeom prst="round2SameRect">
          <a:avLst/>
        </a:prstGeom>
        <a:solidFill>
          <a:schemeClr val="bg1"/>
        </a:solidFill>
        <a:ln w="19050">
          <a:solidFill>
            <a:srgbClr val="E5E7EB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SF Pro Display" panose="00000500000000000000" pitchFamily="2" charset="0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21771</xdr:colOff>
      <xdr:row>18</xdr:row>
      <xdr:rowOff>380350</xdr:rowOff>
    </xdr:from>
    <xdr:to>
      <xdr:col>16</xdr:col>
      <xdr:colOff>1016000</xdr:colOff>
      <xdr:row>19</xdr:row>
      <xdr:rowOff>194235</xdr:rowOff>
    </xdr:to>
    <xdr:sp macro="" textlink="">
      <xdr:nvSpPr>
        <xdr:cNvPr id="15" name="Retângulo 6">
          <a:extLst>
            <a:ext uri="{FF2B5EF4-FFF2-40B4-BE49-F238E27FC236}">
              <a16:creationId xmlns:a16="http://schemas.microsoft.com/office/drawing/2014/main" id="{5EB1892E-D90C-41C1-9EDC-51E74C655594}"/>
            </a:ext>
          </a:extLst>
        </xdr:cNvPr>
        <xdr:cNvSpPr/>
      </xdr:nvSpPr>
      <xdr:spPr>
        <a:xfrm>
          <a:off x="5116712" y="8000350"/>
          <a:ext cx="16906582" cy="202356"/>
        </a:xfrm>
        <a:prstGeom prst="rect">
          <a:avLst/>
        </a:prstGeom>
        <a:solidFill>
          <a:schemeClr val="bg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1595</xdr:colOff>
      <xdr:row>25</xdr:row>
      <xdr:rowOff>345429</xdr:rowOff>
    </xdr:from>
    <xdr:to>
      <xdr:col>17</xdr:col>
      <xdr:colOff>14941</xdr:colOff>
      <xdr:row>26</xdr:row>
      <xdr:rowOff>254000</xdr:rowOff>
    </xdr:to>
    <xdr:sp macro="" textlink="">
      <xdr:nvSpPr>
        <xdr:cNvPr id="17" name="Retângulo: Cantos Superiores Arredondados 5">
          <a:extLst>
            <a:ext uri="{FF2B5EF4-FFF2-40B4-BE49-F238E27FC236}">
              <a16:creationId xmlns:a16="http://schemas.microsoft.com/office/drawing/2014/main" id="{6DFD75C1-F3CC-B032-27F3-815FE384D51E}"/>
            </a:ext>
          </a:extLst>
        </xdr:cNvPr>
        <xdr:cNvSpPr/>
      </xdr:nvSpPr>
      <xdr:spPr>
        <a:xfrm rot="10800000">
          <a:off x="5096536" y="14180958"/>
          <a:ext cx="16956640" cy="297042"/>
        </a:xfrm>
        <a:prstGeom prst="round2SameRect">
          <a:avLst/>
        </a:prstGeom>
        <a:solidFill>
          <a:schemeClr val="bg1"/>
        </a:solidFill>
        <a:ln w="19050">
          <a:solidFill>
            <a:srgbClr val="E5E7EB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SF Pro Display" panose="00000500000000000000" pitchFamily="2" charset="0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23132</xdr:colOff>
      <xdr:row>25</xdr:row>
      <xdr:rowOff>340889</xdr:rowOff>
    </xdr:from>
    <xdr:to>
      <xdr:col>17</xdr:col>
      <xdr:colOff>0</xdr:colOff>
      <xdr:row>25</xdr:row>
      <xdr:rowOff>386608</xdr:rowOff>
    </xdr:to>
    <xdr:sp macro="" textlink="">
      <xdr:nvSpPr>
        <xdr:cNvPr id="21" name="Retângulo 6">
          <a:extLst>
            <a:ext uri="{FF2B5EF4-FFF2-40B4-BE49-F238E27FC236}">
              <a16:creationId xmlns:a16="http://schemas.microsoft.com/office/drawing/2014/main" id="{845E1642-3C6F-4633-A433-33311EE17BA0}"/>
            </a:ext>
          </a:extLst>
        </xdr:cNvPr>
        <xdr:cNvSpPr/>
      </xdr:nvSpPr>
      <xdr:spPr>
        <a:xfrm>
          <a:off x="5118073" y="14176418"/>
          <a:ext cx="16920162" cy="45719"/>
        </a:xfrm>
        <a:prstGeom prst="rect">
          <a:avLst/>
        </a:prstGeom>
        <a:solidFill>
          <a:schemeClr val="bg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4</xdr:row>
      <xdr:rowOff>3810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BFA7C6-BF67-42DE-9296-5764D229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04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</xdr:row>
      <xdr:rowOff>39778</xdr:rowOff>
    </xdr:from>
    <xdr:to>
      <xdr:col>18</xdr:col>
      <xdr:colOff>0</xdr:colOff>
      <xdr:row>7</xdr:row>
      <xdr:rowOff>125504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58095C4F-C73C-4FF3-934C-F651B4326ED4}"/>
            </a:ext>
          </a:extLst>
        </xdr:cNvPr>
        <xdr:cNvSpPr/>
      </xdr:nvSpPr>
      <xdr:spPr>
        <a:xfrm>
          <a:off x="4426324" y="1182778"/>
          <a:ext cx="14791764" cy="39949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Outras contas e dados usados no modelo</a:t>
          </a:r>
        </a:p>
      </xdr:txBody>
    </xdr:sp>
    <xdr:clientData/>
  </xdr:twoCellAnchor>
  <xdr:twoCellAnchor>
    <xdr:from>
      <xdr:col>4</xdr:col>
      <xdr:colOff>4481</xdr:colOff>
      <xdr:row>26</xdr:row>
      <xdr:rowOff>358575</xdr:rowOff>
    </xdr:from>
    <xdr:to>
      <xdr:col>18</xdr:col>
      <xdr:colOff>0</xdr:colOff>
      <xdr:row>27</xdr:row>
      <xdr:rowOff>257721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33CE6AA3-5480-46B3-9D43-C56823C438BE}"/>
            </a:ext>
          </a:extLst>
        </xdr:cNvPr>
        <xdr:cNvGrpSpPr/>
      </xdr:nvGrpSpPr>
      <xdr:grpSpPr>
        <a:xfrm>
          <a:off x="5095820" y="9146521"/>
          <a:ext cx="16879716" cy="284682"/>
          <a:chOff x="5048250" y="5260976"/>
          <a:chExt cx="9258300" cy="149224"/>
        </a:xfrm>
      </xdr:grpSpPr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E59049AB-0710-4629-B3CD-1714052FF38D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C8C05EB1-B9DA-4C17-A0D3-6F32BAE4CC3C}"/>
              </a:ext>
            </a:extLst>
          </xdr:cNvPr>
          <xdr:cNvSpPr/>
        </xdr:nvSpPr>
        <xdr:spPr>
          <a:xfrm>
            <a:off x="5051652" y="5260976"/>
            <a:ext cx="9235282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1</xdr:colOff>
      <xdr:row>28</xdr:row>
      <xdr:rowOff>219074</xdr:rowOff>
    </xdr:from>
    <xdr:to>
      <xdr:col>7</xdr:col>
      <xdr:colOff>11907</xdr:colOff>
      <xdr:row>29</xdr:row>
      <xdr:rowOff>304800</xdr:rowOff>
    </xdr:to>
    <xdr:sp macro="" textlink="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EB0A85DC-3D78-495C-81FF-8769C9F9EDF9}"/>
            </a:ext>
          </a:extLst>
        </xdr:cNvPr>
        <xdr:cNvSpPr/>
      </xdr:nvSpPr>
      <xdr:spPr>
        <a:xfrm>
          <a:off x="4449537" y="10057038"/>
          <a:ext cx="5931013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Margens EBIT das Financeiras - 2019</a:t>
          </a:r>
        </a:p>
      </xdr:txBody>
    </xdr:sp>
    <xdr:clientData/>
  </xdr:twoCellAnchor>
  <xdr:twoCellAnchor>
    <xdr:from>
      <xdr:col>4</xdr:col>
      <xdr:colOff>2380</xdr:colOff>
      <xdr:row>31</xdr:row>
      <xdr:rowOff>302556</xdr:rowOff>
    </xdr:from>
    <xdr:to>
      <xdr:col>7</xdr:col>
      <xdr:colOff>0</xdr:colOff>
      <xdr:row>32</xdr:row>
      <xdr:rowOff>257734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BF52B2C-806A-4AE3-A550-0428E52D6D3A}"/>
            </a:ext>
          </a:extLst>
        </xdr:cNvPr>
        <xdr:cNvGrpSpPr/>
      </xdr:nvGrpSpPr>
      <xdr:grpSpPr>
        <a:xfrm>
          <a:off x="5093719" y="11018181"/>
          <a:ext cx="6903245" cy="340714"/>
          <a:chOff x="5048250" y="5231131"/>
          <a:chExt cx="9258300" cy="179069"/>
        </a:xfrm>
      </xdr:grpSpPr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4062DEF9-491A-4156-9C05-C9A7D82BCF45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44FF65AD-E193-422B-A526-87AB76501441}"/>
              </a:ext>
            </a:extLst>
          </xdr:cNvPr>
          <xdr:cNvSpPr/>
        </xdr:nvSpPr>
        <xdr:spPr>
          <a:xfrm>
            <a:off x="5060018" y="5231131"/>
            <a:ext cx="9213222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11907</xdr:colOff>
      <xdr:row>2</xdr:row>
      <xdr:rowOff>178594</xdr:rowOff>
    </xdr:from>
    <xdr:to>
      <xdr:col>4</xdr:col>
      <xdr:colOff>2094311</xdr:colOff>
      <xdr:row>5</xdr:row>
      <xdr:rowOff>57094</xdr:rowOff>
    </xdr:to>
    <xdr:sp macro="" textlink="">
      <xdr:nvSpPr>
        <xdr:cNvPr id="15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C65244-0876-4E47-87E6-1B0DF29B605A}"/>
            </a:ext>
          </a:extLst>
        </xdr:cNvPr>
        <xdr:cNvSpPr/>
      </xdr:nvSpPr>
      <xdr:spPr>
        <a:xfrm>
          <a:off x="4450557" y="559594"/>
          <a:ext cx="2082404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Projeções - Receita</a:t>
          </a:r>
        </a:p>
      </xdr:txBody>
    </xdr:sp>
    <xdr:clientData/>
  </xdr:twoCellAnchor>
  <xdr:twoCellAnchor>
    <xdr:from>
      <xdr:col>3</xdr:col>
      <xdr:colOff>692720</xdr:colOff>
      <xdr:row>33</xdr:row>
      <xdr:rowOff>293912</xdr:rowOff>
    </xdr:from>
    <xdr:to>
      <xdr:col>22</xdr:col>
      <xdr:colOff>682813</xdr:colOff>
      <xdr:row>34</xdr:row>
      <xdr:rowOff>379638</xdr:rowOff>
    </xdr:to>
    <xdr:sp macro="" textlink="">
      <xdr:nvSpPr>
        <xdr:cNvPr id="16" name="Retângulo: Cantos Superiores Arredondados 15">
          <a:extLst>
            <a:ext uri="{FF2B5EF4-FFF2-40B4-BE49-F238E27FC236}">
              <a16:creationId xmlns:a16="http://schemas.microsoft.com/office/drawing/2014/main" id="{7F556528-64E4-4B63-ADE2-F56BD5CCEAB0}"/>
            </a:ext>
          </a:extLst>
        </xdr:cNvPr>
        <xdr:cNvSpPr/>
      </xdr:nvSpPr>
      <xdr:spPr>
        <a:xfrm>
          <a:off x="5074220" y="11647712"/>
          <a:ext cx="20297393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Cartões Renner (milhões)</a:t>
          </a:r>
        </a:p>
      </xdr:txBody>
    </xdr:sp>
    <xdr:clientData/>
  </xdr:twoCellAnchor>
  <xdr:twoCellAnchor>
    <xdr:from>
      <xdr:col>4</xdr:col>
      <xdr:colOff>4483</xdr:colOff>
      <xdr:row>37</xdr:row>
      <xdr:rowOff>323819</xdr:rowOff>
    </xdr:from>
    <xdr:to>
      <xdr:col>22</xdr:col>
      <xdr:colOff>605048</xdr:colOff>
      <xdr:row>38</xdr:row>
      <xdr:rowOff>257735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70D7C72C-3965-4F1E-B0CA-EA3C68148B6E}"/>
            </a:ext>
          </a:extLst>
        </xdr:cNvPr>
        <xdr:cNvGrpSpPr/>
      </xdr:nvGrpSpPr>
      <xdr:grpSpPr>
        <a:xfrm>
          <a:off x="5095822" y="13352658"/>
          <a:ext cx="20296905" cy="319452"/>
          <a:chOff x="5048250" y="5243921"/>
          <a:chExt cx="9258300" cy="166279"/>
        </a:xfrm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450E1C3-94F6-B18C-F5F8-A44CC3A463FE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88B4CF9B-17E7-1B02-660D-6427B81ED016}"/>
              </a:ext>
            </a:extLst>
          </xdr:cNvPr>
          <xdr:cNvSpPr/>
        </xdr:nvSpPr>
        <xdr:spPr>
          <a:xfrm>
            <a:off x="5049788" y="5243921"/>
            <a:ext cx="9244756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1</xdr:row>
      <xdr:rowOff>104775</xdr:rowOff>
    </xdr:from>
    <xdr:ext cx="476250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7F7A025C-8F26-4F0D-AAA0-17BD20F1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3</xdr:colOff>
      <xdr:row>14</xdr:row>
      <xdr:rowOff>318107</xdr:rowOff>
    </xdr:from>
    <xdr:to>
      <xdr:col>10</xdr:col>
      <xdr:colOff>0</xdr:colOff>
      <xdr:row>15</xdr:row>
      <xdr:rowOff>257189</xdr:rowOff>
    </xdr:to>
    <xdr:grpSp>
      <xdr:nvGrpSpPr>
        <xdr:cNvPr id="3" name="Agrupar 16">
          <a:extLst>
            <a:ext uri="{FF2B5EF4-FFF2-40B4-BE49-F238E27FC236}">
              <a16:creationId xmlns:a16="http://schemas.microsoft.com/office/drawing/2014/main" id="{716C50B1-ED87-44C8-BACF-773E379E33F3}"/>
            </a:ext>
          </a:extLst>
        </xdr:cNvPr>
        <xdr:cNvGrpSpPr/>
      </xdr:nvGrpSpPr>
      <xdr:grpSpPr>
        <a:xfrm>
          <a:off x="5094944" y="4307401"/>
          <a:ext cx="8710703" cy="327553"/>
          <a:chOff x="5048250" y="5236306"/>
          <a:chExt cx="9258300" cy="173894"/>
        </a:xfrm>
      </xdr:grpSpPr>
      <xdr:sp macro="" textlink="">
        <xdr:nvSpPr>
          <xdr:cNvPr id="4" name="Retângulo: Cantos Superiores Arredondados 17">
            <a:extLst>
              <a:ext uri="{FF2B5EF4-FFF2-40B4-BE49-F238E27FC236}">
                <a16:creationId xmlns:a16="http://schemas.microsoft.com/office/drawing/2014/main" id="{B3DFE1BB-ADFD-E571-4ADC-C539C83B5BB1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5" name="Retângulo 18">
            <a:extLst>
              <a:ext uri="{FF2B5EF4-FFF2-40B4-BE49-F238E27FC236}">
                <a16:creationId xmlns:a16="http://schemas.microsoft.com/office/drawing/2014/main" id="{88454206-B390-C3A9-01AC-5C594169AF87}"/>
              </a:ext>
            </a:extLst>
          </xdr:cNvPr>
          <xdr:cNvSpPr/>
        </xdr:nvSpPr>
        <xdr:spPr>
          <a:xfrm>
            <a:off x="5061944" y="5236306"/>
            <a:ext cx="9225965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609601</xdr:colOff>
      <xdr:row>6</xdr:row>
      <xdr:rowOff>250371</xdr:rowOff>
    </xdr:from>
    <xdr:to>
      <xdr:col>10</xdr:col>
      <xdr:colOff>0</xdr:colOff>
      <xdr:row>8</xdr:row>
      <xdr:rowOff>0</xdr:rowOff>
    </xdr:to>
    <xdr:sp macro="" textlink="">
      <xdr:nvSpPr>
        <xdr:cNvPr id="6" name="Retângulo: Cantos Superiores Arredondados 2">
          <a:extLst>
            <a:ext uri="{FF2B5EF4-FFF2-40B4-BE49-F238E27FC236}">
              <a16:creationId xmlns:a16="http://schemas.microsoft.com/office/drawing/2014/main" id="{9FA40377-3AC6-4C88-90C6-784F323CEBB3}"/>
            </a:ext>
          </a:extLst>
        </xdr:cNvPr>
        <xdr:cNvSpPr/>
      </xdr:nvSpPr>
      <xdr:spPr>
        <a:xfrm>
          <a:off x="4438651" y="1336221"/>
          <a:ext cx="6419851" cy="187779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Trimestrais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</xdr:colOff>
      <xdr:row>16</xdr:row>
      <xdr:rowOff>324970</xdr:rowOff>
    </xdr:from>
    <xdr:to>
      <xdr:col>9</xdr:col>
      <xdr:colOff>0</xdr:colOff>
      <xdr:row>18</xdr:row>
      <xdr:rowOff>54430</xdr:rowOff>
    </xdr:to>
    <xdr:sp macro="" textlink="">
      <xdr:nvSpPr>
        <xdr:cNvPr id="7" name="Retângulo: Cantos Superiores Arredondados 2">
          <a:extLst>
            <a:ext uri="{FF2B5EF4-FFF2-40B4-BE49-F238E27FC236}">
              <a16:creationId xmlns:a16="http://schemas.microsoft.com/office/drawing/2014/main" id="{5D949679-FAB3-4809-AB09-2CD61A313FFF}"/>
            </a:ext>
          </a:extLst>
        </xdr:cNvPr>
        <xdr:cNvSpPr/>
      </xdr:nvSpPr>
      <xdr:spPr>
        <a:xfrm>
          <a:off x="4426326" y="5401235"/>
          <a:ext cx="6062380" cy="491460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Receita Líquida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por Trimestre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</xdr:colOff>
      <xdr:row>40</xdr:row>
      <xdr:rowOff>336175</xdr:rowOff>
    </xdr:from>
    <xdr:to>
      <xdr:col>9</xdr:col>
      <xdr:colOff>0</xdr:colOff>
      <xdr:row>42</xdr:row>
      <xdr:rowOff>10886</xdr:rowOff>
    </xdr:to>
    <xdr:sp macro="" textlink="">
      <xdr:nvSpPr>
        <xdr:cNvPr id="9" name="Retângulo: Cantos Superiores Arredondados 2">
          <a:extLst>
            <a:ext uri="{FF2B5EF4-FFF2-40B4-BE49-F238E27FC236}">
              <a16:creationId xmlns:a16="http://schemas.microsoft.com/office/drawing/2014/main" id="{A70031D2-C460-4307-A684-E3AC848F7457}"/>
            </a:ext>
          </a:extLst>
        </xdr:cNvPr>
        <xdr:cNvSpPr/>
      </xdr:nvSpPr>
      <xdr:spPr>
        <a:xfrm>
          <a:off x="4426326" y="14175440"/>
          <a:ext cx="6589056" cy="43671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Despesas e Receitas Operacionais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por Trimestre</a:t>
          </a:r>
        </a:p>
      </xdr:txBody>
    </xdr:sp>
    <xdr:clientData/>
  </xdr:twoCellAnchor>
  <xdr:twoCellAnchor>
    <xdr:from>
      <xdr:col>4</xdr:col>
      <xdr:colOff>2347</xdr:colOff>
      <xdr:row>26</xdr:row>
      <xdr:rowOff>333748</xdr:rowOff>
    </xdr:from>
    <xdr:to>
      <xdr:col>8</xdr:col>
      <xdr:colOff>1028630</xdr:colOff>
      <xdr:row>27</xdr:row>
      <xdr:rowOff>231927</xdr:rowOff>
    </xdr:to>
    <xdr:grpSp>
      <xdr:nvGrpSpPr>
        <xdr:cNvPr id="11" name="Agrupar 16">
          <a:extLst>
            <a:ext uri="{FF2B5EF4-FFF2-40B4-BE49-F238E27FC236}">
              <a16:creationId xmlns:a16="http://schemas.microsoft.com/office/drawing/2014/main" id="{6FDB444F-29D3-4D3B-9F27-D674D2B13426}"/>
            </a:ext>
          </a:extLst>
        </xdr:cNvPr>
        <xdr:cNvGrpSpPr/>
      </xdr:nvGrpSpPr>
      <xdr:grpSpPr>
        <a:xfrm>
          <a:off x="5097288" y="8984689"/>
          <a:ext cx="7391224" cy="286650"/>
          <a:chOff x="5048250" y="5238041"/>
          <a:chExt cx="9258300" cy="172159"/>
        </a:xfrm>
      </xdr:grpSpPr>
      <xdr:sp macro="" textlink="">
        <xdr:nvSpPr>
          <xdr:cNvPr id="12" name="Retângulo: Cantos Superiores Arredondados 17">
            <a:extLst>
              <a:ext uri="{FF2B5EF4-FFF2-40B4-BE49-F238E27FC236}">
                <a16:creationId xmlns:a16="http://schemas.microsoft.com/office/drawing/2014/main" id="{805029BD-F97D-A937-90AB-793A4B9EEBB4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3" name="Retângulo 18">
            <a:extLst>
              <a:ext uri="{FF2B5EF4-FFF2-40B4-BE49-F238E27FC236}">
                <a16:creationId xmlns:a16="http://schemas.microsoft.com/office/drawing/2014/main" id="{1535D91B-1063-8305-3254-1819DD7AF267}"/>
              </a:ext>
            </a:extLst>
          </xdr:cNvPr>
          <xdr:cNvSpPr/>
        </xdr:nvSpPr>
        <xdr:spPr>
          <a:xfrm>
            <a:off x="5057802" y="5238041"/>
            <a:ext cx="9212617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28</xdr:row>
      <xdr:rowOff>369794</xdr:rowOff>
    </xdr:from>
    <xdr:to>
      <xdr:col>9</xdr:col>
      <xdr:colOff>0</xdr:colOff>
      <xdr:row>30</xdr:row>
      <xdr:rowOff>54430</xdr:rowOff>
    </xdr:to>
    <xdr:sp macro="" textlink="">
      <xdr:nvSpPr>
        <xdr:cNvPr id="23" name="Retângulo: Cantos Superiores Arredondados 2">
          <a:extLst>
            <a:ext uri="{FF2B5EF4-FFF2-40B4-BE49-F238E27FC236}">
              <a16:creationId xmlns:a16="http://schemas.microsoft.com/office/drawing/2014/main" id="{303F1F7D-9D38-428F-A119-CF12C135FD49}"/>
            </a:ext>
          </a:extLst>
        </xdr:cNvPr>
        <xdr:cNvSpPr/>
      </xdr:nvSpPr>
      <xdr:spPr>
        <a:xfrm>
          <a:off x="4426324" y="10399059"/>
          <a:ext cx="6062382" cy="44663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Lucro Bruto por Trimestre</a:t>
          </a:r>
        </a:p>
      </xdr:txBody>
    </xdr:sp>
    <xdr:clientData/>
  </xdr:twoCellAnchor>
  <xdr:twoCellAnchor>
    <xdr:from>
      <xdr:col>3</xdr:col>
      <xdr:colOff>600638</xdr:colOff>
      <xdr:row>52</xdr:row>
      <xdr:rowOff>354106</xdr:rowOff>
    </xdr:from>
    <xdr:to>
      <xdr:col>9</xdr:col>
      <xdr:colOff>11206</xdr:colOff>
      <xdr:row>54</xdr:row>
      <xdr:rowOff>28816</xdr:rowOff>
    </xdr:to>
    <xdr:sp macro="" textlink="">
      <xdr:nvSpPr>
        <xdr:cNvPr id="24" name="Retângulo: Cantos Superiores Arredondados 2">
          <a:extLst>
            <a:ext uri="{FF2B5EF4-FFF2-40B4-BE49-F238E27FC236}">
              <a16:creationId xmlns:a16="http://schemas.microsoft.com/office/drawing/2014/main" id="{0C9F171F-15CD-4399-9F48-894E5240789D}"/>
            </a:ext>
          </a:extLst>
        </xdr:cNvPr>
        <xdr:cNvSpPr/>
      </xdr:nvSpPr>
      <xdr:spPr>
        <a:xfrm>
          <a:off x="4421844" y="18384371"/>
          <a:ext cx="6604744" cy="436710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EBIT 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por Trimestre</a:t>
          </a:r>
        </a:p>
      </xdr:txBody>
    </xdr:sp>
    <xdr:clientData/>
  </xdr:twoCellAnchor>
  <xdr:twoCellAnchor>
    <xdr:from>
      <xdr:col>4</xdr:col>
      <xdr:colOff>-1</xdr:colOff>
      <xdr:row>2</xdr:row>
      <xdr:rowOff>100853</xdr:rowOff>
    </xdr:from>
    <xdr:to>
      <xdr:col>4</xdr:col>
      <xdr:colOff>2061882</xdr:colOff>
      <xdr:row>4</xdr:row>
      <xdr:rowOff>169853</xdr:rowOff>
    </xdr:to>
    <xdr:sp macro="" textlink="">
      <xdr:nvSpPr>
        <xdr:cNvPr id="28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075873-51D4-42FD-B104-926FD41FD99D}"/>
            </a:ext>
          </a:extLst>
        </xdr:cNvPr>
        <xdr:cNvSpPr/>
      </xdr:nvSpPr>
      <xdr:spPr>
        <a:xfrm>
          <a:off x="4426323" y="481853"/>
          <a:ext cx="2061883" cy="450000"/>
        </a:xfrm>
        <a:prstGeom prst="roundRect">
          <a:avLst/>
        </a:prstGeom>
        <a:solidFill>
          <a:srgbClr val="00C556"/>
        </a:solidFill>
        <a:ln>
          <a:noFill/>
        </a:ln>
        <a:effectLst>
          <a:outerShdw blurRad="101600" dist="38100" dir="5400000" algn="t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Projeções - Receita</a:t>
          </a:r>
        </a:p>
      </xdr:txBody>
    </xdr:sp>
    <xdr:clientData/>
  </xdr:twoCellAnchor>
  <xdr:twoCellAnchor>
    <xdr:from>
      <xdr:col>4</xdr:col>
      <xdr:colOff>0</xdr:colOff>
      <xdr:row>38</xdr:row>
      <xdr:rowOff>336176</xdr:rowOff>
    </xdr:from>
    <xdr:to>
      <xdr:col>8</xdr:col>
      <xdr:colOff>1026283</xdr:colOff>
      <xdr:row>39</xdr:row>
      <xdr:rowOff>234355</xdr:rowOff>
    </xdr:to>
    <xdr:grpSp>
      <xdr:nvGrpSpPr>
        <xdr:cNvPr id="29" name="Agrupar 16">
          <a:extLst>
            <a:ext uri="{FF2B5EF4-FFF2-40B4-BE49-F238E27FC236}">
              <a16:creationId xmlns:a16="http://schemas.microsoft.com/office/drawing/2014/main" id="{6CE53172-E650-4697-851F-7B68A73689F3}"/>
            </a:ext>
          </a:extLst>
        </xdr:cNvPr>
        <xdr:cNvGrpSpPr/>
      </xdr:nvGrpSpPr>
      <xdr:grpSpPr>
        <a:xfrm>
          <a:off x="5094941" y="13648764"/>
          <a:ext cx="7391224" cy="286650"/>
          <a:chOff x="5048250" y="5238041"/>
          <a:chExt cx="9258300" cy="172159"/>
        </a:xfrm>
      </xdr:grpSpPr>
      <xdr:sp macro="" textlink="">
        <xdr:nvSpPr>
          <xdr:cNvPr id="30" name="Retângulo: Cantos Superiores Arredondados 17">
            <a:extLst>
              <a:ext uri="{FF2B5EF4-FFF2-40B4-BE49-F238E27FC236}">
                <a16:creationId xmlns:a16="http://schemas.microsoft.com/office/drawing/2014/main" id="{93D41B3F-10C9-7860-ED92-33DDEEC1D8B2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1" name="Retângulo 18">
            <a:extLst>
              <a:ext uri="{FF2B5EF4-FFF2-40B4-BE49-F238E27FC236}">
                <a16:creationId xmlns:a16="http://schemas.microsoft.com/office/drawing/2014/main" id="{4662984A-C33D-9196-B209-71A2701A7086}"/>
              </a:ext>
            </a:extLst>
          </xdr:cNvPr>
          <xdr:cNvSpPr/>
        </xdr:nvSpPr>
        <xdr:spPr>
          <a:xfrm>
            <a:off x="5057800" y="5238041"/>
            <a:ext cx="9222866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50</xdr:row>
      <xdr:rowOff>324970</xdr:rowOff>
    </xdr:from>
    <xdr:to>
      <xdr:col>8</xdr:col>
      <xdr:colOff>1026283</xdr:colOff>
      <xdr:row>51</xdr:row>
      <xdr:rowOff>223149</xdr:rowOff>
    </xdr:to>
    <xdr:grpSp>
      <xdr:nvGrpSpPr>
        <xdr:cNvPr id="32" name="Agrupar 16">
          <a:extLst>
            <a:ext uri="{FF2B5EF4-FFF2-40B4-BE49-F238E27FC236}">
              <a16:creationId xmlns:a16="http://schemas.microsoft.com/office/drawing/2014/main" id="{B19CBD2A-A1BE-4F4F-B22E-AF818B8D04CA}"/>
            </a:ext>
          </a:extLst>
        </xdr:cNvPr>
        <xdr:cNvGrpSpPr/>
      </xdr:nvGrpSpPr>
      <xdr:grpSpPr>
        <a:xfrm>
          <a:off x="5094941" y="18299205"/>
          <a:ext cx="7391224" cy="286650"/>
          <a:chOff x="5048250" y="5238041"/>
          <a:chExt cx="9258300" cy="172159"/>
        </a:xfrm>
      </xdr:grpSpPr>
      <xdr:sp macro="" textlink="">
        <xdr:nvSpPr>
          <xdr:cNvPr id="33" name="Retângulo: Cantos Superiores Arredondados 17">
            <a:extLst>
              <a:ext uri="{FF2B5EF4-FFF2-40B4-BE49-F238E27FC236}">
                <a16:creationId xmlns:a16="http://schemas.microsoft.com/office/drawing/2014/main" id="{3C412A7D-DE04-216A-702D-29FB080DFB6E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4" name="Retângulo 18">
            <a:extLst>
              <a:ext uri="{FF2B5EF4-FFF2-40B4-BE49-F238E27FC236}">
                <a16:creationId xmlns:a16="http://schemas.microsoft.com/office/drawing/2014/main" id="{F085ECF7-1489-FF02-A192-89728007CACF}"/>
              </a:ext>
            </a:extLst>
          </xdr:cNvPr>
          <xdr:cNvSpPr/>
        </xdr:nvSpPr>
        <xdr:spPr>
          <a:xfrm>
            <a:off x="5057800" y="5238041"/>
            <a:ext cx="9222866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0</xdr:colOff>
      <xdr:row>62</xdr:row>
      <xdr:rowOff>324970</xdr:rowOff>
    </xdr:from>
    <xdr:to>
      <xdr:col>8</xdr:col>
      <xdr:colOff>1026283</xdr:colOff>
      <xdr:row>63</xdr:row>
      <xdr:rowOff>223149</xdr:rowOff>
    </xdr:to>
    <xdr:grpSp>
      <xdr:nvGrpSpPr>
        <xdr:cNvPr id="35" name="Agrupar 16">
          <a:extLst>
            <a:ext uri="{FF2B5EF4-FFF2-40B4-BE49-F238E27FC236}">
              <a16:creationId xmlns:a16="http://schemas.microsoft.com/office/drawing/2014/main" id="{55E453CB-9069-416B-A0A2-26EB79EA49C6}"/>
            </a:ext>
          </a:extLst>
        </xdr:cNvPr>
        <xdr:cNvGrpSpPr/>
      </xdr:nvGrpSpPr>
      <xdr:grpSpPr>
        <a:xfrm>
          <a:off x="5094941" y="22960852"/>
          <a:ext cx="7391224" cy="286650"/>
          <a:chOff x="5048250" y="5238041"/>
          <a:chExt cx="9258300" cy="172159"/>
        </a:xfrm>
      </xdr:grpSpPr>
      <xdr:sp macro="" textlink="">
        <xdr:nvSpPr>
          <xdr:cNvPr id="36" name="Retângulo: Cantos Superiores Arredondados 17">
            <a:extLst>
              <a:ext uri="{FF2B5EF4-FFF2-40B4-BE49-F238E27FC236}">
                <a16:creationId xmlns:a16="http://schemas.microsoft.com/office/drawing/2014/main" id="{C802E482-9C45-E999-D244-E0D624294189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37" name="Retângulo 18">
            <a:extLst>
              <a:ext uri="{FF2B5EF4-FFF2-40B4-BE49-F238E27FC236}">
                <a16:creationId xmlns:a16="http://schemas.microsoft.com/office/drawing/2014/main" id="{502B3CE9-E1E3-5C76-114C-E87898739BBE}"/>
              </a:ext>
            </a:extLst>
          </xdr:cNvPr>
          <xdr:cNvSpPr/>
        </xdr:nvSpPr>
        <xdr:spPr>
          <a:xfrm>
            <a:off x="5057800" y="5238041"/>
            <a:ext cx="9222866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1</xdr:row>
      <xdr:rowOff>104775</xdr:rowOff>
    </xdr:from>
    <xdr:to>
      <xdr:col>0</xdr:col>
      <xdr:colOff>1524000</xdr:colOff>
      <xdr:row>3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099D96-A097-4F77-8636-DC1FE1DC5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95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7</xdr:row>
      <xdr:rowOff>6163</xdr:rowOff>
    </xdr:from>
    <xdr:to>
      <xdr:col>11</xdr:col>
      <xdr:colOff>0</xdr:colOff>
      <xdr:row>8</xdr:row>
      <xdr:rowOff>24654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9DFC155E-A92C-43DB-AB49-C17833930CE0}"/>
            </a:ext>
          </a:extLst>
        </xdr:cNvPr>
        <xdr:cNvSpPr/>
      </xdr:nvSpPr>
      <xdr:spPr>
        <a:xfrm>
          <a:off x="4426324" y="1272428"/>
          <a:ext cx="10970558" cy="39949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Lojas</a:t>
          </a:r>
        </a:p>
      </xdr:txBody>
    </xdr:sp>
    <xdr:clientData/>
  </xdr:twoCellAnchor>
  <xdr:twoCellAnchor>
    <xdr:from>
      <xdr:col>4</xdr:col>
      <xdr:colOff>4481</xdr:colOff>
      <xdr:row>327</xdr:row>
      <xdr:rowOff>355964</xdr:rowOff>
    </xdr:from>
    <xdr:to>
      <xdr:col>11</xdr:col>
      <xdr:colOff>0</xdr:colOff>
      <xdr:row>328</xdr:row>
      <xdr:rowOff>345195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125EB4E-0FB5-4798-A210-4FB6EC9ED300}"/>
            </a:ext>
          </a:extLst>
        </xdr:cNvPr>
        <xdr:cNvGrpSpPr/>
      </xdr:nvGrpSpPr>
      <xdr:grpSpPr>
        <a:xfrm>
          <a:off x="5084481" y="123672964"/>
          <a:ext cx="19220144" cy="370231"/>
          <a:chOff x="5048250" y="5260093"/>
          <a:chExt cx="9258300" cy="150107"/>
        </a:xfrm>
      </xdr:grpSpPr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13E6ABA0-ED60-4484-94EF-6D2C9A14927C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8BD66851-3B77-4A64-9790-3641C3BB07E3}"/>
              </a:ext>
            </a:extLst>
          </xdr:cNvPr>
          <xdr:cNvSpPr/>
        </xdr:nvSpPr>
        <xdr:spPr>
          <a:xfrm>
            <a:off x="5050343" y="5260093"/>
            <a:ext cx="9243912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Siqueira" id="{D49D4EC6-91E7-4449-B466-244DACD07A0F}" userId="276e1ba83ca09e9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2" dT="2021-09-16T00:02:26.89" personId="{D49D4EC6-91E7-4449-B466-244DACD07A0F}" id="{B667B3A5-9894-4C3E-A92B-705ECDBFAD4B}">
    <text>Essa queda foi causada pelo Covid-19.</text>
  </threadedComment>
  <threadedComment ref="J15" dT="2021-09-16T00:03:41.39" personId="{D49D4EC6-91E7-4449-B466-244DACD07A0F}" id="{734DFFF4-9009-490D-815B-46EDD2A1E2DD}">
    <text>Olha como a Margem Bruta cai nesse ano. Isso, muito provavelmente, aconteceu porque a C&amp;A jogou os preços pra baixo durante a pandemia. Uma outra hipótese é que o custo dos produtos tenha aumentado.</text>
  </threadedComment>
  <threadedComment ref="I20" dT="2021-09-16T00:04:39.97" personId="{D49D4EC6-91E7-4449-B466-244DACD07A0F}" id="{AA7B742D-EFB3-4316-AFAF-1A287D701BB4}">
    <text>Aqui houve um não-recorrente de R$ 663 milhões. Ele veio do ganho que as varejistas tiveram em relação ao processo do PIS/COFINS.</text>
  </threadedComment>
  <threadedComment ref="J23" dT="2021-09-16T00:48:18.93" personId="{D49D4EC6-91E7-4449-B466-244DACD07A0F}" id="{E4070B8B-681C-497C-8391-F9DE45D41C13}">
    <text>Olha como a Margem EBIT caiu nesse ano. Essa é a chamada "desalavancagem operacional". Vários custos são fixos e não dependem da empresa estar vendendo mais ou estar vendendo menos. Quando ela está vendendo mais, esses custos são diluídos e sobra mais dinheiro no final. Como aqui ela vendeu menos, sobrou menos dinheiro também.</text>
  </threadedComment>
  <threadedComment ref="I27" dT="2021-09-09T14:32:12.35" personId="{D49D4EC6-91E7-4449-B466-244DACD07A0F}" id="{8A5031D4-0643-4BB2-8F8D-07BF17C55A07}">
    <text>Eles tiveram um ganho de R$ 618 milhões aqui por conta da correção monetária do crédito do ICMS que eles receberam.</text>
  </threadedComment>
  <threadedComment ref="I37" dT="2021-09-16T00:59:31.56" personId="{D49D4EC6-91E7-4449-B466-244DACD07A0F}" id="{DED39E57-3996-4688-8F14-8C5DA93DEBA2}">
    <text>A Alíquota Efetiva (como % do EBIT) acabou ficando muito mais alta aqui porque o resultado financeiro foi positivo (lembra do não-recorrente?). Com o esse resultado financeiro, o lucro antes do imposto foi muito mais alto também. Como o imposto é um % desse lucro, ela acabou pagando muito mais.</text>
  </threadedComment>
  <threadedComment ref="I40" dT="2021-09-16T02:49:38.77" personId="{D49D4EC6-91E7-4449-B466-244DACD07A0F}" id="{995E3313-B892-4C10-8CBD-9424D967E5B8}">
    <text>Corrigimos esse valor aqui pra tirar o efeito daqueles não-recorrentes.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81D1-608A-404F-9245-A4F8031DA2EA}">
  <sheetPr codeName="Planilha12"/>
  <dimension ref="A1:BB151"/>
  <sheetViews>
    <sheetView showGridLines="0" tabSelected="1" topLeftCell="C1" zoomScale="133" zoomScaleNormal="80" workbookViewId="0">
      <selection activeCell="F15" sqref="F15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32.5" style="1" customWidth="1"/>
    <col min="6" max="6" width="18.33203125" style="1" bestFit="1" customWidth="1"/>
    <col min="7" max="7" width="9.1640625" style="1" customWidth="1"/>
    <col min="8" max="8" width="6.33203125" style="1" customWidth="1"/>
    <col min="9" max="9" width="9.83203125" style="1" customWidth="1"/>
    <col min="10" max="19" width="11.33203125" style="1" bestFit="1" customWidth="1"/>
    <col min="20" max="53" width="9.1640625" style="1" customWidth="1"/>
    <col min="54" max="54" width="9.1640625" style="1" hidden="1" customWidth="1"/>
    <col min="55" max="16384" width="0" style="1" hidden="1"/>
  </cols>
  <sheetData>
    <row r="1" spans="1:53" ht="15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5" customHeight="1" x14ac:dyDescent="0.2"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5" customHeight="1" x14ac:dyDescent="0.35">
      <c r="B3" s="4"/>
      <c r="C3" s="4"/>
      <c r="D3" s="6"/>
      <c r="E3" s="6"/>
      <c r="F3" s="6"/>
      <c r="G3" s="6"/>
      <c r="H3" s="6"/>
      <c r="I3" s="273" t="s">
        <v>0</v>
      </c>
      <c r="J3" s="273"/>
      <c r="K3" s="273"/>
      <c r="L3" s="273"/>
      <c r="M3" s="273"/>
      <c r="N3" s="5"/>
      <c r="O3" s="5"/>
      <c r="P3" s="5"/>
      <c r="Q3" s="5"/>
      <c r="R3" s="5"/>
      <c r="S3" s="5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5" customHeight="1" x14ac:dyDescent="0.35">
      <c r="B4" s="4"/>
      <c r="C4" s="4"/>
      <c r="D4" s="6"/>
      <c r="E4" s="6"/>
      <c r="F4" s="6"/>
      <c r="G4" s="6"/>
      <c r="H4" s="6"/>
      <c r="I4" s="273"/>
      <c r="J4" s="273"/>
      <c r="K4" s="273"/>
      <c r="L4" s="273"/>
      <c r="M4" s="273"/>
      <c r="N4" s="5"/>
      <c r="O4" s="5"/>
      <c r="P4" s="5"/>
      <c r="Q4" s="5"/>
      <c r="R4" s="5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5" customHeight="1" x14ac:dyDescent="0.35">
      <c r="B5" s="4"/>
      <c r="C5" s="4"/>
      <c r="D5" s="6"/>
      <c r="E5" s="6"/>
      <c r="F5" s="6"/>
      <c r="G5" s="6"/>
      <c r="H5" s="6"/>
      <c r="I5" s="273"/>
      <c r="J5" s="273"/>
      <c r="K5" s="273"/>
      <c r="L5" s="273"/>
      <c r="M5" s="273"/>
      <c r="N5" s="5"/>
      <c r="O5" s="5"/>
      <c r="P5" s="5"/>
      <c r="Q5" s="5"/>
      <c r="R5" s="7"/>
      <c r="S5" s="5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5" customHeight="1" x14ac:dyDescent="0.35">
      <c r="B6" s="4"/>
      <c r="C6" s="4"/>
      <c r="D6" s="6"/>
      <c r="E6" s="6"/>
      <c r="F6" s="6"/>
      <c r="G6" s="6"/>
      <c r="H6" s="5"/>
      <c r="I6" s="5"/>
      <c r="J6" s="252"/>
      <c r="K6" s="252"/>
      <c r="L6" s="252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s="10" customFormat="1" ht="24.75" customHeight="1" x14ac:dyDescent="0.35">
      <c r="A7" s="8" t="s">
        <v>1</v>
      </c>
      <c r="B7" s="9"/>
      <c r="C7" s="9"/>
      <c r="D7" s="9"/>
      <c r="E7" s="9"/>
      <c r="F7" s="9"/>
      <c r="G7" s="9"/>
      <c r="H7" s="9"/>
      <c r="I7" s="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ht="30" customHeight="1" x14ac:dyDescent="0.2">
      <c r="A8" s="11" t="s">
        <v>2</v>
      </c>
      <c r="B8" s="4"/>
      <c r="C8" s="4"/>
      <c r="D8" s="9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30" customHeight="1" x14ac:dyDescent="0.2">
      <c r="A9" s="15" t="s">
        <v>3</v>
      </c>
      <c r="B9" s="4"/>
      <c r="C9" s="4"/>
      <c r="D9" s="4"/>
      <c r="E9" s="16" t="s">
        <v>4</v>
      </c>
      <c r="F9" s="17" t="s">
        <v>5</v>
      </c>
      <c r="G9" s="18"/>
      <c r="H9" s="272" t="s">
        <v>3</v>
      </c>
      <c r="I9" s="19">
        <f t="shared" ref="I9:I11" si="0">I10-0.5%</f>
        <v>0.15529878241076506</v>
      </c>
      <c r="J9" s="20">
        <f>(NPV($I9,'DRE + DCF'!$M$47,'DRE + DCF'!$O$47:$T$47)+('DRE + DCF'!$U$47*(1+J$18)/(($I9-J$18)*(1+$I9)^COUNT('DRE + DCF'!$N$36:$T$36)))+SUM($F$13:$F$14)-$F$12)/$F$10</f>
        <v>4.9404396415708449</v>
      </c>
      <c r="K9" s="20">
        <f>(NPV($I9,'DRE + DCF'!$M$47,'DRE + DCF'!$O$47:$T$47)+('DRE + DCF'!$U$47*(1+K$18)/(($I9-K$18)*(1+$I9)^COUNT('DRE + DCF'!$N$36:$T$36)))+SUM($F$13:$F$14)-$F$12)/$F$10</f>
        <v>5.2433815564895667</v>
      </c>
      <c r="L9" s="20">
        <f>(NPV($I9,'DRE + DCF'!$M$47,'DRE + DCF'!$O$47:$T$47)+('DRE + DCF'!$U$47*(1+L$18)/(($I9-L$18)*(1+$I9)^COUNT('DRE + DCF'!$N$36:$T$36)))+SUM($F$13:$F$14)-$F$12)/$F$10</f>
        <v>5.5651868903683033</v>
      </c>
      <c r="M9" s="20">
        <f>(NPV($I9,'DRE + DCF'!$M$47,'DRE + DCF'!$O$47:$T$47)+('DRE + DCF'!$U$47*(1+M$18)/(($I9-M$18)*(1+$I9)^COUNT('DRE + DCF'!$N$36:$T$36)))+SUM($F$13:$F$14)-$F$12)/$F$10</f>
        <v>5.9076741246513187</v>
      </c>
      <c r="N9" s="20">
        <f>(NPV($I9,'DRE + DCF'!$M$47,'DRE + DCF'!$O$47:$T$47)+('DRE + DCF'!$U$47*(1+N$18)/(($I9-N$18)*(1+$I9)^COUNT('DRE + DCF'!$N$36:$T$36)))+SUM($F$13:$F$14)-$F$12)/$F$10</f>
        <v>6.2729032428876978</v>
      </c>
      <c r="O9" s="20">
        <f>(NPV($I9,'DRE + DCF'!$M$47,'DRE + DCF'!$O$47:$T$47)+('DRE + DCF'!$U$47*(1+O$18)/(($I9-O$18)*(1+$I9)^COUNT('DRE + DCF'!$N$36:$T$36)))+SUM($F$13:$F$14)-$F$12)/$F$10</f>
        <v>6.6632171981324468</v>
      </c>
      <c r="P9" s="20">
        <f>(NPV($I9,'DRE + DCF'!$M$47,'DRE + DCF'!$O$47:$T$47)+('DRE + DCF'!$U$47*(1+P$18)/(($I9-P$18)*(1+$I9)^COUNT('DRE + DCF'!$N$36:$T$36)))+SUM($F$13:$F$14)-$F$12)/$F$10</f>
        <v>7.0812922284527282</v>
      </c>
      <c r="Q9" s="20">
        <f>(NPV($I9,'DRE + DCF'!$M$47,'DRE + DCF'!$O$47:$T$47)+('DRE + DCF'!$U$47*(1+Q$18)/(($I9-Q$18)*(1+$I9)^COUNT('DRE + DCF'!$N$36:$T$36)))+SUM($F$13:$F$14)-$F$12)/$F$10</f>
        <v>7.5301993043831601</v>
      </c>
      <c r="R9" s="20">
        <f>(NPV($I9,'DRE + DCF'!$M$47,'DRE + DCF'!$O$47:$T$47)+('DRE + DCF'!$U$47*(1+R$18)/(($I9-R$18)*(1+$I9)^COUNT('DRE + DCF'!$N$36:$T$36)))+SUM($F$13:$F$14)-$F$12)/$F$10</f>
        <v>8.0134796916799989</v>
      </c>
      <c r="S9" s="21">
        <f>(NPV($I9,'DRE + DCF'!$M$47,'DRE + DCF'!$O$47:$T$47)+('DRE + DCF'!$U$47*(1+S$18)/(($I9-S$18)*(1+$I9)^COUNT('DRE + DCF'!$N$36:$T$36)))+SUM($F$13:$F$14)-$F$12)/$F$10</f>
        <v>8.5352385628537739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30" customHeight="1" x14ac:dyDescent="0.2">
      <c r="A10" s="15" t="s">
        <v>6</v>
      </c>
      <c r="B10" s="4"/>
      <c r="C10" s="4"/>
      <c r="D10" s="4"/>
      <c r="E10" s="16" t="s">
        <v>7</v>
      </c>
      <c r="F10" s="22">
        <v>308245.06800000003</v>
      </c>
      <c r="G10" s="18"/>
      <c r="H10" s="272"/>
      <c r="I10" s="19">
        <f t="shared" si="0"/>
        <v>0.16029878241076506</v>
      </c>
      <c r="J10" s="20">
        <f>(NPV($I10,'DRE + DCF'!$M$47,'DRE + DCF'!$O$47:$T$47)+('DRE + DCF'!$U$47*(1+J$18)/(($I10-J$18)*(1+$I10)^COUNT('DRE + DCF'!$N$36:$T$36)))+SUM($F$13:$F$14)-$F$12)/$F$10</f>
        <v>4.0851240665383974</v>
      </c>
      <c r="K10" s="20">
        <f>(NPV($I10,'DRE + DCF'!$M$47,'DRE + DCF'!$O$47:$T$47)+('DRE + DCF'!$U$47*(1+K$18)/(($I10-K$18)*(1+$I10)^COUNT('DRE + DCF'!$N$36:$T$36)))+SUM($F$13:$F$14)-$F$12)/$F$10</f>
        <v>4.3480919045467159</v>
      </c>
      <c r="L10" s="20">
        <f>(NPV($I10,'DRE + DCF'!$M$47,'DRE + DCF'!$O$47:$T$47)+('DRE + DCF'!$U$47*(1+L$18)/(($I10-L$18)*(1+$I10)^COUNT('DRE + DCF'!$N$36:$T$36)))+SUM($F$13:$F$14)-$F$12)/$F$10</f>
        <v>4.6264742555513614</v>
      </c>
      <c r="M10" s="20">
        <f>(NPV($I10,'DRE + DCF'!$M$47,'DRE + DCF'!$O$47:$T$47)+('DRE + DCF'!$U$47*(1+M$18)/(($I10-M$18)*(1+$I10)^COUNT('DRE + DCF'!$N$36:$T$36)))+SUM($F$13:$F$14)-$F$12)/$F$10</f>
        <v>4.9216673822038661</v>
      </c>
      <c r="N10" s="20">
        <f>(NPV($I10,'DRE + DCF'!$M$47,'DRE + DCF'!$O$47:$T$47)+('DRE + DCF'!$U$47*(1+N$18)/(($I10-N$18)*(1+$I10)^COUNT('DRE + DCF'!$N$36:$T$36)))+SUM($F$13:$F$14)-$F$12)/$F$10</f>
        <v>5.2352414305708814</v>
      </c>
      <c r="O10" s="20">
        <f>(NPV($I10,'DRE + DCF'!$M$47,'DRE + DCF'!$O$47:$T$47)+('DRE + DCF'!$U$47*(1+O$18)/(($I10-O$18)*(1+$I10)^COUNT('DRE + DCF'!$N$36:$T$36)))+SUM($F$13:$F$14)-$F$12)/$F$10</f>
        <v>5.5689683681380959</v>
      </c>
      <c r="P10" s="20">
        <f>(NPV($I10,'DRE + DCF'!$M$47,'DRE + DCF'!$O$47:$T$47)+('DRE + DCF'!$U$47*(1+P$18)/(($I10-P$18)*(1+$I10)^COUNT('DRE + DCF'!$N$36:$T$36)))+SUM($F$13:$F$14)-$F$12)/$F$10</f>
        <v>5.9248554872436205</v>
      </c>
      <c r="Q10" s="20">
        <f>(NPV($I10,'DRE + DCF'!$M$47,'DRE + DCF'!$O$47:$T$47)+('DRE + DCF'!$U$47*(1+Q$18)/(($I10-Q$18)*(1+$I10)^COUNT('DRE + DCF'!$N$36:$T$36)))+SUM($F$13:$F$14)-$F$12)/$F$10</f>
        <v>6.3051858118067221</v>
      </c>
      <c r="R10" s="20">
        <f>(NPV($I10,'DRE + DCF'!$M$47,'DRE + DCF'!$O$47:$T$47)+('DRE + DCF'!$U$47*(1+R$18)/(($I10-R$18)*(1+$I10)^COUNT('DRE + DCF'!$N$36:$T$36)))+SUM($F$13:$F$14)-$F$12)/$F$10</f>
        <v>6.7125671258407946</v>
      </c>
      <c r="S10" s="21">
        <f>(NPV($I10,'DRE + DCF'!$M$47,'DRE + DCF'!$O$47:$T$47)+('DRE + DCF'!$U$47*(1+S$18)/(($I10-S$18)*(1+$I10)^COUNT('DRE + DCF'!$N$36:$T$36)))+SUM($F$13:$F$14)-$F$12)/$F$10</f>
        <v>7.1499918491772521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30" customHeight="1" x14ac:dyDescent="0.2">
      <c r="A11" s="15" t="s">
        <v>8</v>
      </c>
      <c r="B11" s="4"/>
      <c r="C11" s="4"/>
      <c r="D11" s="4"/>
      <c r="E11" s="16" t="s">
        <v>9</v>
      </c>
      <c r="F11" s="23">
        <f>NPV(WACC!$K$20,'DRE + DCF'!M47,'DRE + DCF'!$O$47:$T$47)+(('DRE + DCF'!$U$47*(1+'DRE + DCF'!$W$37))/(WACC!$K$20-'DRE + DCF'!$W$37)*(1/(1+WACC!$K$20)^COUNT('DRE + DCF'!$N$36:$T$36)))</f>
        <v>2974586.0995045668</v>
      </c>
      <c r="G11" s="24"/>
      <c r="H11" s="272"/>
      <c r="I11" s="19">
        <f t="shared" si="0"/>
        <v>0.16529878241076507</v>
      </c>
      <c r="J11" s="20">
        <f>(NPV($I11,'DRE + DCF'!$M$47,'DRE + DCF'!$O$47:$T$47)+('DRE + DCF'!$U$47*(1+J$18)/(($I11-J$18)*(1+$I11)^COUNT('DRE + DCF'!$N$36:$T$36)))+SUM($F$13:$F$14)-$F$12)/$F$10</f>
        <v>3.322166058827253</v>
      </c>
      <c r="K11" s="20">
        <f>(NPV($I11,'DRE + DCF'!$M$47,'DRE + DCF'!$O$47:$T$47)+('DRE + DCF'!$U$47*(1+K$18)/(($I11-K$18)*(1+$I11)^COUNT('DRE + DCF'!$N$36:$T$36)))+SUM($F$13:$F$14)-$F$12)/$F$10</f>
        <v>3.5519071378351983</v>
      </c>
      <c r="L11" s="20">
        <f>(NPV($I11,'DRE + DCF'!$M$47,'DRE + DCF'!$O$47:$T$47)+('DRE + DCF'!$U$47*(1+L$18)/(($I11-L$18)*(1+$I11)^COUNT('DRE + DCF'!$N$36:$T$36)))+SUM($F$13:$F$14)-$F$12)/$F$10</f>
        <v>3.7943693783513259</v>
      </c>
      <c r="M11" s="20">
        <f>(NPV($I11,'DRE + DCF'!$M$47,'DRE + DCF'!$O$47:$T$47)+('DRE + DCF'!$U$47*(1+M$18)/(($I11-M$18)*(1+$I11)^COUNT('DRE + DCF'!$N$36:$T$36)))+SUM($F$13:$F$14)-$F$12)/$F$10</f>
        <v>4.0506394550275129</v>
      </c>
      <c r="N11" s="20">
        <f>(NPV($I11,'DRE + DCF'!$M$47,'DRE + DCF'!$O$47:$T$47)+('DRE + DCF'!$U$47*(1+N$18)/(($I11-N$18)*(1+$I11)^COUNT('DRE + DCF'!$N$36:$T$36)))+SUM($F$13:$F$14)-$F$12)/$F$10</f>
        <v>4.3219314387833458</v>
      </c>
      <c r="O11" s="20">
        <f>(NPV($I11,'DRE + DCF'!$M$47,'DRE + DCF'!$O$47:$T$47)+('DRE + DCF'!$U$47*(1+O$18)/(($I11-O$18)*(1+$I11)^COUNT('DRE + DCF'!$N$36:$T$36)))+SUM($F$13:$F$14)-$F$12)/$F$10</f>
        <v>4.6096060296172512</v>
      </c>
      <c r="P11" s="20">
        <f>(NPV($I11,'DRE + DCF'!$M$47,'DRE + DCF'!$O$47:$T$47)+('DRE + DCF'!$U$47*(1+P$18)/(($I11-P$18)*(1+$I11)^COUNT('DRE + DCF'!$N$36:$T$36)))+SUM($F$13:$F$14)-$F$12)/$F$10</f>
        <v>4.9151933821517302</v>
      </c>
      <c r="Q11" s="20">
        <f>(NPV($I11,'DRE + DCF'!$M$47,'DRE + DCF'!$O$47:$T$47)+('DRE + DCF'!$U$47*(1+Q$18)/(($I11-Q$18)*(1+$I11)^COUNT('DRE + DCF'!$N$36:$T$36)))+SUM($F$13:$F$14)-$F$12)/$F$10</f>
        <v>5.2404203320594034</v>
      </c>
      <c r="R11" s="20">
        <f>(NPV($I11,'DRE + DCF'!$M$47,'DRE + DCF'!$O$47:$T$47)+('DRE + DCF'!$U$47*(1+R$18)/(($I11-R$18)*(1+$I11)^COUNT('DRE + DCF'!$N$36:$T$36)))+SUM($F$13:$F$14)-$F$12)/$F$10</f>
        <v>5.5872430461677176</v>
      </c>
      <c r="S11" s="21">
        <f>(NPV($I11,'DRE + DCF'!$M$47,'DRE + DCF'!$O$47:$T$47)+('DRE + DCF'!$U$47*(1+S$18)/(($I11-S$18)*(1+$I11)^COUNT('DRE + DCF'!$N$36:$T$36)))+SUM($F$13:$F$14)-$F$12)/$F$10</f>
        <v>5.9578864000328471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30" customHeight="1" x14ac:dyDescent="0.2">
      <c r="A12" s="15" t="s">
        <v>10</v>
      </c>
      <c r="B12" s="4"/>
      <c r="C12" s="4"/>
      <c r="D12" s="4"/>
      <c r="E12" s="25" t="s">
        <v>11</v>
      </c>
      <c r="F12" s="26">
        <f>WACC!K19</f>
        <v>3471349</v>
      </c>
      <c r="G12" s="24"/>
      <c r="H12" s="272"/>
      <c r="I12" s="19">
        <f>I13-0.5%</f>
        <v>0.17029878241076507</v>
      </c>
      <c r="J12" s="20">
        <f>(NPV($I12,'DRE + DCF'!$M$47,'DRE + DCF'!$O$47:$T$47)+('DRE + DCF'!$U$47*(1+J$18)/(($I12-J$18)*(1+$I12)^COUNT('DRE + DCF'!$N$36:$T$36)))+SUM($F$13:$F$14)-$F$12)/$F$10</f>
        <v>2.6377409526634845</v>
      </c>
      <c r="K12" s="20">
        <f>(NPV($I12,'DRE + DCF'!$M$47,'DRE + DCF'!$O$47:$T$47)+('DRE + DCF'!$U$47*(1+K$18)/(($I12-K$18)*(1+$I12)^COUNT('DRE + DCF'!$N$36:$T$36)))+SUM($F$13:$F$14)-$F$12)/$F$10</f>
        <v>2.839615894466252</v>
      </c>
      <c r="L12" s="20">
        <f>(NPV($I12,'DRE + DCF'!$M$47,'DRE + DCF'!$O$47:$T$47)+('DRE + DCF'!$U$47*(1+L$18)/(($I12-L$18)*(1+$I12)^COUNT('DRE + DCF'!$N$36:$T$36)))+SUM($F$13:$F$14)-$F$12)/$F$10</f>
        <v>3.0520825215296274</v>
      </c>
      <c r="M12" s="20">
        <f>(NPV($I12,'DRE + DCF'!$M$47,'DRE + DCF'!$O$47:$T$47)+('DRE + DCF'!$U$47*(1+M$18)/(($I12-M$18)*(1+$I12)^COUNT('DRE + DCF'!$N$36:$T$36)))+SUM($F$13:$F$14)-$F$12)/$F$10</f>
        <v>3.2759968541309332</v>
      </c>
      <c r="N12" s="20">
        <f>(NPV($I12,'DRE + DCF'!$M$47,'DRE + DCF'!$O$47:$T$47)+('DRE + DCF'!$U$47*(1+N$18)/(($I12-N$18)*(1+$I12)^COUNT('DRE + DCF'!$N$36:$T$36)))+SUM($F$13:$F$14)-$F$12)/$F$10</f>
        <v>3.5123097111986459</v>
      </c>
      <c r="O12" s="20">
        <f>(NPV($I12,'DRE + DCF'!$M$47,'DRE + DCF'!$O$47:$T$47)+('DRE + DCF'!$U$47*(1+O$18)/(($I12-O$18)*(1+$I12)^COUNT('DRE + DCF'!$N$36:$T$36)))+SUM($F$13:$F$14)-$F$12)/$F$10</f>
        <v>3.7620802068906656</v>
      </c>
      <c r="P12" s="20">
        <f>(NPV($I12,'DRE + DCF'!$M$47,'DRE + DCF'!$O$47:$T$47)+('DRE + DCF'!$U$47*(1+P$18)/(($I12-P$18)*(1+$I12)^COUNT('DRE + DCF'!$N$36:$T$36)))+SUM($F$13:$F$14)-$F$12)/$F$10</f>
        <v>4.0264916205789829</v>
      </c>
      <c r="Q12" s="20">
        <f>(NPV($I12,'DRE + DCF'!$M$47,'DRE + DCF'!$O$47:$T$47)+('DRE + DCF'!$U$47*(1+Q$18)/(($I12-Q$18)*(1+$I12)^COUNT('DRE + DCF'!$N$36:$T$36)))+SUM($F$13:$F$14)-$F$12)/$F$10</f>
        <v>4.3068701418738247</v>
      </c>
      <c r="R12" s="20">
        <f>(NPV($I12,'DRE + DCF'!$M$47,'DRE + DCF'!$O$47:$T$47)+('DRE + DCF'!$U$47*(1+R$18)/(($I12-R$18)*(1+$I12)^COUNT('DRE + DCF'!$N$36:$T$36)))+SUM($F$13:$F$14)-$F$12)/$F$10</f>
        <v>4.6047071172620679</v>
      </c>
      <c r="S12" s="21">
        <f>(NPV($I12,'DRE + DCF'!$M$47,'DRE + DCF'!$O$47:$T$47)+('DRE + DCF'!$U$47*(1+S$18)/(($I12-S$18)*(1+$I12)^COUNT('DRE + DCF'!$N$36:$T$36)))+SUM($F$13:$F$14)-$F$12)/$F$10</f>
        <v>4.9216855860104296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30" customHeight="1" x14ac:dyDescent="0.2">
      <c r="A13" s="15" t="s">
        <v>12</v>
      </c>
      <c r="B13" s="4"/>
      <c r="C13" s="4"/>
      <c r="D13" s="4"/>
      <c r="E13" s="25" t="s">
        <v>13</v>
      </c>
      <c r="F13" s="23">
        <f>'Balanço Patrimonial'!L14+'Balanço Patrimonial'!L27</f>
        <v>528474.75965263415</v>
      </c>
      <c r="G13" s="24"/>
      <c r="H13" s="272"/>
      <c r="I13" s="19">
        <f>WACC!K20</f>
        <v>0.17529878241076507</v>
      </c>
      <c r="J13" s="20">
        <f>(NPV($I13,'DRE + DCF'!$M$47,'DRE + DCF'!$O$47:$T$47)+('DRE + DCF'!$U$47*(1+J$18)/(($I13-J$18)*(1+$I13)^COUNT('DRE + DCF'!$N$36:$T$36)))+SUM($F$13:$F$14)-$F$12)/$F$10</f>
        <v>2.0206484323674752</v>
      </c>
      <c r="K13" s="20">
        <f>(NPV($I13,'DRE + DCF'!$M$47,'DRE + DCF'!$O$47:$T$47)+('DRE + DCF'!$U$47*(1+K$18)/(($I13-K$18)*(1+$I13)^COUNT('DRE + DCF'!$N$36:$T$36)))+SUM($F$13:$F$14)-$F$12)/$F$10</f>
        <v>2.1989647162505963</v>
      </c>
      <c r="L13" s="20">
        <f>(NPV($I13,'DRE + DCF'!$M$47,'DRE + DCF'!$O$47:$T$47)+('DRE + DCF'!$U$47*(1+L$18)/(($I13-L$18)*(1+$I13)^COUNT('DRE + DCF'!$N$36:$T$36)))+SUM($F$13:$F$14)-$F$12)/$F$10</f>
        <v>2.3861702547984902</v>
      </c>
      <c r="M13" s="20">
        <f>(NPV($I13,'DRE + DCF'!$M$47,'DRE + DCF'!$O$47:$T$47)+('DRE + DCF'!$U$47*(1+M$18)/(($I13-M$18)*(1+$I13)^COUNT('DRE + DCF'!$N$36:$T$36)))+SUM($F$13:$F$14)-$F$12)/$F$10</f>
        <v>2.5829467478068162</v>
      </c>
      <c r="N13" s="20">
        <f>(NPV($I13,'DRE + DCF'!$M$47,'DRE + DCF'!$O$47:$T$47)+('DRE + DCF'!$U$47*(1+N$18)/(($I13-N$18)*(1+$I13)^COUNT('DRE + DCF'!$N$36:$T$36)))+SUM($F$13:$F$14)-$F$12)/$F$10</f>
        <v>2.7900474279679335</v>
      </c>
      <c r="O13" s="20">
        <f>(NPV($I13,'DRE + DCF'!$M$47,'DRE + DCF'!$O$47:$T$47)+('DRE + DCF'!$U$47*(1+O$18)/(($I13-O$18)*(1+$I13)^COUNT('DRE + DCF'!$N$36:$T$36)))+SUM($F$13:$F$14)-$F$12)/$F$10</f>
        <v>3.0083066963551541</v>
      </c>
      <c r="P13" s="20">
        <f>(NPV($I13,'DRE + DCF'!$M$47,'DRE + DCF'!$O$47:$T$47)+('DRE + DCF'!$U$47*(1+P$18)/(($I13-P$18)*(1+$I13)^COUNT('DRE + DCF'!$N$36:$T$36)))+SUM($F$13:$F$14)-$F$12)/$F$10</f>
        <v>3.2386513585073939</v>
      </c>
      <c r="Q13" s="20">
        <f>(NPV($I13,'DRE + DCF'!$M$47,'DRE + DCF'!$O$47:$T$47)+('DRE + DCF'!$U$47*(1+Q$18)/(($I13-Q$18)*(1+$I13)^COUNT('DRE + DCF'!$N$36:$T$36)))+SUM($F$13:$F$14)-$F$12)/$F$10</f>
        <v>3.4821137801448754</v>
      </c>
      <c r="R13" s="20">
        <f>(NPV($I13,'DRE + DCF'!$M$47,'DRE + DCF'!$O$47:$T$47)+('DRE + DCF'!$U$47*(1+R$18)/(($I13-R$18)*(1+$I13)^COUNT('DRE + DCF'!$N$36:$T$36)))+SUM($F$13:$F$14)-$F$12)/$F$10</f>
        <v>3.7398473563496704</v>
      </c>
      <c r="S13" s="21">
        <f>(NPV($I13,'DRE + DCF'!$M$47,'DRE + DCF'!$O$47:$T$47)+('DRE + DCF'!$U$47*(1+S$18)/(($I13-S$18)*(1+$I13)^COUNT('DRE + DCF'!$N$36:$T$36)))+SUM($F$13:$F$14)-$F$12)/$F$10</f>
        <v>4.0131447831752434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30" customHeight="1" x14ac:dyDescent="0.2">
      <c r="A14" s="15"/>
      <c r="B14" s="4"/>
      <c r="C14" s="4"/>
      <c r="D14" s="4"/>
      <c r="E14" s="25" t="s">
        <v>14</v>
      </c>
      <c r="F14" s="23">
        <f>1656613*50%</f>
        <v>828306.5</v>
      </c>
      <c r="G14" s="24"/>
      <c r="H14" s="272"/>
      <c r="I14" s="19">
        <f>I13+0.5%</f>
        <v>0.18029878241076508</v>
      </c>
      <c r="J14" s="20">
        <f>(NPV($I14,'DRE + DCF'!$M$47,'DRE + DCF'!$O$47:$T$47)+('DRE + DCF'!$U$47*(1+J$18)/(($I14-J$18)*(1+$I14)^COUNT('DRE + DCF'!$N$36:$T$36)))+SUM($F$13:$F$14)-$F$12)/$F$10</f>
        <v>1.4617178227397778</v>
      </c>
      <c r="K14" s="20">
        <f>(NPV($I14,'DRE + DCF'!$M$47,'DRE + DCF'!$O$47:$T$47)+('DRE + DCF'!$U$47*(1+K$18)/(($I14-K$18)*(1+$I14)^COUNT('DRE + DCF'!$N$36:$T$36)))+SUM($F$13:$F$14)-$F$12)/$F$10</f>
        <v>1.6199721936680946</v>
      </c>
      <c r="L14" s="20">
        <f>(NPV($I14,'DRE + DCF'!$M$47,'DRE + DCF'!$O$47:$T$47)+('DRE + DCF'!$U$47*(1+L$18)/(($I14-L$18)*(1+$I14)^COUNT('DRE + DCF'!$N$36:$T$36)))+SUM($F$13:$F$14)-$F$12)/$F$10</f>
        <v>1.785741104048109</v>
      </c>
      <c r="M14" s="20">
        <f>(NPV($I14,'DRE + DCF'!$M$47,'DRE + DCF'!$O$47:$T$47)+('DRE + DCF'!$U$47*(1+M$18)/(($I14-M$18)*(1+$I14)^COUNT('DRE + DCF'!$N$36:$T$36)))+SUM($F$13:$F$14)-$F$12)/$F$10</f>
        <v>1.9595728001193802</v>
      </c>
      <c r="N14" s="20">
        <f>(NPV($I14,'DRE + DCF'!$M$47,'DRE + DCF'!$O$47:$T$47)+('DRE + DCF'!$U$47*(1+N$18)/(($I14-N$18)*(1+$I14)^COUNT('DRE + DCF'!$N$36:$T$36)))+SUM($F$13:$F$14)-$F$12)/$F$10</f>
        <v>2.1420701894270544</v>
      </c>
      <c r="O14" s="20">
        <f>(NPV($I14,'DRE + DCF'!$M$47,'DRE + DCF'!$O$47:$T$47)+('DRE + DCF'!$U$47*(1+O$18)/(($I14-O$18)*(1+$I14)^COUNT('DRE + DCF'!$N$36:$T$36)))+SUM($F$13:$F$14)-$F$12)/$F$10</f>
        <v>2.3338978272720339</v>
      </c>
      <c r="P14" s="20">
        <f>(NPV($I14,'DRE + DCF'!$M$47,'DRE + DCF'!$O$47:$T$47)+('DRE + DCF'!$U$47*(1+P$18)/(($I14-P$18)*(1+$I14)^COUNT('DRE + DCF'!$N$36:$T$36)))+SUM($F$13:$F$14)-$F$12)/$F$10</f>
        <v>2.5357900028263303</v>
      </c>
      <c r="Q14" s="20">
        <f>(NPV($I14,'DRE + DCF'!$M$47,'DRE + DCF'!$O$47:$T$47)+('DRE + DCF'!$U$47*(1+Q$18)/(($I14-Q$18)*(1+$I14)^COUNT('DRE + DCF'!$N$36:$T$36)))+SUM($F$13:$F$14)-$F$12)/$F$10</f>
        <v>2.7485601322885005</v>
      </c>
      <c r="R14" s="20">
        <f>(NPV($I14,'DRE + DCF'!$M$47,'DRE + DCF'!$O$47:$T$47)+('DRE + DCF'!$U$47*(1+R$18)/(($I14-R$18)*(1+$I14)^COUNT('DRE + DCF'!$N$36:$T$36)))+SUM($F$13:$F$14)-$F$12)/$F$10</f>
        <v>2.9731117123849851</v>
      </c>
      <c r="S14" s="21">
        <f>(NPV($I14,'DRE + DCF'!$M$47,'DRE + DCF'!$O$47:$T$47)+('DRE + DCF'!$U$47*(1+S$18)/(($I14-S$18)*(1+$I14)^COUNT('DRE + DCF'!$N$36:$T$36)))+SUM($F$13:$F$14)-$F$12)/$F$10</f>
        <v>3.2104511452244577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30" customHeight="1" x14ac:dyDescent="0.2">
      <c r="A15" s="15"/>
      <c r="B15" s="4"/>
      <c r="C15" s="4"/>
      <c r="D15" s="4"/>
      <c r="E15" s="16" t="s">
        <v>15</v>
      </c>
      <c r="F15" s="27">
        <f>(F11-F12+F13+F14)/F10</f>
        <v>2.7900474279679335</v>
      </c>
      <c r="G15" s="24"/>
      <c r="H15" s="272"/>
      <c r="I15" s="19">
        <f t="shared" ref="I15:I17" si="1">I14+0.5%</f>
        <v>0.18529878241076508</v>
      </c>
      <c r="J15" s="20">
        <f>(NPV($I15,'DRE + DCF'!$M$47,'DRE + DCF'!$O$47:$T$47)+('DRE + DCF'!$U$47*(1+J$18)/(($I15-J$18)*(1+$I15)^COUNT('DRE + DCF'!$N$36:$T$36)))+SUM($F$13:$F$14)-$F$12)/$F$10</f>
        <v>0.95336811164994228</v>
      </c>
      <c r="K15" s="20">
        <f>(NPV($I15,'DRE + DCF'!$M$47,'DRE + DCF'!$O$47:$T$47)+('DRE + DCF'!$U$47*(1+K$18)/(($I15-K$18)*(1+$I15)^COUNT('DRE + DCF'!$N$36:$T$36)))+SUM($F$13:$F$14)-$F$12)/$F$10</f>
        <v>1.0944255133871024</v>
      </c>
      <c r="L15" s="20">
        <f>(NPV($I15,'DRE + DCF'!$M$47,'DRE + DCF'!$O$47:$T$47)+('DRE + DCF'!$U$47*(1+L$18)/(($I15-L$18)*(1+$I15)^COUNT('DRE + DCF'!$N$36:$T$36)))+SUM($F$13:$F$14)-$F$12)/$F$10</f>
        <v>1.2418772468953911</v>
      </c>
      <c r="M15" s="20">
        <f>(NPV($I15,'DRE + DCF'!$M$47,'DRE + DCF'!$O$47:$T$47)+('DRE + DCF'!$U$47*(1+M$18)/(($I15-M$18)*(1+$I15)^COUNT('DRE + DCF'!$N$36:$T$36)))+SUM($F$13:$F$14)-$F$12)/$F$10</f>
        <v>1.3961681918590736</v>
      </c>
      <c r="N15" s="20">
        <f>(NPV($I15,'DRE + DCF'!$M$47,'DRE + DCF'!$O$47:$T$47)+('DRE + DCF'!$U$47*(1+N$18)/(($I15-N$18)*(1+$I15)^COUNT('DRE + DCF'!$N$36:$T$36)))+SUM($F$13:$F$14)-$F$12)/$F$10</f>
        <v>1.5577854772338846</v>
      </c>
      <c r="O15" s="20">
        <f>(NPV($I15,'DRE + DCF'!$M$47,'DRE + DCF'!$O$47:$T$47)+('DRE + DCF'!$U$47*(1+O$18)/(($I15-O$18)*(1+$I15)^COUNT('DRE + DCF'!$N$36:$T$36)))+SUM($F$13:$F$14)-$F$12)/$F$10</f>
        <v>1.7272636186219996</v>
      </c>
      <c r="P15" s="20">
        <f>(NPV($I15,'DRE + DCF'!$M$47,'DRE + DCF'!$O$47:$T$47)+('DRE + DCF'!$U$47*(1+P$18)/(($I15-P$18)*(1+$I15)^COUNT('DRE + DCF'!$N$36:$T$36)))+SUM($F$13:$F$14)-$F$12)/$F$10</f>
        <v>1.9051904239576993</v>
      </c>
      <c r="Q15" s="20">
        <f>(NPV($I15,'DRE + DCF'!$M$47,'DRE + DCF'!$O$47:$T$47)+('DRE + DCF'!$U$47*(1+Q$18)/(($I15-Q$18)*(1+$I15)^COUNT('DRE + DCF'!$N$36:$T$36)))+SUM($F$13:$F$14)-$F$12)/$F$10</f>
        <v>2.0922138049843113</v>
      </c>
      <c r="R15" s="20">
        <f>(NPV($I15,'DRE + DCF'!$M$47,'DRE + DCF'!$O$47:$T$47)+('DRE + DCF'!$U$47*(1+R$18)/(($I15-R$18)*(1+$I15)^COUNT('DRE + DCF'!$N$36:$T$36)))+SUM($F$13:$F$14)-$F$12)/$F$10</f>
        <v>2.2890496608555915</v>
      </c>
      <c r="S15" s="21">
        <f>(NPV($I15,'DRE + DCF'!$M$47,'DRE + DCF'!$O$47:$T$47)+('DRE + DCF'!$U$47*(1+S$18)/(($I15-S$18)*(1+$I15)^COUNT('DRE + DCF'!$N$36:$T$36)))+SUM($F$13:$F$14)-$F$12)/$F$10</f>
        <v>2.4964910360428494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30" customHeight="1" x14ac:dyDescent="0.2">
      <c r="A16" s="15"/>
      <c r="B16" s="4"/>
      <c r="C16" s="4"/>
      <c r="D16" s="4"/>
      <c r="E16" s="25" t="s">
        <v>16</v>
      </c>
      <c r="F16" s="28">
        <v>2.79</v>
      </c>
      <c r="G16" s="24"/>
      <c r="H16" s="272"/>
      <c r="I16" s="19">
        <f t="shared" si="1"/>
        <v>0.19029878241076509</v>
      </c>
      <c r="J16" s="20">
        <f>(NPV($I16,'DRE + DCF'!$M$47,'DRE + DCF'!$O$47:$T$47)+('DRE + DCF'!$U$47*(1+J$18)/(($I16-J$18)*(1+$I16)^COUNT('DRE + DCF'!$N$36:$T$36)))+SUM($F$13:$F$14)-$F$12)/$F$10</f>
        <v>0.48927768713895359</v>
      </c>
      <c r="K16" s="20">
        <f>(NPV($I16,'DRE + DCF'!$M$47,'DRE + DCF'!$O$47:$T$47)+('DRE + DCF'!$U$47*(1+K$18)/(($I16-K$18)*(1+$I16)^COUNT('DRE + DCF'!$N$36:$T$36)))+SUM($F$13:$F$14)-$F$12)/$F$10</f>
        <v>0.61550521392982493</v>
      </c>
      <c r="L16" s="20">
        <f>(NPV($I16,'DRE + DCF'!$M$47,'DRE + DCF'!$O$47:$T$47)+('DRE + DCF'!$U$47*(1+L$18)/(($I16-L$18)*(1+$I16)^COUNT('DRE + DCF'!$N$36:$T$36)))+SUM($F$13:$F$14)-$F$12)/$F$10</f>
        <v>0.74720667219471604</v>
      </c>
      <c r="M16" s="20">
        <f>(NPV($I16,'DRE + DCF'!$M$47,'DRE + DCF'!$O$47:$T$47)+('DRE + DCF'!$U$47*(1+M$18)/(($I16-M$18)*(1+$I16)^COUNT('DRE + DCF'!$N$36:$T$36)))+SUM($F$13:$F$14)-$F$12)/$F$10</f>
        <v>0.88474602407202596</v>
      </c>
      <c r="N16" s="20">
        <f>(NPV($I16,'DRE + DCF'!$M$47,'DRE + DCF'!$O$47:$T$47)+('DRE + DCF'!$U$47*(1+N$18)/(($I16-N$18)*(1+$I16)^COUNT('DRE + DCF'!$N$36:$T$36)))+SUM($F$13:$F$14)-$F$12)/$F$10</f>
        <v>1.0285202295384304</v>
      </c>
      <c r="O16" s="20">
        <f>(NPV($I16,'DRE + DCF'!$M$47,'DRE + DCF'!$O$47:$T$47)+('DRE + DCF'!$U$47*(1+O$18)/(($I16-O$18)*(1+$I16)^COUNT('DRE + DCF'!$N$36:$T$36)))+SUM($F$13:$F$14)-$F$12)/$F$10</f>
        <v>1.1789630727320468</v>
      </c>
      <c r="P16" s="20">
        <f>(NPV($I16,'DRE + DCF'!$M$47,'DRE + DCF'!$O$47:$T$47)+('DRE + DCF'!$U$47*(1+P$18)/(($I16-P$18)*(1+$I16)^COUNT('DRE + DCF'!$N$36:$T$36)))+SUM($F$13:$F$14)-$F$12)/$F$10</f>
        <v>1.3365495333421853</v>
      </c>
      <c r="Q16" s="20">
        <f>(NPV($I16,'DRE + DCF'!$M$47,'DRE + DCF'!$O$47:$T$47)+('DRE + DCF'!$U$47*(1+Q$18)/(($I16-Q$18)*(1+$I16)^COUNT('DRE + DCF'!$N$36:$T$36)))+SUM($F$13:$F$14)-$F$12)/$F$10</f>
        <v>1.5018007958553494</v>
      </c>
      <c r="R16" s="20">
        <f>(NPV($I16,'DRE + DCF'!$M$47,'DRE + DCF'!$O$47:$T$47)+('DRE + DCF'!$U$47*(1+R$18)/(($I16-R$18)*(1+$I16)^COUNT('DRE + DCF'!$N$36:$T$36)))+SUM($F$13:$F$14)-$F$12)/$F$10</f>
        <v>1.6752900079498159</v>
      </c>
      <c r="S16" s="21">
        <f>(NPV($I16,'DRE + DCF'!$M$47,'DRE + DCF'!$O$47:$T$47)+('DRE + DCF'!$U$47*(1+S$18)/(($I16-S$18)*(1+$I16)^COUNT('DRE + DCF'!$N$36:$T$36)))+SUM($F$13:$F$14)-$F$12)/$F$10</f>
        <v>1.8576489220905614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30" customHeight="1" x14ac:dyDescent="0.2">
      <c r="A17" s="15"/>
      <c r="B17" s="4"/>
      <c r="C17" s="4"/>
      <c r="D17" s="4"/>
      <c r="E17" s="16" t="str">
        <f>IFERROR(IF(F17=0,"",IF(F17&gt;0,"Upside","Downside")),"")</f>
        <v>Upside</v>
      </c>
      <c r="F17" s="29">
        <f>IFERROR(F15/F16-1,"")</f>
        <v>1.6999271660766979E-5</v>
      </c>
      <c r="G17" s="24"/>
      <c r="H17" s="272"/>
      <c r="I17" s="19">
        <f t="shared" si="1"/>
        <v>0.19529878241076509</v>
      </c>
      <c r="J17" s="20">
        <f>(NPV($I17,'DRE + DCF'!$M$47,'DRE + DCF'!$O$47:$T$47)+('DRE + DCF'!$U$47*(1+J$18)/(($I17-J$18)*(1+$I17)^COUNT('DRE + DCF'!$N$36:$T$36)))+SUM($F$13:$F$14)-$F$12)/$F$10</f>
        <v>6.4133142628243878E-2</v>
      </c>
      <c r="K17" s="20">
        <f>(NPV($I17,'DRE + DCF'!$M$47,'DRE + DCF'!$O$47:$T$47)+('DRE + DCF'!$U$47*(1+K$18)/(($I17-K$18)*(1+$I17)^COUNT('DRE + DCF'!$N$36:$T$36)))+SUM($F$13:$F$14)-$F$12)/$F$10</f>
        <v>0.17750160812729343</v>
      </c>
      <c r="L17" s="20">
        <f>(NPV($I17,'DRE + DCF'!$M$47,'DRE + DCF'!$O$47:$T$47)+('DRE + DCF'!$U$47*(1+L$18)/(($I17-L$18)*(1+$I17)^COUNT('DRE + DCF'!$N$36:$T$36)))+SUM($F$13:$F$14)-$F$12)/$F$10</f>
        <v>0.2955820276140364</v>
      </c>
      <c r="M17" s="20">
        <f>(NPV($I17,'DRE + DCF'!$M$47,'DRE + DCF'!$O$47:$T$47)+('DRE + DCF'!$U$47*(1+M$18)/(($I17-M$18)*(1+$I17)^COUNT('DRE + DCF'!$N$36:$T$36)))+SUM($F$13:$F$14)-$F$12)/$F$10</f>
        <v>0.41867440125982386</v>
      </c>
      <c r="N17" s="20">
        <f>(NPV($I17,'DRE + DCF'!$M$47,'DRE + DCF'!$O$47:$T$47)+('DRE + DCF'!$U$47*(1+N$18)/(($I17-N$18)*(1+$I17)^COUNT('DRE + DCF'!$N$36:$T$36)))+SUM($F$13:$F$14)-$F$12)/$F$10</f>
        <v>0.54710474860629021</v>
      </c>
      <c r="O17" s="20">
        <f>(NPV($I17,'DRE + DCF'!$M$47,'DRE + DCF'!$O$47:$T$47)+('DRE + DCF'!$U$47*(1+O$18)/(($I17-O$18)*(1+$I17)^COUNT('DRE + DCF'!$N$36:$T$36)))+SUM($F$13:$F$14)-$F$12)/$F$10</f>
        <v>0.681227991948687</v>
      </c>
      <c r="P17" s="20">
        <f>(NPV($I17,'DRE + DCF'!$M$47,'DRE + DCF'!$O$47:$T$47)+('DRE + DCF'!$U$47*(1+P$18)/(($I17-P$18)*(1+$I17)^COUNT('DRE + DCF'!$N$36:$T$36)))+SUM($F$13:$F$14)-$F$12)/$F$10</f>
        <v>0.82143123184276412</v>
      </c>
      <c r="Q17" s="20">
        <f>(NPV($I17,'DRE + DCF'!$M$47,'DRE + DCF'!$O$47:$T$47)+('DRE + DCF'!$U$47*(1+Q$18)/(($I17-Q$18)*(1+$I17)^COUNT('DRE + DCF'!$N$36:$T$36)))+SUM($F$13:$F$14)-$F$12)/$F$10</f>
        <v>0.96813747839232767</v>
      </c>
      <c r="R17" s="20">
        <f>(NPV($I17,'DRE + DCF'!$M$47,'DRE + DCF'!$O$47:$T$47)+('DRE + DCF'!$U$47*(1+R$18)/(($I17-R$18)*(1+$I17)^COUNT('DRE + DCF'!$N$36:$T$36)))+SUM($F$13:$F$14)-$F$12)/$F$10</f>
        <v>1.121809914065393</v>
      </c>
      <c r="S17" s="21">
        <f>(NPV($I17,'DRE + DCF'!$M$47,'DRE + DCF'!$O$47:$T$47)+('DRE + DCF'!$U$47*(1+S$18)/(($I17-S$18)*(1+$I17)^COUNT('DRE + DCF'!$N$36:$T$36)))+SUM($F$13:$F$14)-$F$12)/$F$10</f>
        <v>1.2829567785239571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30" customHeight="1" x14ac:dyDescent="0.2">
      <c r="A18" s="15"/>
      <c r="B18" s="4"/>
      <c r="C18" s="4"/>
      <c r="D18" s="4"/>
      <c r="E18" s="16" t="s">
        <v>17</v>
      </c>
      <c r="F18" s="29"/>
      <c r="G18" s="30"/>
      <c r="H18" s="24"/>
      <c r="I18" s="24"/>
      <c r="J18" s="19">
        <f t="shared" ref="J18:L18" si="2">K18-0.25%</f>
        <v>6.9999999999999993E-2</v>
      </c>
      <c r="K18" s="19">
        <f t="shared" si="2"/>
        <v>7.2499999999999995E-2</v>
      </c>
      <c r="L18" s="19">
        <f t="shared" si="2"/>
        <v>7.4999999999999997E-2</v>
      </c>
      <c r="M18" s="19">
        <f>N18-0.25%</f>
        <v>7.7499999999999999E-2</v>
      </c>
      <c r="N18" s="19">
        <f>'DRE + DCF'!W37</f>
        <v>0.08</v>
      </c>
      <c r="O18" s="19">
        <f>N18+0.25%</f>
        <v>8.2500000000000004E-2</v>
      </c>
      <c r="P18" s="19">
        <f t="shared" ref="P18:S18" si="3">O18+0.25%</f>
        <v>8.5000000000000006E-2</v>
      </c>
      <c r="Q18" s="19">
        <f t="shared" si="3"/>
        <v>8.7500000000000008E-2</v>
      </c>
      <c r="R18" s="19">
        <f t="shared" si="3"/>
        <v>9.0000000000000011E-2</v>
      </c>
      <c r="S18" s="31">
        <f t="shared" si="3"/>
        <v>9.2500000000000013E-2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30" customHeight="1" thickBot="1" x14ac:dyDescent="0.25">
      <c r="A19" s="15"/>
      <c r="B19" s="4"/>
      <c r="C19" s="4"/>
      <c r="D19" s="4"/>
      <c r="E19" s="32"/>
      <c r="F19" s="326"/>
      <c r="G19" s="33"/>
      <c r="H19" s="33"/>
      <c r="I19" s="33"/>
      <c r="J19" s="270" t="s">
        <v>18</v>
      </c>
      <c r="K19" s="270"/>
      <c r="L19" s="270"/>
      <c r="M19" s="270"/>
      <c r="N19" s="270"/>
      <c r="O19" s="270"/>
      <c r="P19" s="270"/>
      <c r="Q19" s="270"/>
      <c r="R19" s="270"/>
      <c r="S19" s="27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30" customHeight="1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30" customHeight="1" x14ac:dyDescent="0.2">
      <c r="B21" s="4"/>
      <c r="C21" s="4"/>
      <c r="D21" s="4"/>
      <c r="E21" s="4"/>
      <c r="F21" s="3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30" customHeight="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30" customHeight="1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30" customHeight="1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5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5" x14ac:dyDescent="0.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5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5" x14ac:dyDescent="0.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5" x14ac:dyDescent="0.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5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5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5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2:53" ht="15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2:53" ht="15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2:53" ht="15" x14ac:dyDescent="0.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2:53" ht="15" x14ac:dyDescent="0.2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2:53" ht="15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2:53" ht="15" x14ac:dyDescent="0.2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2:53" ht="15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2:53" ht="15" x14ac:dyDescent="0.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2:53" ht="15" x14ac:dyDescent="0.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2:53" ht="15" x14ac:dyDescent="0.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2:53" ht="15" x14ac:dyDescent="0.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2:53" ht="15" x14ac:dyDescent="0.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2:53" ht="15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2:53" ht="15" x14ac:dyDescent="0.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2:53" ht="15" x14ac:dyDescent="0.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2:53" ht="15" x14ac:dyDescent="0.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2:53" ht="15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2:53" ht="15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2:53" ht="15" x14ac:dyDescent="0.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2:53" ht="15" x14ac:dyDescent="0.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2:53" ht="15" x14ac:dyDescent="0.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2:53" ht="15" x14ac:dyDescent="0.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2:53" ht="15" x14ac:dyDescent="0.2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2:53" ht="15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2:53" ht="15" x14ac:dyDescent="0.2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2:53" ht="15" x14ac:dyDescent="0.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2:53" ht="15" x14ac:dyDescent="0.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2:53" ht="15" x14ac:dyDescent="0.2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2:53" ht="15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2:53" ht="15" x14ac:dyDescent="0.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2:53" ht="15" x14ac:dyDescent="0.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2:53" ht="15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2:53" ht="15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2:53" ht="15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2:53" ht="15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2:53" ht="15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2:53" ht="15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2:53" ht="15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2:53" ht="15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2:53" ht="15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2:53" ht="15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2:53" ht="15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2:53" ht="15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2:53" ht="15" x14ac:dyDescent="0.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2:53" ht="15" x14ac:dyDescent="0.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2:53" ht="15" x14ac:dyDescent="0.2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2:53" ht="15" x14ac:dyDescent="0.2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2:53" ht="15" x14ac:dyDescent="0.2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2:53" ht="15" x14ac:dyDescent="0.2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2:53" ht="15" x14ac:dyDescent="0.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2:53" ht="15" x14ac:dyDescent="0.2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2:53" ht="15" x14ac:dyDescent="0.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2:53" ht="15" x14ac:dyDescent="0.2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2:53" ht="15" x14ac:dyDescent="0.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2:53" ht="15" x14ac:dyDescent="0.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2:53" ht="15" x14ac:dyDescent="0.2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2:53" ht="15" x14ac:dyDescent="0.2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2:53" ht="15" x14ac:dyDescent="0.2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2:53" ht="15" x14ac:dyDescent="0.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2:53" ht="15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2:53" ht="15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2:53" ht="15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2:53" ht="15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2:53" ht="15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2:53" ht="15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2:53" ht="15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2:53" ht="15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2:53" ht="15" x14ac:dyDescent="0.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2:53" ht="15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2:53" ht="15" x14ac:dyDescent="0.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2:53" ht="15" x14ac:dyDescent="0.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2:53" ht="15" x14ac:dyDescent="0.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2:53" ht="15" x14ac:dyDescent="0.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2:53" ht="15" x14ac:dyDescent="0.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2:53" ht="15" x14ac:dyDescent="0.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2:53" ht="15" x14ac:dyDescent="0.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2:53" ht="15" x14ac:dyDescent="0.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2:53" ht="15" x14ac:dyDescent="0.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2:53" ht="15" x14ac:dyDescent="0.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2:53" ht="15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2:53" ht="15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2:53" ht="15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2:53" ht="15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2:53" ht="15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2:53" ht="15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2:53" ht="15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2:53" ht="15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2:53" ht="15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2:53" ht="15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2:53" ht="15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2:53" ht="15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2:53" ht="15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2:53" ht="15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2:53" ht="15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2:53" ht="15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spans="2:53" ht="15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spans="2:53" ht="15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spans="2:53" ht="15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spans="2:53" ht="15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spans="2:53" ht="15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spans="2:53" ht="15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spans="2:53" ht="15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spans="2:53" ht="15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spans="2:53" ht="15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spans="2:53" ht="15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2:53" ht="15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2:53" ht="15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2:53" ht="15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2:53" ht="15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2:53" ht="15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2:53" ht="15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2:53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hidden="1" customHeight="1" x14ac:dyDescent="0.2"/>
  </sheetData>
  <mergeCells count="3">
    <mergeCell ref="J19:S19"/>
    <mergeCell ref="H9:H17"/>
    <mergeCell ref="I3:M5"/>
  </mergeCells>
  <conditionalFormatting sqref="F17:F18">
    <cfRule type="cellIs" dxfId="166" priority="12" operator="lessThan">
      <formula>0</formula>
    </cfRule>
    <cfRule type="cellIs" dxfId="165" priority="13" operator="greaterThan">
      <formula>0</formula>
    </cfRule>
  </conditionalFormatting>
  <conditionalFormatting sqref="F15">
    <cfRule type="cellIs" dxfId="164" priority="2" operator="lessThan">
      <formula>0</formula>
    </cfRule>
    <cfRule type="cellIs" dxfId="163" priority="3" operator="greaterThan">
      <formula>0</formula>
    </cfRule>
  </conditionalFormatting>
  <conditionalFormatting sqref="J9:S17">
    <cfRule type="colorScale" priority="1">
      <colorScale>
        <cfvo type="min"/>
        <cfvo type="max"/>
        <color rgb="FFFCFCFF"/>
        <color rgb="FF00C556"/>
      </colorScale>
    </cfRule>
  </conditionalFormatting>
  <hyperlinks>
    <hyperlink ref="A9" location="WACC!A1" display="WACC" xr:uid="{2141180B-26E6-4A23-8F7C-8B5D70C9E54E}"/>
    <hyperlink ref="A10" location="'DRE + DCF'!A1" display="DRE + DCF" xr:uid="{30A59B56-951A-4943-B35B-F69D75563486}"/>
    <hyperlink ref="A11" location="'Balanço Patrimonial'!A1" display="Balanço Patrimonial" xr:uid="{5C935970-3A22-46F0-B0D3-8C52E087DC7A}"/>
    <hyperlink ref="A12" location="'Projeções - Receita'!A1" display="Projeções" xr:uid="{1FE92258-E182-44C5-882A-B920B0EE5DCD}"/>
    <hyperlink ref="A13" location="Lojas!A1" display="Lojas" xr:uid="{48E95302-5548-4406-A16B-1B7E557B0037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8243-E1CF-46C9-BB10-B7CF2D33B8DA}">
  <sheetPr codeName="Planilha13"/>
  <dimension ref="A1:BB151"/>
  <sheetViews>
    <sheetView showGridLines="0" topLeftCell="A5" zoomScale="133" zoomScaleNormal="80" workbookViewId="0">
      <selection activeCell="K16" sqref="K16:M16"/>
    </sheetView>
  </sheetViews>
  <sheetFormatPr baseColWidth="10" defaultColWidth="0" defaultRowHeight="0" customHeight="1" zeroHeight="1" x14ac:dyDescent="0.2"/>
  <cols>
    <col min="1" max="1" width="39.1640625" style="3" customWidth="1"/>
    <col min="2" max="18" width="9.1640625" style="1" customWidth="1"/>
    <col min="19" max="19" width="10.83203125" style="1" customWidth="1"/>
    <col min="20" max="53" width="9.1640625" style="1" customWidth="1"/>
    <col min="54" max="54" width="9.1640625" style="1" hidden="1" customWidth="1"/>
    <col min="55" max="16384" width="0" style="1" hidden="1"/>
  </cols>
  <sheetData>
    <row r="1" spans="1:53" ht="15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5" customHeight="1" x14ac:dyDescent="0.2"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5" customHeight="1" x14ac:dyDescent="0.2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5" customHeight="1" x14ac:dyDescent="0.2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5" customHeight="1" x14ac:dyDescent="0.2">
      <c r="B5" s="4"/>
      <c r="C5" s="4"/>
      <c r="D5" s="4"/>
      <c r="E5" s="4"/>
      <c r="F5" s="4"/>
      <c r="G5" s="4"/>
      <c r="H5" s="4"/>
      <c r="I5" s="315" t="s">
        <v>0</v>
      </c>
      <c r="J5" s="315"/>
      <c r="K5" s="315"/>
      <c r="L5" s="315"/>
      <c r="M5" s="315"/>
      <c r="N5" s="315"/>
      <c r="O5" s="31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5" customHeight="1" x14ac:dyDescent="0.2">
      <c r="B6" s="4"/>
      <c r="C6" s="4"/>
      <c r="D6" s="4"/>
      <c r="E6" s="4"/>
      <c r="F6" s="4"/>
      <c r="G6" s="4"/>
      <c r="H6" s="4"/>
      <c r="I6" s="315"/>
      <c r="J6" s="315"/>
      <c r="K6" s="315"/>
      <c r="L6" s="315"/>
      <c r="M6" s="315"/>
      <c r="N6" s="315"/>
      <c r="O6" s="31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s="10" customFormat="1" ht="24.75" customHeight="1" x14ac:dyDescent="0.2">
      <c r="A7" s="8" t="s">
        <v>1</v>
      </c>
      <c r="B7" s="9"/>
      <c r="C7" s="9"/>
      <c r="D7" s="9"/>
      <c r="E7" s="4"/>
      <c r="F7" s="4"/>
      <c r="G7" s="4"/>
      <c r="H7" s="4"/>
      <c r="I7" s="315"/>
      <c r="J7" s="315"/>
      <c r="K7" s="315"/>
      <c r="L7" s="315"/>
      <c r="M7" s="315"/>
      <c r="N7" s="315"/>
      <c r="O7" s="315"/>
      <c r="P7" s="4"/>
      <c r="Q7" s="4"/>
      <c r="R7" s="4"/>
      <c r="S7" s="4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ht="30" customHeight="1" x14ac:dyDescent="0.2">
      <c r="A8" s="15" t="s">
        <v>2</v>
      </c>
      <c r="B8" s="4"/>
      <c r="C8" s="4"/>
      <c r="D8" s="9"/>
      <c r="E8" s="9"/>
      <c r="F8" s="9"/>
      <c r="G8" s="9"/>
      <c r="H8" s="9"/>
      <c r="I8" s="9"/>
      <c r="J8" s="9"/>
      <c r="K8" s="250"/>
      <c r="L8" s="250"/>
      <c r="M8" s="250"/>
      <c r="N8" s="9"/>
      <c r="O8" s="9"/>
      <c r="P8" s="9"/>
      <c r="Q8" s="9"/>
      <c r="R8" s="9"/>
      <c r="S8" s="9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30" customHeight="1" x14ac:dyDescent="0.2">
      <c r="A9" s="11" t="s">
        <v>3</v>
      </c>
      <c r="B9" s="4"/>
      <c r="C9" s="4"/>
      <c r="D9" s="4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30" customHeight="1" x14ac:dyDescent="0.2">
      <c r="A10" s="15" t="s">
        <v>6</v>
      </c>
      <c r="B10" s="4"/>
      <c r="C10" s="4"/>
      <c r="D10" s="4"/>
      <c r="E10" s="316"/>
      <c r="F10" s="317"/>
      <c r="G10" s="317"/>
      <c r="H10" s="317"/>
      <c r="I10" s="317"/>
      <c r="J10" s="318"/>
      <c r="K10" s="319" t="s">
        <v>19</v>
      </c>
      <c r="L10" s="320"/>
      <c r="M10" s="321"/>
      <c r="N10" s="320" t="s">
        <v>20</v>
      </c>
      <c r="O10" s="320"/>
      <c r="P10" s="320"/>
      <c r="Q10" s="320"/>
      <c r="R10" s="320"/>
      <c r="S10" s="322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30" customHeight="1" x14ac:dyDescent="0.2">
      <c r="A11" s="15" t="s">
        <v>8</v>
      </c>
      <c r="B11" s="4"/>
      <c r="C11" s="4"/>
      <c r="D11" s="4"/>
      <c r="E11" s="306" t="s">
        <v>812</v>
      </c>
      <c r="F11" s="307"/>
      <c r="G11" s="307"/>
      <c r="H11" s="307"/>
      <c r="I11" s="307"/>
      <c r="J11" s="308"/>
      <c r="K11" s="309">
        <v>0.13420000000000001</v>
      </c>
      <c r="L11" s="310"/>
      <c r="M11" s="311"/>
      <c r="N11" s="277" t="s">
        <v>21</v>
      </c>
      <c r="O11" s="277"/>
      <c r="P11" s="277"/>
      <c r="Q11" s="277"/>
      <c r="R11" s="277"/>
      <c r="S11" s="27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30" customHeight="1" x14ac:dyDescent="0.2">
      <c r="A12" s="15" t="s">
        <v>10</v>
      </c>
      <c r="B12" s="4"/>
      <c r="C12" s="4"/>
      <c r="D12" s="4"/>
      <c r="E12" s="306" t="s">
        <v>22</v>
      </c>
      <c r="F12" s="307"/>
      <c r="G12" s="307"/>
      <c r="H12" s="307"/>
      <c r="I12" s="307"/>
      <c r="J12" s="308"/>
      <c r="K12" s="309">
        <v>3.2000000000000001E-2</v>
      </c>
      <c r="L12" s="310"/>
      <c r="M12" s="311"/>
      <c r="N12" s="277" t="s">
        <v>23</v>
      </c>
      <c r="O12" s="277"/>
      <c r="P12" s="277"/>
      <c r="Q12" s="277"/>
      <c r="R12" s="277"/>
      <c r="S12" s="27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30" customHeight="1" x14ac:dyDescent="0.2">
      <c r="A13" s="15" t="s">
        <v>12</v>
      </c>
      <c r="B13" s="4"/>
      <c r="C13" s="4"/>
      <c r="D13" s="4"/>
      <c r="E13" s="312" t="s">
        <v>24</v>
      </c>
      <c r="F13" s="313"/>
      <c r="G13" s="313"/>
      <c r="H13" s="313"/>
      <c r="I13" s="313"/>
      <c r="J13" s="314"/>
      <c r="K13" s="294">
        <f>K11-K12</f>
        <v>0.10220000000000001</v>
      </c>
      <c r="L13" s="295"/>
      <c r="M13" s="296"/>
      <c r="N13" s="275"/>
      <c r="O13" s="275"/>
      <c r="P13" s="275"/>
      <c r="Q13" s="275"/>
      <c r="R13" s="275"/>
      <c r="S13" s="27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30" customHeight="1" x14ac:dyDescent="0.2">
      <c r="A14" s="15"/>
      <c r="B14" s="4"/>
      <c r="C14" s="4"/>
      <c r="D14" s="4"/>
      <c r="E14" s="306" t="s">
        <v>813</v>
      </c>
      <c r="F14" s="307"/>
      <c r="G14" s="307"/>
      <c r="H14" s="307"/>
      <c r="I14" s="307"/>
      <c r="J14" s="308"/>
      <c r="K14" s="297">
        <v>2</v>
      </c>
      <c r="L14" s="298"/>
      <c r="M14" s="299"/>
      <c r="N14" s="275"/>
      <c r="O14" s="275"/>
      <c r="P14" s="275"/>
      <c r="Q14" s="275"/>
      <c r="R14" s="275"/>
      <c r="S14" s="27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30" customHeight="1" x14ac:dyDescent="0.2">
      <c r="A15" s="15"/>
      <c r="B15" s="4"/>
      <c r="C15" s="4"/>
      <c r="D15" s="4"/>
      <c r="E15" s="285" t="s">
        <v>25</v>
      </c>
      <c r="F15" s="286"/>
      <c r="G15" s="286"/>
      <c r="H15" s="286"/>
      <c r="I15" s="286"/>
      <c r="J15" s="287"/>
      <c r="K15" s="300">
        <v>6.5000000000000002E-2</v>
      </c>
      <c r="L15" s="301"/>
      <c r="M15" s="302"/>
      <c r="N15" s="277" t="s">
        <v>26</v>
      </c>
      <c r="O15" s="277"/>
      <c r="P15" s="277"/>
      <c r="Q15" s="277"/>
      <c r="R15" s="277"/>
      <c r="S15" s="278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30" customHeight="1" x14ac:dyDescent="0.2">
      <c r="A16" s="15"/>
      <c r="B16" s="4"/>
      <c r="C16" s="4"/>
      <c r="D16" s="4"/>
      <c r="E16" s="291" t="s">
        <v>27</v>
      </c>
      <c r="F16" s="292"/>
      <c r="G16" s="292"/>
      <c r="H16" s="292"/>
      <c r="I16" s="292"/>
      <c r="J16" s="293"/>
      <c r="K16" s="303">
        <v>0.29675103185975693</v>
      </c>
      <c r="L16" s="304"/>
      <c r="M16" s="305"/>
      <c r="N16" s="274"/>
      <c r="O16" s="275"/>
      <c r="P16" s="275"/>
      <c r="Q16" s="275"/>
      <c r="R16" s="275"/>
      <c r="S16" s="27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30" customHeight="1" x14ac:dyDescent="0.2">
      <c r="A17" s="15"/>
      <c r="B17" s="4"/>
      <c r="C17" s="4"/>
      <c r="D17" s="9"/>
      <c r="E17" s="285" t="s">
        <v>28</v>
      </c>
      <c r="F17" s="286"/>
      <c r="G17" s="286"/>
      <c r="H17" s="286"/>
      <c r="I17" s="286"/>
      <c r="J17" s="287"/>
      <c r="K17" s="288">
        <v>866000</v>
      </c>
      <c r="L17" s="289"/>
      <c r="M17" s="290"/>
      <c r="N17" s="277" t="s">
        <v>29</v>
      </c>
      <c r="O17" s="277"/>
      <c r="P17" s="277"/>
      <c r="Q17" s="277"/>
      <c r="R17" s="277"/>
      <c r="S17" s="278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30" customHeight="1" x14ac:dyDescent="0.2">
      <c r="A18" s="15"/>
      <c r="B18" s="4"/>
      <c r="C18" s="4"/>
      <c r="D18" s="9"/>
      <c r="E18" s="291" t="s">
        <v>30</v>
      </c>
      <c r="F18" s="292"/>
      <c r="G18" s="292"/>
      <c r="H18" s="292"/>
      <c r="I18" s="292"/>
      <c r="J18" s="293"/>
      <c r="K18" s="294">
        <v>0.14499999999999999</v>
      </c>
      <c r="L18" s="295"/>
      <c r="M18" s="296"/>
      <c r="N18" s="277" t="s">
        <v>31</v>
      </c>
      <c r="O18" s="277"/>
      <c r="P18" s="277"/>
      <c r="Q18" s="277"/>
      <c r="R18" s="277"/>
      <c r="S18" s="27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30" customHeight="1" x14ac:dyDescent="0.2">
      <c r="A19" s="15"/>
      <c r="B19" s="4"/>
      <c r="C19" s="4"/>
      <c r="D19" s="4"/>
      <c r="E19" s="285" t="s">
        <v>32</v>
      </c>
      <c r="F19" s="286"/>
      <c r="G19" s="286"/>
      <c r="H19" s="286"/>
      <c r="I19" s="286"/>
      <c r="J19" s="287"/>
      <c r="K19" s="288">
        <f>'Balanço Patrimonial'!L52+'Balanço Patrimonial'!L63</f>
        <v>3471349</v>
      </c>
      <c r="L19" s="289"/>
      <c r="M19" s="290"/>
      <c r="N19" s="274"/>
      <c r="O19" s="275"/>
      <c r="P19" s="275"/>
      <c r="Q19" s="275"/>
      <c r="R19" s="275"/>
      <c r="S19" s="27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30" customHeight="1" x14ac:dyDescent="0.2">
      <c r="B20" s="4"/>
      <c r="C20" s="4"/>
      <c r="D20" s="4"/>
      <c r="E20" s="282" t="s">
        <v>3</v>
      </c>
      <c r="F20" s="283"/>
      <c r="G20" s="283"/>
      <c r="H20" s="283"/>
      <c r="I20" s="283"/>
      <c r="J20" s="284"/>
      <c r="K20" s="279">
        <f>(K16*K17+K18*K19)/SUM(K17,K19)</f>
        <v>0.17529878241076507</v>
      </c>
      <c r="L20" s="280"/>
      <c r="M20" s="281"/>
      <c r="N20" s="277"/>
      <c r="O20" s="277"/>
      <c r="P20" s="277"/>
      <c r="Q20" s="277"/>
      <c r="R20" s="277"/>
      <c r="S20" s="27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30" customHeight="1" x14ac:dyDescent="0.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30" customHeight="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3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30" customHeight="1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3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30" customHeight="1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30" customHeight="1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30" customHeight="1" x14ac:dyDescent="0.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5" hidden="1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5" hidden="1" x14ac:dyDescent="0.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5" hidden="1" x14ac:dyDescent="0.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5" hidden="1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5" hidden="1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5" hidden="1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2:53" ht="15" hidden="1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2:53" ht="15" hidden="1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2:53" ht="15" hidden="1" x14ac:dyDescent="0.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2:53" ht="15" hidden="1" x14ac:dyDescent="0.2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2:53" ht="15" hidden="1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2:53" ht="15" hidden="1" x14ac:dyDescent="0.2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2:53" ht="15" hidden="1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2:53" ht="15" hidden="1" x14ac:dyDescent="0.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2:53" ht="15" hidden="1" x14ac:dyDescent="0.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2:53" ht="15" hidden="1" x14ac:dyDescent="0.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2:53" ht="15" hidden="1" x14ac:dyDescent="0.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2:53" ht="15" hidden="1" x14ac:dyDescent="0.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2:53" ht="15" hidden="1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2:53" ht="15" hidden="1" x14ac:dyDescent="0.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2:53" ht="15" hidden="1" x14ac:dyDescent="0.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2:53" ht="15" hidden="1" x14ac:dyDescent="0.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2:53" ht="15" hidden="1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2:53" ht="15" hidden="1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2:53" ht="15" hidden="1" x14ac:dyDescent="0.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2:53" ht="15" hidden="1" x14ac:dyDescent="0.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2:53" ht="15" hidden="1" x14ac:dyDescent="0.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2:53" ht="15" hidden="1" x14ac:dyDescent="0.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2:53" ht="15" hidden="1" x14ac:dyDescent="0.2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2:53" ht="15" hidden="1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2:53" ht="15" hidden="1" x14ac:dyDescent="0.2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2:53" ht="15" hidden="1" x14ac:dyDescent="0.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2:53" ht="15" hidden="1" x14ac:dyDescent="0.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2:53" ht="15" hidden="1" x14ac:dyDescent="0.2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2:53" ht="15" hidden="1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2:53" ht="15" hidden="1" x14ac:dyDescent="0.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2:53" ht="15" hidden="1" x14ac:dyDescent="0.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2:53" ht="15" hidden="1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2:53" ht="15" hidden="1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2:53" ht="15" hidden="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2:53" ht="15" hidden="1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2:53" ht="15" hidden="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2:53" ht="15" hidden="1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2:53" ht="15" hidden="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2:53" ht="15" hidden="1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2:53" ht="15" hidden="1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2:53" ht="15" hidden="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2:53" ht="15" hidden="1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2:53" ht="15" hidden="1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2:53" ht="15" hidden="1" x14ac:dyDescent="0.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2:53" ht="15" hidden="1" x14ac:dyDescent="0.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2:53" ht="15" hidden="1" x14ac:dyDescent="0.2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2:53" ht="15" hidden="1" x14ac:dyDescent="0.2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2:53" ht="15" hidden="1" x14ac:dyDescent="0.2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2:53" ht="15" hidden="1" x14ac:dyDescent="0.2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2:53" ht="15" hidden="1" x14ac:dyDescent="0.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2:53" ht="15" hidden="1" x14ac:dyDescent="0.2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2:53" ht="15" hidden="1" x14ac:dyDescent="0.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2:53" ht="15" hidden="1" x14ac:dyDescent="0.2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2:53" ht="15" hidden="1" x14ac:dyDescent="0.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2:53" ht="15" hidden="1" x14ac:dyDescent="0.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2:53" ht="15" hidden="1" x14ac:dyDescent="0.2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2:53" ht="15" hidden="1" x14ac:dyDescent="0.2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2:53" ht="15" hidden="1" x14ac:dyDescent="0.2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2:53" ht="15" hidden="1" x14ac:dyDescent="0.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2:53" ht="15" hidden="1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2:53" ht="15" hidden="1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2:53" ht="15" hidden="1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2:53" ht="15" hidden="1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2:53" ht="15" hidden="1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2:53" ht="15" hidden="1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2:53" ht="15" hidden="1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2:53" ht="15" hidden="1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2:53" ht="15" hidden="1" x14ac:dyDescent="0.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2:53" ht="15" hidden="1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2:53" ht="15" hidden="1" x14ac:dyDescent="0.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2:53" ht="15" hidden="1" x14ac:dyDescent="0.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2:53" ht="15" hidden="1" x14ac:dyDescent="0.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2:53" ht="15" hidden="1" x14ac:dyDescent="0.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2:53" ht="15" hidden="1" x14ac:dyDescent="0.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2:53" ht="15" hidden="1" x14ac:dyDescent="0.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2:53" ht="15" hidden="1" x14ac:dyDescent="0.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2:53" ht="15" hidden="1" x14ac:dyDescent="0.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2:53" ht="15" hidden="1" x14ac:dyDescent="0.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2:53" ht="15" hidden="1" x14ac:dyDescent="0.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2:53" ht="15" hidden="1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2:53" ht="15" hidden="1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2:53" ht="15" hidden="1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2:53" ht="15" hidden="1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2:53" ht="15" hidden="1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2:53" ht="15" hidden="1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2:53" ht="15" hidden="1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2:53" ht="15" hidden="1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2:53" ht="15" hidden="1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2:53" ht="15" hidden="1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2:53" ht="15" hidden="1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2:53" ht="15" hidden="1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2:53" ht="15" hidden="1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2:53" ht="15" hidden="1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2:53" ht="15" hidden="1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2:53" ht="15" hidden="1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spans="2:53" ht="15" hidden="1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spans="2:53" ht="15" hidden="1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spans="2:53" ht="15" hidden="1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spans="2:53" ht="15" hidden="1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spans="2:53" ht="15" hidden="1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spans="2:53" ht="15" hidden="1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spans="2:53" ht="15" hidden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spans="2:53" ht="15" hidden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spans="2:53" ht="15" hidden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spans="2:53" ht="15" hidden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2:53" ht="15" hidden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2:53" ht="15" hidden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2:53" ht="15" hidden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2:53" ht="15" hidden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2:53" ht="15" hidden="1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2:53" ht="15" hidden="1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2:53" ht="15" customHeight="1" x14ac:dyDescent="0.2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spans="2:53" ht="15" customHeight="1" x14ac:dyDescent="0.2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spans="2:53" ht="15" customHeight="1" x14ac:dyDescent="0.2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spans="2:53" ht="15" customHeight="1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spans="2:53" ht="15" customHeight="1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spans="2:53" ht="15" customHeight="1" x14ac:dyDescent="0.2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spans="2:53" ht="15" customHeight="1" x14ac:dyDescent="0.2"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spans="2:53" ht="15" hidden="1" customHeight="1" x14ac:dyDescent="0.2"/>
  </sheetData>
  <mergeCells count="34">
    <mergeCell ref="I5:O7"/>
    <mergeCell ref="E10:J10"/>
    <mergeCell ref="K10:M10"/>
    <mergeCell ref="N10:S10"/>
    <mergeCell ref="E11:J11"/>
    <mergeCell ref="N11:S11"/>
    <mergeCell ref="K11:M11"/>
    <mergeCell ref="E12:J12"/>
    <mergeCell ref="K12:M12"/>
    <mergeCell ref="K13:M13"/>
    <mergeCell ref="E13:J13"/>
    <mergeCell ref="K14:M14"/>
    <mergeCell ref="K15:M15"/>
    <mergeCell ref="K16:M16"/>
    <mergeCell ref="K17:M17"/>
    <mergeCell ref="E14:J14"/>
    <mergeCell ref="E15:J15"/>
    <mergeCell ref="E16:J16"/>
    <mergeCell ref="N12:S12"/>
    <mergeCell ref="N13:S13"/>
    <mergeCell ref="N14:S14"/>
    <mergeCell ref="N15:S15"/>
    <mergeCell ref="N16:S16"/>
    <mergeCell ref="N20:S20"/>
    <mergeCell ref="K20:M20"/>
    <mergeCell ref="E20:J20"/>
    <mergeCell ref="N19:S19"/>
    <mergeCell ref="E17:J17"/>
    <mergeCell ref="N17:S17"/>
    <mergeCell ref="K19:M19"/>
    <mergeCell ref="E18:J18"/>
    <mergeCell ref="N18:S18"/>
    <mergeCell ref="K18:M18"/>
    <mergeCell ref="E19:J19"/>
  </mergeCells>
  <hyperlinks>
    <hyperlink ref="A8" location="Dashboard!A1" display="Dashboard" xr:uid="{A009C4B7-3CC9-463E-A4D9-3769CF3F9012}"/>
    <hyperlink ref="A10" location="'DRE + DCF'!A1" display="DRE + DCF" xr:uid="{3F315894-B435-443B-8F25-72996456FD89}"/>
    <hyperlink ref="A11" location="'Balanço Patrimonial'!A1" display="Balanço Patrimonial" xr:uid="{5DF36C86-D0B7-4847-8CA6-6401F7413CA7}"/>
    <hyperlink ref="A12" location="'Projeções - Receita'!A1" display="Projeções" xr:uid="{816EEE64-A72E-463C-B361-260A7C743F68}"/>
    <hyperlink ref="A13" location="Lojas!A1" display="Lojas" xr:uid="{4E87A1CD-3D47-432A-BA55-F38806B71E36}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F24F-8A21-46EE-9722-2D91BC90ACDE}">
  <sheetPr codeName="Planilha16"/>
  <dimension ref="A2:BM154"/>
  <sheetViews>
    <sheetView showGridLines="0" topLeftCell="J33" zoomScale="125" zoomScaleNormal="34" workbookViewId="0">
      <selection activeCell="M33" sqref="M1:M1048576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68.5" style="1" bestFit="1" customWidth="1"/>
    <col min="6" max="11" width="15.1640625" style="1" bestFit="1" customWidth="1"/>
    <col min="12" max="12" width="12.5" style="1" bestFit="1" customWidth="1"/>
    <col min="13" max="13" width="12.5" style="1" customWidth="1"/>
    <col min="14" max="17" width="15.1640625" style="1" bestFit="1" customWidth="1"/>
    <col min="18" max="19" width="15.1640625" style="1" customWidth="1"/>
    <col min="20" max="20" width="15.1640625" style="1" bestFit="1" customWidth="1"/>
    <col min="21" max="21" width="15.5" style="1" bestFit="1" customWidth="1"/>
    <col min="22" max="23" width="13.83203125" style="1" customWidth="1"/>
    <col min="24" max="36" width="9.1640625" style="1" customWidth="1"/>
    <col min="37" max="65" width="9.1640625" style="1" hidden="1" customWidth="1"/>
    <col min="66" max="16384" width="0" style="1" hidden="1"/>
  </cols>
  <sheetData>
    <row r="2" spans="1:38" ht="15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" customHeight="1" x14ac:dyDescent="0.2">
      <c r="B3" s="4"/>
      <c r="C3" s="4"/>
      <c r="D3" s="4"/>
      <c r="E3" s="4"/>
      <c r="F3" s="38"/>
      <c r="G3" s="38"/>
      <c r="H3" s="38"/>
      <c r="I3" s="38"/>
      <c r="J3" s="38"/>
      <c r="K3" s="38"/>
      <c r="L3" s="38"/>
      <c r="M3" s="38"/>
      <c r="N3" s="38"/>
      <c r="O3" s="38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" customHeight="1" x14ac:dyDescent="0.2">
      <c r="B4" s="4"/>
      <c r="C4" s="4"/>
      <c r="D4" s="4"/>
      <c r="E4" s="4"/>
      <c r="F4" s="38"/>
      <c r="G4" s="38"/>
      <c r="H4" s="38"/>
      <c r="I4" s="38"/>
      <c r="J4" s="38"/>
      <c r="K4" s="38"/>
      <c r="L4" s="38"/>
      <c r="M4" s="38"/>
      <c r="N4" s="38"/>
      <c r="O4" s="38"/>
      <c r="P4" s="4"/>
      <c r="Q4" s="38"/>
      <c r="R4" s="38"/>
      <c r="S4" s="38"/>
      <c r="T4" s="38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26" x14ac:dyDescent="0.2">
      <c r="B5" s="4"/>
      <c r="C5" s="4"/>
      <c r="D5" s="4"/>
      <c r="E5" s="4"/>
      <c r="F5" s="38"/>
      <c r="G5" s="38"/>
      <c r="H5" s="38"/>
      <c r="I5" s="38"/>
      <c r="J5" s="315" t="s">
        <v>0</v>
      </c>
      <c r="K5" s="315"/>
      <c r="L5" s="38"/>
      <c r="M5" s="38"/>
      <c r="N5" s="38"/>
      <c r="O5" s="38"/>
      <c r="P5" s="4"/>
      <c r="Q5" s="38"/>
      <c r="R5" s="38"/>
      <c r="S5" s="38"/>
      <c r="T5" s="38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" customHeight="1" x14ac:dyDescent="0.2">
      <c r="B6" s="4"/>
      <c r="C6" s="4"/>
      <c r="D6" s="4"/>
      <c r="E6" s="4"/>
      <c r="F6" s="38"/>
      <c r="G6" s="38"/>
      <c r="H6" s="38"/>
      <c r="I6" s="38"/>
      <c r="J6" s="315"/>
      <c r="K6" s="315"/>
      <c r="L6" s="38"/>
      <c r="M6" s="38"/>
      <c r="N6" s="38"/>
      <c r="O6" s="38"/>
      <c r="P6" s="4"/>
      <c r="Q6" s="38"/>
      <c r="R6" s="38"/>
      <c r="S6" s="38"/>
      <c r="T6" s="38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10" customFormat="1" ht="24.75" customHeight="1" x14ac:dyDescent="0.2">
      <c r="A7" s="8" t="s">
        <v>1</v>
      </c>
      <c r="B7" s="9"/>
      <c r="C7" s="9"/>
      <c r="D7" s="9"/>
      <c r="E7" s="4"/>
      <c r="F7" s="38"/>
      <c r="G7" s="38"/>
      <c r="H7" s="38"/>
      <c r="I7" s="38"/>
      <c r="J7" s="213"/>
      <c r="K7" s="213"/>
      <c r="L7" s="38"/>
      <c r="M7" s="38"/>
      <c r="N7" s="38"/>
      <c r="O7" s="38"/>
      <c r="P7" s="4"/>
      <c r="Q7" s="38"/>
      <c r="R7" s="38"/>
      <c r="S7" s="38"/>
      <c r="T7" s="38"/>
      <c r="U7" s="4"/>
      <c r="V7" s="4"/>
      <c r="W7" s="4"/>
      <c r="X7" s="4"/>
      <c r="Y7" s="4"/>
      <c r="Z7" s="4"/>
      <c r="AA7" s="4"/>
      <c r="AB7" s="4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ht="30" customHeight="1" x14ac:dyDescent="0.2">
      <c r="A8" s="15" t="s">
        <v>2</v>
      </c>
      <c r="B8" s="4"/>
      <c r="C8" s="4"/>
      <c r="D8" s="9"/>
      <c r="E8" s="9"/>
      <c r="F8" s="4"/>
      <c r="G8" s="4"/>
      <c r="H8" s="4"/>
      <c r="I8" s="4"/>
      <c r="J8" s="4"/>
      <c r="K8" s="4"/>
      <c r="L8" s="4"/>
      <c r="M8" s="4"/>
      <c r="N8" s="9"/>
      <c r="O8" s="9"/>
      <c r="P8" s="9"/>
      <c r="Q8" s="38"/>
      <c r="R8" s="38"/>
      <c r="S8" s="38"/>
      <c r="T8" s="38"/>
      <c r="U8" s="9"/>
      <c r="V8" s="9"/>
      <c r="W8" s="9"/>
      <c r="X8" s="9"/>
      <c r="Y8" s="9"/>
      <c r="Z8" s="9"/>
      <c r="AA8" s="9"/>
      <c r="AB8" s="9"/>
      <c r="AC8" s="4"/>
      <c r="AD8" s="4"/>
      <c r="AE8" s="4"/>
      <c r="AF8" s="4"/>
      <c r="AG8" s="4"/>
      <c r="AH8" s="4"/>
      <c r="AI8" s="4"/>
      <c r="AJ8" s="9"/>
    </row>
    <row r="9" spans="1:38" ht="30" customHeight="1" x14ac:dyDescent="0.2">
      <c r="A9" s="15" t="s">
        <v>3</v>
      </c>
      <c r="B9" s="4"/>
      <c r="C9" s="4"/>
      <c r="D9" s="4"/>
      <c r="E9" s="34"/>
      <c r="T9" s="40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9"/>
    </row>
    <row r="10" spans="1:38" ht="30" customHeight="1" x14ac:dyDescent="0.2">
      <c r="A10" s="11" t="s">
        <v>6</v>
      </c>
      <c r="B10" s="4"/>
      <c r="C10" s="4"/>
      <c r="D10" s="4"/>
      <c r="E10" s="41"/>
      <c r="F10" s="42">
        <v>2016</v>
      </c>
      <c r="G10" s="42">
        <v>2017</v>
      </c>
      <c r="H10" s="42">
        <v>2018</v>
      </c>
      <c r="I10" s="42">
        <v>2019</v>
      </c>
      <c r="J10" s="42">
        <v>2020</v>
      </c>
      <c r="K10" s="42">
        <v>2021</v>
      </c>
      <c r="L10" s="42" t="s">
        <v>33</v>
      </c>
      <c r="M10" s="43" t="s">
        <v>34</v>
      </c>
      <c r="N10" s="43">
        <v>2022</v>
      </c>
      <c r="O10" s="43">
        <v>2023</v>
      </c>
      <c r="P10" s="43">
        <v>2024</v>
      </c>
      <c r="Q10" s="263">
        <v>2025</v>
      </c>
      <c r="R10" s="195">
        <f>Q10+1</f>
        <v>2026</v>
      </c>
      <c r="S10" s="195">
        <f t="shared" ref="S10:T10" si="0">R10+1</f>
        <v>2027</v>
      </c>
      <c r="T10" s="266">
        <f t="shared" si="0"/>
        <v>2028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9"/>
    </row>
    <row r="11" spans="1:38" ht="30" customHeight="1" x14ac:dyDescent="0.2">
      <c r="A11" s="15" t="s">
        <v>8</v>
      </c>
      <c r="B11" s="4"/>
      <c r="C11" s="4"/>
      <c r="D11" s="4"/>
      <c r="E11" s="45" t="s">
        <v>35</v>
      </c>
      <c r="F11" s="46">
        <v>4780694.0000078101</v>
      </c>
      <c r="G11" s="46">
        <v>5035610</v>
      </c>
      <c r="H11" s="46">
        <v>5139114</v>
      </c>
      <c r="I11" s="46">
        <v>5285176</v>
      </c>
      <c r="J11" s="46">
        <v>4085486</v>
      </c>
      <c r="K11" s="47">
        <v>5153205</v>
      </c>
      <c r="L11" s="47">
        <v>1197024</v>
      </c>
      <c r="M11" s="47">
        <f>N11-L11</f>
        <v>4397145.613894633</v>
      </c>
      <c r="N11" s="47">
        <f>'Projeções - Receita'!L10</f>
        <v>5594169.613894633</v>
      </c>
      <c r="O11" s="47">
        <f>'Projeções - Receita'!M10</f>
        <v>6643601.443778594</v>
      </c>
      <c r="P11" s="47">
        <f>'Projeções - Receita'!N10</f>
        <v>7910445.6856245035</v>
      </c>
      <c r="Q11" s="265">
        <f>'Projeções - Receita'!O10</f>
        <v>9223569.7285775803</v>
      </c>
      <c r="R11" s="46">
        <f>'Projeções - Receita'!P10</f>
        <v>10319264.194264177</v>
      </c>
      <c r="S11" s="46">
        <f>'Projeções - Receita'!Q10</f>
        <v>11455212.798306828</v>
      </c>
      <c r="T11" s="48">
        <f>'Projeções - Receita'!R10</f>
        <v>12401748.108633673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9"/>
    </row>
    <row r="12" spans="1:38" ht="30" customHeight="1" x14ac:dyDescent="0.2">
      <c r="A12" s="15" t="s">
        <v>10</v>
      </c>
      <c r="B12" s="4"/>
      <c r="C12" s="4"/>
      <c r="D12" s="4"/>
      <c r="E12" s="49" t="s">
        <v>36</v>
      </c>
      <c r="F12" s="50"/>
      <c r="G12" s="50">
        <f t="shared" ref="G12:I12" si="1">G11/F11-1</f>
        <v>5.3321965386567971E-2</v>
      </c>
      <c r="H12" s="50">
        <f t="shared" si="1"/>
        <v>2.0554411481429335E-2</v>
      </c>
      <c r="I12" s="50">
        <f t="shared" si="1"/>
        <v>2.8421630654622554E-2</v>
      </c>
      <c r="J12" s="50">
        <f t="shared" ref="J12" si="2">J11/I11-1</f>
        <v>-0.22699149470140634</v>
      </c>
      <c r="K12" s="50">
        <f>K11/J11-1</f>
        <v>0.26134442756626752</v>
      </c>
      <c r="L12" s="50"/>
      <c r="M12" s="50"/>
      <c r="N12" s="50">
        <f>N11/K11-1</f>
        <v>8.5570943499168495E-2</v>
      </c>
      <c r="O12" s="50">
        <f>O11/N11-1</f>
        <v>0.18759385258491501</v>
      </c>
      <c r="P12" s="50">
        <f t="shared" ref="P12:Q12" si="3">P11/O11-1</f>
        <v>0.19068636982012932</v>
      </c>
      <c r="Q12" s="71">
        <f t="shared" si="3"/>
        <v>0.16599874332484088</v>
      </c>
      <c r="R12" s="71">
        <f t="shared" ref="R12" si="4">R11/Q11-1</f>
        <v>0.11879288582725023</v>
      </c>
      <c r="S12" s="71">
        <f t="shared" ref="S12:T12" si="5">S11/R11-1</f>
        <v>0.11008038777358298</v>
      </c>
      <c r="T12" s="262">
        <f t="shared" si="5"/>
        <v>8.2629221036099043E-2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9"/>
    </row>
    <row r="13" spans="1:38" ht="30" customHeight="1" x14ac:dyDescent="0.2">
      <c r="A13" s="15" t="s">
        <v>12</v>
      </c>
      <c r="B13" s="4"/>
      <c r="C13" s="4"/>
      <c r="D13" s="4"/>
      <c r="E13" s="49" t="s">
        <v>37</v>
      </c>
      <c r="F13" s="52">
        <v>-2775856</v>
      </c>
      <c r="G13" s="52">
        <v>-2614085</v>
      </c>
      <c r="H13" s="52">
        <v>-2589971</v>
      </c>
      <c r="I13" s="52">
        <v>-2717065</v>
      </c>
      <c r="J13" s="52">
        <v>-2188859</v>
      </c>
      <c r="K13" s="52">
        <v>-2755897</v>
      </c>
      <c r="L13" s="52">
        <v>-629605</v>
      </c>
      <c r="M13" s="52"/>
      <c r="N13" s="268"/>
      <c r="O13" s="52"/>
      <c r="P13" s="52"/>
      <c r="Q13" s="264"/>
      <c r="R13" s="52"/>
      <c r="S13" s="52"/>
      <c r="T13" s="14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9"/>
    </row>
    <row r="14" spans="1:38" ht="30" customHeight="1" x14ac:dyDescent="0.2">
      <c r="A14" s="15"/>
      <c r="B14" s="4"/>
      <c r="C14" s="4"/>
      <c r="D14" s="4"/>
      <c r="E14" s="45" t="s">
        <v>38</v>
      </c>
      <c r="F14" s="46">
        <f t="shared" ref="F14:L14" si="6">F11+F13</f>
        <v>2004838.0000078101</v>
      </c>
      <c r="G14" s="46">
        <f t="shared" si="6"/>
        <v>2421525</v>
      </c>
      <c r="H14" s="46">
        <f t="shared" si="6"/>
        <v>2549143</v>
      </c>
      <c r="I14" s="46">
        <f t="shared" si="6"/>
        <v>2568111</v>
      </c>
      <c r="J14" s="46">
        <f t="shared" si="6"/>
        <v>1896627</v>
      </c>
      <c r="K14" s="46">
        <f t="shared" si="6"/>
        <v>2397308</v>
      </c>
      <c r="L14" s="46">
        <f t="shared" si="6"/>
        <v>567419</v>
      </c>
      <c r="M14" s="46"/>
      <c r="N14" s="46"/>
      <c r="O14" s="46"/>
      <c r="P14" s="46"/>
      <c r="Q14" s="265"/>
      <c r="R14" s="46"/>
      <c r="S14" s="46"/>
      <c r="T14" s="138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9"/>
    </row>
    <row r="15" spans="1:38" ht="30" customHeight="1" x14ac:dyDescent="0.2">
      <c r="A15" s="15"/>
      <c r="B15" s="4"/>
      <c r="C15" s="4"/>
      <c r="D15" s="4"/>
      <c r="E15" s="55" t="s">
        <v>39</v>
      </c>
      <c r="F15" s="50">
        <f t="shared" ref="F15:I15" si="7">F14/F11</f>
        <v>0.4193612893869666</v>
      </c>
      <c r="G15" s="50">
        <f t="shared" si="7"/>
        <v>0.48088017141915279</v>
      </c>
      <c r="H15" s="50">
        <f t="shared" si="7"/>
        <v>0.49602771995328376</v>
      </c>
      <c r="I15" s="50">
        <f t="shared" si="7"/>
        <v>0.48590832169070625</v>
      </c>
      <c r="J15" s="50">
        <f>J14/J11</f>
        <v>0.46423534433847036</v>
      </c>
      <c r="K15" s="50">
        <f>K14/K11</f>
        <v>0.46520718659552646</v>
      </c>
      <c r="L15" s="50">
        <f>L14/L11</f>
        <v>0.47402474804181033</v>
      </c>
      <c r="M15" s="50"/>
      <c r="N15" s="50"/>
      <c r="O15" s="50"/>
      <c r="P15" s="50"/>
      <c r="Q15" s="71"/>
      <c r="R15" s="50"/>
      <c r="S15" s="50"/>
      <c r="T15" s="262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9"/>
    </row>
    <row r="16" spans="1:38" ht="30" customHeight="1" x14ac:dyDescent="0.2">
      <c r="A16" s="15"/>
      <c r="B16" s="4"/>
      <c r="C16" s="4"/>
      <c r="D16" s="4"/>
      <c r="E16" s="49" t="s">
        <v>40</v>
      </c>
      <c r="F16" s="56">
        <f t="shared" ref="F16:L16" si="8">F17+F18+F19</f>
        <v>-2012392</v>
      </c>
      <c r="G16" s="57">
        <f t="shared" si="8"/>
        <v>-2124825.0000019502</v>
      </c>
      <c r="H16" s="52">
        <f t="shared" si="8"/>
        <v>-2192922.0000019502</v>
      </c>
      <c r="I16" s="52">
        <f t="shared" si="8"/>
        <v>-1535027</v>
      </c>
      <c r="J16" s="52">
        <f t="shared" si="8"/>
        <v>-2060865.000000488</v>
      </c>
      <c r="K16" s="52">
        <f t="shared" si="8"/>
        <v>-2304510</v>
      </c>
      <c r="L16" s="52">
        <f t="shared" si="8"/>
        <v>-738362</v>
      </c>
      <c r="M16" s="52"/>
      <c r="N16" s="52"/>
      <c r="O16" s="52"/>
      <c r="P16" s="52"/>
      <c r="Q16" s="264"/>
      <c r="R16" s="52"/>
      <c r="S16" s="52"/>
      <c r="T16" s="146"/>
      <c r="U16" s="4"/>
      <c r="V16" s="58"/>
      <c r="W16" s="58"/>
      <c r="X16" s="58"/>
      <c r="Y16" s="58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9"/>
    </row>
    <row r="17" spans="1:36" ht="30" customHeight="1" x14ac:dyDescent="0.2">
      <c r="A17" s="15"/>
      <c r="B17" s="4"/>
      <c r="C17" s="4"/>
      <c r="D17" s="9"/>
      <c r="E17" s="59" t="s">
        <v>41</v>
      </c>
      <c r="F17" s="52">
        <v>-1536151</v>
      </c>
      <c r="G17" s="52">
        <v>-1596848.00000195</v>
      </c>
      <c r="H17" s="52">
        <v>-1699883.00000195</v>
      </c>
      <c r="I17" s="52">
        <v>-1755337</v>
      </c>
      <c r="J17" s="52">
        <v>-1648437</v>
      </c>
      <c r="K17" s="52">
        <v>-2025632</v>
      </c>
      <c r="L17" s="52">
        <v>-559936</v>
      </c>
      <c r="M17" s="52"/>
      <c r="N17" s="52"/>
      <c r="O17" s="52"/>
      <c r="P17" s="52"/>
      <c r="Q17" s="264"/>
      <c r="R17" s="52"/>
      <c r="S17" s="52"/>
      <c r="T17" s="14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9"/>
    </row>
    <row r="18" spans="1:36" ht="30" customHeight="1" x14ac:dyDescent="0.2">
      <c r="A18" s="15"/>
      <c r="B18" s="4"/>
      <c r="C18" s="4"/>
      <c r="D18" s="9"/>
      <c r="E18" s="59" t="s">
        <v>42</v>
      </c>
      <c r="F18" s="52">
        <v>-481679</v>
      </c>
      <c r="G18" s="52">
        <v>-509821</v>
      </c>
      <c r="H18" s="52">
        <v>-482233</v>
      </c>
      <c r="I18" s="52">
        <v>-498019</v>
      </c>
      <c r="J18" s="52">
        <v>-491704.00000048801</v>
      </c>
      <c r="K18" s="52">
        <v>-487881</v>
      </c>
      <c r="L18" s="52">
        <v>-175828</v>
      </c>
      <c r="M18" s="52"/>
      <c r="N18" s="52"/>
      <c r="O18" s="52"/>
      <c r="P18" s="52"/>
      <c r="Q18" s="264"/>
      <c r="R18" s="52"/>
      <c r="S18" s="52"/>
      <c r="T18" s="14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9"/>
    </row>
    <row r="19" spans="1:36" ht="30" customHeight="1" x14ac:dyDescent="0.2">
      <c r="A19" s="15"/>
      <c r="B19" s="4"/>
      <c r="C19" s="4"/>
      <c r="D19" s="4"/>
      <c r="E19" s="59" t="s">
        <v>43</v>
      </c>
      <c r="F19" s="52">
        <v>5438</v>
      </c>
      <c r="G19" s="52">
        <v>-18156</v>
      </c>
      <c r="H19" s="52">
        <v>-10806</v>
      </c>
      <c r="I19" s="52">
        <f>SUM(I20:I21)</f>
        <v>718329</v>
      </c>
      <c r="J19" s="52">
        <f>SUM(J20:J21)</f>
        <v>79276</v>
      </c>
      <c r="K19" s="52">
        <f>SUM(K20:K21)</f>
        <v>209003</v>
      </c>
      <c r="L19" s="52">
        <f>SUM(L20:L21)</f>
        <v>-2598</v>
      </c>
      <c r="M19" s="52"/>
      <c r="N19" s="60"/>
      <c r="O19" s="60"/>
      <c r="P19" s="60"/>
      <c r="Q19" s="264"/>
      <c r="R19" s="52"/>
      <c r="S19" s="52"/>
      <c r="T19" s="61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9"/>
    </row>
    <row r="20" spans="1:36" ht="30" customHeight="1" x14ac:dyDescent="0.2">
      <c r="A20" s="15"/>
      <c r="B20" s="4"/>
      <c r="C20" s="4"/>
      <c r="D20" s="4"/>
      <c r="E20" s="62" t="s">
        <v>44</v>
      </c>
      <c r="F20" s="52">
        <v>0</v>
      </c>
      <c r="G20" s="52">
        <v>20964</v>
      </c>
      <c r="H20" s="52">
        <v>2106</v>
      </c>
      <c r="I20" s="52">
        <v>773960</v>
      </c>
      <c r="J20" s="52">
        <v>170721</v>
      </c>
      <c r="K20" s="52">
        <v>234525</v>
      </c>
      <c r="L20" s="52">
        <v>10197</v>
      </c>
      <c r="M20" s="52"/>
      <c r="N20" s="52"/>
      <c r="O20" s="52"/>
      <c r="P20" s="52"/>
      <c r="Q20" s="264"/>
      <c r="R20" s="52"/>
      <c r="S20" s="52"/>
      <c r="T20" s="61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9"/>
    </row>
    <row r="21" spans="1:36" ht="30" customHeight="1" x14ac:dyDescent="0.2">
      <c r="A21" s="15"/>
      <c r="B21" s="4"/>
      <c r="C21" s="4"/>
      <c r="D21" s="4"/>
      <c r="E21" s="62" t="s">
        <v>45</v>
      </c>
      <c r="F21" s="52">
        <v>0</v>
      </c>
      <c r="G21" s="52">
        <v>-39120</v>
      </c>
      <c r="H21" s="52">
        <v>-12912</v>
      </c>
      <c r="I21" s="52">
        <v>-55631</v>
      </c>
      <c r="J21" s="52">
        <v>-91445</v>
      </c>
      <c r="K21" s="52">
        <v>-25522</v>
      </c>
      <c r="L21" s="52">
        <v>-12795</v>
      </c>
      <c r="M21" s="52"/>
      <c r="N21" s="52"/>
      <c r="O21" s="52"/>
      <c r="P21" s="52"/>
      <c r="Q21" s="264"/>
      <c r="R21" s="52"/>
      <c r="S21" s="52"/>
      <c r="T21" s="61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9"/>
    </row>
    <row r="22" spans="1:36" ht="30" customHeight="1" x14ac:dyDescent="0.2">
      <c r="A22" s="15"/>
      <c r="B22" s="4"/>
      <c r="C22" s="4"/>
      <c r="D22" s="4"/>
      <c r="E22" s="45" t="s">
        <v>46</v>
      </c>
      <c r="F22" s="46">
        <f t="shared" ref="F22:L22" si="9">F14+F16</f>
        <v>-7553.9999921899289</v>
      </c>
      <c r="G22" s="46">
        <f t="shared" si="9"/>
        <v>296699.99999804981</v>
      </c>
      <c r="H22" s="46">
        <f t="shared" si="9"/>
        <v>356220.99999804981</v>
      </c>
      <c r="I22" s="46">
        <f t="shared" si="9"/>
        <v>1033084</v>
      </c>
      <c r="J22" s="46">
        <f t="shared" si="9"/>
        <v>-164238.00000048801</v>
      </c>
      <c r="K22" s="46">
        <f t="shared" si="9"/>
        <v>92798</v>
      </c>
      <c r="L22" s="46">
        <f t="shared" si="9"/>
        <v>-170943</v>
      </c>
      <c r="M22" s="46"/>
      <c r="N22" s="46"/>
      <c r="O22" s="46"/>
      <c r="P22" s="46"/>
      <c r="Q22" s="265"/>
      <c r="R22" s="46"/>
      <c r="S22" s="46"/>
      <c r="T22" s="48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9"/>
    </row>
    <row r="23" spans="1:36" ht="30" customHeight="1" x14ac:dyDescent="0.2">
      <c r="A23" s="15"/>
      <c r="B23" s="4"/>
      <c r="C23" s="4"/>
      <c r="D23" s="4"/>
      <c r="E23" s="55" t="s">
        <v>47</v>
      </c>
      <c r="F23" s="50">
        <f t="shared" ref="F23:L23" si="10">F22/F11</f>
        <v>-1.5801053136171419E-3</v>
      </c>
      <c r="G23" s="50">
        <f t="shared" si="10"/>
        <v>5.8920369130661392E-2</v>
      </c>
      <c r="H23" s="50">
        <f t="shared" si="10"/>
        <v>6.931564468078541E-2</v>
      </c>
      <c r="I23" s="50">
        <f t="shared" si="10"/>
        <v>0.19546823038627284</v>
      </c>
      <c r="J23" s="50">
        <f t="shared" si="10"/>
        <v>-4.0200358048097094E-2</v>
      </c>
      <c r="K23" s="50">
        <f t="shared" si="10"/>
        <v>1.8007822316403094E-2</v>
      </c>
      <c r="L23" s="50">
        <f t="shared" si="10"/>
        <v>-0.14280666051808485</v>
      </c>
      <c r="M23" s="50"/>
      <c r="N23" s="50"/>
      <c r="O23" s="50"/>
      <c r="P23" s="50"/>
      <c r="Q23" s="71"/>
      <c r="R23" s="50"/>
      <c r="S23" s="50"/>
      <c r="T23" s="64"/>
      <c r="U23" s="65"/>
      <c r="V23" s="66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9"/>
    </row>
    <row r="24" spans="1:36" ht="30" customHeight="1" x14ac:dyDescent="0.2">
      <c r="A24" s="15"/>
      <c r="B24" s="4"/>
      <c r="C24" s="4"/>
      <c r="D24" s="4"/>
      <c r="E24" s="49" t="s">
        <v>48</v>
      </c>
      <c r="F24" s="52">
        <f>'DRE - Contas Abertas'!F58</f>
        <v>0</v>
      </c>
      <c r="G24" s="52">
        <f>'DRE - Contas Abertas'!G58</f>
        <v>0</v>
      </c>
      <c r="H24" s="52">
        <f>'DRE - Contas Abertas'!H58</f>
        <v>0</v>
      </c>
      <c r="I24" s="52">
        <f>'DRE - Contas Abertas'!I58</f>
        <v>717165</v>
      </c>
      <c r="J24" s="52">
        <f>'DRE - Contas Abertas'!J58</f>
        <v>94779</v>
      </c>
      <c r="K24" s="52">
        <f>'DRE - Contas Abertas'!K58</f>
        <v>210451</v>
      </c>
      <c r="L24" s="52"/>
      <c r="M24" s="52"/>
      <c r="N24" s="52"/>
      <c r="O24" s="52"/>
      <c r="P24" s="52"/>
      <c r="Q24" s="265"/>
      <c r="R24" s="46"/>
      <c r="S24" s="46"/>
      <c r="T24" s="48"/>
      <c r="U24" s="67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9"/>
    </row>
    <row r="25" spans="1:36" ht="30" customHeight="1" x14ac:dyDescent="0.2">
      <c r="A25" s="15"/>
      <c r="B25" s="4"/>
      <c r="C25" s="4"/>
      <c r="D25" s="4"/>
      <c r="E25" s="45" t="s">
        <v>49</v>
      </c>
      <c r="F25" s="46">
        <f>'DRE - Contas Abertas'!F59</f>
        <v>-7553.9999921899289</v>
      </c>
      <c r="G25" s="46">
        <f>'DRE - Contas Abertas'!G59</f>
        <v>296700</v>
      </c>
      <c r="H25" s="46">
        <f>'DRE - Contas Abertas'!H59</f>
        <v>356221</v>
      </c>
      <c r="I25" s="46">
        <f>'DRE - Contas Abertas'!I59</f>
        <v>315919</v>
      </c>
      <c r="J25" s="46">
        <f>'DRE - Contas Abertas'!J59</f>
        <v>-259017</v>
      </c>
      <c r="K25" s="46">
        <f>'DRE - Contas Abertas'!K59</f>
        <v>-117653</v>
      </c>
      <c r="L25" s="46">
        <f>L22-L24</f>
        <v>-170943</v>
      </c>
      <c r="M25" s="46">
        <f>N25-L25</f>
        <v>-228503.66645005188</v>
      </c>
      <c r="N25" s="46">
        <f>'Projeções - EBIT'!K10</f>
        <v>-399446.66645005188</v>
      </c>
      <c r="O25" s="46">
        <f>'Projeções - EBIT'!L10</f>
        <v>-379456.58117212611</v>
      </c>
      <c r="P25" s="46">
        <f>'Projeções - EBIT'!M10</f>
        <v>-283298.24169114733</v>
      </c>
      <c r="Q25" s="265">
        <f>'Projeções - EBIT'!N10</f>
        <v>365925.8831495574</v>
      </c>
      <c r="R25" s="46">
        <f>'Projeções - EBIT'!O10</f>
        <v>604135.51865704916</v>
      </c>
      <c r="S25" s="46">
        <f>'Projeções - EBIT'!P10</f>
        <v>900051.5424857731</v>
      </c>
      <c r="T25" s="48">
        <f>'Projeções - EBIT'!Q10</f>
        <v>1090351.8457598244</v>
      </c>
      <c r="U25" s="6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9"/>
    </row>
    <row r="26" spans="1:36" ht="30" customHeight="1" x14ac:dyDescent="0.2">
      <c r="A26" s="15"/>
      <c r="B26" s="4"/>
      <c r="C26" s="4"/>
      <c r="D26" s="4"/>
      <c r="E26" s="55" t="s">
        <v>50</v>
      </c>
      <c r="F26" s="50">
        <f>'DRE - Contas Abertas'!F60</f>
        <v>-1.5801053136171419E-3</v>
      </c>
      <c r="G26" s="50">
        <f>'DRE - Contas Abertas'!G60</f>
        <v>5.8920369131048672E-2</v>
      </c>
      <c r="H26" s="50">
        <f>'DRE - Contas Abertas'!H60</f>
        <v>6.9315644681164884E-2</v>
      </c>
      <c r="I26" s="50">
        <f>'DRE - Contas Abertas'!I60</f>
        <v>5.9774546770060256E-2</v>
      </c>
      <c r="J26" s="50">
        <f>'DRE - Contas Abertas'!J60</f>
        <v>-6.3399311611886569E-2</v>
      </c>
      <c r="K26" s="50">
        <f>K22/K11</f>
        <v>1.8007822316403094E-2</v>
      </c>
      <c r="L26" s="50">
        <f>L22/L11</f>
        <v>-0.14280666051808485</v>
      </c>
      <c r="M26" s="50">
        <f>M22/M11</f>
        <v>0</v>
      </c>
      <c r="N26" s="50">
        <f>N25/N11</f>
        <v>-7.1404103561307483E-2</v>
      </c>
      <c r="O26" s="50">
        <f t="shared" ref="O26:T26" si="11">O25/O11</f>
        <v>-5.7116096500260193E-2</v>
      </c>
      <c r="P26" s="50">
        <f t="shared" si="11"/>
        <v>-3.5813183346417463E-2</v>
      </c>
      <c r="Q26" s="71">
        <f t="shared" si="11"/>
        <v>3.967291340746322E-2</v>
      </c>
      <c r="R26" s="50">
        <f t="shared" si="11"/>
        <v>5.8544437595933405E-2</v>
      </c>
      <c r="S26" s="50">
        <f t="shared" si="11"/>
        <v>7.8571350732027243E-2</v>
      </c>
      <c r="T26" s="68">
        <f t="shared" si="11"/>
        <v>8.7919205922329505E-2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9"/>
    </row>
    <row r="27" spans="1:36" ht="30" customHeight="1" x14ac:dyDescent="0.2">
      <c r="A27" s="15"/>
      <c r="B27" s="4"/>
      <c r="C27" s="4"/>
      <c r="D27" s="4"/>
      <c r="E27" s="49" t="s">
        <v>51</v>
      </c>
      <c r="F27" s="52">
        <f t="shared" ref="F27:I27" si="12">SUM(F28:F29)</f>
        <v>-197360</v>
      </c>
      <c r="G27" s="52">
        <f t="shared" si="12"/>
        <v>-155153</v>
      </c>
      <c r="H27" s="52">
        <f t="shared" si="12"/>
        <v>-130671</v>
      </c>
      <c r="I27" s="52">
        <f t="shared" si="12"/>
        <v>388942</v>
      </c>
      <c r="J27" s="52">
        <f t="shared" ref="J27:L27" si="13">SUM(J28:J29)</f>
        <v>-91435</v>
      </c>
      <c r="K27" s="52">
        <f t="shared" si="13"/>
        <v>-91807</v>
      </c>
      <c r="L27" s="52">
        <f t="shared" si="13"/>
        <v>-68568</v>
      </c>
      <c r="M27" s="52"/>
      <c r="N27" s="60"/>
      <c r="O27" s="60"/>
      <c r="P27" s="60"/>
      <c r="Q27" s="264"/>
      <c r="R27" s="52"/>
      <c r="S27" s="52"/>
      <c r="T27" s="6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9"/>
    </row>
    <row r="28" spans="1:36" ht="30" customHeight="1" x14ac:dyDescent="0.2">
      <c r="A28" s="15"/>
      <c r="B28" s="4"/>
      <c r="C28" s="4"/>
      <c r="D28" s="4"/>
      <c r="E28" s="59" t="s">
        <v>52</v>
      </c>
      <c r="F28" s="52">
        <v>514398</v>
      </c>
      <c r="G28" s="52">
        <v>168253</v>
      </c>
      <c r="H28" s="52">
        <v>186189</v>
      </c>
      <c r="I28" s="52">
        <v>670833</v>
      </c>
      <c r="J28" s="52">
        <v>134345</v>
      </c>
      <c r="K28" s="52">
        <v>176189</v>
      </c>
      <c r="L28" s="52">
        <v>41764</v>
      </c>
      <c r="M28" s="52"/>
      <c r="N28" s="52"/>
      <c r="O28" s="52"/>
      <c r="P28" s="52"/>
      <c r="Q28" s="264"/>
      <c r="R28" s="52"/>
      <c r="S28" s="52"/>
      <c r="T28" s="61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9"/>
    </row>
    <row r="29" spans="1:36" ht="30" customHeight="1" x14ac:dyDescent="0.2">
      <c r="A29" s="15"/>
      <c r="B29" s="4"/>
      <c r="C29" s="4"/>
      <c r="D29" s="4"/>
      <c r="E29" s="59" t="s">
        <v>53</v>
      </c>
      <c r="F29" s="52">
        <v>-711758</v>
      </c>
      <c r="G29" s="52">
        <v>-323406</v>
      </c>
      <c r="H29" s="52">
        <v>-316860</v>
      </c>
      <c r="I29" s="52">
        <v>-281891</v>
      </c>
      <c r="J29" s="52">
        <v>-225780</v>
      </c>
      <c r="K29" s="52">
        <v>-267996</v>
      </c>
      <c r="L29" s="52">
        <v>-110332</v>
      </c>
      <c r="M29" s="52"/>
      <c r="N29" s="52"/>
      <c r="O29" s="52"/>
      <c r="P29" s="52"/>
      <c r="Q29" s="264"/>
      <c r="R29" s="52"/>
      <c r="S29" s="52"/>
      <c r="T29" s="6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9"/>
    </row>
    <row r="30" spans="1:36" ht="30" customHeight="1" x14ac:dyDescent="0.2">
      <c r="A30" s="15"/>
      <c r="B30" s="4"/>
      <c r="C30" s="4"/>
      <c r="D30" s="4"/>
      <c r="E30" s="45" t="s">
        <v>54</v>
      </c>
      <c r="F30" s="46">
        <f t="shared" ref="F30:L30" si="14">F22+F27</f>
        <v>-204913.99999218993</v>
      </c>
      <c r="G30" s="46">
        <f t="shared" si="14"/>
        <v>141546.99999804981</v>
      </c>
      <c r="H30" s="46">
        <f t="shared" si="14"/>
        <v>225549.99999804981</v>
      </c>
      <c r="I30" s="46">
        <f t="shared" si="14"/>
        <v>1422026</v>
      </c>
      <c r="J30" s="46">
        <f t="shared" si="14"/>
        <v>-255673.00000048801</v>
      </c>
      <c r="K30" s="46">
        <f t="shared" si="14"/>
        <v>991</v>
      </c>
      <c r="L30" s="46">
        <f t="shared" si="14"/>
        <v>-239511</v>
      </c>
      <c r="M30" s="46"/>
      <c r="N30" s="52"/>
      <c r="O30" s="52"/>
      <c r="P30" s="52"/>
      <c r="Q30" s="264"/>
      <c r="R30" s="52"/>
      <c r="S30" s="52"/>
      <c r="T30" s="6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9"/>
    </row>
    <row r="31" spans="1:36" ht="30" customHeight="1" x14ac:dyDescent="0.2">
      <c r="A31" s="15"/>
      <c r="B31" s="4"/>
      <c r="C31" s="4"/>
      <c r="D31" s="4"/>
      <c r="E31" s="49" t="s">
        <v>55</v>
      </c>
      <c r="F31" s="52">
        <v>63642</v>
      </c>
      <c r="G31" s="52">
        <v>-44667</v>
      </c>
      <c r="H31" s="52">
        <v>-51914</v>
      </c>
      <c r="I31" s="52">
        <v>-450033</v>
      </c>
      <c r="J31" s="52">
        <v>89341</v>
      </c>
      <c r="K31" s="52">
        <v>328018</v>
      </c>
      <c r="L31" s="52">
        <v>86781</v>
      </c>
      <c r="M31" s="52"/>
      <c r="N31" s="52"/>
      <c r="O31" s="52"/>
      <c r="P31" s="52"/>
      <c r="Q31" s="264"/>
      <c r="R31" s="52"/>
      <c r="S31" s="52"/>
      <c r="T31" s="6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9"/>
    </row>
    <row r="32" spans="1:36" ht="30" customHeight="1" x14ac:dyDescent="0.2">
      <c r="A32" s="15"/>
      <c r="B32" s="4"/>
      <c r="C32" s="4"/>
      <c r="D32" s="4"/>
      <c r="E32" s="45" t="s">
        <v>56</v>
      </c>
      <c r="F32" s="46">
        <f t="shared" ref="F32:L32" si="15">F30+F31</f>
        <v>-141271.99999218993</v>
      </c>
      <c r="G32" s="46">
        <f t="shared" si="15"/>
        <v>96879.999998049811</v>
      </c>
      <c r="H32" s="46">
        <f t="shared" si="15"/>
        <v>173635.99999804981</v>
      </c>
      <c r="I32" s="46">
        <f t="shared" si="15"/>
        <v>971993</v>
      </c>
      <c r="J32" s="46">
        <f t="shared" si="15"/>
        <v>-166332.00000048801</v>
      </c>
      <c r="K32" s="46">
        <f t="shared" si="15"/>
        <v>329009</v>
      </c>
      <c r="L32" s="46">
        <f t="shared" si="15"/>
        <v>-152730</v>
      </c>
      <c r="M32" s="46"/>
      <c r="N32" s="52"/>
      <c r="O32" s="52"/>
      <c r="P32" s="52"/>
      <c r="Q32" s="264"/>
      <c r="R32" s="52"/>
      <c r="S32" s="52"/>
      <c r="T32" s="61"/>
      <c r="U32" s="69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9"/>
    </row>
    <row r="33" spans="1:38" ht="30" customHeight="1" x14ac:dyDescent="0.2">
      <c r="A33" s="15"/>
      <c r="B33" s="4"/>
      <c r="C33" s="4"/>
      <c r="D33" s="4"/>
      <c r="E33" s="70" t="s">
        <v>57</v>
      </c>
      <c r="F33" s="50">
        <f t="shared" ref="F33:L33" si="16">F32/F11</f>
        <v>-2.955052132430127E-2</v>
      </c>
      <c r="G33" s="50">
        <f t="shared" si="16"/>
        <v>1.9238979984162755E-2</v>
      </c>
      <c r="H33" s="50">
        <f t="shared" si="16"/>
        <v>3.3787146966977148E-2</v>
      </c>
      <c r="I33" s="71">
        <f t="shared" si="16"/>
        <v>0.18390929649268065</v>
      </c>
      <c r="J33" s="71">
        <f t="shared" si="16"/>
        <v>-4.0712904168681036E-2</v>
      </c>
      <c r="K33" s="71">
        <f t="shared" si="16"/>
        <v>6.3845509736173894E-2</v>
      </c>
      <c r="L33" s="71">
        <f t="shared" si="16"/>
        <v>-0.127591426738311</v>
      </c>
      <c r="M33" s="50"/>
      <c r="N33" s="52"/>
      <c r="O33" s="52"/>
      <c r="P33" s="52"/>
      <c r="Q33" s="264"/>
      <c r="R33" s="52"/>
      <c r="S33" s="52"/>
      <c r="T33" s="6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9"/>
    </row>
    <row r="34" spans="1:38" ht="30" customHeight="1" x14ac:dyDescent="0.2">
      <c r="A34" s="15"/>
      <c r="B34" s="4"/>
      <c r="C34" s="4"/>
      <c r="D34" s="4"/>
      <c r="E34" s="72"/>
      <c r="F34" s="73"/>
      <c r="G34" s="73"/>
      <c r="H34" s="73"/>
      <c r="I34" s="7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9"/>
    </row>
    <row r="35" spans="1:38" ht="30" customHeight="1" x14ac:dyDescent="0.2">
      <c r="A35" s="15"/>
      <c r="B35" s="4"/>
      <c r="C35" s="4"/>
      <c r="D35" s="4"/>
      <c r="E35" s="72"/>
      <c r="F35" s="74"/>
      <c r="G35" s="74"/>
      <c r="H35" s="74"/>
      <c r="I35" s="7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9"/>
      <c r="AK35" s="4"/>
      <c r="AL35" s="4"/>
    </row>
    <row r="36" spans="1:38" ht="30" customHeight="1" x14ac:dyDescent="0.2">
      <c r="A36" s="15"/>
      <c r="B36" s="4"/>
      <c r="C36" s="4"/>
      <c r="D36" s="4"/>
      <c r="E36" s="75"/>
      <c r="F36" s="42">
        <v>2016</v>
      </c>
      <c r="G36" s="42">
        <v>2017</v>
      </c>
      <c r="H36" s="42">
        <v>2018</v>
      </c>
      <c r="I36" s="42">
        <v>2019</v>
      </c>
      <c r="J36" s="42">
        <v>2020</v>
      </c>
      <c r="K36" s="42">
        <v>2021</v>
      </c>
      <c r="L36" s="42" t="s">
        <v>33</v>
      </c>
      <c r="M36" s="43" t="s">
        <v>34</v>
      </c>
      <c r="N36" s="43">
        <v>2022</v>
      </c>
      <c r="O36" s="43">
        <v>2023</v>
      </c>
      <c r="P36" s="43">
        <v>2024</v>
      </c>
      <c r="Q36" s="43">
        <v>2025</v>
      </c>
      <c r="R36" s="43">
        <f>Q36+1</f>
        <v>2026</v>
      </c>
      <c r="S36" s="43">
        <f t="shared" ref="S36:T36" si="17">R36+1</f>
        <v>2027</v>
      </c>
      <c r="T36" s="43">
        <f t="shared" si="17"/>
        <v>2028</v>
      </c>
      <c r="U36" s="42" t="s">
        <v>58</v>
      </c>
      <c r="V36" s="42" t="s">
        <v>59</v>
      </c>
      <c r="W36" s="76" t="s">
        <v>18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9"/>
      <c r="AK36" s="4"/>
      <c r="AL36" s="4"/>
    </row>
    <row r="37" spans="1:38" ht="30" customHeight="1" thickBot="1" x14ac:dyDescent="0.25">
      <c r="A37" s="15"/>
      <c r="B37" s="4"/>
      <c r="C37" s="4"/>
      <c r="D37" s="4"/>
      <c r="E37" s="77" t="s">
        <v>60</v>
      </c>
      <c r="F37" s="78" t="str">
        <f>IFERROR(IF(F22&gt;0,-F31/F22,"-"),"-")</f>
        <v>-</v>
      </c>
      <c r="G37" s="78">
        <f>IFERROR(IF(G22&gt;0,-G31/G22,"-"),"-")</f>
        <v>0.15054600606772361</v>
      </c>
      <c r="H37" s="78">
        <f>IFERROR(IF(H22&gt;0,-H31/H22,"-"),"-")</f>
        <v>0.14573537214337226</v>
      </c>
      <c r="I37" s="78">
        <f>IFERROR(IF(I22&gt;0,-I31/I22,"-"),"-")</f>
        <v>0.43562091756333465</v>
      </c>
      <c r="J37" s="78" t="str">
        <f>IFERROR(IF(J22&gt;0,-J31/J22,"-"),"-")</f>
        <v>-</v>
      </c>
      <c r="K37" s="78" t="str">
        <f>IFERROR(IF(K22&gt;0,"-","-"),"-")</f>
        <v>-</v>
      </c>
      <c r="L37" s="78" t="str">
        <f>IFERROR(IF(L22&gt;0,"-","-"),"-")</f>
        <v>-</v>
      </c>
      <c r="M37" s="78"/>
      <c r="N37" s="78"/>
      <c r="O37" s="78"/>
      <c r="P37" s="78"/>
      <c r="Q37" s="78">
        <v>8.5099999999999995E-2</v>
      </c>
      <c r="R37" s="78">
        <v>8.5099999999999995E-2</v>
      </c>
      <c r="S37" s="78">
        <v>8.5099999999999995E-2</v>
      </c>
      <c r="T37" s="78">
        <v>8.5099999999999995E-2</v>
      </c>
      <c r="U37" s="78">
        <v>0.34</v>
      </c>
      <c r="V37" s="79">
        <v>0.13300000000000001</v>
      </c>
      <c r="W37" s="80">
        <v>0.08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9"/>
      <c r="AK37" s="4"/>
      <c r="AL37" s="4"/>
    </row>
    <row r="38" spans="1:38" ht="30" customHeight="1" x14ac:dyDescent="0.2">
      <c r="A38" s="15"/>
      <c r="B38" s="4"/>
      <c r="C38" s="4"/>
      <c r="D38" s="4"/>
      <c r="E38" s="81" t="s">
        <v>61</v>
      </c>
      <c r="F38" s="52">
        <f>'Projeções - Capex + CG'!F27</f>
        <v>0</v>
      </c>
      <c r="G38" s="52">
        <f>'Projeções - Capex + CG'!G27</f>
        <v>0</v>
      </c>
      <c r="H38" s="52">
        <f>'Projeções - Capex + CG'!H27</f>
        <v>0</v>
      </c>
      <c r="I38" s="52">
        <f>'Projeções - Capex + CG'!I27</f>
        <v>295675</v>
      </c>
      <c r="J38" s="52">
        <f>'Projeções - Capex + CG'!J27</f>
        <v>306443</v>
      </c>
      <c r="K38" s="52">
        <f>'Projeções - Capex + CG'!K27</f>
        <v>338325</v>
      </c>
      <c r="L38" s="52">
        <v>94542</v>
      </c>
      <c r="M38" s="52">
        <f>N38-L38</f>
        <v>290876.87812052626</v>
      </c>
      <c r="N38" s="52">
        <f>N39*N11</f>
        <v>385418.87812052626</v>
      </c>
      <c r="O38" s="52">
        <f t="shared" ref="O38:T38" si="18">O39*O11</f>
        <v>457721.09032611159</v>
      </c>
      <c r="P38" s="52">
        <f t="shared" si="18"/>
        <v>545002.26343050925</v>
      </c>
      <c r="Q38" s="52">
        <f t="shared" si="18"/>
        <v>635471.95426916773</v>
      </c>
      <c r="R38" s="52">
        <f t="shared" si="18"/>
        <v>710961.50157908443</v>
      </c>
      <c r="S38" s="52">
        <f t="shared" si="18"/>
        <v>789224.41936499893</v>
      </c>
      <c r="T38" s="52">
        <f t="shared" si="18"/>
        <v>854437.41835979628</v>
      </c>
      <c r="U38" s="82">
        <f>U39*T11</f>
        <v>854437.41835979628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9"/>
      <c r="AK38" s="4"/>
      <c r="AL38" s="4"/>
    </row>
    <row r="39" spans="1:38" ht="30" customHeight="1" x14ac:dyDescent="0.2">
      <c r="A39" s="15"/>
      <c r="B39" s="4"/>
      <c r="C39" s="4"/>
      <c r="D39" s="4"/>
      <c r="E39" s="83" t="s">
        <v>62</v>
      </c>
      <c r="F39" s="52">
        <f t="shared" ref="F39:T39" si="19">F38/F11</f>
        <v>0</v>
      </c>
      <c r="G39" s="52">
        <f t="shared" si="19"/>
        <v>0</v>
      </c>
      <c r="H39" s="52">
        <f t="shared" si="19"/>
        <v>0</v>
      </c>
      <c r="I39" s="84">
        <f t="shared" si="19"/>
        <v>5.5944210750975935E-2</v>
      </c>
      <c r="J39" s="84">
        <f t="shared" si="19"/>
        <v>7.5007722459457693E-2</v>
      </c>
      <c r="K39" s="84">
        <f t="shared" si="19"/>
        <v>6.5653316722311644E-2</v>
      </c>
      <c r="L39" s="84">
        <f t="shared" si="19"/>
        <v>7.8980872563958623E-2</v>
      </c>
      <c r="M39" s="84">
        <f>AVERAGE(I39:L39)</f>
        <v>6.8896530624175972E-2</v>
      </c>
      <c r="N39" s="84">
        <f>M39</f>
        <v>6.8896530624175972E-2</v>
      </c>
      <c r="O39" s="84">
        <f t="shared" ref="O39:U39" si="20">N39</f>
        <v>6.8896530624175972E-2</v>
      </c>
      <c r="P39" s="84">
        <f t="shared" si="20"/>
        <v>6.8896530624175972E-2</v>
      </c>
      <c r="Q39" s="84">
        <f t="shared" si="20"/>
        <v>6.8896530624175972E-2</v>
      </c>
      <c r="R39" s="84">
        <f t="shared" si="20"/>
        <v>6.8896530624175972E-2</v>
      </c>
      <c r="S39" s="84">
        <f t="shared" si="20"/>
        <v>6.8896530624175972E-2</v>
      </c>
      <c r="T39" s="84">
        <f t="shared" si="20"/>
        <v>6.8896530624175972E-2</v>
      </c>
      <c r="U39" s="84">
        <f t="shared" si="20"/>
        <v>6.8896530624175972E-2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9"/>
      <c r="AK39" s="4"/>
      <c r="AL39" s="4"/>
    </row>
    <row r="40" spans="1:38" ht="30" customHeight="1" x14ac:dyDescent="0.2">
      <c r="A40" s="15"/>
      <c r="B40" s="4"/>
      <c r="C40" s="4"/>
      <c r="D40" s="86"/>
      <c r="E40" s="77" t="s">
        <v>63</v>
      </c>
      <c r="F40" s="46">
        <f>F22+F31+F38</f>
        <v>56088.000007810071</v>
      </c>
      <c r="G40" s="46">
        <f>G22+G31+G38</f>
        <v>252032.99999804981</v>
      </c>
      <c r="H40" s="46">
        <f>H22+H31+H38</f>
        <v>304306.99999804981</v>
      </c>
      <c r="I40" s="46">
        <f>(I22-'DRE - Contas Abertas'!I58*(1-N37))+I38</f>
        <v>611594</v>
      </c>
      <c r="J40" s="46">
        <f>J22+J31+J38</f>
        <v>231545.99999951199</v>
      </c>
      <c r="K40" s="46">
        <f>K22+K31+K38</f>
        <v>759141</v>
      </c>
      <c r="L40" s="46">
        <f>L22+L31+L38</f>
        <v>10380</v>
      </c>
      <c r="M40" s="46">
        <f>N40-L40</f>
        <v>-24407.788329525618</v>
      </c>
      <c r="N40" s="46">
        <f>N25*(1-N37)+N38</f>
        <v>-14027.788329525618</v>
      </c>
      <c r="O40" s="46">
        <f t="shared" ref="O40:T40" si="21">O25*(1-O37)+O38</f>
        <v>78264.509153985477</v>
      </c>
      <c r="P40" s="46">
        <f t="shared" si="21"/>
        <v>261704.02173936192</v>
      </c>
      <c r="Q40" s="46">
        <f t="shared" si="21"/>
        <v>970257.54476269777</v>
      </c>
      <c r="R40" s="46">
        <f t="shared" si="21"/>
        <v>1263685.0875984188</v>
      </c>
      <c r="S40" s="46">
        <f t="shared" si="21"/>
        <v>1612681.5755852328</v>
      </c>
      <c r="T40" s="46">
        <f t="shared" si="21"/>
        <v>1852000.3220454596</v>
      </c>
      <c r="U40" s="63">
        <f>T25*(1-U37)+U38</f>
        <v>1574069.6365612801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9"/>
      <c r="AK40" s="4"/>
      <c r="AL40" s="4"/>
    </row>
    <row r="41" spans="1:38" ht="30" customHeight="1" x14ac:dyDescent="0.2">
      <c r="A41" s="87"/>
      <c r="B41" s="4"/>
      <c r="C41" s="4"/>
      <c r="D41" s="4"/>
      <c r="E41" s="77" t="s">
        <v>64</v>
      </c>
      <c r="F41" s="78">
        <f>IFERROR(SUM(F42,F46)/(F40),0)</f>
        <v>-1.6489088572800226</v>
      </c>
      <c r="G41" s="78">
        <f t="shared" ref="G41:T41" si="22">IFERROR(SUM(G42,G46)/(G40),0)</f>
        <v>-0.84268766392432182</v>
      </c>
      <c r="H41" s="78">
        <f t="shared" si="22"/>
        <v>0.4288747876349755</v>
      </c>
      <c r="I41" s="78">
        <f t="shared" si="22"/>
        <v>-4.1194812244727489E-3</v>
      </c>
      <c r="J41" s="78">
        <f t="shared" si="22"/>
        <v>-0.93123720556802736</v>
      </c>
      <c r="K41" s="78">
        <f t="shared" si="22"/>
        <v>0.55574125887022319</v>
      </c>
      <c r="L41" s="78">
        <f t="shared" si="22"/>
        <v>56.059163328262606</v>
      </c>
      <c r="M41" s="78">
        <f>IFERROR(SUM(M42,M46)/(M40),0)</f>
        <v>6.1872878044304391</v>
      </c>
      <c r="N41" s="78">
        <f t="shared" si="22"/>
        <v>-30.715897200706014</v>
      </c>
      <c r="O41" s="78">
        <f>IFERROR(SUM(O42,O46)/(O40),0)</f>
        <v>9.1095292456924213</v>
      </c>
      <c r="P41" s="78">
        <f t="shared" si="22"/>
        <v>0.90014907969919922</v>
      </c>
      <c r="Q41" s="78">
        <f t="shared" si="22"/>
        <v>0.718080242933404</v>
      </c>
      <c r="R41" s="78">
        <f t="shared" si="22"/>
        <v>0.57999079835094791</v>
      </c>
      <c r="S41" s="78">
        <f t="shared" si="22"/>
        <v>0.49829186151983329</v>
      </c>
      <c r="T41" s="78">
        <f t="shared" si="22"/>
        <v>0.45068204930810657</v>
      </c>
      <c r="U41" s="88">
        <f>W37/V37</f>
        <v>0.60150375939849621</v>
      </c>
      <c r="V41" s="4"/>
      <c r="W41" s="4"/>
      <c r="X41" s="95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9"/>
      <c r="AK41" s="4"/>
      <c r="AL41" s="4"/>
    </row>
    <row r="42" spans="1:38" s="2" customFormat="1" ht="30" customHeight="1" x14ac:dyDescent="0.2">
      <c r="A42" s="15"/>
      <c r="B42" s="86"/>
      <c r="C42" s="86"/>
      <c r="D42" s="4"/>
      <c r="E42" s="81" t="s">
        <v>65</v>
      </c>
      <c r="F42" s="52">
        <f>F43-F44</f>
        <v>-92484</v>
      </c>
      <c r="G42" s="52">
        <f t="shared" ref="G42:L42" si="23">G43-G44</f>
        <v>-98997</v>
      </c>
      <c r="H42" s="52">
        <f t="shared" si="23"/>
        <v>34609</v>
      </c>
      <c r="I42" s="52">
        <f t="shared" si="23"/>
        <v>85658</v>
      </c>
      <c r="J42" s="52">
        <f t="shared" si="23"/>
        <v>56178</v>
      </c>
      <c r="K42" s="52">
        <f t="shared" si="23"/>
        <v>435445</v>
      </c>
      <c r="L42" s="52">
        <f t="shared" si="23"/>
        <v>-25315</v>
      </c>
      <c r="M42" s="52">
        <f t="shared" ref="M42:M46" si="24">N42-L42</f>
        <v>149763.77041172166</v>
      </c>
      <c r="N42" s="52">
        <f>IF((N43-N44)&gt;0,N43-N44,0)</f>
        <v>124448.77041172166</v>
      </c>
      <c r="O42" s="52">
        <f t="shared" ref="O42:P42" si="25">IF((O43-O44)&gt;0,O43-O44,0)</f>
        <v>582096.09430440189</v>
      </c>
      <c r="P42" s="52">
        <f t="shared" si="25"/>
        <v>77606.100637650001</v>
      </c>
      <c r="Q42" s="52">
        <f>IF((Q43-Q44)&gt;0,Q43-Q44,Q44)</f>
        <v>532985.4752802545</v>
      </c>
      <c r="R42" s="52">
        <f t="shared" ref="R42:T42" si="26">IF((R43-R44)&gt;0,R43-R44,R44)</f>
        <v>596300.35799280438</v>
      </c>
      <c r="S42" s="52">
        <f t="shared" si="26"/>
        <v>661941.33263017866</v>
      </c>
      <c r="T42" s="52">
        <f t="shared" si="26"/>
        <v>716637.02931700763</v>
      </c>
      <c r="U42" s="82"/>
      <c r="V42" s="4"/>
      <c r="W42" s="4"/>
      <c r="X42" s="4"/>
      <c r="Y42" s="4"/>
      <c r="Z42" s="4"/>
      <c r="AA42" s="4"/>
      <c r="AB42" s="4"/>
      <c r="AC42" s="86"/>
      <c r="AD42" s="86"/>
      <c r="AE42" s="86"/>
      <c r="AF42" s="86"/>
      <c r="AG42" s="86"/>
      <c r="AH42" s="86"/>
      <c r="AI42" s="86"/>
      <c r="AJ42" s="9"/>
      <c r="AK42" s="86"/>
      <c r="AL42" s="86"/>
    </row>
    <row r="43" spans="1:38" ht="30" customHeight="1" x14ac:dyDescent="0.2">
      <c r="A43" s="15"/>
      <c r="B43" s="4"/>
      <c r="C43" s="4"/>
      <c r="D43" s="4"/>
      <c r="E43" s="89" t="s">
        <v>66</v>
      </c>
      <c r="F43" s="52">
        <f>'Projeções - Capex + CG'!F14</f>
        <v>110200</v>
      </c>
      <c r="G43" s="52">
        <f>'Projeções - Capex + CG'!G14</f>
        <v>98900</v>
      </c>
      <c r="H43" s="52">
        <f>'Projeções - Capex + CG'!H14</f>
        <v>239700</v>
      </c>
      <c r="I43" s="52">
        <f>'Projeções - Capex + CG'!I14</f>
        <v>318700</v>
      </c>
      <c r="J43" s="52">
        <f>'Projeções - Capex + CG'!J14</f>
        <v>302500</v>
      </c>
      <c r="K43" s="52">
        <f>'Projeções - Capex + CG'!K14</f>
        <v>682100</v>
      </c>
      <c r="L43" s="52">
        <v>55500</v>
      </c>
      <c r="M43" s="52">
        <f t="shared" si="24"/>
        <v>392208.77041172166</v>
      </c>
      <c r="N43" s="52">
        <f>'Projeções - Capex + CG'!L14</f>
        <v>447708.77041172166</v>
      </c>
      <c r="O43" s="52">
        <f>'Projeções - Capex + CG'!M14</f>
        <v>965997.68309100159</v>
      </c>
      <c r="P43" s="52">
        <f>'Projeções - Capex + CG'!N14</f>
        <v>534712.48975814634</v>
      </c>
      <c r="Q43" s="52">
        <f>'Projeções - Capex + CG'!O14</f>
        <v>517013.57453675644</v>
      </c>
      <c r="R43" s="52">
        <f>'Projeções - Capex + CG'!P14</f>
        <v>327645.22953468427</v>
      </c>
      <c r="S43" s="52">
        <f>'Projeções - Capex + CG'!Q14</f>
        <v>363130.10802022868</v>
      </c>
      <c r="T43" s="52">
        <f>'Projeções - Capex + CG'!R14</f>
        <v>401381.76675316878</v>
      </c>
      <c r="U43" s="82"/>
      <c r="V43" s="4"/>
      <c r="W43" s="4"/>
      <c r="X43" s="4"/>
      <c r="Y43" s="4"/>
      <c r="Z43" s="86"/>
      <c r="AA43" s="86"/>
      <c r="AB43" s="86"/>
      <c r="AC43" s="4"/>
      <c r="AD43" s="4"/>
      <c r="AE43" s="4"/>
      <c r="AF43" s="4"/>
      <c r="AG43" s="4"/>
      <c r="AH43" s="4"/>
      <c r="AI43" s="4"/>
      <c r="AJ43" s="9"/>
      <c r="AK43" s="4"/>
      <c r="AL43" s="4"/>
    </row>
    <row r="44" spans="1:38" ht="30" customHeight="1" x14ac:dyDescent="0.2">
      <c r="A44" s="15"/>
      <c r="B44" s="4"/>
      <c r="C44" s="4"/>
      <c r="D44" s="4"/>
      <c r="E44" s="89" t="s">
        <v>67</v>
      </c>
      <c r="F44" s="52">
        <f>'Projeções - Capex + CG'!F25</f>
        <v>202684</v>
      </c>
      <c r="G44" s="52">
        <f>'Projeções - Capex + CG'!G25</f>
        <v>197897</v>
      </c>
      <c r="H44" s="52">
        <f>'Projeções - Capex + CG'!H25</f>
        <v>205091</v>
      </c>
      <c r="I44" s="52">
        <f>'Projeções - Capex + CG'!I25</f>
        <v>233042</v>
      </c>
      <c r="J44" s="52">
        <f>'Projeções - Capex + CG'!J25</f>
        <v>246322</v>
      </c>
      <c r="K44" s="52">
        <f>'Projeções - Capex + CG'!K25</f>
        <v>246655</v>
      </c>
      <c r="L44" s="52">
        <v>80815</v>
      </c>
      <c r="M44" s="52">
        <f t="shared" si="24"/>
        <v>242445</v>
      </c>
      <c r="N44" s="52">
        <f>L44*4</f>
        <v>323260</v>
      </c>
      <c r="O44" s="52">
        <f>O45*O11</f>
        <v>383901.58878659963</v>
      </c>
      <c r="P44" s="52">
        <f>P45*P11</f>
        <v>457106.38912049634</v>
      </c>
      <c r="Q44" s="52">
        <f>Q45*Q11</f>
        <v>532985.4752802545</v>
      </c>
      <c r="R44" s="52">
        <f t="shared" ref="R44:T44" si="27">R45*R11</f>
        <v>596300.35799280438</v>
      </c>
      <c r="S44" s="52">
        <f t="shared" si="27"/>
        <v>661941.33263017866</v>
      </c>
      <c r="T44" s="52">
        <f t="shared" si="27"/>
        <v>716637.02931700763</v>
      </c>
      <c r="U44" s="9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9"/>
      <c r="AK44" s="4"/>
      <c r="AL44" s="4"/>
    </row>
    <row r="45" spans="1:38" ht="30" customHeight="1" x14ac:dyDescent="0.2">
      <c r="A45" s="15"/>
      <c r="B45" s="4"/>
      <c r="C45" s="4"/>
      <c r="D45" s="4"/>
      <c r="E45" s="91" t="s">
        <v>62</v>
      </c>
      <c r="F45" s="84">
        <f t="shared" ref="F45:N45" si="28">F44/F11</f>
        <v>4.239635500612858E-2</v>
      </c>
      <c r="G45" s="84">
        <f t="shared" si="28"/>
        <v>3.9299508897631071E-2</v>
      </c>
      <c r="H45" s="84">
        <f>H44/H11</f>
        <v>3.9907851820372146E-2</v>
      </c>
      <c r="I45" s="84">
        <f t="shared" si="28"/>
        <v>4.409351741550329E-2</v>
      </c>
      <c r="J45" s="84">
        <f t="shared" si="28"/>
        <v>6.0291970159731305E-2</v>
      </c>
      <c r="K45" s="84">
        <f t="shared" si="28"/>
        <v>4.7864387308480839E-2</v>
      </c>
      <c r="L45" s="84">
        <f t="shared" si="28"/>
        <v>6.7513266233592648E-2</v>
      </c>
      <c r="M45" s="84">
        <f t="shared" si="28"/>
        <v>5.5136905003530683E-2</v>
      </c>
      <c r="N45" s="84">
        <f>N44/N11</f>
        <v>5.7785162465774434E-2</v>
      </c>
      <c r="O45" s="84">
        <f>N45</f>
        <v>5.7785162465774434E-2</v>
      </c>
      <c r="P45" s="84">
        <f t="shared" ref="P45:Q45" si="29">O45</f>
        <v>5.7785162465774434E-2</v>
      </c>
      <c r="Q45" s="84">
        <f t="shared" si="29"/>
        <v>5.7785162465774434E-2</v>
      </c>
      <c r="R45" s="84">
        <f t="shared" ref="R45" si="30">Q45</f>
        <v>5.7785162465774434E-2</v>
      </c>
      <c r="S45" s="84">
        <f t="shared" ref="S45" si="31">R45</f>
        <v>5.7785162465774434E-2</v>
      </c>
      <c r="T45" s="84">
        <f t="shared" ref="T45" si="32">S45</f>
        <v>5.7785162465774434E-2</v>
      </c>
      <c r="U45" s="85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9"/>
      <c r="AK45" s="4"/>
      <c r="AL45" s="4"/>
    </row>
    <row r="46" spans="1:38" ht="30" customHeight="1" x14ac:dyDescent="0.2">
      <c r="A46" s="15"/>
      <c r="B46" s="4"/>
      <c r="C46" s="4"/>
      <c r="D46" s="86"/>
      <c r="E46" s="81" t="s">
        <v>68</v>
      </c>
      <c r="F46" s="52"/>
      <c r="G46" s="52">
        <f>'Projeções - Capex + CG'!G11-'Projeções - Capex + CG'!F11</f>
        <v>-113388.10000019521</v>
      </c>
      <c r="H46" s="52">
        <f>'Projeções - Capex + CG'!H11-'Projeções - Capex + CG'!G11</f>
        <v>95900.600000000093</v>
      </c>
      <c r="I46" s="52">
        <f>'Projeções - Capex + CG'!I11-'Projeções - Capex + CG'!H11</f>
        <v>-88177.450000000186</v>
      </c>
      <c r="J46" s="52">
        <f>'Projeções - Capex + CG'!J11-'Projeções - Capex + CG'!I11</f>
        <v>-271802.25</v>
      </c>
      <c r="K46" s="52">
        <f>'Projeções - Capex + CG'!K11-'Projeções - Capex + CG'!J11</f>
        <v>-13559.024999999907</v>
      </c>
      <c r="L46" s="52">
        <f>'Balanço Patrimonial'!L9-'Balanço Patrimonial'!K9</f>
        <v>607209.11534736585</v>
      </c>
      <c r="M46" s="52">
        <f t="shared" si="24"/>
        <v>-300781.78147611511</v>
      </c>
      <c r="N46" s="52">
        <f>'Projeções - Capex + CG'!L11-'Projeções - Capex + CG'!K11</f>
        <v>306427.33387125074</v>
      </c>
      <c r="O46" s="52">
        <f>'Projeções - Capex + CG'!M11-'Projeções - Capex + CG'!L11</f>
        <v>130856.74073359102</v>
      </c>
      <c r="P46" s="52">
        <f>'Projeções - Capex + CG'!N11-'Projeções - Capex + CG'!M11</f>
        <v>157966.53368461586</v>
      </c>
      <c r="Q46" s="52">
        <f>'Projeções - Capex + CG'!O11-'Projeções - Capex + CG'!N11</f>
        <v>163737.29817091161</v>
      </c>
      <c r="R46" s="52">
        <f>'Projeções - Capex + CG'!P11-'Projeções - Capex + CG'!O11</f>
        <v>136625.36482759006</v>
      </c>
      <c r="S46" s="52">
        <f>'Projeções - Capex + CG'!Q11-'Projeções - Capex + CG'!P11</f>
        <v>141644.77170692477</v>
      </c>
      <c r="T46" s="52">
        <f>'Projeções - Capex + CG'!R11-'Projeções - Capex + CG'!Q11</f>
        <v>118026.27114171349</v>
      </c>
      <c r="U46" s="82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9"/>
      <c r="AK46" s="4"/>
      <c r="AL46" s="4"/>
    </row>
    <row r="47" spans="1:38" ht="30" customHeight="1" x14ac:dyDescent="0.2">
      <c r="A47" s="87"/>
      <c r="B47" s="4"/>
      <c r="C47" s="4"/>
      <c r="D47" s="86"/>
      <c r="E47" s="77" t="s">
        <v>69</v>
      </c>
      <c r="F47" s="46">
        <f t="shared" ref="F47:T47" si="33">(F40)*(1-F41)</f>
        <v>148572.00000781007</v>
      </c>
      <c r="G47" s="46">
        <f t="shared" si="33"/>
        <v>464418.09999824502</v>
      </c>
      <c r="H47" s="46">
        <f t="shared" si="33"/>
        <v>173797.39999804972</v>
      </c>
      <c r="I47" s="46">
        <f t="shared" si="33"/>
        <v>614113.45000000019</v>
      </c>
      <c r="J47" s="46">
        <f t="shared" si="33"/>
        <v>447170.24999951199</v>
      </c>
      <c r="K47" s="46">
        <f t="shared" si="33"/>
        <v>337255.02499999991</v>
      </c>
      <c r="L47" s="46">
        <f>(L40)*(1-L41)</f>
        <v>-571514.11534736585</v>
      </c>
      <c r="M47" s="46">
        <f>(M40)*(1-M41)</f>
        <v>126610.22273486784</v>
      </c>
      <c r="N47" s="46">
        <f t="shared" ref="N47:T47" si="34">(N40)*(1-N41)</f>
        <v>-444903.89261249802</v>
      </c>
      <c r="O47" s="46">
        <f t="shared" si="34"/>
        <v>-634688.3258840075</v>
      </c>
      <c r="P47" s="46">
        <f t="shared" si="34"/>
        <v>26131.387417096063</v>
      </c>
      <c r="Q47" s="46">
        <f t="shared" si="34"/>
        <v>273534.77131153166</v>
      </c>
      <c r="R47" s="46">
        <f t="shared" si="34"/>
        <v>530759.36477802438</v>
      </c>
      <c r="S47" s="46">
        <f t="shared" si="34"/>
        <v>809095.47124812938</v>
      </c>
      <c r="T47" s="46">
        <f t="shared" si="34"/>
        <v>1017337.0215867386</v>
      </c>
      <c r="U47" s="63">
        <f>(U40)*(1-U41)</f>
        <v>627260.83261464548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9"/>
      <c r="AK47" s="4"/>
      <c r="AL47" s="4"/>
    </row>
    <row r="48" spans="1:38" s="2" customFormat="1" ht="30" customHeight="1" x14ac:dyDescent="0.2">
      <c r="A48" s="15"/>
      <c r="B48" s="86"/>
      <c r="C48" s="86"/>
      <c r="D48" s="4"/>
      <c r="E48" s="92" t="s">
        <v>70</v>
      </c>
      <c r="F48" s="50">
        <f>(F40)/('Balanço Patrimonial'!F57+'Balanço Patrimonial'!F52+'Balanço Patrimonial'!F64+'Balanço Patrimonial'!F65+'Balanço Patrimonial'!F67+'Balanço Patrimonial'!F82-'Balanço Patrimonial'!F14)</f>
        <v>3.0416282194533097E-2</v>
      </c>
      <c r="G48" s="50">
        <f>(G40)/('Balanço Patrimonial'!G57+'Balanço Patrimonial'!G52+'Balanço Patrimonial'!G64+'Balanço Patrimonial'!G65+'Balanço Patrimonial'!G67+'Balanço Patrimonial'!G82-'Balanço Patrimonial'!G14)</f>
        <v>0.1497700038956197</v>
      </c>
      <c r="H48" s="50">
        <f>(H40)/('Balanço Patrimonial'!H57+'Balanço Patrimonial'!H52+'Balanço Patrimonial'!H64+'Balanço Patrimonial'!H65+'Balanço Patrimonial'!H67+'Balanço Patrimonial'!H82-'Balanço Patrimonial'!H14)</f>
        <v>0.16679987602282809</v>
      </c>
      <c r="I48" s="50">
        <f>(I40)/('Balanço Patrimonial'!I57+'Balanço Patrimonial'!I52+'Balanço Patrimonial'!I64+'Balanço Patrimonial'!I65+'Balanço Patrimonial'!I67+'Balanço Patrimonial'!I82-'Balanço Patrimonial'!I14)</f>
        <v>0.1498347758951013</v>
      </c>
      <c r="J48" s="50">
        <f>(J40)/('Balanço Patrimonial'!J57+'Balanço Patrimonial'!J52+'Balanço Patrimonial'!J64+'Balanço Patrimonial'!J65+'Balanço Patrimonial'!J67+'Balanço Patrimonial'!J82-'Balanço Patrimonial'!J14)</f>
        <v>5.5813150974484679E-2</v>
      </c>
      <c r="K48" s="50">
        <f>(K40)/('Balanço Patrimonial'!K57+'Balanço Patrimonial'!K52+'Balanço Patrimonial'!K64+'Balanço Patrimonial'!K65+'Balanço Patrimonial'!K67+'Balanço Patrimonial'!K82-'Balanço Patrimonial'!K14)</f>
        <v>0.14265335999365789</v>
      </c>
      <c r="L48" s="50"/>
      <c r="M48" s="50"/>
      <c r="N48" s="50">
        <f>AVERAGE($G$48:$K$48)</f>
        <v>0.13297423335633834</v>
      </c>
      <c r="O48" s="50">
        <f t="shared" ref="N48:T48" si="35">AVERAGE($G$48:$K$48)</f>
        <v>0.13297423335633834</v>
      </c>
      <c r="P48" s="50">
        <f t="shared" si="35"/>
        <v>0.13297423335633834</v>
      </c>
      <c r="Q48" s="50">
        <f t="shared" si="35"/>
        <v>0.13297423335633834</v>
      </c>
      <c r="R48" s="50">
        <f t="shared" si="35"/>
        <v>0.13297423335633834</v>
      </c>
      <c r="S48" s="50">
        <f t="shared" si="35"/>
        <v>0.13297423335633834</v>
      </c>
      <c r="T48" s="50">
        <f t="shared" si="35"/>
        <v>0.13297423335633834</v>
      </c>
      <c r="U48" s="93"/>
      <c r="V48" s="4"/>
      <c r="W48" s="86"/>
      <c r="X48" s="4"/>
      <c r="Y48" s="4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9"/>
      <c r="AK48" s="86"/>
      <c r="AL48" s="86"/>
    </row>
    <row r="49" spans="1:38" ht="30" customHeight="1" x14ac:dyDescent="0.2">
      <c r="A49" s="15"/>
      <c r="B49" s="4"/>
      <c r="C49" s="4"/>
      <c r="D49" s="4"/>
      <c r="E49" s="94"/>
      <c r="F49" s="74"/>
      <c r="G49" s="74"/>
      <c r="H49" s="74"/>
      <c r="I49" s="7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86"/>
      <c r="AA49" s="86"/>
      <c r="AB49" s="86"/>
      <c r="AC49" s="4"/>
      <c r="AD49" s="4"/>
      <c r="AE49" s="4"/>
      <c r="AF49" s="4"/>
      <c r="AG49" s="4"/>
      <c r="AH49" s="4"/>
      <c r="AI49" s="4"/>
      <c r="AJ49" s="9"/>
      <c r="AK49" s="4"/>
      <c r="AL49" s="4"/>
    </row>
    <row r="50" spans="1:38" ht="30" customHeight="1" x14ac:dyDescent="0.2">
      <c r="A50" s="15"/>
      <c r="B50" s="4"/>
      <c r="C50" s="4"/>
      <c r="D50" s="4"/>
      <c r="E50" s="94" t="s">
        <v>71</v>
      </c>
      <c r="F50" s="74"/>
      <c r="G50" s="74"/>
      <c r="H50" s="74"/>
      <c r="I50" s="74"/>
      <c r="J50" s="95"/>
      <c r="K50" s="4"/>
      <c r="L50" s="4"/>
      <c r="M50" s="4"/>
      <c r="N50" s="67"/>
      <c r="O50" s="67"/>
      <c r="P50" s="95"/>
      <c r="Q50" s="95"/>
      <c r="R50" s="95"/>
      <c r="S50" s="95"/>
      <c r="T50" s="95"/>
      <c r="U50" s="95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9"/>
      <c r="AK50" s="4"/>
      <c r="AL50" s="4"/>
    </row>
    <row r="51" spans="1:38" ht="30" customHeight="1" x14ac:dyDescent="0.2">
      <c r="A51" s="15"/>
      <c r="B51" s="4"/>
      <c r="C51" s="4"/>
      <c r="D51" s="4"/>
      <c r="E51" s="72"/>
      <c r="F51" s="96"/>
      <c r="G51" s="96"/>
      <c r="H51" s="96"/>
      <c r="I51" s="96"/>
      <c r="J51" s="96"/>
      <c r="K51" s="96"/>
      <c r="L51" s="96"/>
      <c r="M51" s="96"/>
      <c r="N51" s="96"/>
      <c r="O51" s="269"/>
      <c r="P51" s="95"/>
      <c r="Q51" s="95"/>
      <c r="R51" s="95"/>
      <c r="S51" s="95"/>
      <c r="T51" s="95"/>
      <c r="U51" s="95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9"/>
      <c r="AK51" s="4"/>
      <c r="AL51" s="4"/>
    </row>
    <row r="52" spans="1:38" ht="30" customHeight="1" x14ac:dyDescent="0.2">
      <c r="A52" s="15"/>
      <c r="B52" s="4"/>
      <c r="C52" s="4"/>
      <c r="D52" s="4"/>
      <c r="E52" s="72"/>
      <c r="F52" s="74"/>
      <c r="G52" s="74"/>
      <c r="H52" s="74"/>
      <c r="I52" s="74"/>
      <c r="J52" s="4"/>
      <c r="K52" s="4"/>
      <c r="L52" s="4"/>
      <c r="M52" s="4"/>
      <c r="N52" s="4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9"/>
      <c r="AK52" s="4"/>
      <c r="AL52" s="4"/>
    </row>
    <row r="53" spans="1:38" ht="30" customHeight="1" x14ac:dyDescent="0.2">
      <c r="A53" s="15"/>
      <c r="B53" s="4"/>
      <c r="C53" s="4"/>
      <c r="D53" s="4"/>
      <c r="E53" s="72"/>
      <c r="F53" s="74"/>
      <c r="G53" s="74"/>
      <c r="H53" s="74"/>
      <c r="I53" s="7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9"/>
      <c r="AK53" s="4"/>
      <c r="AL53" s="4"/>
    </row>
    <row r="54" spans="1:38" ht="30" customHeight="1" x14ac:dyDescent="0.2">
      <c r="A54" s="15"/>
      <c r="B54" s="4"/>
      <c r="C54" s="4"/>
      <c r="D54" s="4"/>
      <c r="E54" s="72"/>
      <c r="F54" s="74"/>
      <c r="G54" s="74"/>
      <c r="H54" s="74"/>
      <c r="I54" s="74"/>
      <c r="J54" s="4"/>
      <c r="K54" s="4"/>
      <c r="L54" s="4"/>
      <c r="M54" s="4"/>
      <c r="N54" s="67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9"/>
      <c r="AK54" s="4"/>
      <c r="AL54" s="4"/>
    </row>
    <row r="55" spans="1:38" ht="30" customHeight="1" x14ac:dyDescent="0.2">
      <c r="A55" s="15"/>
      <c r="B55" s="4"/>
      <c r="C55" s="4"/>
      <c r="D55" s="4"/>
      <c r="E55" s="72"/>
      <c r="F55" s="74"/>
      <c r="G55" s="74"/>
      <c r="H55" s="74"/>
      <c r="I55" s="7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9"/>
      <c r="AK55" s="4"/>
      <c r="AL55" s="4"/>
    </row>
    <row r="56" spans="1:38" ht="30" customHeight="1" x14ac:dyDescent="0.2">
      <c r="A56" s="15"/>
      <c r="B56" s="4"/>
      <c r="C56" s="4"/>
      <c r="D56" s="4"/>
      <c r="E56" s="72"/>
      <c r="F56" s="74"/>
      <c r="G56" s="74"/>
      <c r="H56" s="74"/>
      <c r="I56" s="7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9"/>
      <c r="AK56" s="4"/>
      <c r="AL56" s="4"/>
    </row>
    <row r="57" spans="1:38" ht="30" customHeight="1" x14ac:dyDescent="0.2">
      <c r="A57" s="15"/>
      <c r="B57" s="4"/>
      <c r="C57" s="4"/>
      <c r="D57" s="4"/>
      <c r="E57" s="72"/>
      <c r="F57" s="74"/>
      <c r="G57" s="74"/>
      <c r="H57" s="74"/>
      <c r="I57" s="7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9"/>
      <c r="AK57" s="4"/>
      <c r="AL57" s="4"/>
    </row>
    <row r="58" spans="1:38" ht="30" customHeight="1" x14ac:dyDescent="0.2">
      <c r="A58" s="15"/>
      <c r="B58" s="4"/>
      <c r="C58" s="4"/>
      <c r="D58" s="4"/>
      <c r="E58" s="72"/>
      <c r="F58" s="74"/>
      <c r="G58" s="74"/>
      <c r="H58" s="74"/>
      <c r="I58" s="7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9"/>
      <c r="AK58" s="4"/>
      <c r="AL58" s="4"/>
    </row>
    <row r="59" spans="1:38" ht="30" customHeight="1" x14ac:dyDescent="0.2">
      <c r="A59" s="15"/>
      <c r="B59" s="4"/>
      <c r="C59" s="4"/>
      <c r="D59" s="4"/>
      <c r="E59" s="72"/>
      <c r="F59" s="74"/>
      <c r="G59" s="74"/>
      <c r="H59" s="74"/>
      <c r="I59" s="74"/>
      <c r="J59" s="4"/>
      <c r="K59" s="4"/>
      <c r="L59" s="4"/>
      <c r="M59" s="4"/>
      <c r="N59" s="4"/>
      <c r="O59" s="4"/>
      <c r="P59" s="4" t="s">
        <v>815</v>
      </c>
      <c r="Q59" s="325">
        <v>0.34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9"/>
      <c r="AK59" s="4"/>
      <c r="AL59" s="4"/>
    </row>
    <row r="60" spans="1:38" ht="30" customHeight="1" x14ac:dyDescent="0.2">
      <c r="A60" s="15"/>
      <c r="B60" s="4"/>
      <c r="C60" s="4"/>
      <c r="D60" s="4"/>
      <c r="E60" s="72"/>
      <c r="F60" s="74"/>
      <c r="G60" s="74"/>
      <c r="H60" s="74"/>
      <c r="I60" s="74"/>
      <c r="J60" s="4"/>
      <c r="K60" s="4"/>
      <c r="L60" s="4"/>
      <c r="M60" s="4"/>
      <c r="N60" s="4"/>
      <c r="O60" s="4"/>
      <c r="P60" s="4" t="s">
        <v>816</v>
      </c>
      <c r="Q60" s="325">
        <v>0.6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9"/>
      <c r="AK60" s="4"/>
      <c r="AL60" s="4"/>
    </row>
    <row r="61" spans="1:38" ht="30" customHeight="1" x14ac:dyDescent="0.2">
      <c r="A61" s="15"/>
      <c r="B61" s="4"/>
      <c r="C61" s="4"/>
      <c r="D61" s="4"/>
      <c r="E61" s="72"/>
      <c r="F61" s="74"/>
      <c r="G61" s="74"/>
      <c r="H61" s="74"/>
      <c r="I61" s="74"/>
      <c r="J61" s="4"/>
      <c r="K61" s="4"/>
      <c r="L61" s="4"/>
      <c r="M61" s="4"/>
      <c r="N61" s="4"/>
      <c r="O61" s="4"/>
      <c r="P61" s="4" t="s">
        <v>70</v>
      </c>
      <c r="Q61" s="325">
        <v>0.13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9"/>
      <c r="AK61" s="4"/>
      <c r="AL61" s="4"/>
    </row>
    <row r="62" spans="1:38" ht="30" customHeight="1" x14ac:dyDescent="0.2">
      <c r="A62" s="15"/>
      <c r="B62" s="4"/>
      <c r="C62" s="4"/>
      <c r="D62" s="4"/>
      <c r="E62" s="72"/>
      <c r="F62" s="74"/>
      <c r="G62" s="74"/>
      <c r="H62" s="74"/>
      <c r="I62" s="7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9"/>
      <c r="AK62" s="4"/>
      <c r="AL62" s="4"/>
    </row>
    <row r="63" spans="1:38" ht="30" customHeight="1" x14ac:dyDescent="0.2">
      <c r="A63" s="15"/>
      <c r="B63" s="4"/>
      <c r="C63" s="4"/>
      <c r="D63" s="4"/>
      <c r="E63" s="72"/>
      <c r="F63" s="74"/>
      <c r="G63" s="74"/>
      <c r="H63" s="74"/>
      <c r="I63" s="7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9"/>
      <c r="AK63" s="4"/>
      <c r="AL63" s="4"/>
    </row>
    <row r="64" spans="1:38" ht="30" customHeight="1" x14ac:dyDescent="0.2">
      <c r="A64" s="15"/>
      <c r="B64" s="4"/>
      <c r="C64" s="4"/>
      <c r="D64" s="4"/>
      <c r="E64" s="72"/>
      <c r="F64" s="74"/>
      <c r="G64" s="74"/>
      <c r="H64" s="74"/>
      <c r="I64" s="7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9"/>
      <c r="AK64" s="4"/>
      <c r="AL64" s="4"/>
    </row>
    <row r="65" spans="1:38" ht="30" customHeight="1" x14ac:dyDescent="0.2">
      <c r="A65" s="15"/>
      <c r="B65" s="4"/>
      <c r="C65" s="4"/>
      <c r="D65" s="4"/>
      <c r="E65" s="72"/>
      <c r="F65" s="74"/>
      <c r="G65" s="74"/>
      <c r="H65" s="74"/>
      <c r="I65" s="7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9"/>
      <c r="AK65" s="4"/>
      <c r="AL65" s="4"/>
    </row>
    <row r="66" spans="1:38" ht="30" customHeight="1" x14ac:dyDescent="0.2">
      <c r="A66" s="15"/>
      <c r="B66" s="4"/>
      <c r="C66" s="4"/>
      <c r="D66" s="4"/>
      <c r="E66" s="72"/>
      <c r="F66" s="74"/>
      <c r="G66" s="74"/>
      <c r="H66" s="74"/>
      <c r="I66" s="7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9"/>
      <c r="AK66" s="4"/>
      <c r="AL66" s="4"/>
    </row>
    <row r="67" spans="1:38" ht="30" customHeight="1" x14ac:dyDescent="0.2">
      <c r="A67" s="15"/>
      <c r="B67" s="4"/>
      <c r="C67" s="4"/>
      <c r="D67" s="4"/>
      <c r="E67" s="72"/>
      <c r="F67" s="74"/>
      <c r="G67" s="74"/>
      <c r="H67" s="74"/>
      <c r="I67" s="7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9"/>
      <c r="AK67" s="4"/>
      <c r="AL67" s="4"/>
    </row>
    <row r="68" spans="1:38" ht="30" customHeight="1" x14ac:dyDescent="0.2">
      <c r="A68" s="15"/>
      <c r="B68" s="4"/>
      <c r="C68" s="4"/>
      <c r="D68" s="4"/>
      <c r="E68" s="72"/>
      <c r="F68" s="74"/>
      <c r="G68" s="74"/>
      <c r="H68" s="74"/>
      <c r="I68" s="7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9"/>
      <c r="AK68" s="4"/>
      <c r="AL68" s="4"/>
    </row>
    <row r="69" spans="1:38" ht="30" customHeight="1" x14ac:dyDescent="0.2">
      <c r="A69" s="15"/>
      <c r="B69" s="4"/>
      <c r="C69" s="4"/>
      <c r="D69" s="4"/>
      <c r="E69" s="72"/>
      <c r="F69" s="74"/>
      <c r="G69" s="74"/>
      <c r="H69" s="74"/>
      <c r="I69" s="7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9"/>
      <c r="AK69" s="4"/>
      <c r="AL69" s="4"/>
    </row>
    <row r="70" spans="1:38" ht="30" customHeight="1" x14ac:dyDescent="0.2">
      <c r="A70" s="15"/>
      <c r="B70" s="4"/>
      <c r="C70" s="4"/>
      <c r="D70" s="4"/>
      <c r="E70" s="72"/>
      <c r="F70" s="74"/>
      <c r="G70" s="74"/>
      <c r="H70" s="74"/>
      <c r="I70" s="7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9"/>
      <c r="AK70" s="4"/>
      <c r="AL70" s="4"/>
    </row>
    <row r="71" spans="1:38" ht="30" customHeight="1" x14ac:dyDescent="0.2">
      <c r="A71" s="15"/>
      <c r="B71" s="4"/>
      <c r="C71" s="4"/>
      <c r="D71" s="4"/>
      <c r="E71" s="72"/>
      <c r="F71" s="74"/>
      <c r="G71" s="74"/>
      <c r="H71" s="74"/>
      <c r="I71" s="7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9"/>
      <c r="AK71" s="4"/>
      <c r="AL71" s="4"/>
    </row>
    <row r="72" spans="1:38" ht="30" customHeight="1" x14ac:dyDescent="0.2">
      <c r="A72" s="15"/>
      <c r="B72" s="4"/>
      <c r="C72" s="4"/>
      <c r="D72" s="4"/>
      <c r="E72" s="72"/>
      <c r="F72" s="74"/>
      <c r="G72" s="74"/>
      <c r="H72" s="74"/>
      <c r="I72" s="7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/>
      <c r="AK72" s="4"/>
      <c r="AL72" s="4"/>
    </row>
    <row r="73" spans="1:38" ht="30" customHeight="1" x14ac:dyDescent="0.2">
      <c r="A73" s="15"/>
      <c r="B73" s="4"/>
      <c r="C73" s="4"/>
      <c r="D73" s="4"/>
      <c r="E73" s="72"/>
      <c r="F73" s="74"/>
      <c r="G73" s="74"/>
      <c r="H73" s="74"/>
      <c r="I73" s="7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/>
      <c r="AK73" s="4"/>
      <c r="AL73" s="4"/>
    </row>
    <row r="74" spans="1:38" ht="30" customHeight="1" x14ac:dyDescent="0.2">
      <c r="A74" s="15"/>
      <c r="B74" s="4"/>
      <c r="C74" s="4"/>
      <c r="D74" s="4"/>
      <c r="E74" s="72"/>
      <c r="F74" s="74"/>
      <c r="G74" s="74"/>
      <c r="H74" s="74"/>
      <c r="I74" s="7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/>
      <c r="AK74" s="4"/>
      <c r="AL74" s="4"/>
    </row>
    <row r="75" spans="1:38" ht="30" customHeight="1" x14ac:dyDescent="0.2">
      <c r="A75" s="15"/>
      <c r="B75" s="4"/>
      <c r="C75" s="4"/>
      <c r="D75" s="4"/>
      <c r="E75" s="72"/>
      <c r="F75" s="74"/>
      <c r="G75" s="74"/>
      <c r="H75" s="74"/>
      <c r="I75" s="7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9"/>
      <c r="AK75" s="4"/>
      <c r="AL75" s="4"/>
    </row>
    <row r="76" spans="1:38" ht="30" customHeight="1" x14ac:dyDescent="0.2">
      <c r="A76" s="15"/>
      <c r="B76" s="4"/>
      <c r="C76" s="4"/>
      <c r="D76" s="4"/>
      <c r="E76" s="72"/>
      <c r="F76" s="74"/>
      <c r="G76" s="74"/>
      <c r="H76" s="74"/>
      <c r="I76" s="7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9"/>
      <c r="AK76" s="4"/>
      <c r="AL76" s="4"/>
    </row>
    <row r="77" spans="1:38" ht="30" customHeight="1" x14ac:dyDescent="0.2">
      <c r="A77" s="15"/>
      <c r="B77" s="4"/>
      <c r="C77" s="4"/>
      <c r="D77" s="4"/>
      <c r="E77" s="72"/>
      <c r="F77" s="74"/>
      <c r="G77" s="74"/>
      <c r="H77" s="74"/>
      <c r="I77" s="7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/>
      <c r="AK77" s="4"/>
      <c r="AL77" s="4"/>
    </row>
    <row r="78" spans="1:38" ht="30" customHeight="1" x14ac:dyDescent="0.2">
      <c r="A78" s="15"/>
      <c r="B78" s="4"/>
      <c r="C78" s="4"/>
      <c r="D78" s="4"/>
      <c r="E78" s="72"/>
      <c r="F78" s="74"/>
      <c r="G78" s="74"/>
      <c r="H78" s="74"/>
      <c r="I78" s="7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/>
      <c r="AK78" s="4"/>
      <c r="AL78" s="4"/>
    </row>
    <row r="79" spans="1:38" ht="30" customHeight="1" x14ac:dyDescent="0.2">
      <c r="A79" s="15"/>
      <c r="B79" s="4"/>
      <c r="C79" s="4"/>
      <c r="D79" s="4"/>
      <c r="E79" s="72"/>
      <c r="F79" s="74"/>
      <c r="G79" s="74"/>
      <c r="H79" s="74"/>
      <c r="I79" s="7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/>
      <c r="AK79" s="4"/>
      <c r="AL79" s="4"/>
    </row>
    <row r="80" spans="1:38" ht="30" customHeight="1" x14ac:dyDescent="0.2">
      <c r="A80" s="15"/>
      <c r="B80" s="4"/>
      <c r="C80" s="4"/>
      <c r="D80" s="4"/>
      <c r="E80" s="72"/>
      <c r="F80" s="74"/>
      <c r="G80" s="74"/>
      <c r="H80" s="74"/>
      <c r="I80" s="7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/>
      <c r="AK80" s="4"/>
      <c r="AL80" s="4"/>
    </row>
    <row r="81" spans="1:38" ht="30" customHeight="1" x14ac:dyDescent="0.2">
      <c r="A81" s="15"/>
      <c r="B81" s="4"/>
      <c r="C81" s="4"/>
      <c r="D81" s="4"/>
      <c r="E81" s="72"/>
      <c r="F81" s="74"/>
      <c r="G81" s="74"/>
      <c r="H81" s="74"/>
      <c r="I81" s="7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/>
      <c r="AK81" s="4"/>
      <c r="AL81" s="4"/>
    </row>
    <row r="82" spans="1:38" ht="30" customHeight="1" x14ac:dyDescent="0.2">
      <c r="A82" s="15"/>
      <c r="B82" s="4"/>
      <c r="C82" s="4"/>
      <c r="D82" s="4"/>
      <c r="E82" s="72"/>
      <c r="F82" s="74"/>
      <c r="G82" s="74"/>
      <c r="H82" s="74"/>
      <c r="I82" s="7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/>
      <c r="AK82" s="4"/>
      <c r="AL82" s="4"/>
    </row>
    <row r="83" spans="1:38" ht="30" customHeight="1" x14ac:dyDescent="0.2">
      <c r="A83" s="15"/>
      <c r="B83" s="4"/>
      <c r="C83" s="4"/>
      <c r="D83" s="4"/>
      <c r="E83" s="72"/>
      <c r="F83" s="74"/>
      <c r="G83" s="74"/>
      <c r="H83" s="74"/>
      <c r="I83" s="7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30" customHeight="1" x14ac:dyDescent="0.2">
      <c r="A84" s="15"/>
      <c r="B84" s="4"/>
      <c r="C84" s="4"/>
      <c r="D84" s="4"/>
      <c r="E84" s="72"/>
      <c r="F84" s="74"/>
      <c r="G84" s="74"/>
      <c r="H84" s="74"/>
      <c r="I84" s="7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30" customHeight="1" x14ac:dyDescent="0.2">
      <c r="A85" s="15"/>
      <c r="B85" s="4"/>
      <c r="C85" s="4"/>
      <c r="D85" s="4"/>
      <c r="E85" s="72"/>
      <c r="F85" s="74"/>
      <c r="G85" s="74"/>
      <c r="H85" s="74"/>
      <c r="I85" s="7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30" customHeight="1" x14ac:dyDescent="0.2">
      <c r="A86" s="15"/>
      <c r="B86" s="4"/>
      <c r="C86" s="4"/>
      <c r="D86" s="4"/>
      <c r="E86" s="72"/>
      <c r="F86" s="74"/>
      <c r="G86" s="74"/>
      <c r="H86" s="74"/>
      <c r="I86" s="7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30" customHeight="1" x14ac:dyDescent="0.2">
      <c r="A87" s="15"/>
      <c r="B87" s="4"/>
      <c r="C87" s="4"/>
      <c r="D87" s="4"/>
      <c r="E87" s="72"/>
      <c r="F87" s="74"/>
      <c r="G87" s="74"/>
      <c r="H87" s="74"/>
      <c r="I87" s="7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30" customHeight="1" x14ac:dyDescent="0.2">
      <c r="A88" s="15"/>
      <c r="B88" s="4"/>
      <c r="C88" s="4"/>
      <c r="D88" s="4"/>
      <c r="E88" s="72"/>
      <c r="F88" s="74"/>
      <c r="G88" s="74"/>
      <c r="H88" s="74"/>
      <c r="I88" s="7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30" customHeight="1" x14ac:dyDescent="0.2">
      <c r="A89" s="15"/>
      <c r="B89" s="4"/>
      <c r="C89" s="4"/>
      <c r="D89" s="4"/>
      <c r="E89" s="72"/>
      <c r="F89" s="74"/>
      <c r="G89" s="74"/>
      <c r="H89" s="74"/>
      <c r="I89" s="7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30" customHeight="1" x14ac:dyDescent="0.2">
      <c r="A90" s="15"/>
      <c r="B90" s="4"/>
      <c r="C90" s="4"/>
      <c r="D90" s="4"/>
      <c r="E90" s="72"/>
      <c r="F90" s="74"/>
      <c r="G90" s="74"/>
      <c r="H90" s="74"/>
      <c r="I90" s="7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30" customHeight="1" x14ac:dyDescent="0.2">
      <c r="A91" s="15"/>
      <c r="B91" s="4"/>
      <c r="C91" s="4"/>
      <c r="D91" s="4"/>
      <c r="E91" s="72"/>
      <c r="F91" s="74"/>
      <c r="G91" s="74"/>
      <c r="H91" s="74"/>
      <c r="I91" s="7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30" customHeight="1" x14ac:dyDescent="0.2">
      <c r="A92" s="15"/>
      <c r="B92" s="4"/>
      <c r="C92" s="4"/>
      <c r="D92" s="4"/>
      <c r="E92" s="72"/>
      <c r="F92" s="74"/>
      <c r="G92" s="74"/>
      <c r="H92" s="74"/>
      <c r="I92" s="7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30" customHeight="1" x14ac:dyDescent="0.2">
      <c r="A93" s="15"/>
      <c r="B93" s="4"/>
      <c r="C93" s="4"/>
      <c r="D93" s="4"/>
      <c r="E93" s="72"/>
      <c r="F93" s="74"/>
      <c r="G93" s="74"/>
      <c r="H93" s="74"/>
      <c r="I93" s="7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30" customHeight="1" x14ac:dyDescent="0.2">
      <c r="A94" s="15"/>
      <c r="B94" s="4"/>
      <c r="C94" s="4"/>
      <c r="D94" s="4"/>
      <c r="E94" s="72"/>
      <c r="F94" s="74"/>
      <c r="G94" s="74"/>
      <c r="H94" s="74"/>
      <c r="I94" s="7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30" customHeight="1" x14ac:dyDescent="0.2">
      <c r="A95" s="15"/>
      <c r="B95" s="4"/>
      <c r="C95" s="4"/>
      <c r="D95" s="4"/>
      <c r="E95" s="72"/>
      <c r="F95" s="74"/>
      <c r="G95" s="74"/>
      <c r="H95" s="74"/>
      <c r="I95" s="7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30" customHeight="1" x14ac:dyDescent="0.2">
      <c r="A96" s="15"/>
      <c r="B96" s="4"/>
      <c r="C96" s="4"/>
      <c r="D96" s="4"/>
      <c r="E96" s="72"/>
      <c r="F96" s="74"/>
      <c r="G96" s="74"/>
      <c r="H96" s="74"/>
      <c r="I96" s="7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30" customHeight="1" x14ac:dyDescent="0.2">
      <c r="A97" s="15"/>
      <c r="B97" s="4"/>
      <c r="C97" s="4"/>
      <c r="D97" s="4"/>
      <c r="E97" s="72"/>
      <c r="F97" s="74"/>
      <c r="G97" s="74"/>
      <c r="H97" s="74"/>
      <c r="I97" s="7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30" customHeight="1" x14ac:dyDescent="0.2">
      <c r="A98" s="15"/>
      <c r="B98" s="4"/>
      <c r="C98" s="4"/>
      <c r="D98" s="4"/>
      <c r="E98" s="72"/>
      <c r="F98" s="74"/>
      <c r="G98" s="74"/>
      <c r="H98" s="74"/>
      <c r="I98" s="7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30" customHeight="1" x14ac:dyDescent="0.2">
      <c r="A99" s="15"/>
      <c r="B99" s="4"/>
      <c r="C99" s="4"/>
      <c r="D99" s="4"/>
      <c r="E99" s="72"/>
      <c r="F99" s="74"/>
      <c r="G99" s="74"/>
      <c r="H99" s="74"/>
      <c r="I99" s="7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30" customHeight="1" x14ac:dyDescent="0.2">
      <c r="A100" s="15"/>
      <c r="B100" s="4"/>
      <c r="C100" s="4"/>
      <c r="D100" s="4"/>
      <c r="E100" s="72"/>
      <c r="F100" s="74"/>
      <c r="G100" s="74"/>
      <c r="H100" s="74"/>
      <c r="I100" s="7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30" customHeight="1" x14ac:dyDescent="0.2">
      <c r="A101" s="15"/>
      <c r="B101" s="4"/>
      <c r="C101" s="4"/>
      <c r="D101" s="4"/>
      <c r="E101" s="72"/>
      <c r="F101" s="74"/>
      <c r="G101" s="74"/>
      <c r="H101" s="74"/>
      <c r="I101" s="7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30" customHeight="1" x14ac:dyDescent="0.2">
      <c r="A102" s="15"/>
      <c r="B102" s="4"/>
      <c r="C102" s="4"/>
      <c r="D102" s="4"/>
      <c r="E102" s="72"/>
      <c r="F102" s="74"/>
      <c r="G102" s="74"/>
      <c r="H102" s="74"/>
      <c r="I102" s="7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30" customHeight="1" x14ac:dyDescent="0.2">
      <c r="A103" s="15"/>
      <c r="B103" s="4"/>
      <c r="C103" s="4"/>
      <c r="D103" s="4"/>
      <c r="E103" s="72"/>
      <c r="F103" s="74"/>
      <c r="G103" s="74"/>
      <c r="H103" s="74"/>
      <c r="I103" s="7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30" customHeight="1" x14ac:dyDescent="0.2">
      <c r="A104" s="15"/>
      <c r="B104" s="4"/>
      <c r="C104" s="4"/>
      <c r="D104" s="4"/>
      <c r="E104" s="72"/>
      <c r="F104" s="74"/>
      <c r="G104" s="74"/>
      <c r="H104" s="74"/>
      <c r="I104" s="7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30" customHeight="1" x14ac:dyDescent="0.2">
      <c r="A105" s="15"/>
      <c r="B105" s="4"/>
      <c r="C105" s="4"/>
      <c r="D105" s="4"/>
      <c r="E105" s="72"/>
      <c r="F105" s="74"/>
      <c r="G105" s="74"/>
      <c r="H105" s="74"/>
      <c r="I105" s="7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30" customHeight="1" x14ac:dyDescent="0.2">
      <c r="A106" s="15"/>
      <c r="B106" s="4"/>
      <c r="C106" s="4"/>
      <c r="D106" s="4"/>
      <c r="E106" s="72"/>
      <c r="F106" s="74"/>
      <c r="G106" s="74"/>
      <c r="H106" s="74"/>
      <c r="I106" s="7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30" customHeight="1" x14ac:dyDescent="0.2">
      <c r="A107" s="15"/>
      <c r="B107" s="4"/>
      <c r="C107" s="4"/>
      <c r="D107" s="4"/>
      <c r="E107" s="72"/>
      <c r="F107" s="74"/>
      <c r="G107" s="74"/>
      <c r="H107" s="74"/>
      <c r="I107" s="7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30" customHeight="1" x14ac:dyDescent="0.2">
      <c r="A108" s="15"/>
      <c r="B108" s="4"/>
      <c r="C108" s="4"/>
      <c r="D108" s="4"/>
      <c r="E108" s="72"/>
      <c r="F108" s="74"/>
      <c r="G108" s="74"/>
      <c r="H108" s="74"/>
      <c r="I108" s="7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30" customHeight="1" x14ac:dyDescent="0.2">
      <c r="A109" s="15"/>
      <c r="B109" s="4"/>
      <c r="C109" s="4"/>
      <c r="D109" s="4"/>
      <c r="E109" s="72"/>
      <c r="F109" s="74"/>
      <c r="G109" s="74"/>
      <c r="H109" s="74"/>
      <c r="I109" s="7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30" customHeight="1" x14ac:dyDescent="0.2">
      <c r="A110" s="15"/>
      <c r="B110" s="4"/>
      <c r="C110" s="4"/>
      <c r="D110" s="4"/>
      <c r="E110" s="72"/>
      <c r="F110" s="74"/>
      <c r="G110" s="74"/>
      <c r="H110" s="74"/>
      <c r="I110" s="7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30" customHeight="1" x14ac:dyDescent="0.2">
      <c r="A111" s="15"/>
      <c r="B111" s="4"/>
      <c r="C111" s="4"/>
      <c r="D111" s="4"/>
      <c r="E111" s="72"/>
      <c r="F111" s="74"/>
      <c r="G111" s="74"/>
      <c r="H111" s="74"/>
      <c r="I111" s="7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30" customHeight="1" x14ac:dyDescent="0.2">
      <c r="A112" s="15"/>
      <c r="B112" s="4"/>
      <c r="C112" s="4"/>
      <c r="D112" s="4"/>
      <c r="E112" s="72"/>
      <c r="F112" s="74"/>
      <c r="G112" s="74"/>
      <c r="H112" s="74"/>
      <c r="I112" s="7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30" customHeight="1" x14ac:dyDescent="0.2">
      <c r="A113" s="15"/>
      <c r="B113" s="4"/>
      <c r="C113" s="4"/>
      <c r="D113" s="4"/>
      <c r="E113" s="72"/>
      <c r="F113" s="74"/>
      <c r="G113" s="74"/>
      <c r="H113" s="74"/>
      <c r="I113" s="7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30" customHeight="1" x14ac:dyDescent="0.2">
      <c r="A114" s="15"/>
      <c r="B114" s="4"/>
      <c r="C114" s="4"/>
      <c r="D114" s="4"/>
      <c r="E114" s="72"/>
      <c r="F114" s="74"/>
      <c r="G114" s="74"/>
      <c r="H114" s="74"/>
      <c r="I114" s="7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30" customHeight="1" x14ac:dyDescent="0.2">
      <c r="A115" s="15"/>
      <c r="B115" s="4"/>
      <c r="C115" s="4"/>
      <c r="D115" s="4"/>
      <c r="E115" s="72"/>
      <c r="F115" s="74"/>
      <c r="G115" s="74"/>
      <c r="H115" s="74"/>
      <c r="I115" s="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30" customHeight="1" x14ac:dyDescent="0.2">
      <c r="A116" s="15"/>
      <c r="B116" s="4"/>
      <c r="C116" s="4"/>
      <c r="D116" s="4"/>
      <c r="E116" s="72"/>
      <c r="F116" s="74"/>
      <c r="G116" s="74"/>
      <c r="H116" s="74"/>
      <c r="I116" s="7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30" customHeight="1" x14ac:dyDescent="0.2">
      <c r="A117" s="15"/>
      <c r="B117" s="4"/>
      <c r="C117" s="4"/>
      <c r="D117" s="4"/>
      <c r="E117" s="72"/>
      <c r="F117" s="74"/>
      <c r="G117" s="74"/>
      <c r="H117" s="74"/>
      <c r="I117" s="7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30" customHeight="1" x14ac:dyDescent="0.2">
      <c r="A118" s="15"/>
      <c r="B118" s="4"/>
      <c r="C118" s="4"/>
      <c r="D118" s="4"/>
      <c r="E118" s="72"/>
      <c r="F118" s="74"/>
      <c r="G118" s="74"/>
      <c r="H118" s="74"/>
      <c r="I118" s="7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30" customHeight="1" x14ac:dyDescent="0.2">
      <c r="A119" s="15"/>
      <c r="B119" s="4"/>
      <c r="C119" s="4"/>
      <c r="D119" s="4"/>
      <c r="E119" s="72"/>
      <c r="F119" s="74"/>
      <c r="G119" s="74"/>
      <c r="H119" s="74"/>
      <c r="I119" s="7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30" customHeight="1" x14ac:dyDescent="0.2">
      <c r="A120" s="15"/>
      <c r="B120" s="4"/>
      <c r="C120" s="4"/>
      <c r="D120" s="4"/>
      <c r="E120" s="72"/>
      <c r="F120" s="74"/>
      <c r="G120" s="74"/>
      <c r="H120" s="74"/>
      <c r="I120" s="7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30" customHeight="1" x14ac:dyDescent="0.2">
      <c r="A121" s="15"/>
      <c r="B121" s="4"/>
      <c r="C121" s="4"/>
      <c r="D121" s="4"/>
      <c r="E121" s="72"/>
      <c r="F121" s="74"/>
      <c r="G121" s="74"/>
      <c r="H121" s="74"/>
      <c r="I121" s="7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30" customHeight="1" x14ac:dyDescent="0.2">
      <c r="A122" s="15"/>
      <c r="B122" s="4"/>
      <c r="C122" s="4"/>
      <c r="D122" s="4"/>
      <c r="E122" s="72"/>
      <c r="F122" s="74"/>
      <c r="G122" s="74"/>
      <c r="H122" s="74"/>
      <c r="I122" s="7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30" customHeight="1" x14ac:dyDescent="0.2">
      <c r="A123" s="15"/>
      <c r="B123" s="4"/>
      <c r="C123" s="4"/>
      <c r="D123" s="4"/>
      <c r="E123" s="72"/>
      <c r="F123" s="74"/>
      <c r="G123" s="74"/>
      <c r="H123" s="74"/>
      <c r="I123" s="7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30" customHeight="1" x14ac:dyDescent="0.2">
      <c r="A124" s="15"/>
      <c r="B124" s="4"/>
      <c r="C124" s="4"/>
      <c r="D124" s="4"/>
      <c r="E124" s="72"/>
      <c r="F124" s="74"/>
      <c r="G124" s="74"/>
      <c r="H124" s="74"/>
      <c r="I124" s="7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30" customHeight="1" x14ac:dyDescent="0.2">
      <c r="A125" s="15"/>
      <c r="B125" s="4"/>
      <c r="C125" s="4"/>
      <c r="D125" s="4"/>
      <c r="E125" s="72"/>
      <c r="F125" s="74"/>
      <c r="G125" s="74"/>
      <c r="H125" s="74"/>
      <c r="I125" s="7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30" customHeight="1" x14ac:dyDescent="0.2">
      <c r="A126" s="15"/>
      <c r="B126" s="4"/>
      <c r="C126" s="4"/>
      <c r="D126" s="4"/>
      <c r="E126" s="72"/>
      <c r="F126" s="74"/>
      <c r="G126" s="74"/>
      <c r="H126" s="74"/>
      <c r="I126" s="7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30" customHeight="1" x14ac:dyDescent="0.2">
      <c r="A127" s="15"/>
      <c r="B127" s="4"/>
      <c r="C127" s="4"/>
      <c r="D127" s="4"/>
      <c r="E127" s="72"/>
      <c r="F127" s="74"/>
      <c r="G127" s="74"/>
      <c r="H127" s="74"/>
      <c r="I127" s="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30" customHeight="1" x14ac:dyDescent="0.2">
      <c r="A128" s="15"/>
      <c r="B128" s="4"/>
      <c r="C128" s="4"/>
      <c r="D128" s="4"/>
      <c r="E128" s="72"/>
      <c r="F128" s="74"/>
      <c r="G128" s="74"/>
      <c r="H128" s="74"/>
      <c r="I128" s="7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30" customHeight="1" x14ac:dyDescent="0.2">
      <c r="A129" s="15"/>
      <c r="B129" s="4"/>
      <c r="C129" s="4"/>
      <c r="D129" s="4"/>
      <c r="E129" s="72"/>
      <c r="F129" s="74"/>
      <c r="G129" s="74"/>
      <c r="H129" s="74"/>
      <c r="I129" s="7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30" customHeight="1" x14ac:dyDescent="0.2">
      <c r="A130" s="15"/>
      <c r="B130" s="4"/>
      <c r="C130" s="4"/>
      <c r="D130" s="4"/>
      <c r="E130" s="72"/>
      <c r="F130" s="74"/>
      <c r="G130" s="74"/>
      <c r="H130" s="74"/>
      <c r="I130" s="7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30" customHeight="1" x14ac:dyDescent="0.2">
      <c r="A131" s="15"/>
      <c r="B131" s="4"/>
      <c r="C131" s="4"/>
      <c r="D131" s="4"/>
      <c r="E131" s="72"/>
      <c r="F131" s="74"/>
      <c r="G131" s="74"/>
      <c r="H131" s="74"/>
      <c r="I131" s="7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30" customHeight="1" x14ac:dyDescent="0.2">
      <c r="A132" s="15"/>
      <c r="B132" s="4"/>
      <c r="C132" s="4"/>
      <c r="D132" s="4"/>
      <c r="E132" s="72"/>
      <c r="F132" s="74"/>
      <c r="G132" s="74"/>
      <c r="H132" s="74"/>
      <c r="I132" s="7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30" customHeight="1" x14ac:dyDescent="0.2">
      <c r="A133" s="15"/>
      <c r="B133" s="4"/>
      <c r="C133" s="4"/>
      <c r="D133" s="4"/>
      <c r="E133" s="72"/>
      <c r="F133" s="74"/>
      <c r="G133" s="74"/>
      <c r="H133" s="74"/>
      <c r="I133" s="7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30" customHeight="1" x14ac:dyDescent="0.2">
      <c r="A134" s="15"/>
      <c r="B134" s="4"/>
      <c r="C134" s="4"/>
      <c r="D134" s="4"/>
      <c r="E134" s="72"/>
      <c r="F134" s="74"/>
      <c r="G134" s="74"/>
      <c r="H134" s="74"/>
      <c r="I134" s="7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30" customHeight="1" x14ac:dyDescent="0.2">
      <c r="A135" s="15"/>
      <c r="B135" s="4"/>
      <c r="C135" s="4"/>
      <c r="D135" s="4"/>
      <c r="E135" s="72"/>
      <c r="F135" s="74"/>
      <c r="G135" s="74"/>
      <c r="H135" s="74"/>
      <c r="I135" s="7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30" customHeight="1" x14ac:dyDescent="0.2">
      <c r="A136" s="15"/>
      <c r="B136" s="4"/>
      <c r="C136" s="4"/>
      <c r="D136" s="4"/>
      <c r="E136" s="72"/>
      <c r="F136" s="74"/>
      <c r="G136" s="74"/>
      <c r="H136" s="74"/>
      <c r="I136" s="7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30" customHeight="1" x14ac:dyDescent="0.2">
      <c r="A137" s="15"/>
      <c r="B137" s="4"/>
      <c r="C137" s="4"/>
      <c r="D137" s="4"/>
      <c r="E137" s="72"/>
      <c r="F137" s="74"/>
      <c r="G137" s="74"/>
      <c r="H137" s="74"/>
      <c r="I137" s="7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30" customHeight="1" x14ac:dyDescent="0.2">
      <c r="A138" s="15"/>
      <c r="B138" s="4"/>
      <c r="C138" s="4"/>
      <c r="D138" s="4"/>
      <c r="E138" s="72"/>
      <c r="F138" s="74"/>
      <c r="G138" s="74"/>
      <c r="H138" s="74"/>
      <c r="I138" s="7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30" customHeight="1" x14ac:dyDescent="0.2">
      <c r="A139" s="15"/>
      <c r="B139" s="4"/>
      <c r="C139" s="4"/>
      <c r="D139" s="4"/>
      <c r="E139" s="72"/>
      <c r="F139" s="74"/>
      <c r="G139" s="74"/>
      <c r="H139" s="74"/>
      <c r="I139" s="7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30" customHeight="1" x14ac:dyDescent="0.2">
      <c r="A140" s="15"/>
      <c r="B140" s="4"/>
      <c r="C140" s="4"/>
      <c r="D140" s="4"/>
      <c r="E140" s="72"/>
      <c r="F140" s="74"/>
      <c r="G140" s="74"/>
      <c r="H140" s="74"/>
      <c r="I140" s="7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30" customHeight="1" x14ac:dyDescent="0.2">
      <c r="A141" s="15"/>
      <c r="B141" s="4"/>
      <c r="C141" s="4"/>
      <c r="D141" s="4"/>
      <c r="E141" s="72"/>
      <c r="F141" s="74"/>
      <c r="G141" s="74"/>
      <c r="H141" s="74"/>
      <c r="I141" s="7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30" customHeight="1" x14ac:dyDescent="0.2">
      <c r="A142" s="15"/>
      <c r="B142" s="4"/>
      <c r="C142" s="4"/>
      <c r="D142" s="4"/>
      <c r="E142" s="72"/>
      <c r="F142" s="74"/>
      <c r="G142" s="74"/>
      <c r="H142" s="74"/>
      <c r="I142" s="7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30" customHeight="1" x14ac:dyDescent="0.2">
      <c r="A143" s="15"/>
      <c r="B143" s="4"/>
      <c r="C143" s="4"/>
      <c r="D143" s="4"/>
      <c r="E143" s="72"/>
      <c r="F143" s="74"/>
      <c r="G143" s="74"/>
      <c r="H143" s="74"/>
      <c r="I143" s="7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30" customHeight="1" x14ac:dyDescent="0.2">
      <c r="A144" s="15"/>
      <c r="B144" s="4"/>
      <c r="C144" s="4"/>
      <c r="D144" s="4"/>
      <c r="E144" s="72"/>
      <c r="F144" s="74"/>
      <c r="G144" s="74"/>
      <c r="H144" s="74"/>
      <c r="I144" s="7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9" ht="30" customHeight="1" x14ac:dyDescent="0.2">
      <c r="A145" s="15"/>
      <c r="B145" s="4"/>
      <c r="C145" s="4"/>
      <c r="D145" s="4"/>
      <c r="E145" s="72"/>
      <c r="F145" s="74"/>
      <c r="G145" s="74"/>
      <c r="H145" s="74"/>
      <c r="I145" s="7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9" ht="30" customHeight="1" x14ac:dyDescent="0.2">
      <c r="A146" s="15"/>
      <c r="B146" s="4"/>
      <c r="C146" s="4"/>
      <c r="D146" s="4"/>
      <c r="E146" s="72"/>
      <c r="F146" s="74"/>
      <c r="G146" s="74"/>
      <c r="H146" s="74"/>
      <c r="I146" s="7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9" s="3" customFormat="1" ht="30" customHeight="1" x14ac:dyDescent="0.2">
      <c r="A147" s="15"/>
      <c r="B147" s="4"/>
      <c r="C147" s="4"/>
      <c r="D147" s="4"/>
      <c r="E147" s="72"/>
      <c r="F147" s="74"/>
      <c r="G147" s="74"/>
      <c r="H147" s="74"/>
      <c r="I147" s="7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1"/>
    </row>
    <row r="148" spans="1:39" s="3" customFormat="1" ht="30" customHeight="1" x14ac:dyDescent="0.2">
      <c r="A148" s="15"/>
      <c r="B148" s="4"/>
      <c r="C148" s="4"/>
      <c r="D148" s="4"/>
      <c r="E148" s="72"/>
      <c r="F148" s="74"/>
      <c r="G148" s="74"/>
      <c r="H148" s="74"/>
      <c r="I148" s="7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1"/>
    </row>
    <row r="149" spans="1:39" s="3" customFormat="1" ht="30" customHeight="1" x14ac:dyDescent="0.2">
      <c r="A149" s="15"/>
      <c r="B149" s="4"/>
      <c r="C149" s="4"/>
      <c r="D149" s="4"/>
      <c r="E149" s="72"/>
      <c r="F149" s="74"/>
      <c r="G149" s="74"/>
      <c r="H149" s="74"/>
      <c r="I149" s="7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1"/>
    </row>
    <row r="150" spans="1:39" s="3" customFormat="1" ht="30" customHeight="1" x14ac:dyDescent="0.2">
      <c r="A150" s="15"/>
      <c r="B150" s="4"/>
      <c r="C150" s="4"/>
      <c r="D150" s="4"/>
      <c r="E150" s="72"/>
      <c r="F150" s="74"/>
      <c r="G150" s="74"/>
      <c r="H150" s="74"/>
      <c r="I150" s="7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1"/>
    </row>
    <row r="151" spans="1:39" s="3" customFormat="1" ht="30" customHeight="1" x14ac:dyDescent="0.2">
      <c r="A151" s="15"/>
      <c r="B151" s="4"/>
      <c r="C151" s="4"/>
      <c r="D151" s="4"/>
      <c r="E151" s="72"/>
      <c r="F151" s="74"/>
      <c r="G151" s="74"/>
      <c r="H151" s="74"/>
      <c r="I151" s="7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1"/>
    </row>
    <row r="152" spans="1:39" s="3" customFormat="1" ht="30" hidden="1" customHeight="1" x14ac:dyDescent="0.2">
      <c r="A152" s="15"/>
      <c r="B152" s="4"/>
      <c r="C152" s="4"/>
      <c r="D152" s="1"/>
      <c r="E152" s="72"/>
      <c r="F152" s="74"/>
      <c r="G152" s="74"/>
      <c r="H152" s="74"/>
      <c r="I152" s="7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1"/>
    </row>
    <row r="153" spans="1:39" s="3" customFormat="1" ht="30" hidden="1" customHeight="1" x14ac:dyDescent="0.2">
      <c r="B153" s="4"/>
      <c r="C153" s="4"/>
      <c r="D153" s="1"/>
      <c r="E153" s="1"/>
      <c r="F153" s="97"/>
      <c r="G153" s="97"/>
      <c r="H153" s="97"/>
      <c r="I153" s="9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1"/>
    </row>
    <row r="154" spans="1:39" ht="0" hidden="1" customHeight="1" x14ac:dyDescent="0.2">
      <c r="X154" s="4"/>
      <c r="Y154" s="4"/>
      <c r="Z154" s="4"/>
      <c r="AA154" s="4"/>
      <c r="AB154" s="4"/>
    </row>
  </sheetData>
  <mergeCells count="1">
    <mergeCell ref="J5:K6"/>
  </mergeCells>
  <conditionalFormatting sqref="F33:I33 N33 F15:J17 I12:N12 J11:N11 W37 Q49:S49 V49 K20:S20 N19:S19 V44:V47 F11:J13 K13:S13 F22:S22 F14:S14 F16:N21 F27:P27 F28:N32 K16:S16 J15:S15 Q16:S21 O18:P21 F42:L43 M42:S44 F37:S41 F45:S48 U42:U47 T13:T22 T37:T49 Q44:T45 N42:T42 L48:T48 N46:T46 Q39:T42 Q37:T37 N38:T40 U37:U40 M47:T47">
    <cfRule type="cellIs" dxfId="162" priority="118" operator="equal">
      <formula>0</formula>
    </cfRule>
  </conditionalFormatting>
  <conditionalFormatting sqref="U41">
    <cfRule type="cellIs" dxfId="161" priority="98" operator="equal">
      <formula>0</formula>
    </cfRule>
  </conditionalFormatting>
  <conditionalFormatting sqref="W37">
    <cfRule type="cellIs" dxfId="160" priority="90" operator="equal">
      <formula>0</formula>
    </cfRule>
  </conditionalFormatting>
  <conditionalFormatting sqref="J33:M33">
    <cfRule type="cellIs" dxfId="159" priority="68" operator="equal">
      <formula>0</formula>
    </cfRule>
  </conditionalFormatting>
  <conditionalFormatting sqref="J33:M33">
    <cfRule type="colorScale" priority="66">
      <colorScale>
        <cfvo type="min"/>
        <cfvo type="max"/>
        <color rgb="FFD9FBE2"/>
        <color rgb="FF00C556"/>
      </colorScale>
    </cfRule>
    <cfRule type="colorScale" priority="67">
      <colorScale>
        <cfvo type="min"/>
        <cfvo type="max"/>
        <color rgb="FFFCFCFF"/>
        <color rgb="FF63BE7B"/>
      </colorScale>
    </cfRule>
  </conditionalFormatting>
  <conditionalFormatting sqref="F33:I33">
    <cfRule type="colorScale" priority="444">
      <colorScale>
        <cfvo type="min"/>
        <cfvo type="max"/>
        <color rgb="FFD9FBE2"/>
        <color rgb="FF00C556"/>
      </colorScale>
    </cfRule>
    <cfRule type="colorScale" priority="445">
      <colorScale>
        <cfvo type="min"/>
        <cfvo type="max"/>
        <color rgb="FFFCFCFF"/>
        <color rgb="FF63BE7B"/>
      </colorScale>
    </cfRule>
  </conditionalFormatting>
  <conditionalFormatting sqref="F15:T15">
    <cfRule type="colorScale" priority="446">
      <colorScale>
        <cfvo type="min"/>
        <cfvo type="max"/>
        <color rgb="FFD9FBE2"/>
        <color rgb="FF00C556"/>
      </colorScale>
    </cfRule>
    <cfRule type="colorScale" priority="447">
      <colorScale>
        <cfvo type="min"/>
        <cfvo type="max"/>
        <color rgb="FFFCFCFF"/>
        <color rgb="FF63BE7B"/>
      </colorScale>
    </cfRule>
  </conditionalFormatting>
  <conditionalFormatting sqref="F48:T48">
    <cfRule type="colorScale" priority="448">
      <colorScale>
        <cfvo type="min"/>
        <cfvo type="max"/>
        <color rgb="FFD9FBE2"/>
        <color rgb="FF00C556"/>
      </colorScale>
    </cfRule>
    <cfRule type="colorScale" priority="449">
      <colorScale>
        <cfvo type="min"/>
        <cfvo type="max"/>
        <color rgb="FFFCFCFF"/>
        <color rgb="FF63BE7B"/>
      </colorScale>
    </cfRule>
  </conditionalFormatting>
  <conditionalFormatting sqref="F12:N12">
    <cfRule type="colorScale" priority="482">
      <colorScale>
        <cfvo type="min"/>
        <cfvo type="max"/>
        <color rgb="FFD9FBE2"/>
        <color rgb="FF00C556"/>
      </colorScale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U48">
    <cfRule type="cellIs" dxfId="158" priority="65" operator="equal">
      <formula>0</formula>
    </cfRule>
  </conditionalFormatting>
  <conditionalFormatting sqref="Q28:T33">
    <cfRule type="cellIs" dxfId="157" priority="51" operator="equal">
      <formula>0</formula>
    </cfRule>
  </conditionalFormatting>
  <conditionalFormatting sqref="N9:T9">
    <cfRule type="cellIs" dxfId="156" priority="35" operator="equal">
      <formula>0</formula>
    </cfRule>
  </conditionalFormatting>
  <conditionalFormatting sqref="O28:P33 P16 O11:P11 O17:T18 O12:T12">
    <cfRule type="cellIs" dxfId="155" priority="39" operator="equal">
      <formula>0</formula>
    </cfRule>
  </conditionalFormatting>
  <conditionalFormatting sqref="O12:T12">
    <cfRule type="colorScale" priority="40">
      <colorScale>
        <cfvo type="min"/>
        <cfvo type="max"/>
        <color rgb="FFD9FBE2"/>
        <color rgb="FF00C556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O48:T48">
    <cfRule type="cellIs" dxfId="154" priority="31" operator="equal">
      <formula>0</formula>
    </cfRule>
  </conditionalFormatting>
  <conditionalFormatting sqref="O16">
    <cfRule type="cellIs" dxfId="153" priority="30" operator="equal">
      <formula>0</formula>
    </cfRule>
  </conditionalFormatting>
  <conditionalFormatting sqref="Q26:T27">
    <cfRule type="cellIs" dxfId="152" priority="13" operator="equal">
      <formula>0</formula>
    </cfRule>
  </conditionalFormatting>
  <conditionalFormatting sqref="Q11:T11">
    <cfRule type="cellIs" dxfId="151" priority="11" operator="equal">
      <formula>0</formula>
    </cfRule>
  </conditionalFormatting>
  <conditionalFormatting sqref="F25:T25">
    <cfRule type="cellIs" dxfId="150" priority="4" operator="equal">
      <formula>0</formula>
    </cfRule>
  </conditionalFormatting>
  <conditionalFormatting sqref="F24:P24">
    <cfRule type="cellIs" dxfId="149" priority="3" operator="equal">
      <formula>0</formula>
    </cfRule>
  </conditionalFormatting>
  <conditionalFormatting sqref="F23:T23">
    <cfRule type="colorScale" priority="2">
      <colorScale>
        <cfvo type="min"/>
        <cfvo type="max"/>
        <color rgb="FFD9FBE2"/>
        <color rgb="FF00C556"/>
      </colorScale>
    </cfRule>
  </conditionalFormatting>
  <conditionalFormatting sqref="F26:T26">
    <cfRule type="colorScale" priority="1">
      <colorScale>
        <cfvo type="min"/>
        <cfvo type="max"/>
        <color rgb="FFD9FBE2"/>
        <color rgb="FF00C556"/>
      </colorScale>
    </cfRule>
  </conditionalFormatting>
  <hyperlinks>
    <hyperlink ref="A8" location="Dashboard!A1" display="Dashboard" xr:uid="{64B109C0-A037-4798-9935-96D02EEE5E5C}"/>
    <hyperlink ref="A9" location="WACC!A1" display="WACC" xr:uid="{5762D8DF-4329-4838-867F-E8FDF1F4D73C}"/>
    <hyperlink ref="A11" location="'Balanço Patrimonial'!A1" display="Balanço Patrimonial" xr:uid="{61C197C9-7A9C-4DDE-B6E2-B9A7803260E1}"/>
    <hyperlink ref="A12" location="'Projeções - Receita'!A1" display="Projeções" xr:uid="{8704D9FA-348A-4B19-81AA-A88B7DE0BF7F}"/>
    <hyperlink ref="A13" location="Lojas!A1" display="Lojas" xr:uid="{DDE12A12-464F-466E-81B9-4C54F3EE1633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EF6A-5F1E-4E86-B5D6-2D9C34E1AF83}">
  <sheetPr codeName="Planilha22"/>
  <dimension ref="A1:BH165"/>
  <sheetViews>
    <sheetView showGridLines="0" topLeftCell="A95" zoomScale="125" zoomScaleNormal="80" workbookViewId="0">
      <selection activeCell="E127" sqref="E127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73" style="1" bestFit="1" customWidth="1"/>
    <col min="6" max="11" width="15.1640625" style="1" bestFit="1" customWidth="1"/>
    <col min="12" max="12" width="12" style="1" bestFit="1" customWidth="1"/>
    <col min="13" max="14" width="11.33203125" style="1" bestFit="1" customWidth="1"/>
    <col min="15" max="20" width="9.1640625" style="1" customWidth="1"/>
    <col min="21" max="21" width="9.1640625" style="1" hidden="1" customWidth="1"/>
    <col min="22" max="25" width="0" style="1" hidden="1" customWidth="1"/>
    <col min="26" max="27" width="9.1640625" style="1" hidden="1" customWidth="1"/>
    <col min="28" max="31" width="0" style="1" hidden="1" customWidth="1"/>
    <col min="32" max="33" width="9.1640625" style="1" hidden="1" customWidth="1"/>
    <col min="34" max="37" width="0" style="1" hidden="1" customWidth="1"/>
    <col min="38" max="38" width="9.1640625" style="1" hidden="1" customWidth="1"/>
    <col min="39" max="42" width="0" style="1" hidden="1" customWidth="1"/>
    <col min="43" max="44" width="9.1640625" style="1" hidden="1" customWidth="1"/>
    <col min="45" max="48" width="0" style="1" hidden="1" customWidth="1"/>
    <col min="49" max="53" width="9.1640625" style="1" hidden="1" customWidth="1"/>
    <col min="54" max="57" width="0" style="1" hidden="1" customWidth="1"/>
    <col min="58" max="60" width="9.1640625" style="1" hidden="1" customWidth="1"/>
    <col min="61" max="16384" width="0" style="1" hidden="1"/>
  </cols>
  <sheetData>
    <row r="1" spans="1:30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30" ht="15" customHeight="1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30" ht="15" customHeight="1" x14ac:dyDescent="0.2">
      <c r="B3" s="4"/>
      <c r="C3" s="4"/>
      <c r="D3" s="4"/>
      <c r="E3" s="4"/>
      <c r="F3" s="4"/>
      <c r="G3" s="4"/>
      <c r="H3" s="4"/>
      <c r="I3" s="38"/>
      <c r="J3" s="38"/>
      <c r="K3" s="38"/>
      <c r="L3" s="38"/>
      <c r="M3" s="38"/>
      <c r="N3" s="3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" customHeight="1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38"/>
      <c r="M4" s="38"/>
      <c r="N4" s="3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" customHeight="1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38"/>
      <c r="M5" s="38"/>
      <c r="N5" s="3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74"/>
      <c r="M6" s="4"/>
      <c r="N6" s="4"/>
      <c r="O6" s="4"/>
      <c r="P6" s="4"/>
      <c r="Q6" s="4"/>
      <c r="R6" s="4"/>
      <c r="S6" s="4"/>
      <c r="T6" s="4"/>
    </row>
    <row r="7" spans="1:30" s="10" customFormat="1" ht="15" x14ac:dyDescent="0.2">
      <c r="A7" s="8" t="s">
        <v>1</v>
      </c>
      <c r="B7" s="9"/>
      <c r="C7" s="4"/>
      <c r="D7" s="4"/>
      <c r="E7" s="9"/>
      <c r="F7" s="4"/>
      <c r="G7" s="4"/>
      <c r="H7" s="4"/>
      <c r="I7" s="4"/>
      <c r="J7" s="4"/>
      <c r="K7" s="4"/>
      <c r="L7" s="74"/>
      <c r="M7" s="9"/>
      <c r="N7" s="9"/>
      <c r="O7" s="9"/>
      <c r="P7" s="9"/>
      <c r="Q7" s="9"/>
      <c r="R7" s="9"/>
      <c r="S7" s="9"/>
      <c r="T7" s="9"/>
    </row>
    <row r="8" spans="1:30" ht="30" customHeight="1" x14ac:dyDescent="0.2">
      <c r="A8" s="15" t="s">
        <v>2</v>
      </c>
      <c r="B8" s="4"/>
      <c r="C8" s="4"/>
      <c r="D8" s="4"/>
      <c r="E8" s="34"/>
      <c r="J8" s="98"/>
      <c r="K8" s="4"/>
      <c r="L8" s="74"/>
      <c r="M8" s="4"/>
      <c r="N8" s="4"/>
      <c r="O8" s="4"/>
      <c r="P8" s="4"/>
      <c r="Q8" s="4"/>
      <c r="R8" s="4"/>
      <c r="S8" s="4"/>
      <c r="T8" s="4"/>
    </row>
    <row r="9" spans="1:30" ht="30" customHeight="1" x14ac:dyDescent="0.2">
      <c r="A9" s="15" t="s">
        <v>3</v>
      </c>
      <c r="B9" s="4"/>
      <c r="C9" s="4"/>
      <c r="D9" s="4"/>
      <c r="E9" s="41"/>
      <c r="F9" s="42">
        <v>2016</v>
      </c>
      <c r="G9" s="42">
        <v>2017</v>
      </c>
      <c r="H9" s="42">
        <v>2018</v>
      </c>
      <c r="I9" s="42">
        <v>2019</v>
      </c>
      <c r="J9" s="42">
        <v>2020</v>
      </c>
      <c r="K9" s="76">
        <v>2021</v>
      </c>
      <c r="L9" s="4"/>
      <c r="M9" s="4"/>
      <c r="N9" s="4"/>
      <c r="O9" s="4"/>
      <c r="P9" s="4"/>
      <c r="Q9" s="4"/>
      <c r="R9" s="4"/>
      <c r="S9" s="4"/>
      <c r="T9" s="4"/>
    </row>
    <row r="10" spans="1:30" ht="30" customHeight="1" x14ac:dyDescent="0.2">
      <c r="A10" s="11" t="s">
        <v>6</v>
      </c>
      <c r="B10" s="4"/>
      <c r="C10" s="4"/>
      <c r="D10" s="4"/>
      <c r="E10" s="41" t="s">
        <v>72</v>
      </c>
      <c r="F10" s="52">
        <v>-585593</v>
      </c>
      <c r="G10" s="52">
        <v>-585653</v>
      </c>
      <c r="H10" s="52">
        <v>-556853</v>
      </c>
      <c r="I10" s="52">
        <v>-579633</v>
      </c>
      <c r="J10" s="52">
        <v>-488088</v>
      </c>
      <c r="K10" s="61">
        <v>-598914</v>
      </c>
      <c r="L10" s="95"/>
      <c r="M10" s="4"/>
      <c r="N10" s="4"/>
      <c r="O10" s="4"/>
      <c r="P10" s="4"/>
      <c r="Q10" s="4"/>
      <c r="R10" s="4"/>
      <c r="S10" s="4"/>
      <c r="T10" s="4"/>
    </row>
    <row r="11" spans="1:30" ht="30" customHeight="1" x14ac:dyDescent="0.2">
      <c r="A11" s="15" t="s">
        <v>8</v>
      </c>
      <c r="B11" s="4"/>
      <c r="C11" s="4"/>
      <c r="D11" s="4"/>
      <c r="E11" s="41" t="s">
        <v>73</v>
      </c>
      <c r="F11" s="52">
        <v>-147630</v>
      </c>
      <c r="G11" s="52">
        <v>-143144</v>
      </c>
      <c r="H11" s="52">
        <v>-208540</v>
      </c>
      <c r="I11" s="52">
        <v>-203002</v>
      </c>
      <c r="J11" s="52">
        <v>-275228</v>
      </c>
      <c r="K11" s="61">
        <v>-324160</v>
      </c>
      <c r="L11" s="95"/>
      <c r="M11" s="4"/>
      <c r="N11" s="4"/>
      <c r="O11" s="4"/>
      <c r="P11" s="4"/>
      <c r="Q11" s="4"/>
      <c r="R11" s="4"/>
      <c r="S11" s="4"/>
      <c r="T11" s="4"/>
    </row>
    <row r="12" spans="1:30" ht="30" customHeight="1" x14ac:dyDescent="0.2">
      <c r="A12" s="15" t="s">
        <v>10</v>
      </c>
      <c r="B12" s="4"/>
      <c r="C12" s="4"/>
      <c r="D12" s="4"/>
      <c r="E12" s="41" t="s">
        <v>74</v>
      </c>
      <c r="F12" s="52">
        <v>0</v>
      </c>
      <c r="G12" s="52">
        <v>0</v>
      </c>
      <c r="H12" s="52">
        <v>0</v>
      </c>
      <c r="I12" s="52">
        <v>-248687</v>
      </c>
      <c r="J12" s="52">
        <v>-257798</v>
      </c>
      <c r="K12" s="61">
        <v>-285667</v>
      </c>
      <c r="L12" s="95"/>
      <c r="M12" s="4"/>
      <c r="N12" s="4"/>
      <c r="O12" s="4"/>
      <c r="P12" s="4"/>
      <c r="Q12" s="4"/>
      <c r="R12" s="4"/>
      <c r="S12" s="4"/>
      <c r="T12" s="4"/>
    </row>
    <row r="13" spans="1:30" ht="30" customHeight="1" x14ac:dyDescent="0.2">
      <c r="A13" s="15" t="s">
        <v>12</v>
      </c>
      <c r="B13" s="4"/>
      <c r="C13" s="4"/>
      <c r="D13" s="4"/>
      <c r="E13" s="41" t="s">
        <v>75</v>
      </c>
      <c r="F13" s="52">
        <v>-141898</v>
      </c>
      <c r="G13" s="52">
        <v>-135358</v>
      </c>
      <c r="H13" s="52">
        <v>-142604</v>
      </c>
      <c r="I13" s="52">
        <v>-155499</v>
      </c>
      <c r="J13" s="52">
        <v>-163352</v>
      </c>
      <c r="K13" s="61">
        <v>-144330</v>
      </c>
      <c r="L13" s="95"/>
      <c r="M13" s="4"/>
      <c r="N13" s="4"/>
      <c r="O13" s="4"/>
      <c r="P13" s="4"/>
      <c r="Q13" s="4"/>
      <c r="R13" s="4"/>
      <c r="S13" s="4"/>
      <c r="T13" s="4"/>
    </row>
    <row r="14" spans="1:30" ht="30" customHeight="1" x14ac:dyDescent="0.2">
      <c r="A14" s="15"/>
      <c r="B14" s="4"/>
      <c r="C14" s="4"/>
      <c r="D14" s="4"/>
      <c r="E14" s="41" t="s">
        <v>76</v>
      </c>
      <c r="F14" s="52">
        <v>-445775</v>
      </c>
      <c r="G14" s="52">
        <v>-494621</v>
      </c>
      <c r="H14" s="52">
        <v>-526073</v>
      </c>
      <c r="I14" s="52">
        <v>-280085</v>
      </c>
      <c r="J14" s="52">
        <v>-148137</v>
      </c>
      <c r="K14" s="61">
        <v>-294022</v>
      </c>
      <c r="L14" s="95"/>
      <c r="M14" s="4"/>
      <c r="N14" s="4"/>
      <c r="O14" s="4"/>
      <c r="P14" s="4"/>
      <c r="Q14" s="4"/>
      <c r="R14" s="4"/>
      <c r="S14" s="4"/>
      <c r="T14" s="4"/>
    </row>
    <row r="15" spans="1:30" ht="30" customHeight="1" x14ac:dyDescent="0.2">
      <c r="A15" s="15"/>
      <c r="B15" s="4"/>
      <c r="C15" s="4"/>
      <c r="D15" s="4"/>
      <c r="E15" s="41" t="s">
        <v>77</v>
      </c>
      <c r="F15" s="52">
        <v>-115738</v>
      </c>
      <c r="G15" s="52">
        <v>-96180</v>
      </c>
      <c r="H15" s="52">
        <v>-122219</v>
      </c>
      <c r="I15" s="52">
        <v>-109993</v>
      </c>
      <c r="J15" s="52">
        <v>-185169</v>
      </c>
      <c r="K15" s="61">
        <v>-211744</v>
      </c>
      <c r="L15" s="95"/>
      <c r="M15" s="4"/>
      <c r="N15" s="4"/>
      <c r="O15" s="4"/>
      <c r="P15" s="4"/>
      <c r="Q15" s="4"/>
      <c r="R15" s="4"/>
      <c r="S15" s="4"/>
      <c r="T15" s="4"/>
    </row>
    <row r="16" spans="1:30" ht="30" customHeight="1" x14ac:dyDescent="0.2">
      <c r="A16" s="15"/>
      <c r="B16" s="4"/>
      <c r="C16" s="4"/>
      <c r="D16" s="4"/>
      <c r="E16" s="41" t="s">
        <v>78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61">
        <v>0</v>
      </c>
      <c r="L16" s="95"/>
      <c r="M16" s="4"/>
      <c r="N16" s="4"/>
      <c r="O16" s="4"/>
      <c r="P16" s="4"/>
      <c r="Q16" s="4"/>
      <c r="R16" s="4"/>
      <c r="S16" s="4"/>
      <c r="T16" s="4"/>
    </row>
    <row r="17" spans="1:20" ht="30" customHeight="1" x14ac:dyDescent="0.2">
      <c r="A17" s="15"/>
      <c r="B17" s="4"/>
      <c r="C17" s="4"/>
      <c r="D17" s="4"/>
      <c r="E17" s="41" t="s">
        <v>79</v>
      </c>
      <c r="F17" s="52">
        <v>-99517</v>
      </c>
      <c r="G17" s="52">
        <v>-141892</v>
      </c>
      <c r="H17" s="52">
        <v>-163916</v>
      </c>
      <c r="I17" s="52">
        <v>-178438</v>
      </c>
      <c r="J17" s="52">
        <v>-130665</v>
      </c>
      <c r="K17" s="61">
        <v>-166795</v>
      </c>
      <c r="L17" s="95"/>
      <c r="M17" s="67"/>
      <c r="N17" s="67"/>
      <c r="O17" s="67"/>
      <c r="P17" s="4"/>
      <c r="Q17" s="4"/>
      <c r="R17" s="4"/>
      <c r="S17" s="4"/>
      <c r="T17" s="4"/>
    </row>
    <row r="18" spans="1:20" ht="30" customHeight="1" thickBot="1" x14ac:dyDescent="0.25">
      <c r="A18" s="15"/>
      <c r="B18" s="4"/>
      <c r="C18" s="86"/>
      <c r="D18" s="86"/>
      <c r="E18" s="99" t="s">
        <v>80</v>
      </c>
      <c r="F18" s="100">
        <f t="shared" ref="F18:J18" si="0">F10+F11+F12+F13+F14+F15+F17+F16</f>
        <v>-1536151</v>
      </c>
      <c r="G18" s="100">
        <f t="shared" si="0"/>
        <v>-1596848</v>
      </c>
      <c r="H18" s="100">
        <f t="shared" si="0"/>
        <v>-1720205</v>
      </c>
      <c r="I18" s="100">
        <f t="shared" si="0"/>
        <v>-1755337</v>
      </c>
      <c r="J18" s="100">
        <f t="shared" si="0"/>
        <v>-1648437</v>
      </c>
      <c r="K18" s="101">
        <f>K10+K11+K12+K13+K14+K15+K17+K16</f>
        <v>-2025632</v>
      </c>
      <c r="L18" s="102"/>
      <c r="M18" s="4"/>
      <c r="N18" s="4"/>
      <c r="O18" s="4"/>
      <c r="P18" s="4"/>
      <c r="Q18" s="4"/>
      <c r="R18" s="4"/>
      <c r="S18" s="4"/>
      <c r="T18" s="4"/>
    </row>
    <row r="19" spans="1:20" ht="30" customHeight="1" x14ac:dyDescent="0.2">
      <c r="A19" s="1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30" customHeight="1" x14ac:dyDescent="0.2">
      <c r="A20" s="15"/>
      <c r="B20" s="4"/>
      <c r="C20" s="4"/>
      <c r="D20" s="86"/>
      <c r="E20" s="9"/>
      <c r="F20" s="4"/>
      <c r="G20" s="4"/>
      <c r="H20" s="4"/>
      <c r="I20" s="4"/>
      <c r="J20" s="4"/>
      <c r="K20" s="4"/>
      <c r="L20" s="86"/>
      <c r="M20" s="4"/>
      <c r="N20" s="4"/>
      <c r="O20" s="4"/>
      <c r="P20" s="4"/>
      <c r="Q20" s="4"/>
      <c r="R20" s="4"/>
      <c r="S20" s="4"/>
      <c r="T20" s="4"/>
    </row>
    <row r="21" spans="1:20" s="2" customFormat="1" ht="30" customHeight="1" x14ac:dyDescent="0.2">
      <c r="A21" s="103"/>
      <c r="B21" s="86"/>
      <c r="C21" s="86"/>
      <c r="D21" s="86"/>
      <c r="E21" s="34"/>
      <c r="F21" s="1"/>
      <c r="G21" s="1"/>
      <c r="H21" s="1"/>
      <c r="I21" s="1"/>
      <c r="J21" s="1"/>
      <c r="K21" s="98"/>
      <c r="L21" s="86"/>
      <c r="M21" s="4"/>
      <c r="N21" s="4"/>
      <c r="O21" s="86"/>
      <c r="P21" s="86"/>
      <c r="Q21" s="86"/>
      <c r="R21" s="86"/>
      <c r="S21" s="86"/>
      <c r="T21" s="86"/>
    </row>
    <row r="22" spans="1:20" s="2" customFormat="1" ht="30" customHeight="1" x14ac:dyDescent="0.2">
      <c r="A22" s="103"/>
      <c r="B22" s="86"/>
      <c r="C22" s="86"/>
      <c r="D22" s="86"/>
      <c r="E22" s="41"/>
      <c r="F22" s="42">
        <v>2016</v>
      </c>
      <c r="G22" s="42">
        <v>2017</v>
      </c>
      <c r="H22" s="42">
        <v>2018</v>
      </c>
      <c r="I22" s="42">
        <v>2019</v>
      </c>
      <c r="J22" s="42">
        <v>2020</v>
      </c>
      <c r="K22" s="76">
        <v>2021</v>
      </c>
      <c r="L22" s="86"/>
      <c r="M22" s="4"/>
      <c r="N22" s="86"/>
      <c r="O22" s="86"/>
      <c r="P22" s="86"/>
      <c r="Q22" s="86"/>
      <c r="R22" s="86"/>
      <c r="S22" s="86"/>
      <c r="T22" s="86"/>
    </row>
    <row r="23" spans="1:20" s="2" customFormat="1" ht="30" customHeight="1" x14ac:dyDescent="0.2">
      <c r="A23" s="103"/>
      <c r="B23" s="86"/>
      <c r="C23" s="86"/>
      <c r="D23" s="4"/>
      <c r="E23" s="41" t="s">
        <v>72</v>
      </c>
      <c r="F23" s="52">
        <v>-217453</v>
      </c>
      <c r="G23" s="52">
        <v>-240665</v>
      </c>
      <c r="H23" s="52">
        <v>-265938</v>
      </c>
      <c r="I23" s="52">
        <v>-271698</v>
      </c>
      <c r="J23" s="52">
        <v>-263249</v>
      </c>
      <c r="K23" s="61">
        <v>-254763</v>
      </c>
      <c r="L23" s="4"/>
      <c r="M23" s="86"/>
      <c r="N23" s="86"/>
      <c r="O23" s="86"/>
      <c r="P23" s="86"/>
      <c r="Q23" s="86"/>
      <c r="R23" s="86"/>
      <c r="S23" s="86"/>
      <c r="T23" s="86"/>
    </row>
    <row r="24" spans="1:20" s="2" customFormat="1" ht="30" customHeight="1" x14ac:dyDescent="0.2">
      <c r="A24" s="15"/>
      <c r="B24" s="86"/>
      <c r="C24" s="4"/>
      <c r="D24" s="4"/>
      <c r="E24" s="41" t="s">
        <v>73</v>
      </c>
      <c r="F24" s="52">
        <v>-149311</v>
      </c>
      <c r="G24" s="52">
        <v>-155498</v>
      </c>
      <c r="H24" s="52">
        <v>-115322</v>
      </c>
      <c r="I24" s="52">
        <v>-104330</v>
      </c>
      <c r="J24" s="52">
        <v>-123492</v>
      </c>
      <c r="K24" s="61">
        <v>-127569</v>
      </c>
      <c r="L24" s="4"/>
      <c r="M24" s="86"/>
      <c r="N24" s="86"/>
      <c r="O24" s="86"/>
      <c r="P24" s="86"/>
      <c r="Q24" s="86"/>
      <c r="R24" s="86"/>
      <c r="S24" s="86"/>
      <c r="T24" s="86"/>
    </row>
    <row r="25" spans="1:20" ht="30" customHeight="1" x14ac:dyDescent="0.2">
      <c r="A25" s="15"/>
      <c r="B25" s="4"/>
      <c r="C25" s="4"/>
      <c r="D25" s="4"/>
      <c r="E25" s="41" t="s">
        <v>74</v>
      </c>
      <c r="F25" s="52">
        <v>0</v>
      </c>
      <c r="G25" s="52">
        <v>0</v>
      </c>
      <c r="H25" s="52">
        <v>0</v>
      </c>
      <c r="I25" s="52">
        <v>-77544</v>
      </c>
      <c r="J25" s="52">
        <v>-82981</v>
      </c>
      <c r="K25" s="61">
        <v>-102325</v>
      </c>
      <c r="L25" s="4"/>
      <c r="M25" s="86"/>
      <c r="N25" s="86"/>
      <c r="O25" s="4"/>
      <c r="P25" s="4"/>
      <c r="Q25" s="4"/>
      <c r="R25" s="4"/>
      <c r="S25" s="4"/>
      <c r="T25" s="4"/>
    </row>
    <row r="26" spans="1:20" ht="30" customHeight="1" x14ac:dyDescent="0.2">
      <c r="A26" s="15"/>
      <c r="B26" s="4"/>
      <c r="C26" s="4"/>
      <c r="D26" s="4"/>
      <c r="E26" s="41" t="s">
        <v>75</v>
      </c>
      <c r="F26" s="52">
        <v>-59975</v>
      </c>
      <c r="G26" s="52">
        <v>-62258</v>
      </c>
      <c r="H26" s="52">
        <v>-62620</v>
      </c>
      <c r="I26" s="52">
        <v>-20066</v>
      </c>
      <c r="J26" s="52">
        <v>-20816</v>
      </c>
      <c r="K26" s="61">
        <v>-22319</v>
      </c>
      <c r="L26" s="4"/>
      <c r="M26" s="86"/>
      <c r="N26" s="4"/>
      <c r="O26" s="4"/>
      <c r="P26" s="4"/>
      <c r="Q26" s="4"/>
      <c r="R26" s="4"/>
      <c r="S26" s="4"/>
      <c r="T26" s="4"/>
    </row>
    <row r="27" spans="1:20" ht="30" customHeight="1" x14ac:dyDescent="0.2">
      <c r="A27" s="15"/>
      <c r="B27" s="4"/>
      <c r="C27" s="4"/>
      <c r="D27" s="4"/>
      <c r="E27" s="41" t="s">
        <v>76</v>
      </c>
      <c r="F27" s="52">
        <v>-32088</v>
      </c>
      <c r="G27" s="52">
        <v>-33185</v>
      </c>
      <c r="H27" s="52">
        <v>-31283</v>
      </c>
      <c r="I27" s="52">
        <v>-6621</v>
      </c>
      <c r="J27" s="52">
        <v>-1746</v>
      </c>
      <c r="K27" s="61">
        <v>-5727</v>
      </c>
      <c r="L27" s="4"/>
      <c r="M27" s="4"/>
      <c r="N27" s="4"/>
      <c r="O27" s="67"/>
      <c r="P27" s="4"/>
      <c r="Q27" s="4"/>
      <c r="R27" s="4"/>
      <c r="S27" s="4"/>
      <c r="T27" s="4"/>
    </row>
    <row r="28" spans="1:20" ht="30" customHeight="1" x14ac:dyDescent="0.2">
      <c r="A28" s="15"/>
      <c r="B28" s="4"/>
      <c r="C28" s="4"/>
      <c r="D28" s="4"/>
      <c r="E28" s="41" t="s">
        <v>79</v>
      </c>
      <c r="F28" s="52">
        <v>-22852</v>
      </c>
      <c r="G28" s="52">
        <v>-18215</v>
      </c>
      <c r="H28" s="52">
        <v>13252</v>
      </c>
      <c r="I28" s="52">
        <v>-17760</v>
      </c>
      <c r="J28" s="52">
        <v>580</v>
      </c>
      <c r="K28" s="61">
        <v>24822</v>
      </c>
      <c r="L28" s="67"/>
      <c r="M28" s="4"/>
      <c r="N28" s="67"/>
      <c r="O28" s="4"/>
      <c r="P28" s="4"/>
      <c r="Q28" s="4"/>
      <c r="R28" s="4"/>
      <c r="S28" s="4"/>
      <c r="T28" s="4"/>
    </row>
    <row r="29" spans="1:20" ht="30" customHeight="1" thickBot="1" x14ac:dyDescent="0.25">
      <c r="A29" s="15"/>
      <c r="B29" s="4"/>
      <c r="C29" s="4"/>
      <c r="D29" s="4"/>
      <c r="E29" s="99" t="s">
        <v>80</v>
      </c>
      <c r="F29" s="100">
        <f t="shared" ref="F29:K29" si="1">F23+F24+F25+F26+F27+F28</f>
        <v>-481679</v>
      </c>
      <c r="G29" s="100">
        <f t="shared" si="1"/>
        <v>-509821</v>
      </c>
      <c r="H29" s="100">
        <f t="shared" si="1"/>
        <v>-461911</v>
      </c>
      <c r="I29" s="100">
        <f t="shared" si="1"/>
        <v>-498019</v>
      </c>
      <c r="J29" s="100">
        <f t="shared" si="1"/>
        <v>-491704</v>
      </c>
      <c r="K29" s="104">
        <f t="shared" si="1"/>
        <v>-487881</v>
      </c>
      <c r="L29" s="105"/>
      <c r="M29" s="67"/>
      <c r="N29" s="4"/>
      <c r="O29" s="4"/>
      <c r="P29" s="4"/>
      <c r="Q29" s="4"/>
      <c r="R29" s="4"/>
      <c r="S29" s="4"/>
      <c r="T29" s="4"/>
    </row>
    <row r="30" spans="1:20" ht="30" customHeight="1" x14ac:dyDescent="0.2">
      <c r="A30" s="15"/>
      <c r="B30" s="4"/>
      <c r="C30" s="4"/>
      <c r="D30" s="4"/>
      <c r="E30" s="72"/>
      <c r="F30" s="74"/>
      <c r="G30" s="74"/>
      <c r="H30" s="74"/>
      <c r="I30" s="74"/>
      <c r="J30" s="7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30" customHeight="1" x14ac:dyDescent="0.2">
      <c r="A31" s="15"/>
      <c r="B31" s="4"/>
      <c r="C31" s="4"/>
      <c r="D31" s="4"/>
      <c r="E31" s="72"/>
      <c r="F31" s="74"/>
      <c r="G31" s="74"/>
      <c r="H31" s="74"/>
      <c r="I31" s="74"/>
      <c r="J31" s="7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30" customHeight="1" x14ac:dyDescent="0.2">
      <c r="A32" s="15"/>
      <c r="B32" s="4"/>
      <c r="C32" s="4"/>
      <c r="D32" s="4"/>
      <c r="E32" s="34"/>
      <c r="K32" s="98"/>
      <c r="L32" s="4"/>
      <c r="M32" s="4"/>
      <c r="N32" s="4"/>
      <c r="O32" s="4"/>
      <c r="P32" s="4"/>
      <c r="Q32" s="4"/>
      <c r="R32" s="4"/>
      <c r="S32" s="4"/>
      <c r="T32" s="4"/>
    </row>
    <row r="33" spans="1:20" ht="30" customHeight="1" x14ac:dyDescent="0.2">
      <c r="A33" s="15"/>
      <c r="B33" s="4"/>
      <c r="C33" s="4"/>
      <c r="D33" s="4"/>
      <c r="E33" s="41"/>
      <c r="F33" s="42">
        <v>2016</v>
      </c>
      <c r="G33" s="42">
        <v>2017</v>
      </c>
      <c r="H33" s="42">
        <v>2018</v>
      </c>
      <c r="I33" s="42">
        <v>2019</v>
      </c>
      <c r="J33" s="42">
        <v>2020</v>
      </c>
      <c r="K33" s="76">
        <v>2021</v>
      </c>
      <c r="L33" s="4"/>
      <c r="M33" s="4"/>
      <c r="N33" s="4"/>
      <c r="O33" s="4"/>
      <c r="P33" s="4"/>
      <c r="Q33" s="4"/>
      <c r="R33" s="4"/>
      <c r="S33" s="4"/>
      <c r="T33" s="4"/>
    </row>
    <row r="34" spans="1:20" ht="30" customHeight="1" x14ac:dyDescent="0.2">
      <c r="A34" s="15"/>
      <c r="B34" s="4"/>
      <c r="C34" s="4"/>
      <c r="D34" s="4"/>
      <c r="E34" s="41" t="s">
        <v>81</v>
      </c>
      <c r="F34" s="52">
        <v>-1661</v>
      </c>
      <c r="G34" s="52">
        <v>-20964</v>
      </c>
      <c r="H34" s="52">
        <v>-12912</v>
      </c>
      <c r="I34" s="52">
        <v>-34133</v>
      </c>
      <c r="J34" s="52">
        <v>-7592</v>
      </c>
      <c r="K34" s="61">
        <v>-2529</v>
      </c>
      <c r="L34" s="4"/>
      <c r="M34" s="4"/>
      <c r="N34" s="4"/>
      <c r="O34" s="4"/>
      <c r="P34" s="4"/>
      <c r="Q34" s="4"/>
      <c r="R34" s="4"/>
      <c r="S34" s="4"/>
      <c r="T34" s="4"/>
    </row>
    <row r="35" spans="1:20" ht="30" customHeight="1" x14ac:dyDescent="0.2">
      <c r="A35" s="15"/>
      <c r="B35" s="4"/>
      <c r="C35" s="4"/>
      <c r="D35" s="4"/>
      <c r="E35" s="41" t="s">
        <v>82</v>
      </c>
      <c r="F35" s="52">
        <f t="shared" ref="F35:K35" si="2">F36+F37</f>
        <v>0</v>
      </c>
      <c r="G35" s="52">
        <f t="shared" si="2"/>
        <v>0</v>
      </c>
      <c r="H35" s="52">
        <f t="shared" si="2"/>
        <v>0</v>
      </c>
      <c r="I35" s="52">
        <f t="shared" si="2"/>
        <v>26382</v>
      </c>
      <c r="J35" s="52">
        <f t="shared" si="2"/>
        <v>6151</v>
      </c>
      <c r="K35" s="56">
        <f t="shared" si="2"/>
        <v>3901</v>
      </c>
      <c r="L35" s="105"/>
      <c r="M35" s="4"/>
      <c r="N35" s="4"/>
      <c r="O35" s="4"/>
      <c r="P35" s="4"/>
      <c r="Q35" s="4"/>
      <c r="R35" s="4"/>
      <c r="S35" s="4"/>
      <c r="T35" s="4"/>
    </row>
    <row r="36" spans="1:20" ht="30" customHeight="1" x14ac:dyDescent="0.2">
      <c r="A36" s="15"/>
      <c r="B36" s="4"/>
      <c r="C36" s="4"/>
      <c r="D36" s="4"/>
      <c r="E36" s="106" t="s">
        <v>83</v>
      </c>
      <c r="F36" s="107">
        <v>0</v>
      </c>
      <c r="G36" s="107">
        <v>0</v>
      </c>
      <c r="H36" s="107">
        <v>0</v>
      </c>
      <c r="I36" s="107">
        <v>15118</v>
      </c>
      <c r="J36" s="107">
        <v>5147</v>
      </c>
      <c r="K36" s="108">
        <v>-2220</v>
      </c>
      <c r="L36" s="4"/>
      <c r="M36" s="4"/>
      <c r="N36" s="4"/>
      <c r="O36" s="4"/>
      <c r="P36" s="4"/>
      <c r="Q36" s="4"/>
      <c r="R36" s="4"/>
      <c r="S36" s="4"/>
      <c r="T36" s="4"/>
    </row>
    <row r="37" spans="1:20" ht="30" customHeight="1" x14ac:dyDescent="0.2">
      <c r="A37" s="15"/>
      <c r="B37" s="4"/>
      <c r="C37" s="4"/>
      <c r="D37" s="4"/>
      <c r="E37" s="106" t="s">
        <v>84</v>
      </c>
      <c r="F37" s="107">
        <v>0</v>
      </c>
      <c r="G37" s="107"/>
      <c r="H37" s="107">
        <v>0</v>
      </c>
      <c r="I37" s="107">
        <v>11264</v>
      </c>
      <c r="J37" s="107">
        <v>1004</v>
      </c>
      <c r="K37" s="108">
        <v>6121</v>
      </c>
      <c r="L37" s="4"/>
      <c r="M37" s="4"/>
      <c r="N37" s="4"/>
      <c r="O37" s="4"/>
      <c r="P37" s="4"/>
      <c r="Q37" s="4"/>
      <c r="R37" s="4"/>
      <c r="S37" s="4"/>
      <c r="T37" s="4"/>
    </row>
    <row r="38" spans="1:20" ht="30" customHeight="1" x14ac:dyDescent="0.2">
      <c r="A38" s="15"/>
      <c r="B38" s="4"/>
      <c r="C38" s="4"/>
      <c r="D38" s="4"/>
      <c r="E38" s="41" t="s">
        <v>85</v>
      </c>
      <c r="F38" s="52">
        <f>F39+F40+F41+F42+F43+F44</f>
        <v>0</v>
      </c>
      <c r="G38" s="52">
        <f>G39+G40+G41+G42+G43+G44</f>
        <v>0</v>
      </c>
      <c r="H38" s="52">
        <f>H39+H40+H41+H42+H43+H44</f>
        <v>0</v>
      </c>
      <c r="I38" s="52">
        <f>I39+I40+I41+I42+I43+I44</f>
        <v>644893</v>
      </c>
      <c r="J38" s="52">
        <f>J39+J40+J41+J42+J43+J44</f>
        <v>150429</v>
      </c>
      <c r="K38" s="61">
        <v>228404</v>
      </c>
      <c r="L38" s="4"/>
      <c r="M38" s="4"/>
      <c r="N38" s="4"/>
      <c r="O38" s="4"/>
      <c r="P38" s="4"/>
      <c r="Q38" s="4"/>
      <c r="R38" s="4"/>
      <c r="S38" s="4"/>
      <c r="T38" s="4"/>
    </row>
    <row r="39" spans="1:20" ht="30" customHeight="1" x14ac:dyDescent="0.2">
      <c r="A39" s="15"/>
      <c r="B39" s="4"/>
      <c r="C39" s="4"/>
      <c r="D39" s="4"/>
      <c r="E39" s="106" t="s">
        <v>86</v>
      </c>
      <c r="F39" s="107">
        <v>0</v>
      </c>
      <c r="G39" s="107">
        <v>0</v>
      </c>
      <c r="H39" s="107">
        <v>0</v>
      </c>
      <c r="I39" s="107">
        <v>663538</v>
      </c>
      <c r="J39" s="107">
        <v>0</v>
      </c>
      <c r="K39" s="108">
        <v>0</v>
      </c>
      <c r="L39" s="4"/>
      <c r="M39" s="4"/>
      <c r="N39" s="4"/>
      <c r="O39" s="4"/>
      <c r="P39" s="4"/>
      <c r="Q39" s="4"/>
      <c r="R39" s="4"/>
      <c r="S39" s="4"/>
      <c r="T39" s="4"/>
    </row>
    <row r="40" spans="1:20" ht="30" customHeight="1" x14ac:dyDescent="0.2">
      <c r="A40" s="15"/>
      <c r="B40" s="4"/>
      <c r="C40" s="4"/>
      <c r="D40" s="4"/>
      <c r="E40" s="106" t="s">
        <v>87</v>
      </c>
      <c r="F40" s="107">
        <v>0</v>
      </c>
      <c r="G40" s="107">
        <v>0</v>
      </c>
      <c r="H40" s="107">
        <v>0</v>
      </c>
      <c r="I40" s="107">
        <v>0</v>
      </c>
      <c r="J40" s="107">
        <v>94902</v>
      </c>
      <c r="K40" s="108">
        <v>0</v>
      </c>
      <c r="L40" s="4"/>
      <c r="M40" s="4"/>
      <c r="N40" s="4"/>
      <c r="O40" s="4"/>
      <c r="P40" s="4"/>
      <c r="Q40" s="4"/>
      <c r="R40" s="4"/>
      <c r="S40" s="4"/>
      <c r="T40" s="4"/>
    </row>
    <row r="41" spans="1:20" ht="30" customHeight="1" x14ac:dyDescent="0.2">
      <c r="A41" s="15"/>
      <c r="B41" s="4"/>
      <c r="C41" s="4"/>
      <c r="D41" s="4"/>
      <c r="E41" s="106" t="s">
        <v>88</v>
      </c>
      <c r="F41" s="107">
        <v>0</v>
      </c>
      <c r="G41" s="107">
        <v>0</v>
      </c>
      <c r="H41" s="107">
        <v>0</v>
      </c>
      <c r="I41" s="107">
        <v>0</v>
      </c>
      <c r="J41" s="107">
        <v>47654</v>
      </c>
      <c r="K41" s="108">
        <v>0</v>
      </c>
      <c r="L41" s="4"/>
      <c r="M41" s="4"/>
      <c r="N41" s="4"/>
      <c r="O41" s="4"/>
      <c r="P41" s="4"/>
      <c r="Q41" s="4"/>
      <c r="R41" s="4"/>
      <c r="S41" s="4"/>
      <c r="T41" s="4"/>
    </row>
    <row r="42" spans="1:20" ht="30" customHeight="1" x14ac:dyDescent="0.2">
      <c r="A42" s="15"/>
      <c r="B42" s="4"/>
      <c r="C42" s="4"/>
      <c r="D42" s="4"/>
      <c r="E42" s="106" t="s">
        <v>89</v>
      </c>
      <c r="F42" s="107">
        <v>0</v>
      </c>
      <c r="G42" s="107">
        <v>0</v>
      </c>
      <c r="H42" s="107">
        <v>0</v>
      </c>
      <c r="I42" s="107">
        <v>0</v>
      </c>
      <c r="J42" s="107">
        <v>22014</v>
      </c>
      <c r="K42" s="108">
        <v>0</v>
      </c>
      <c r="L42" s="4"/>
      <c r="M42" s="4"/>
      <c r="N42" s="4"/>
      <c r="O42" s="4"/>
      <c r="P42" s="4"/>
      <c r="Q42" s="4"/>
      <c r="R42" s="4"/>
      <c r="S42" s="4"/>
      <c r="T42" s="4"/>
    </row>
    <row r="43" spans="1:20" ht="30" customHeight="1" x14ac:dyDescent="0.2">
      <c r="A43" s="15"/>
      <c r="B43" s="4"/>
      <c r="C43" s="4"/>
      <c r="D43" s="4"/>
      <c r="E43" s="106" t="s">
        <v>90</v>
      </c>
      <c r="F43" s="107">
        <v>0</v>
      </c>
      <c r="G43" s="107">
        <v>0</v>
      </c>
      <c r="H43" s="107">
        <v>0</v>
      </c>
      <c r="I43" s="107">
        <v>2853</v>
      </c>
      <c r="J43" s="107">
        <v>0</v>
      </c>
      <c r="K43" s="108">
        <v>0</v>
      </c>
      <c r="L43" s="4"/>
      <c r="M43" s="4"/>
      <c r="N43" s="4"/>
      <c r="O43" s="4"/>
      <c r="P43" s="4"/>
      <c r="Q43" s="4"/>
      <c r="R43" s="4"/>
      <c r="S43" s="4"/>
      <c r="T43" s="4"/>
    </row>
    <row r="44" spans="1:20" ht="30" customHeight="1" x14ac:dyDescent="0.2">
      <c r="A44" s="15"/>
      <c r="B44" s="4"/>
      <c r="C44" s="4"/>
      <c r="D44" s="4"/>
      <c r="E44" s="106" t="s">
        <v>91</v>
      </c>
      <c r="F44" s="107">
        <v>0</v>
      </c>
      <c r="G44" s="107">
        <v>0</v>
      </c>
      <c r="H44" s="107">
        <v>0</v>
      </c>
      <c r="I44" s="107">
        <v>-21498</v>
      </c>
      <c r="J44" s="107">
        <v>-14141</v>
      </c>
      <c r="K44" s="108">
        <v>0</v>
      </c>
      <c r="L44" s="4"/>
      <c r="M44" s="4"/>
      <c r="N44" s="4"/>
      <c r="O44" s="4"/>
      <c r="P44" s="4"/>
      <c r="Q44" s="4"/>
      <c r="R44" s="4"/>
      <c r="S44" s="4"/>
      <c r="T44" s="4"/>
    </row>
    <row r="45" spans="1:20" ht="30" customHeight="1" x14ac:dyDescent="0.2">
      <c r="A45" s="15"/>
      <c r="B45" s="4"/>
      <c r="C45" s="4"/>
      <c r="D45" s="4"/>
      <c r="E45" s="41" t="s">
        <v>92</v>
      </c>
      <c r="F45" s="52">
        <v>0</v>
      </c>
      <c r="G45" s="52">
        <v>0</v>
      </c>
      <c r="H45" s="52">
        <v>0</v>
      </c>
      <c r="I45" s="52">
        <v>72272</v>
      </c>
      <c r="J45" s="52">
        <v>-25791</v>
      </c>
      <c r="K45" s="61">
        <v>-13644</v>
      </c>
      <c r="L45" s="4"/>
      <c r="M45" s="4"/>
      <c r="N45" s="4"/>
      <c r="O45" s="4"/>
      <c r="P45" s="4"/>
      <c r="Q45" s="4"/>
      <c r="R45" s="4"/>
      <c r="S45" s="4"/>
      <c r="T45" s="4"/>
    </row>
    <row r="46" spans="1:20" ht="30" customHeight="1" x14ac:dyDescent="0.2">
      <c r="A46" s="15"/>
      <c r="B46" s="4"/>
      <c r="C46" s="4"/>
      <c r="D46" s="4"/>
      <c r="E46" s="41" t="s">
        <v>93</v>
      </c>
      <c r="F46" s="52">
        <v>0</v>
      </c>
      <c r="G46" s="52">
        <v>0</v>
      </c>
      <c r="H46" s="52">
        <v>0</v>
      </c>
      <c r="I46" s="52">
        <v>0</v>
      </c>
      <c r="J46" s="52">
        <v>-29859</v>
      </c>
      <c r="K46" s="61">
        <v>-4309</v>
      </c>
      <c r="L46" s="4"/>
      <c r="M46" s="4"/>
      <c r="N46" s="4"/>
      <c r="O46" s="4"/>
      <c r="P46" s="4"/>
      <c r="Q46" s="4"/>
      <c r="R46" s="4"/>
      <c r="S46" s="4"/>
      <c r="T46" s="4"/>
    </row>
    <row r="47" spans="1:20" ht="30" customHeight="1" x14ac:dyDescent="0.2">
      <c r="A47" s="15"/>
      <c r="B47" s="4"/>
      <c r="C47" s="4"/>
      <c r="D47" s="4"/>
      <c r="E47" s="41" t="s">
        <v>94</v>
      </c>
      <c r="F47" s="52">
        <v>-811</v>
      </c>
      <c r="G47" s="52">
        <v>-281</v>
      </c>
      <c r="H47" s="52">
        <v>0</v>
      </c>
      <c r="I47" s="52">
        <v>0</v>
      </c>
      <c r="J47" s="52">
        <v>0</v>
      </c>
      <c r="K47" s="61">
        <v>0</v>
      </c>
      <c r="L47" s="4"/>
      <c r="M47" s="4"/>
      <c r="N47" s="4"/>
      <c r="O47" s="67"/>
      <c r="P47" s="4"/>
      <c r="Q47" s="4"/>
      <c r="R47" s="4"/>
      <c r="S47" s="4"/>
      <c r="T47" s="4"/>
    </row>
    <row r="48" spans="1:20" ht="30" customHeight="1" x14ac:dyDescent="0.2">
      <c r="A48" s="15"/>
      <c r="B48" s="4"/>
      <c r="C48" s="4"/>
      <c r="D48" s="4"/>
      <c r="E48" s="41" t="s">
        <v>95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61">
        <v>-492</v>
      </c>
      <c r="L48" s="4"/>
      <c r="M48" s="4"/>
      <c r="N48" s="67"/>
      <c r="O48" s="4"/>
      <c r="P48" s="4"/>
      <c r="Q48" s="4"/>
      <c r="R48" s="4"/>
      <c r="S48" s="4"/>
      <c r="T48" s="4"/>
    </row>
    <row r="49" spans="1:20" ht="30" customHeight="1" x14ac:dyDescent="0.2">
      <c r="A49" s="15"/>
      <c r="B49" s="4"/>
      <c r="C49" s="4"/>
      <c r="D49" s="4"/>
      <c r="E49" s="41" t="s">
        <v>79</v>
      </c>
      <c r="F49" s="52">
        <v>7910</v>
      </c>
      <c r="G49" s="52">
        <v>3089</v>
      </c>
      <c r="H49" s="52">
        <v>2106</v>
      </c>
      <c r="I49" s="52">
        <v>8915</v>
      </c>
      <c r="J49" s="52">
        <v>-14062</v>
      </c>
      <c r="K49" s="61">
        <v>-2328</v>
      </c>
      <c r="L49" s="67"/>
      <c r="M49" s="4"/>
      <c r="N49" s="4"/>
      <c r="O49" s="4"/>
      <c r="P49" s="4"/>
      <c r="Q49" s="4"/>
      <c r="R49" s="4"/>
      <c r="S49" s="4"/>
      <c r="T49" s="4"/>
    </row>
    <row r="50" spans="1:20" ht="30" customHeight="1" thickBot="1" x14ac:dyDescent="0.25">
      <c r="A50" s="15"/>
      <c r="B50" s="4"/>
      <c r="C50" s="4"/>
      <c r="D50" s="4"/>
      <c r="E50" s="99" t="s">
        <v>80</v>
      </c>
      <c r="F50" s="100">
        <f t="shared" ref="F50:J50" si="3">F34+F35+F38+F45+F46+F47+F49+F48</f>
        <v>5438</v>
      </c>
      <c r="G50" s="100">
        <f t="shared" si="3"/>
        <v>-18156</v>
      </c>
      <c r="H50" s="100">
        <f t="shared" si="3"/>
        <v>-10806</v>
      </c>
      <c r="I50" s="100">
        <f t="shared" si="3"/>
        <v>718329</v>
      </c>
      <c r="J50" s="100">
        <f t="shared" si="3"/>
        <v>79276</v>
      </c>
      <c r="K50" s="101">
        <f>K34+K35+K38+K45+K46+K47+K49+K48</f>
        <v>209003</v>
      </c>
      <c r="L50" s="4"/>
      <c r="M50" s="67"/>
      <c r="N50" s="4"/>
      <c r="O50" s="4"/>
      <c r="P50" s="4"/>
      <c r="Q50" s="4"/>
      <c r="R50" s="4"/>
      <c r="S50" s="4"/>
      <c r="T50" s="4"/>
    </row>
    <row r="51" spans="1:20" ht="30" customHeight="1" x14ac:dyDescent="0.2">
      <c r="A51" s="15"/>
      <c r="B51" s="4"/>
      <c r="C51" s="4"/>
      <c r="D51" s="4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30" customHeight="1" x14ac:dyDescent="0.2">
      <c r="A52" s="15"/>
      <c r="B52" s="4"/>
      <c r="C52" s="4"/>
      <c r="D52" s="4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30" customHeight="1" x14ac:dyDescent="0.2">
      <c r="A53" s="15"/>
      <c r="B53" s="4"/>
      <c r="C53" s="4"/>
      <c r="D53" s="4"/>
      <c r="E53" s="34"/>
      <c r="K53" s="98"/>
      <c r="L53" s="4"/>
      <c r="M53" s="4"/>
      <c r="N53" s="4"/>
      <c r="O53" s="4"/>
      <c r="P53" s="4"/>
      <c r="Q53" s="4"/>
      <c r="R53" s="4"/>
      <c r="S53" s="4"/>
      <c r="T53" s="4"/>
    </row>
    <row r="54" spans="1:20" ht="30" customHeight="1" x14ac:dyDescent="0.2">
      <c r="A54" s="15"/>
      <c r="B54" s="4"/>
      <c r="C54" s="4"/>
      <c r="D54" s="4"/>
      <c r="E54" s="41"/>
      <c r="F54" s="42">
        <v>2016</v>
      </c>
      <c r="G54" s="42">
        <v>2017</v>
      </c>
      <c r="H54" s="42">
        <v>2018</v>
      </c>
      <c r="I54" s="42">
        <v>2019</v>
      </c>
      <c r="J54" s="42">
        <v>2020</v>
      </c>
      <c r="K54" s="109">
        <v>2021</v>
      </c>
      <c r="L54" s="4"/>
      <c r="M54" s="4"/>
      <c r="N54" s="4"/>
      <c r="O54" s="4"/>
      <c r="P54" s="4"/>
      <c r="Q54" s="4"/>
      <c r="R54" s="4"/>
      <c r="S54" s="4"/>
      <c r="T54" s="4"/>
    </row>
    <row r="55" spans="1:20" ht="30" customHeight="1" x14ac:dyDescent="0.2">
      <c r="A55" s="15"/>
      <c r="B55" s="4"/>
      <c r="C55" s="4"/>
      <c r="D55" s="4"/>
      <c r="E55" s="45" t="s">
        <v>38</v>
      </c>
      <c r="F55" s="46">
        <f>'DRE + DCF'!F14</f>
        <v>2004838.0000078101</v>
      </c>
      <c r="G55" s="46">
        <f>'DRE + DCF'!G14</f>
        <v>2421525</v>
      </c>
      <c r="H55" s="46">
        <f>'DRE + DCF'!H14</f>
        <v>2549143</v>
      </c>
      <c r="I55" s="46">
        <f>'DRE + DCF'!I14</f>
        <v>2568111</v>
      </c>
      <c r="J55" s="46">
        <f>'DRE + DCF'!J14</f>
        <v>1896627</v>
      </c>
      <c r="K55" s="54">
        <f>'DRE + DCF'!K14</f>
        <v>2397308</v>
      </c>
      <c r="L55" s="4"/>
      <c r="M55" s="4"/>
      <c r="N55" s="4"/>
      <c r="O55" s="4"/>
      <c r="P55" s="4"/>
      <c r="Q55" s="4"/>
      <c r="R55" s="4"/>
      <c r="S55" s="4"/>
      <c r="T55" s="4"/>
    </row>
    <row r="56" spans="1:20" ht="30" customHeight="1" x14ac:dyDescent="0.2">
      <c r="A56" s="15"/>
      <c r="B56" s="4"/>
      <c r="C56" s="4"/>
      <c r="D56" s="4"/>
      <c r="E56" s="41" t="s">
        <v>46</v>
      </c>
      <c r="F56" s="52">
        <f t="shared" ref="F56:K56" si="4">F55+F50+F29+F18</f>
        <v>-7553.9999921899289</v>
      </c>
      <c r="G56" s="52">
        <f t="shared" si="4"/>
        <v>296700</v>
      </c>
      <c r="H56" s="52">
        <f t="shared" si="4"/>
        <v>356221</v>
      </c>
      <c r="I56" s="52">
        <f t="shared" si="4"/>
        <v>1033084</v>
      </c>
      <c r="J56" s="52">
        <f t="shared" si="4"/>
        <v>-164238</v>
      </c>
      <c r="K56" s="53">
        <f t="shared" si="4"/>
        <v>92798</v>
      </c>
      <c r="L56" s="4"/>
      <c r="M56" s="4"/>
      <c r="N56" s="4"/>
      <c r="O56" s="4"/>
      <c r="P56" s="4"/>
      <c r="Q56" s="4"/>
      <c r="R56" s="4"/>
      <c r="S56" s="4"/>
      <c r="T56" s="4"/>
    </row>
    <row r="57" spans="1:20" ht="30" customHeight="1" x14ac:dyDescent="0.2">
      <c r="A57" s="15"/>
      <c r="B57" s="4"/>
      <c r="C57" s="4"/>
      <c r="D57" s="4"/>
      <c r="E57" s="110" t="s">
        <v>47</v>
      </c>
      <c r="F57" s="50">
        <f>F$56/'DRE + DCF'!F11</f>
        <v>-1.5801053136171419E-3</v>
      </c>
      <c r="G57" s="50">
        <f>G56/'DRE + DCF'!G11</f>
        <v>5.8920369131048672E-2</v>
      </c>
      <c r="H57" s="50">
        <f>H56/'DRE + DCF'!H11</f>
        <v>6.9315644681164884E-2</v>
      </c>
      <c r="I57" s="50">
        <f>I56/'DRE + DCF'!I11</f>
        <v>0.19546823038627284</v>
      </c>
      <c r="J57" s="50">
        <f>J56/'DRE + DCF'!J11</f>
        <v>-4.0200358047977648E-2</v>
      </c>
      <c r="K57" s="51">
        <v>-4.0200358047977648E-2</v>
      </c>
      <c r="L57" s="4"/>
      <c r="M57" s="67"/>
      <c r="N57" s="4"/>
      <c r="O57" s="4"/>
      <c r="P57" s="4"/>
      <c r="Q57" s="4"/>
      <c r="R57" s="4"/>
      <c r="S57" s="4"/>
      <c r="T57" s="4"/>
    </row>
    <row r="58" spans="1:20" ht="30" customHeight="1" x14ac:dyDescent="0.2">
      <c r="A58" s="15"/>
      <c r="B58" s="4"/>
      <c r="C58" s="4"/>
      <c r="D58" s="4"/>
      <c r="E58" s="41" t="s">
        <v>48</v>
      </c>
      <c r="F58" s="52">
        <f>F39+F40+F41+F42+F43+F44+F46+F45</f>
        <v>0</v>
      </c>
      <c r="G58" s="52">
        <f>G39+G40+G41+G42+G43+G44+G46+G45</f>
        <v>0</v>
      </c>
      <c r="H58" s="52">
        <f>H39+H40+H41+H42+H43+H44+H46+H45</f>
        <v>0</v>
      </c>
      <c r="I58" s="52">
        <f>I39+I40+I41+I42+I43+I44+I46+I45</f>
        <v>717165</v>
      </c>
      <c r="J58" s="52">
        <f>J39+J40+J41+J42+J43+J44+J46+J45</f>
        <v>94779</v>
      </c>
      <c r="K58" s="53">
        <f>K38+K46+K45</f>
        <v>210451</v>
      </c>
      <c r="L58" s="4"/>
      <c r="M58" s="4"/>
      <c r="N58" s="4"/>
      <c r="O58" s="4"/>
      <c r="P58" s="4"/>
      <c r="Q58" s="4"/>
      <c r="R58" s="4"/>
      <c r="S58" s="4"/>
      <c r="T58" s="4"/>
    </row>
    <row r="59" spans="1:20" ht="30" customHeight="1" x14ac:dyDescent="0.2">
      <c r="A59" s="15"/>
      <c r="B59" s="4"/>
      <c r="C59" s="4"/>
      <c r="D59" s="4"/>
      <c r="E59" s="45" t="s">
        <v>96</v>
      </c>
      <c r="F59" s="46">
        <f>F56-F58</f>
        <v>-7553.9999921899289</v>
      </c>
      <c r="G59" s="46">
        <f t="shared" ref="G59:K59" si="5">G56-G58</f>
        <v>296700</v>
      </c>
      <c r="H59" s="46">
        <f t="shared" si="5"/>
        <v>356221</v>
      </c>
      <c r="I59" s="46">
        <f t="shared" si="5"/>
        <v>315919</v>
      </c>
      <c r="J59" s="46">
        <f t="shared" si="5"/>
        <v>-259017</v>
      </c>
      <c r="K59" s="54">
        <f t="shared" si="5"/>
        <v>-117653</v>
      </c>
      <c r="L59" s="4"/>
      <c r="M59" s="4"/>
      <c r="N59" s="4"/>
      <c r="O59" s="4"/>
      <c r="P59" s="4"/>
      <c r="Q59" s="4"/>
      <c r="R59" s="4"/>
      <c r="S59" s="4"/>
      <c r="T59" s="4"/>
    </row>
    <row r="60" spans="1:20" ht="30" customHeight="1" thickBot="1" x14ac:dyDescent="0.25">
      <c r="A60" s="15"/>
      <c r="B60" s="4"/>
      <c r="C60" s="4"/>
      <c r="D60" s="4"/>
      <c r="E60" s="111" t="s">
        <v>97</v>
      </c>
      <c r="F60" s="112">
        <f>F59/'DRE + DCF'!F11</f>
        <v>-1.5801053136171419E-3</v>
      </c>
      <c r="G60" s="112">
        <f>G59/'DRE + DCF'!G11</f>
        <v>5.8920369131048672E-2</v>
      </c>
      <c r="H60" s="112">
        <f>H59/'DRE + DCF'!H11</f>
        <v>6.9315644681164884E-2</v>
      </c>
      <c r="I60" s="112">
        <f>I59/'DRE + DCF'!I11</f>
        <v>5.9774546770060256E-2</v>
      </c>
      <c r="J60" s="112">
        <f>J59/'DRE + DCF'!J11</f>
        <v>-6.3399311611886569E-2</v>
      </c>
      <c r="K60" s="113">
        <v>-6.9712146853519993E-2</v>
      </c>
      <c r="L60" s="4"/>
      <c r="M60" s="4"/>
      <c r="N60" s="4"/>
      <c r="O60" s="4"/>
      <c r="P60" s="4"/>
      <c r="Q60" s="4"/>
      <c r="R60" s="4"/>
      <c r="S60" s="4"/>
      <c r="T60" s="4"/>
    </row>
    <row r="61" spans="1:20" ht="30" customHeight="1" x14ac:dyDescent="0.2">
      <c r="A61" s="15"/>
      <c r="B61" s="4"/>
      <c r="C61" s="4"/>
      <c r="D61" s="4"/>
      <c r="E61" s="4"/>
      <c r="F61" s="67"/>
      <c r="G61" s="67"/>
      <c r="H61" s="67"/>
      <c r="I61" s="67"/>
      <c r="J61" s="67"/>
      <c r="K61" s="67"/>
      <c r="L61" s="4"/>
      <c r="M61" s="4"/>
      <c r="N61" s="4"/>
      <c r="O61" s="4"/>
      <c r="P61" s="4"/>
      <c r="Q61" s="4"/>
      <c r="R61" s="4"/>
      <c r="S61" s="4"/>
      <c r="T61" s="4"/>
    </row>
    <row r="62" spans="1:20" ht="30" customHeight="1" x14ac:dyDescent="0.2">
      <c r="A62" s="15"/>
      <c r="B62" s="4"/>
      <c r="C62" s="4"/>
      <c r="D62" s="4"/>
      <c r="E62" s="4"/>
      <c r="F62" s="67"/>
      <c r="G62" s="67"/>
      <c r="H62" s="67"/>
      <c r="I62" s="67"/>
      <c r="J62" s="67"/>
      <c r="K62" s="67"/>
      <c r="L62" s="4"/>
      <c r="M62" s="4"/>
      <c r="N62" s="4"/>
      <c r="O62" s="4"/>
      <c r="P62" s="4"/>
      <c r="Q62" s="4"/>
      <c r="R62" s="4"/>
      <c r="S62" s="4"/>
      <c r="T62" s="4"/>
    </row>
    <row r="63" spans="1:20" ht="30" customHeight="1" x14ac:dyDescent="0.2">
      <c r="A63" s="15"/>
      <c r="B63" s="4"/>
      <c r="C63" s="4"/>
      <c r="D63" s="4"/>
      <c r="E63" s="4"/>
      <c r="F63" s="67"/>
      <c r="G63" s="67"/>
      <c r="H63" s="67"/>
      <c r="I63" s="67"/>
      <c r="J63" s="67"/>
      <c r="K63" s="67"/>
      <c r="L63" s="4"/>
      <c r="M63" s="4"/>
      <c r="N63" s="4"/>
      <c r="O63" s="4"/>
      <c r="P63" s="4"/>
      <c r="Q63" s="4"/>
      <c r="R63" s="4"/>
      <c r="S63" s="4"/>
      <c r="T63" s="4"/>
    </row>
    <row r="64" spans="1:20" ht="30" customHeight="1" x14ac:dyDescent="0.2">
      <c r="A64" s="15"/>
      <c r="B64" s="4"/>
      <c r="C64" s="4"/>
      <c r="D64" s="4"/>
      <c r="E64" s="34"/>
      <c r="K64" s="98"/>
      <c r="L64" s="4"/>
      <c r="M64" s="4"/>
      <c r="N64" s="4"/>
      <c r="O64" s="4"/>
      <c r="P64" s="4"/>
      <c r="Q64" s="4"/>
      <c r="R64" s="4"/>
      <c r="S64" s="4"/>
      <c r="T64" s="4"/>
    </row>
    <row r="65" spans="1:20" ht="30" customHeight="1" x14ac:dyDescent="0.2">
      <c r="A65" s="15"/>
      <c r="B65" s="4"/>
      <c r="C65" s="4"/>
      <c r="D65" s="4"/>
      <c r="E65" s="41"/>
      <c r="F65" s="42">
        <v>2016</v>
      </c>
      <c r="G65" s="42">
        <v>2017</v>
      </c>
      <c r="H65" s="42">
        <v>2018</v>
      </c>
      <c r="I65" s="42">
        <v>2019</v>
      </c>
      <c r="J65" s="42">
        <v>2020</v>
      </c>
      <c r="K65" s="114">
        <v>2021</v>
      </c>
      <c r="L65" s="4"/>
      <c r="M65" s="4"/>
      <c r="N65" s="4"/>
      <c r="O65" s="4"/>
      <c r="P65" s="4"/>
      <c r="Q65" s="4"/>
      <c r="R65" s="4"/>
      <c r="S65" s="4"/>
      <c r="T65" s="4"/>
    </row>
    <row r="66" spans="1:20" ht="30" customHeight="1" x14ac:dyDescent="0.2">
      <c r="A66" s="15"/>
      <c r="B66" s="4"/>
      <c r="C66" s="4"/>
      <c r="D66" s="4"/>
      <c r="E66" s="41" t="s">
        <v>98</v>
      </c>
      <c r="F66" s="52">
        <v>-96056</v>
      </c>
      <c r="G66" s="52">
        <v>-69318</v>
      </c>
      <c r="H66" s="52">
        <v>-41149</v>
      </c>
      <c r="I66" s="52">
        <v>-60749</v>
      </c>
      <c r="J66" s="52">
        <v>0</v>
      </c>
      <c r="K66" s="82">
        <v>0</v>
      </c>
      <c r="L66" s="4"/>
      <c r="M66" s="4"/>
      <c r="N66" s="4"/>
      <c r="O66" s="4"/>
      <c r="P66" s="4"/>
      <c r="Q66" s="4"/>
      <c r="R66" s="4"/>
      <c r="S66" s="4"/>
      <c r="T66" s="4"/>
    </row>
    <row r="67" spans="1:20" ht="30" customHeight="1" x14ac:dyDescent="0.2">
      <c r="A67" s="15"/>
      <c r="B67" s="4"/>
      <c r="C67" s="4"/>
      <c r="D67" s="4"/>
      <c r="E67" s="41" t="s">
        <v>99</v>
      </c>
      <c r="F67" s="52">
        <v>0</v>
      </c>
      <c r="G67" s="52">
        <v>0</v>
      </c>
      <c r="H67" s="52">
        <v>0</v>
      </c>
      <c r="I67" s="52">
        <v>0</v>
      </c>
      <c r="J67" s="52">
        <v>-35805</v>
      </c>
      <c r="K67" s="82">
        <v>-81458</v>
      </c>
      <c r="L67" s="4"/>
      <c r="M67" s="4"/>
      <c r="N67" s="4"/>
      <c r="O67" s="4"/>
      <c r="P67" s="4"/>
      <c r="Q67" s="4"/>
      <c r="R67" s="4"/>
      <c r="S67" s="4"/>
      <c r="T67" s="4"/>
    </row>
    <row r="68" spans="1:20" ht="30" customHeight="1" x14ac:dyDescent="0.2">
      <c r="A68" s="15"/>
      <c r="B68" s="4"/>
      <c r="C68" s="4"/>
      <c r="D68" s="4"/>
      <c r="E68" s="41" t="s">
        <v>100</v>
      </c>
      <c r="F68" s="52">
        <v>-5934</v>
      </c>
      <c r="G68" s="52">
        <v>-5204</v>
      </c>
      <c r="H68" s="52">
        <v>-3298</v>
      </c>
      <c r="I68" s="52">
        <v>-4156</v>
      </c>
      <c r="J68" s="52">
        <v>-1845</v>
      </c>
      <c r="K68" s="82">
        <v>-2816</v>
      </c>
      <c r="L68" s="4"/>
      <c r="M68" s="4"/>
      <c r="N68" s="4"/>
      <c r="O68" s="4"/>
      <c r="P68" s="4"/>
      <c r="Q68" s="4"/>
      <c r="R68" s="4"/>
      <c r="S68" s="4"/>
      <c r="T68" s="4"/>
    </row>
    <row r="69" spans="1:20" ht="30" customHeight="1" x14ac:dyDescent="0.2">
      <c r="A69" s="15"/>
      <c r="B69" s="4"/>
      <c r="C69" s="4"/>
      <c r="D69" s="4"/>
      <c r="E69" s="41" t="s">
        <v>101</v>
      </c>
      <c r="F69" s="52">
        <v>-37803</v>
      </c>
      <c r="G69" s="52">
        <v>-35466</v>
      </c>
      <c r="H69" s="52">
        <v>-27803</v>
      </c>
      <c r="I69" s="52">
        <v>-28218</v>
      </c>
      <c r="J69" s="52">
        <v>-27162</v>
      </c>
      <c r="K69" s="82">
        <v>-14462</v>
      </c>
      <c r="L69" s="4"/>
      <c r="M69" s="4"/>
      <c r="N69" s="4"/>
      <c r="O69" s="4"/>
      <c r="P69" s="4"/>
      <c r="Q69" s="4"/>
      <c r="R69" s="4"/>
      <c r="S69" s="4"/>
      <c r="T69" s="4"/>
    </row>
    <row r="70" spans="1:20" ht="30" customHeight="1" x14ac:dyDescent="0.2">
      <c r="A70" s="15"/>
      <c r="B70" s="4"/>
      <c r="C70" s="4"/>
      <c r="D70" s="4"/>
      <c r="E70" s="41" t="s">
        <v>102</v>
      </c>
      <c r="F70" s="52">
        <v>0</v>
      </c>
      <c r="G70" s="52">
        <v>0</v>
      </c>
      <c r="H70" s="52">
        <v>0</v>
      </c>
      <c r="I70" s="52">
        <v>-137478</v>
      </c>
      <c r="J70" s="52">
        <v>-131790</v>
      </c>
      <c r="K70" s="82">
        <v>-135412</v>
      </c>
      <c r="L70" s="4"/>
      <c r="M70" s="4"/>
      <c r="N70" s="4"/>
      <c r="O70" s="4"/>
      <c r="P70" s="4"/>
      <c r="Q70" s="4"/>
      <c r="R70" s="4"/>
      <c r="S70" s="4"/>
      <c r="T70" s="4"/>
    </row>
    <row r="71" spans="1:20" ht="30" customHeight="1" x14ac:dyDescent="0.2">
      <c r="A71" s="15"/>
      <c r="B71" s="4"/>
      <c r="C71" s="4"/>
      <c r="D71" s="4"/>
      <c r="E71" s="41" t="s">
        <v>103</v>
      </c>
      <c r="F71" s="52">
        <v>-40795</v>
      </c>
      <c r="G71" s="52">
        <v>-38859</v>
      </c>
      <c r="H71" s="52">
        <v>-23132</v>
      </c>
      <c r="I71" s="52">
        <v>-24983</v>
      </c>
      <c r="J71" s="52">
        <v>-15377</v>
      </c>
      <c r="K71" s="82">
        <v>-28604</v>
      </c>
      <c r="L71" s="4"/>
      <c r="M71" s="4"/>
      <c r="N71" s="4"/>
      <c r="O71" s="67"/>
      <c r="P71" s="4"/>
      <c r="Q71" s="4"/>
      <c r="R71" s="4"/>
      <c r="S71" s="4"/>
      <c r="T71" s="4"/>
    </row>
    <row r="72" spans="1:20" ht="30" customHeight="1" x14ac:dyDescent="0.2">
      <c r="A72" s="15"/>
      <c r="B72" s="4"/>
      <c r="C72" s="4"/>
      <c r="D72" s="4"/>
      <c r="E72" s="41" t="s">
        <v>104</v>
      </c>
      <c r="F72" s="52">
        <v>-304257</v>
      </c>
      <c r="G72" s="52">
        <v>-30206</v>
      </c>
      <c r="H72" s="52">
        <v>0</v>
      </c>
      <c r="I72" s="52">
        <v>-26054</v>
      </c>
      <c r="J72" s="52">
        <v>0</v>
      </c>
      <c r="K72" s="82">
        <v>0</v>
      </c>
      <c r="L72" s="4"/>
      <c r="M72" s="4"/>
      <c r="N72" s="67"/>
      <c r="O72" s="4"/>
      <c r="P72" s="4"/>
      <c r="Q72" s="4"/>
      <c r="R72" s="4"/>
      <c r="S72" s="4"/>
      <c r="T72" s="4"/>
    </row>
    <row r="73" spans="1:20" ht="30" customHeight="1" x14ac:dyDescent="0.2">
      <c r="A73" s="15"/>
      <c r="B73" s="4"/>
      <c r="C73" s="4"/>
      <c r="D73" s="4"/>
      <c r="E73" s="41" t="s">
        <v>105</v>
      </c>
      <c r="F73" s="52">
        <v>-226702</v>
      </c>
      <c r="G73" s="52">
        <v>-144204</v>
      </c>
      <c r="H73" s="52">
        <v>-221464</v>
      </c>
      <c r="I73" s="52">
        <v>29562</v>
      </c>
      <c r="J73" s="52">
        <v>-11700</v>
      </c>
      <c r="K73" s="82">
        <v>-691</v>
      </c>
      <c r="L73" s="4"/>
      <c r="M73" s="4"/>
      <c r="N73" s="4"/>
      <c r="O73" s="4"/>
      <c r="P73" s="4"/>
      <c r="Q73" s="4"/>
      <c r="R73" s="4"/>
      <c r="S73" s="4"/>
      <c r="T73" s="4"/>
    </row>
    <row r="74" spans="1:20" ht="30" customHeight="1" x14ac:dyDescent="0.2">
      <c r="A74" s="15"/>
      <c r="B74" s="4"/>
      <c r="C74" s="4"/>
      <c r="D74" s="4"/>
      <c r="E74" s="106" t="s">
        <v>106</v>
      </c>
      <c r="F74" s="52">
        <v>0</v>
      </c>
      <c r="G74" s="52">
        <v>0</v>
      </c>
      <c r="H74" s="52">
        <v>0</v>
      </c>
      <c r="I74" s="107">
        <v>-2810</v>
      </c>
      <c r="J74" s="107">
        <v>-11700</v>
      </c>
      <c r="K74" s="115">
        <v>0</v>
      </c>
      <c r="L74" s="4"/>
      <c r="M74" s="4"/>
      <c r="N74" s="4"/>
      <c r="O74" s="4"/>
      <c r="P74" s="4"/>
      <c r="Q74" s="4"/>
      <c r="R74" s="4"/>
      <c r="S74" s="4"/>
      <c r="T74" s="4"/>
    </row>
    <row r="75" spans="1:20" ht="30" customHeight="1" x14ac:dyDescent="0.2">
      <c r="A75" s="15"/>
      <c r="B75" s="4"/>
      <c r="C75" s="4"/>
      <c r="D75" s="4"/>
      <c r="E75" s="106" t="s">
        <v>107</v>
      </c>
      <c r="F75" s="52">
        <v>0</v>
      </c>
      <c r="G75" s="52">
        <v>0</v>
      </c>
      <c r="H75" s="52">
        <v>0</v>
      </c>
      <c r="I75" s="107">
        <v>32372</v>
      </c>
      <c r="J75" s="107">
        <v>0</v>
      </c>
      <c r="K75" s="115">
        <v>0</v>
      </c>
      <c r="L75" s="4"/>
      <c r="M75" s="67"/>
      <c r="N75" s="4"/>
      <c r="O75" s="4"/>
      <c r="P75" s="4"/>
      <c r="Q75" s="4"/>
      <c r="R75" s="4"/>
      <c r="S75" s="4"/>
      <c r="T75" s="4"/>
    </row>
    <row r="76" spans="1:20" ht="30" customHeight="1" x14ac:dyDescent="0.2">
      <c r="A76" s="15"/>
      <c r="B76" s="4"/>
      <c r="C76" s="4"/>
      <c r="D76" s="4"/>
      <c r="E76" s="41" t="s">
        <v>79</v>
      </c>
      <c r="F76" s="52">
        <v>-211</v>
      </c>
      <c r="G76" s="52">
        <v>-149</v>
      </c>
      <c r="H76" s="52">
        <v>-14</v>
      </c>
      <c r="I76" s="52">
        <v>-253</v>
      </c>
      <c r="J76" s="52">
        <v>-2101</v>
      </c>
      <c r="K76" s="82">
        <v>-4553</v>
      </c>
      <c r="L76" s="67"/>
      <c r="M76" s="4"/>
      <c r="N76" s="4"/>
      <c r="O76" s="4"/>
      <c r="P76" s="4"/>
      <c r="Q76" s="4"/>
      <c r="R76" s="4"/>
      <c r="S76" s="4"/>
      <c r="T76" s="4"/>
    </row>
    <row r="77" spans="1:20" ht="30" customHeight="1" thickBot="1" x14ac:dyDescent="0.25">
      <c r="A77" s="15"/>
      <c r="B77" s="4"/>
      <c r="C77" s="4"/>
      <c r="D77" s="4"/>
      <c r="E77" s="116" t="s">
        <v>80</v>
      </c>
      <c r="F77" s="117">
        <f>F66+F68+F69+F71+F72+F73+F76</f>
        <v>-711758</v>
      </c>
      <c r="G77" s="117">
        <f>G66+G68+G69+G71+G72+G73+G76</f>
        <v>-323406</v>
      </c>
      <c r="H77" s="117">
        <f>H66+H68+H69+H71+H72+H73+H76</f>
        <v>-316860</v>
      </c>
      <c r="I77" s="117">
        <v>-252329</v>
      </c>
      <c r="J77" s="117">
        <f>J67+J68+J69+J70+J71+J73+J76</f>
        <v>-225780</v>
      </c>
      <c r="K77" s="118">
        <f>K67+K68+K69+K70+K71+K73+K76</f>
        <v>-267996</v>
      </c>
      <c r="L77" s="4"/>
      <c r="M77" s="4"/>
      <c r="N77" s="4"/>
      <c r="O77" s="4"/>
      <c r="P77" s="4"/>
      <c r="Q77" s="4"/>
      <c r="R77" s="4"/>
      <c r="S77" s="4"/>
      <c r="T77" s="4"/>
    </row>
    <row r="78" spans="1:20" ht="30" customHeight="1" x14ac:dyDescent="0.2">
      <c r="A78" s="1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30" customHeight="1" x14ac:dyDescent="0.2">
      <c r="A79" s="15"/>
      <c r="B79" s="4"/>
      <c r="C79" s="4"/>
      <c r="D79" s="4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30" customHeight="1" x14ac:dyDescent="0.2">
      <c r="A80" s="15"/>
      <c r="B80" s="4"/>
      <c r="C80" s="4"/>
      <c r="D80" s="4"/>
      <c r="E80" s="34"/>
      <c r="K80" s="98"/>
      <c r="L80" s="4"/>
      <c r="M80" s="4"/>
      <c r="N80" s="4"/>
      <c r="O80" s="4"/>
      <c r="P80" s="4"/>
      <c r="Q80" s="4"/>
      <c r="R80" s="4"/>
      <c r="S80" s="4"/>
      <c r="T80" s="4"/>
    </row>
    <row r="81" spans="1:20" ht="30" customHeight="1" x14ac:dyDescent="0.2">
      <c r="A81" s="15"/>
      <c r="B81" s="4"/>
      <c r="C81" s="4"/>
      <c r="D81" s="4"/>
      <c r="E81" s="41"/>
      <c r="F81" s="42">
        <v>2016</v>
      </c>
      <c r="G81" s="42">
        <v>2017</v>
      </c>
      <c r="H81" s="42">
        <v>2018</v>
      </c>
      <c r="I81" s="42">
        <v>2019</v>
      </c>
      <c r="J81" s="42">
        <v>2020</v>
      </c>
      <c r="K81" s="114">
        <v>2021</v>
      </c>
      <c r="L81" s="4"/>
      <c r="M81" s="4"/>
      <c r="N81" s="4"/>
      <c r="O81" s="4"/>
      <c r="P81" s="4"/>
      <c r="Q81" s="4"/>
      <c r="R81" s="4"/>
      <c r="S81" s="4"/>
      <c r="T81" s="4"/>
    </row>
    <row r="82" spans="1:20" ht="30" customHeight="1" x14ac:dyDescent="0.2">
      <c r="A82" s="15"/>
      <c r="B82" s="4"/>
      <c r="C82" s="4"/>
      <c r="D82" s="4"/>
      <c r="E82" s="41" t="s">
        <v>108</v>
      </c>
      <c r="F82" s="52">
        <v>42864</v>
      </c>
      <c r="G82" s="52">
        <v>7606</v>
      </c>
      <c r="H82" s="52">
        <v>14339</v>
      </c>
      <c r="I82" s="52">
        <v>19443</v>
      </c>
      <c r="J82" s="52">
        <v>24418</v>
      </c>
      <c r="K82" s="82">
        <v>126381</v>
      </c>
      <c r="L82" s="4"/>
      <c r="M82" s="4"/>
      <c r="N82" s="4"/>
      <c r="O82" s="4"/>
      <c r="P82" s="4"/>
      <c r="Q82" s="4"/>
      <c r="R82" s="4"/>
      <c r="S82" s="4"/>
      <c r="T82" s="4"/>
    </row>
    <row r="83" spans="1:20" ht="30" customHeight="1" x14ac:dyDescent="0.2">
      <c r="A83" s="15"/>
      <c r="B83" s="4"/>
      <c r="C83" s="4"/>
      <c r="D83" s="4"/>
      <c r="E83" s="41" t="s">
        <v>109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82">
        <v>37368</v>
      </c>
      <c r="L83" s="4"/>
      <c r="M83" s="4"/>
      <c r="N83" s="4"/>
      <c r="O83" s="4"/>
      <c r="P83" s="4"/>
      <c r="Q83" s="4"/>
      <c r="R83" s="4"/>
      <c r="S83" s="4"/>
      <c r="T83" s="4"/>
    </row>
    <row r="84" spans="1:20" ht="30" customHeight="1" x14ac:dyDescent="0.2">
      <c r="A84" s="15"/>
      <c r="B84" s="4"/>
      <c r="C84" s="4"/>
      <c r="D84" s="4"/>
      <c r="E84" s="41" t="s">
        <v>110</v>
      </c>
      <c r="F84" s="52">
        <v>0</v>
      </c>
      <c r="G84" s="52">
        <v>0</v>
      </c>
      <c r="H84" s="52">
        <v>0</v>
      </c>
      <c r="I84" s="52">
        <v>618492</v>
      </c>
      <c r="J84" s="52">
        <v>17683</v>
      </c>
      <c r="K84" s="82">
        <v>0</v>
      </c>
      <c r="L84" s="4"/>
      <c r="M84" s="4"/>
      <c r="N84" s="4"/>
      <c r="O84" s="4"/>
      <c r="P84" s="4"/>
      <c r="Q84" s="4"/>
      <c r="R84" s="4"/>
      <c r="S84" s="4"/>
      <c r="T84" s="4"/>
    </row>
    <row r="85" spans="1:20" ht="30" customHeight="1" x14ac:dyDescent="0.2">
      <c r="A85" s="15"/>
      <c r="B85" s="4"/>
      <c r="C85" s="4"/>
      <c r="D85" s="4"/>
      <c r="E85" s="41" t="s">
        <v>111</v>
      </c>
      <c r="F85" s="52">
        <v>0</v>
      </c>
      <c r="G85" s="52">
        <v>0</v>
      </c>
      <c r="H85" s="52">
        <v>0</v>
      </c>
      <c r="I85" s="52">
        <v>0</v>
      </c>
      <c r="J85" s="52">
        <v>40642</v>
      </c>
      <c r="K85" s="82">
        <v>0</v>
      </c>
      <c r="L85" s="4"/>
      <c r="M85" s="4"/>
      <c r="N85" s="4"/>
      <c r="O85" s="67"/>
      <c r="P85" s="4"/>
      <c r="Q85" s="4"/>
      <c r="R85" s="4"/>
      <c r="S85" s="4"/>
      <c r="T85" s="4"/>
    </row>
    <row r="86" spans="1:20" ht="30" customHeight="1" x14ac:dyDescent="0.2">
      <c r="A86" s="15"/>
      <c r="B86" s="4"/>
      <c r="C86" s="4"/>
      <c r="D86" s="4"/>
      <c r="E86" s="41" t="s">
        <v>112</v>
      </c>
      <c r="F86" s="52">
        <v>0</v>
      </c>
      <c r="G86" s="52">
        <v>0</v>
      </c>
      <c r="H86" s="52">
        <v>0</v>
      </c>
      <c r="I86" s="52">
        <v>-28760</v>
      </c>
      <c r="J86" s="52">
        <v>0</v>
      </c>
      <c r="K86" s="82">
        <v>0</v>
      </c>
      <c r="L86" s="4"/>
      <c r="M86" s="4"/>
      <c r="N86" s="67"/>
      <c r="O86" s="4"/>
      <c r="P86" s="4"/>
      <c r="Q86" s="4"/>
      <c r="R86" s="4"/>
      <c r="S86" s="4"/>
      <c r="T86" s="4"/>
    </row>
    <row r="87" spans="1:20" ht="30" customHeight="1" x14ac:dyDescent="0.2">
      <c r="A87" s="15"/>
      <c r="B87" s="4"/>
      <c r="C87" s="4"/>
      <c r="D87" s="4"/>
      <c r="E87" s="41" t="s">
        <v>113</v>
      </c>
      <c r="F87" s="52">
        <v>0</v>
      </c>
      <c r="G87" s="52">
        <v>0</v>
      </c>
      <c r="H87" s="52">
        <v>0</v>
      </c>
      <c r="I87" s="52">
        <v>0</v>
      </c>
      <c r="J87" s="52">
        <v>33539</v>
      </c>
      <c r="K87" s="82">
        <v>0</v>
      </c>
      <c r="L87" s="4"/>
      <c r="M87" s="4"/>
      <c r="N87" s="4"/>
      <c r="O87" s="4"/>
      <c r="P87" s="4"/>
      <c r="Q87" s="4"/>
      <c r="R87" s="4"/>
      <c r="S87" s="4"/>
      <c r="T87" s="4"/>
    </row>
    <row r="88" spans="1:20" ht="30" customHeight="1" x14ac:dyDescent="0.2">
      <c r="A88" s="15"/>
      <c r="B88" s="4"/>
      <c r="C88" s="4"/>
      <c r="D88" s="4"/>
      <c r="E88" s="41" t="s">
        <v>114</v>
      </c>
      <c r="F88" s="52">
        <v>10787</v>
      </c>
      <c r="G88" s="52">
        <v>21662</v>
      </c>
      <c r="H88" s="52">
        <v>24432</v>
      </c>
      <c r="I88" s="52">
        <v>31730</v>
      </c>
      <c r="J88" s="52">
        <v>16969</v>
      </c>
      <c r="K88" s="82">
        <v>12438</v>
      </c>
      <c r="L88" s="4"/>
      <c r="M88" s="4"/>
      <c r="N88" s="4"/>
      <c r="O88" s="4"/>
      <c r="P88" s="4"/>
      <c r="Q88" s="4"/>
      <c r="R88" s="4"/>
      <c r="S88" s="4"/>
      <c r="T88" s="4"/>
    </row>
    <row r="89" spans="1:20" ht="30" customHeight="1" x14ac:dyDescent="0.2">
      <c r="A89" s="15"/>
      <c r="B89" s="4"/>
      <c r="C89" s="4"/>
      <c r="D89" s="4"/>
      <c r="E89" s="41" t="s">
        <v>104</v>
      </c>
      <c r="F89" s="52">
        <v>0</v>
      </c>
      <c r="G89" s="52">
        <v>0</v>
      </c>
      <c r="H89" s="52">
        <v>17192</v>
      </c>
      <c r="I89" s="52">
        <v>0</v>
      </c>
      <c r="J89" s="52">
        <v>0</v>
      </c>
      <c r="K89" s="82">
        <v>0</v>
      </c>
      <c r="L89" s="4"/>
      <c r="M89" s="67"/>
      <c r="N89" s="4"/>
      <c r="O89" s="4"/>
      <c r="P89" s="4"/>
      <c r="Q89" s="4"/>
      <c r="R89" s="4"/>
      <c r="S89" s="4"/>
      <c r="T89" s="4"/>
    </row>
    <row r="90" spans="1:20" ht="30" customHeight="1" x14ac:dyDescent="0.2">
      <c r="A90" s="15"/>
      <c r="B90" s="4"/>
      <c r="C90" s="4"/>
      <c r="D90" s="4"/>
      <c r="E90" s="41" t="s">
        <v>105</v>
      </c>
      <c r="F90" s="52">
        <v>448140</v>
      </c>
      <c r="G90" s="52">
        <v>115825</v>
      </c>
      <c r="H90" s="52">
        <v>122994</v>
      </c>
      <c r="I90" s="52">
        <v>0</v>
      </c>
      <c r="J90" s="52">
        <v>0</v>
      </c>
      <c r="K90" s="82">
        <v>0</v>
      </c>
      <c r="L90" s="4"/>
      <c r="M90" s="4"/>
      <c r="N90" s="4"/>
      <c r="O90" s="4"/>
      <c r="P90" s="4"/>
      <c r="Q90" s="4"/>
      <c r="R90" s="4"/>
      <c r="S90" s="4"/>
      <c r="T90" s="4"/>
    </row>
    <row r="91" spans="1:20" ht="30" customHeight="1" x14ac:dyDescent="0.2">
      <c r="A91" s="15"/>
      <c r="B91" s="4"/>
      <c r="C91" s="4"/>
      <c r="D91" s="4"/>
      <c r="E91" s="41" t="s">
        <v>79</v>
      </c>
      <c r="F91" s="52">
        <v>12607</v>
      </c>
      <c r="G91" s="52">
        <v>23160</v>
      </c>
      <c r="H91" s="52">
        <v>7232</v>
      </c>
      <c r="I91" s="52">
        <v>366</v>
      </c>
      <c r="J91" s="52">
        <v>1094</v>
      </c>
      <c r="K91" s="82">
        <v>2</v>
      </c>
      <c r="L91" s="67"/>
      <c r="M91" s="4"/>
      <c r="N91" s="4"/>
      <c r="O91" s="4"/>
      <c r="P91" s="4"/>
      <c r="Q91" s="4"/>
      <c r="R91" s="4"/>
      <c r="S91" s="4"/>
      <c r="T91" s="4"/>
    </row>
    <row r="92" spans="1:20" ht="30" customHeight="1" thickBot="1" x14ac:dyDescent="0.25">
      <c r="A92" s="15"/>
      <c r="B92" s="4"/>
      <c r="C92" s="4"/>
      <c r="D92" s="4"/>
      <c r="E92" s="116" t="s">
        <v>80</v>
      </c>
      <c r="F92" s="117">
        <f>F82+F84+F85+F86+F87+F88+F89+F90+F91+F83</f>
        <v>514398</v>
      </c>
      <c r="G92" s="117">
        <f t="shared" ref="G92:K92" si="6">G82+G84+G85+G86+G87+G88+G89+G90+G91+G83</f>
        <v>168253</v>
      </c>
      <c r="H92" s="117">
        <f t="shared" si="6"/>
        <v>186189</v>
      </c>
      <c r="I92" s="117">
        <f t="shared" si="6"/>
        <v>641271</v>
      </c>
      <c r="J92" s="117">
        <f t="shared" si="6"/>
        <v>134345</v>
      </c>
      <c r="K92" s="119">
        <f t="shared" si="6"/>
        <v>176189</v>
      </c>
      <c r="L92" s="105"/>
      <c r="M92" s="4"/>
      <c r="N92" s="4"/>
      <c r="O92" s="4"/>
      <c r="P92" s="4"/>
      <c r="Q92" s="4"/>
      <c r="R92" s="4"/>
      <c r="S92" s="4"/>
      <c r="T92" s="4"/>
    </row>
    <row r="93" spans="1:20" ht="30" customHeight="1" x14ac:dyDescent="0.2">
      <c r="A93" s="1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30" customHeight="1" x14ac:dyDescent="0.2">
      <c r="A94" s="15"/>
      <c r="B94" s="4"/>
      <c r="C94" s="4"/>
      <c r="D94" s="4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30" customHeight="1" x14ac:dyDescent="0.2">
      <c r="A95" s="15"/>
      <c r="B95" s="4"/>
      <c r="C95" s="4"/>
      <c r="D95" s="4"/>
      <c r="E95" s="34"/>
      <c r="K95" s="98"/>
      <c r="L95" s="4"/>
      <c r="M95" s="4"/>
      <c r="N95" s="4"/>
      <c r="O95" s="4"/>
      <c r="P95" s="4"/>
      <c r="Q95" s="4"/>
      <c r="R95" s="4"/>
      <c r="S95" s="4"/>
      <c r="T95" s="4"/>
    </row>
    <row r="96" spans="1:20" ht="30" customHeight="1" x14ac:dyDescent="0.2">
      <c r="A96" s="15"/>
      <c r="B96" s="4"/>
      <c r="C96" s="4"/>
      <c r="D96" s="4"/>
      <c r="E96" s="41"/>
      <c r="F96" s="42">
        <v>2016</v>
      </c>
      <c r="G96" s="42">
        <v>2017</v>
      </c>
      <c r="H96" s="42">
        <v>2018</v>
      </c>
      <c r="I96" s="42">
        <v>2019</v>
      </c>
      <c r="J96" s="42">
        <v>2020</v>
      </c>
      <c r="K96" s="114">
        <v>2021</v>
      </c>
      <c r="L96" s="4"/>
      <c r="M96" s="4"/>
      <c r="N96" s="4"/>
      <c r="O96" s="4"/>
      <c r="P96" s="4"/>
      <c r="Q96" s="4"/>
      <c r="R96" s="4"/>
      <c r="S96" s="4"/>
      <c r="T96" s="4"/>
    </row>
    <row r="97" spans="1:20" ht="30" customHeight="1" x14ac:dyDescent="0.2">
      <c r="A97" s="15"/>
      <c r="B97" s="4"/>
      <c r="C97" s="4"/>
      <c r="D97" s="4"/>
      <c r="E97" s="45" t="s">
        <v>49</v>
      </c>
      <c r="F97" s="46">
        <f t="shared" ref="F97:K97" si="7">F59</f>
        <v>-7553.9999921899289</v>
      </c>
      <c r="G97" s="46">
        <f t="shared" si="7"/>
        <v>296700</v>
      </c>
      <c r="H97" s="46">
        <f t="shared" si="7"/>
        <v>356221</v>
      </c>
      <c r="I97" s="46">
        <f t="shared" si="7"/>
        <v>315919</v>
      </c>
      <c r="J97" s="46">
        <f t="shared" si="7"/>
        <v>-259017</v>
      </c>
      <c r="K97" s="54">
        <f t="shared" si="7"/>
        <v>-117653</v>
      </c>
      <c r="L97" s="4"/>
      <c r="M97" s="4"/>
      <c r="N97" s="4"/>
      <c r="O97" s="4"/>
      <c r="P97" s="4"/>
      <c r="Q97" s="4"/>
      <c r="R97" s="4"/>
      <c r="S97" s="4"/>
      <c r="T97" s="4"/>
    </row>
    <row r="98" spans="1:20" ht="30" customHeight="1" x14ac:dyDescent="0.2">
      <c r="A98" s="15"/>
      <c r="B98" s="4"/>
      <c r="C98" s="4"/>
      <c r="D98" s="4"/>
      <c r="E98" s="45" t="s">
        <v>115</v>
      </c>
      <c r="F98" s="46">
        <f t="shared" ref="F98:K98" si="8">F59+F77+F92</f>
        <v>-204913.99999218993</v>
      </c>
      <c r="G98" s="46">
        <f t="shared" si="8"/>
        <v>141547</v>
      </c>
      <c r="H98" s="46">
        <f t="shared" si="8"/>
        <v>225550</v>
      </c>
      <c r="I98" s="46">
        <f t="shared" si="8"/>
        <v>704861</v>
      </c>
      <c r="J98" s="46">
        <f t="shared" si="8"/>
        <v>-350452</v>
      </c>
      <c r="K98" s="54">
        <f t="shared" si="8"/>
        <v>-209460</v>
      </c>
      <c r="L98" s="4"/>
      <c r="M98" s="4"/>
      <c r="N98" s="4"/>
      <c r="O98" s="4"/>
      <c r="P98" s="4"/>
      <c r="Q98" s="4"/>
      <c r="R98" s="4"/>
      <c r="S98" s="4"/>
      <c r="T98" s="4"/>
    </row>
    <row r="99" spans="1:20" ht="30" customHeight="1" x14ac:dyDescent="0.2">
      <c r="A99" s="15"/>
      <c r="B99" s="4"/>
      <c r="C99" s="4"/>
      <c r="D99" s="4"/>
      <c r="E99" s="41" t="s">
        <v>48</v>
      </c>
      <c r="F99" s="52">
        <f>F84+F86+F85+F87+F89</f>
        <v>0</v>
      </c>
      <c r="G99" s="52">
        <f>G84+G86+G85+G87+G89</f>
        <v>0</v>
      </c>
      <c r="H99" s="52">
        <f>H84+H86+H85+H87+H89</f>
        <v>17192</v>
      </c>
      <c r="I99" s="52">
        <f>I84+I86+I85+I87+I89</f>
        <v>589732</v>
      </c>
      <c r="J99" s="52">
        <f>J84+J86+J85+J87+J89</f>
        <v>91864</v>
      </c>
      <c r="K99" s="53">
        <f>K83</f>
        <v>37368</v>
      </c>
      <c r="L99" s="4"/>
      <c r="M99" s="4"/>
      <c r="N99" s="4"/>
      <c r="O99" s="4"/>
      <c r="P99" s="4"/>
      <c r="Q99" s="4"/>
      <c r="R99" s="4"/>
      <c r="S99" s="4"/>
      <c r="T99" s="4"/>
    </row>
    <row r="100" spans="1:20" ht="30" customHeight="1" thickBot="1" x14ac:dyDescent="0.25">
      <c r="A100" s="15"/>
      <c r="B100" s="4"/>
      <c r="C100" s="4"/>
      <c r="D100" s="4"/>
      <c r="E100" s="99" t="s">
        <v>116</v>
      </c>
      <c r="F100" s="100">
        <f>F98-F99</f>
        <v>-204913.99999218993</v>
      </c>
      <c r="G100" s="100">
        <f t="shared" ref="G100:K100" si="9">G98-G99</f>
        <v>141547</v>
      </c>
      <c r="H100" s="100">
        <f t="shared" si="9"/>
        <v>208358</v>
      </c>
      <c r="I100" s="100">
        <f t="shared" si="9"/>
        <v>115129</v>
      </c>
      <c r="J100" s="100">
        <f t="shared" si="9"/>
        <v>-442316</v>
      </c>
      <c r="K100" s="101">
        <f t="shared" si="9"/>
        <v>-246828</v>
      </c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0" customHeight="1" x14ac:dyDescent="0.2">
      <c r="A101" s="1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30" customHeight="1" x14ac:dyDescent="0.2">
      <c r="A102" s="15"/>
      <c r="B102" s="4"/>
      <c r="C102" s="4"/>
      <c r="D102" s="4"/>
      <c r="E102" s="9"/>
      <c r="F102" s="9"/>
      <c r="G102" s="9"/>
      <c r="H102" s="9"/>
      <c r="I102" s="9"/>
      <c r="J102" s="9"/>
      <c r="K102" s="9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30" customHeight="1" x14ac:dyDescent="0.2">
      <c r="A103" s="15"/>
      <c r="B103" s="4"/>
      <c r="C103" s="4"/>
      <c r="D103" s="4"/>
      <c r="E103" s="34"/>
      <c r="F103" s="35"/>
      <c r="G103" s="35"/>
      <c r="H103" s="35"/>
      <c r="I103" s="35"/>
      <c r="J103" s="35"/>
      <c r="K103" s="36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0" customHeight="1" x14ac:dyDescent="0.2">
      <c r="A104" s="15"/>
      <c r="B104" s="4"/>
      <c r="C104" s="4"/>
      <c r="D104" s="4"/>
      <c r="E104" s="120"/>
      <c r="F104" s="42">
        <v>2016</v>
      </c>
      <c r="G104" s="42">
        <v>2017</v>
      </c>
      <c r="H104" s="42">
        <v>2018</v>
      </c>
      <c r="I104" s="42">
        <v>2019</v>
      </c>
      <c r="J104" s="42">
        <v>2020</v>
      </c>
      <c r="K104" s="114">
        <v>2021</v>
      </c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30" customHeight="1" x14ac:dyDescent="0.2">
      <c r="A105" s="15"/>
      <c r="B105" s="4"/>
      <c r="C105" s="4"/>
      <c r="D105" s="4"/>
      <c r="E105" s="121" t="s">
        <v>117</v>
      </c>
      <c r="F105" s="46">
        <f t="shared" ref="F105:K105" si="10">F100</f>
        <v>-204913.99999218993</v>
      </c>
      <c r="G105" s="46">
        <f t="shared" si="10"/>
        <v>141547</v>
      </c>
      <c r="H105" s="46">
        <f t="shared" si="10"/>
        <v>208358</v>
      </c>
      <c r="I105" s="46">
        <f t="shared" si="10"/>
        <v>115129</v>
      </c>
      <c r="J105" s="46">
        <f t="shared" si="10"/>
        <v>-442316</v>
      </c>
      <c r="K105" s="54">
        <f t="shared" si="10"/>
        <v>-246828</v>
      </c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30" customHeight="1" x14ac:dyDescent="0.2">
      <c r="A106" s="15"/>
      <c r="B106" s="4"/>
      <c r="C106" s="4"/>
      <c r="D106" s="4"/>
      <c r="E106" s="122" t="s">
        <v>118</v>
      </c>
      <c r="F106" s="123">
        <v>0.34</v>
      </c>
      <c r="G106" s="123">
        <v>0.34</v>
      </c>
      <c r="H106" s="123">
        <v>0.34</v>
      </c>
      <c r="I106" s="123">
        <v>0.34</v>
      </c>
      <c r="J106" s="123">
        <v>0.34</v>
      </c>
      <c r="K106" s="124">
        <v>0.34</v>
      </c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30" customHeight="1" x14ac:dyDescent="0.2">
      <c r="A107" s="15"/>
      <c r="B107" s="4"/>
      <c r="C107" s="4"/>
      <c r="D107" s="4"/>
      <c r="E107" s="121" t="s">
        <v>119</v>
      </c>
      <c r="F107" s="46">
        <f>-F105*F106</f>
        <v>69670.759997344576</v>
      </c>
      <c r="G107" s="46">
        <f t="shared" ref="G107:K107" si="11">-G105*G106</f>
        <v>-48125.98</v>
      </c>
      <c r="H107" s="46">
        <f t="shared" si="11"/>
        <v>-70841.72</v>
      </c>
      <c r="I107" s="46">
        <f t="shared" si="11"/>
        <v>-39143.86</v>
      </c>
      <c r="J107" s="46">
        <f t="shared" si="11"/>
        <v>150387.44</v>
      </c>
      <c r="K107" s="54">
        <f t="shared" si="11"/>
        <v>83921.52</v>
      </c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30" customHeight="1" x14ac:dyDescent="0.2">
      <c r="A108" s="15"/>
      <c r="B108" s="4"/>
      <c r="C108" s="4"/>
      <c r="D108" s="4"/>
      <c r="E108" s="121" t="s">
        <v>120</v>
      </c>
      <c r="F108" s="52"/>
      <c r="G108" s="52"/>
      <c r="H108" s="52"/>
      <c r="I108" s="52"/>
      <c r="J108" s="52"/>
      <c r="K108" s="53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30" customHeight="1" x14ac:dyDescent="0.2">
      <c r="A109" s="15"/>
      <c r="B109" s="4"/>
      <c r="C109" s="4"/>
      <c r="D109" s="4"/>
      <c r="E109" s="125" t="s">
        <v>121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82">
        <v>0</v>
      </c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30" customHeight="1" x14ac:dyDescent="0.2">
      <c r="A110" s="15"/>
      <c r="B110" s="4"/>
      <c r="C110" s="4"/>
      <c r="D110" s="4"/>
      <c r="E110" s="125" t="s">
        <v>122</v>
      </c>
      <c r="F110" s="52">
        <v>0</v>
      </c>
      <c r="G110" s="52">
        <v>22329</v>
      </c>
      <c r="H110" s="52">
        <v>23432</v>
      </c>
      <c r="I110" s="52">
        <v>26565</v>
      </c>
      <c r="J110" s="52">
        <v>0</v>
      </c>
      <c r="K110" s="82">
        <v>0</v>
      </c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30" customHeight="1" x14ac:dyDescent="0.2">
      <c r="A111" s="15"/>
      <c r="B111" s="4"/>
      <c r="C111" s="4"/>
      <c r="D111" s="4"/>
      <c r="E111" s="125" t="s">
        <v>123</v>
      </c>
      <c r="F111" s="52">
        <v>-1461</v>
      </c>
      <c r="G111" s="52">
        <v>-2224</v>
      </c>
      <c r="H111" s="52">
        <v>-1520</v>
      </c>
      <c r="I111" s="52">
        <v>0</v>
      </c>
      <c r="J111" s="52">
        <v>-1894</v>
      </c>
      <c r="K111" s="82">
        <v>-1872</v>
      </c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30" customHeight="1" x14ac:dyDescent="0.2">
      <c r="A112" s="15"/>
      <c r="B112" s="4"/>
      <c r="C112" s="4"/>
      <c r="D112" s="4"/>
      <c r="E112" s="125" t="s">
        <v>124</v>
      </c>
      <c r="F112" s="52">
        <v>0</v>
      </c>
      <c r="G112" s="52">
        <v>52</v>
      </c>
      <c r="H112" s="52">
        <v>476</v>
      </c>
      <c r="I112" s="52">
        <v>4951</v>
      </c>
      <c r="J112" s="52">
        <v>607</v>
      </c>
      <c r="K112" s="82">
        <v>0</v>
      </c>
      <c r="L112" s="4"/>
      <c r="M112" s="4"/>
      <c r="N112" s="4"/>
      <c r="O112" s="4"/>
      <c r="P112" s="4"/>
      <c r="Q112" s="4"/>
      <c r="R112" s="4"/>
      <c r="S112" s="4"/>
      <c r="T112" s="4"/>
    </row>
    <row r="113" spans="1:21" ht="30" customHeight="1" x14ac:dyDescent="0.2">
      <c r="A113" s="15"/>
      <c r="B113" s="4"/>
      <c r="C113" s="4"/>
      <c r="D113" s="4"/>
      <c r="E113" s="126" t="s">
        <v>125</v>
      </c>
      <c r="F113" s="52">
        <v>-3515</v>
      </c>
      <c r="G113" s="52">
        <v>-15427</v>
      </c>
      <c r="H113" s="52">
        <v>1109</v>
      </c>
      <c r="I113" s="52">
        <v>1973</v>
      </c>
      <c r="J113" s="52">
        <v>509</v>
      </c>
      <c r="K113" s="82">
        <v>-70</v>
      </c>
      <c r="L113" s="4"/>
      <c r="M113" s="4"/>
      <c r="N113" s="4"/>
      <c r="O113" s="4"/>
      <c r="P113" s="4"/>
      <c r="Q113" s="4"/>
      <c r="R113" s="4"/>
      <c r="S113" s="4"/>
      <c r="T113" s="4"/>
    </row>
    <row r="114" spans="1:21" ht="30" customHeight="1" x14ac:dyDescent="0.2">
      <c r="A114" s="15"/>
      <c r="B114" s="4"/>
      <c r="C114" s="4"/>
      <c r="D114" s="4"/>
      <c r="E114" s="126" t="s">
        <v>126</v>
      </c>
      <c r="F114" s="52">
        <v>0</v>
      </c>
      <c r="G114" s="52">
        <v>-488</v>
      </c>
      <c r="H114" s="52">
        <v>536</v>
      </c>
      <c r="I114" s="52">
        <v>0</v>
      </c>
      <c r="J114" s="52">
        <v>-611</v>
      </c>
      <c r="K114" s="82">
        <v>-1114</v>
      </c>
      <c r="L114" s="4"/>
      <c r="M114" s="4"/>
      <c r="N114" s="4"/>
      <c r="O114" s="4"/>
      <c r="P114" s="4"/>
      <c r="Q114" s="4"/>
      <c r="R114" s="4"/>
      <c r="S114" s="4"/>
      <c r="T114" s="4"/>
    </row>
    <row r="115" spans="1:21" ht="30" customHeight="1" x14ac:dyDescent="0.2">
      <c r="A115" s="15"/>
      <c r="B115" s="4"/>
      <c r="C115" s="4"/>
      <c r="D115" s="4"/>
      <c r="E115" s="126" t="s">
        <v>127</v>
      </c>
      <c r="F115" s="52">
        <v>0</v>
      </c>
      <c r="G115" s="52">
        <v>0</v>
      </c>
      <c r="H115" s="52">
        <v>0</v>
      </c>
      <c r="I115" s="52">
        <v>0</v>
      </c>
      <c r="J115" s="52">
        <v>637</v>
      </c>
      <c r="K115" s="82">
        <v>3291</v>
      </c>
      <c r="L115" s="4"/>
      <c r="M115" s="4"/>
      <c r="N115" s="4"/>
      <c r="O115" s="4"/>
      <c r="P115" s="4"/>
      <c r="Q115" s="4"/>
      <c r="R115" s="4"/>
      <c r="S115" s="4"/>
      <c r="T115" s="4"/>
    </row>
    <row r="116" spans="1:21" ht="30" customHeight="1" x14ac:dyDescent="0.2">
      <c r="A116" s="15"/>
      <c r="B116" s="4"/>
      <c r="C116" s="4"/>
      <c r="D116" s="4"/>
      <c r="E116" s="126" t="s">
        <v>128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82">
        <v>-261</v>
      </c>
      <c r="L116" s="4"/>
      <c r="M116" s="4"/>
      <c r="N116" s="4"/>
      <c r="O116" s="4"/>
      <c r="P116" s="4"/>
      <c r="Q116" s="4"/>
      <c r="R116" s="4"/>
      <c r="S116" s="4"/>
      <c r="T116" s="4"/>
    </row>
    <row r="117" spans="1:21" ht="30" customHeight="1" x14ac:dyDescent="0.2">
      <c r="A117" s="15"/>
      <c r="B117" s="4"/>
      <c r="C117" s="4"/>
      <c r="D117" s="4"/>
      <c r="E117" s="126" t="s">
        <v>129</v>
      </c>
      <c r="F117" s="52">
        <v>0</v>
      </c>
      <c r="G117" s="52">
        <v>0</v>
      </c>
      <c r="H117" s="52">
        <v>0</v>
      </c>
      <c r="I117" s="52">
        <v>0</v>
      </c>
      <c r="J117" s="52">
        <v>385</v>
      </c>
      <c r="K117" s="82">
        <v>0</v>
      </c>
      <c r="L117" s="4"/>
      <c r="M117" s="4"/>
      <c r="N117" s="4"/>
      <c r="O117" s="4"/>
      <c r="P117" s="4"/>
      <c r="Q117" s="4"/>
      <c r="R117" s="4"/>
      <c r="S117" s="4"/>
      <c r="T117" s="4"/>
    </row>
    <row r="118" spans="1:21" ht="30" customHeight="1" x14ac:dyDescent="0.2">
      <c r="A118" s="15"/>
      <c r="B118" s="4"/>
      <c r="C118" s="4"/>
      <c r="D118" s="4"/>
      <c r="E118" s="126" t="s">
        <v>130</v>
      </c>
      <c r="F118" s="52">
        <v>-1053</v>
      </c>
      <c r="G118" s="52">
        <v>-783</v>
      </c>
      <c r="H118" s="52">
        <v>740</v>
      </c>
      <c r="I118" s="52">
        <v>-81</v>
      </c>
      <c r="J118" s="52">
        <v>2755</v>
      </c>
      <c r="K118" s="82">
        <v>144</v>
      </c>
      <c r="L118" s="4"/>
      <c r="M118" s="4"/>
      <c r="N118" s="4"/>
      <c r="O118" s="4"/>
      <c r="P118" s="4"/>
      <c r="Q118" s="4"/>
      <c r="R118" s="4"/>
      <c r="S118" s="4"/>
      <c r="T118" s="4"/>
    </row>
    <row r="119" spans="1:21" ht="30" customHeight="1" x14ac:dyDescent="0.2">
      <c r="A119" s="15"/>
      <c r="B119" s="4"/>
      <c r="C119" s="4"/>
      <c r="D119" s="4"/>
      <c r="E119" s="126" t="s">
        <v>131</v>
      </c>
      <c r="F119" s="52">
        <v>0</v>
      </c>
      <c r="G119" s="52">
        <v>0</v>
      </c>
      <c r="H119" s="52">
        <v>0</v>
      </c>
      <c r="I119" s="52">
        <v>0</v>
      </c>
      <c r="J119" s="52">
        <v>0</v>
      </c>
      <c r="K119" s="82">
        <v>330631</v>
      </c>
      <c r="L119" s="4"/>
      <c r="M119" s="4"/>
      <c r="N119" s="4"/>
      <c r="O119" s="4"/>
      <c r="P119" s="4"/>
      <c r="Q119" s="4"/>
      <c r="R119" s="4"/>
      <c r="S119" s="4"/>
      <c r="T119" s="4"/>
    </row>
    <row r="120" spans="1:21" ht="30" customHeight="1" x14ac:dyDescent="0.2">
      <c r="A120" s="15"/>
      <c r="B120" s="4"/>
      <c r="C120" s="4"/>
      <c r="D120" s="4"/>
      <c r="E120" s="121" t="s">
        <v>132</v>
      </c>
      <c r="F120" s="46">
        <f t="shared" ref="F120:J120" si="12">F107+F109+F110+F111+F112+F113+F114+F115+F117+F118+F119+F116</f>
        <v>63641.759997344576</v>
      </c>
      <c r="G120" s="46">
        <f t="shared" si="12"/>
        <v>-44666.98</v>
      </c>
      <c r="H120" s="46">
        <f t="shared" si="12"/>
        <v>-46068.72</v>
      </c>
      <c r="I120" s="46">
        <f t="shared" si="12"/>
        <v>-5735.8600000000006</v>
      </c>
      <c r="J120" s="46">
        <f t="shared" si="12"/>
        <v>152775.44</v>
      </c>
      <c r="K120" s="54">
        <f>K107+K109+K110+K111+K112+K113+K114+K115+K117+K118+K119+K116</f>
        <v>414670.52</v>
      </c>
      <c r="L120" s="4"/>
      <c r="M120" s="4"/>
      <c r="N120" s="4"/>
      <c r="O120" s="4"/>
      <c r="P120" s="4"/>
      <c r="Q120" s="4"/>
      <c r="R120" s="4"/>
      <c r="S120" s="4"/>
      <c r="T120" s="4"/>
    </row>
    <row r="121" spans="1:21" ht="30" customHeight="1" x14ac:dyDescent="0.2">
      <c r="A121" s="15"/>
      <c r="B121" s="4"/>
      <c r="C121" s="4"/>
      <c r="D121" s="4"/>
      <c r="E121" s="127" t="s">
        <v>133</v>
      </c>
      <c r="F121" s="128">
        <f t="shared" ref="F121:K121" si="13">F120/F97</f>
        <v>-8.4249086660237911</v>
      </c>
      <c r="G121" s="128">
        <f t="shared" si="13"/>
        <v>-0.15054593865857771</v>
      </c>
      <c r="H121" s="128">
        <f t="shared" si="13"/>
        <v>-0.12932623287228995</v>
      </c>
      <c r="I121" s="128">
        <f t="shared" si="13"/>
        <v>-1.8156109635697758E-2</v>
      </c>
      <c r="J121" s="128">
        <f t="shared" si="13"/>
        <v>-0.58982784913731534</v>
      </c>
      <c r="K121" s="129">
        <f t="shared" si="13"/>
        <v>-3.5245214316677012</v>
      </c>
      <c r="L121" s="4"/>
      <c r="M121" s="4"/>
      <c r="N121" s="4"/>
      <c r="O121" s="4"/>
      <c r="P121" s="4"/>
      <c r="Q121" s="4"/>
      <c r="R121" s="4"/>
      <c r="S121" s="4"/>
      <c r="T121" s="4"/>
    </row>
    <row r="122" spans="1:21" s="3" customFormat="1" ht="30" customHeight="1" x14ac:dyDescent="0.2">
      <c r="A122" s="15"/>
      <c r="B122" s="4"/>
      <c r="C122" s="4"/>
      <c r="D122" s="4"/>
      <c r="E122" s="121" t="s">
        <v>134</v>
      </c>
      <c r="F122" s="46">
        <f>F107+F110+F111+F112+F114+F115+F117+F118</f>
        <v>67156.759997344576</v>
      </c>
      <c r="G122" s="46">
        <f>G107+G110+G111+G112+G114+G115+G117+G118</f>
        <v>-29239.980000000003</v>
      </c>
      <c r="H122" s="46">
        <f t="shared" ref="H122:K122" si="14">H107+H110+H111+H112+H114+H115+H117+H118</f>
        <v>-47177.72</v>
      </c>
      <c r="I122" s="46">
        <f t="shared" si="14"/>
        <v>-7708.8600000000006</v>
      </c>
      <c r="J122" s="46">
        <f t="shared" si="14"/>
        <v>152266.44</v>
      </c>
      <c r="K122" s="54">
        <f t="shared" si="14"/>
        <v>84370.52</v>
      </c>
      <c r="L122" s="4"/>
      <c r="M122" s="4"/>
      <c r="N122" s="4"/>
      <c r="O122" s="4"/>
      <c r="P122" s="4"/>
      <c r="Q122" s="4"/>
      <c r="R122" s="4"/>
      <c r="S122" s="4"/>
      <c r="T122" s="4"/>
      <c r="U122" s="1"/>
    </row>
    <row r="123" spans="1:21" s="3" customFormat="1" ht="30" customHeight="1" x14ac:dyDescent="0.2">
      <c r="A123" s="15"/>
      <c r="B123" s="4"/>
      <c r="C123" s="4"/>
      <c r="D123" s="4"/>
      <c r="E123" s="127" t="s">
        <v>133</v>
      </c>
      <c r="F123" s="130">
        <f t="shared" ref="F123:K123" si="15">F122/F97</f>
        <v>-8.8902250551731363</v>
      </c>
      <c r="G123" s="130">
        <f t="shared" si="15"/>
        <v>-9.8550657229524788E-2</v>
      </c>
      <c r="H123" s="130">
        <f t="shared" si="15"/>
        <v>-0.13243946875675494</v>
      </c>
      <c r="I123" s="130">
        <f t="shared" si="15"/>
        <v>-2.4401381366742744E-2</v>
      </c>
      <c r="J123" s="130">
        <f t="shared" si="15"/>
        <v>-0.5878627271569048</v>
      </c>
      <c r="K123" s="131">
        <f t="shared" si="15"/>
        <v>-0.717113205783108</v>
      </c>
      <c r="L123" s="4"/>
      <c r="M123" s="4"/>
      <c r="N123" s="4"/>
      <c r="O123" s="4"/>
      <c r="P123" s="4"/>
      <c r="Q123" s="4"/>
      <c r="R123" s="4"/>
      <c r="S123" s="4"/>
      <c r="T123" s="4"/>
      <c r="U123" s="1"/>
    </row>
    <row r="124" spans="1:21" s="3" customFormat="1" ht="30" customHeight="1" x14ac:dyDescent="0.2">
      <c r="A124" s="15"/>
      <c r="B124" s="4"/>
      <c r="C124" s="4"/>
      <c r="D124" s="4"/>
      <c r="E124" s="121" t="s">
        <v>135</v>
      </c>
      <c r="F124" s="46">
        <f>F107+F110+F111+F112+F114+F117+F118</f>
        <v>67156.759997344576</v>
      </c>
      <c r="G124" s="46">
        <f t="shared" ref="G124:K124" si="16">G107+G110+G111+G112+G114+G117+G118</f>
        <v>-29239.980000000003</v>
      </c>
      <c r="H124" s="46">
        <f t="shared" si="16"/>
        <v>-47177.72</v>
      </c>
      <c r="I124" s="46">
        <f t="shared" si="16"/>
        <v>-7708.8600000000006</v>
      </c>
      <c r="J124" s="46">
        <f t="shared" si="16"/>
        <v>151629.44</v>
      </c>
      <c r="K124" s="54">
        <f t="shared" si="16"/>
        <v>81079.520000000004</v>
      </c>
      <c r="L124" s="4"/>
      <c r="M124" s="4"/>
      <c r="N124" s="4"/>
      <c r="O124" s="4"/>
      <c r="P124" s="4"/>
      <c r="Q124" s="4"/>
      <c r="R124" s="4"/>
      <c r="S124" s="4"/>
      <c r="T124" s="4"/>
      <c r="U124" s="1"/>
    </row>
    <row r="125" spans="1:21" s="3" customFormat="1" ht="30" customHeight="1" x14ac:dyDescent="0.2">
      <c r="A125" s="15"/>
      <c r="B125" s="4"/>
      <c r="C125" s="4"/>
      <c r="D125" s="4"/>
      <c r="E125" s="127" t="s">
        <v>133</v>
      </c>
      <c r="F125" s="130">
        <f t="shared" ref="F125:K125" si="17">F124/F97</f>
        <v>-8.8902250551731363</v>
      </c>
      <c r="G125" s="130">
        <f t="shared" si="17"/>
        <v>-9.8550657229524788E-2</v>
      </c>
      <c r="H125" s="130">
        <f t="shared" si="17"/>
        <v>-0.13243946875675494</v>
      </c>
      <c r="I125" s="130">
        <f t="shared" si="17"/>
        <v>-2.4401381366742744E-2</v>
      </c>
      <c r="J125" s="130">
        <f t="shared" si="17"/>
        <v>-0.58540342911855203</v>
      </c>
      <c r="K125" s="131">
        <f t="shared" si="17"/>
        <v>-0.68914111837352221</v>
      </c>
      <c r="L125" s="4"/>
      <c r="M125" s="4"/>
      <c r="N125" s="4"/>
      <c r="O125" s="4"/>
      <c r="P125" s="4"/>
      <c r="Q125" s="4"/>
      <c r="R125" s="4"/>
      <c r="S125" s="4"/>
      <c r="T125" s="4"/>
      <c r="U125" s="1"/>
    </row>
    <row r="126" spans="1:21" s="3" customFormat="1" ht="30" customHeight="1" x14ac:dyDescent="0.2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"/>
    </row>
    <row r="127" spans="1:21" s="3" customFormat="1" ht="30" customHeight="1" x14ac:dyDescent="0.2">
      <c r="A127" s="1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"/>
    </row>
    <row r="128" spans="1:21" s="3" customFormat="1" ht="30" customHeight="1" x14ac:dyDescent="0.2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"/>
    </row>
    <row r="129" spans="1:14" ht="0" hidden="1" customHeight="1" x14ac:dyDescent="0.2">
      <c r="A129" s="1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0" hidden="1" customHeight="1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4" ht="0" hidden="1" customHeight="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4" ht="0" hidden="1" customHeight="1" x14ac:dyDescent="0.2"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4" ht="0" hidden="1" customHeight="1" x14ac:dyDescent="0.2">
      <c r="D133" s="4"/>
      <c r="E133" s="4"/>
      <c r="F133" s="4"/>
      <c r="G133" s="4"/>
      <c r="H133" s="4"/>
      <c r="I133" s="4"/>
      <c r="J133" s="4"/>
      <c r="K133" s="4"/>
      <c r="L133" s="4"/>
    </row>
    <row r="134" spans="1:14" ht="0" hidden="1" customHeight="1" x14ac:dyDescent="0.2">
      <c r="E134" s="4"/>
      <c r="F134" s="4"/>
      <c r="G134" s="4"/>
      <c r="H134" s="4"/>
      <c r="I134" s="4"/>
      <c r="J134" s="4"/>
    </row>
    <row r="135" spans="1:14" ht="0" hidden="1" customHeight="1" x14ac:dyDescent="0.2">
      <c r="E135" s="4"/>
      <c r="F135" s="4"/>
      <c r="G135" s="4"/>
      <c r="H135" s="4"/>
      <c r="I135" s="4"/>
      <c r="J135" s="4"/>
    </row>
    <row r="136" spans="1:14" ht="0" hidden="1" customHeight="1" x14ac:dyDescent="0.2">
      <c r="E136" s="4"/>
      <c r="F136" s="4"/>
      <c r="G136" s="4"/>
      <c r="H136" s="4"/>
      <c r="I136" s="4"/>
      <c r="J136" s="4"/>
    </row>
    <row r="137" spans="1:14" ht="0" hidden="1" customHeight="1" x14ac:dyDescent="0.2">
      <c r="E137" s="4"/>
      <c r="F137" s="4"/>
      <c r="G137" s="4"/>
      <c r="H137" s="4"/>
      <c r="I137" s="4"/>
      <c r="J137" s="4"/>
    </row>
    <row r="138" spans="1:14" ht="0" hidden="1" customHeight="1" x14ac:dyDescent="0.2">
      <c r="E138" s="4"/>
      <c r="F138" s="4"/>
      <c r="G138" s="4"/>
      <c r="H138" s="4"/>
      <c r="I138" s="4"/>
      <c r="J138" s="4"/>
    </row>
    <row r="139" spans="1:14" ht="0" hidden="1" customHeight="1" x14ac:dyDescent="0.2">
      <c r="E139" s="4"/>
      <c r="F139" s="4"/>
      <c r="G139" s="4"/>
      <c r="H139" s="4"/>
      <c r="I139" s="4"/>
      <c r="J139" s="4"/>
    </row>
    <row r="140" spans="1:14" ht="0" hidden="1" customHeight="1" x14ac:dyDescent="0.2">
      <c r="E140" s="4"/>
      <c r="F140" s="4"/>
      <c r="G140" s="4"/>
      <c r="H140" s="4"/>
      <c r="I140" s="4"/>
      <c r="J140" s="4"/>
    </row>
    <row r="141" spans="1:14" ht="0" hidden="1" customHeight="1" x14ac:dyDescent="0.2">
      <c r="E141" s="4"/>
      <c r="F141" s="4"/>
      <c r="G141" s="4"/>
      <c r="H141" s="4"/>
      <c r="I141" s="4"/>
      <c r="J141" s="4"/>
    </row>
    <row r="142" spans="1:14" ht="0" hidden="1" customHeight="1" x14ac:dyDescent="0.2">
      <c r="E142" s="4"/>
      <c r="F142" s="4"/>
      <c r="G142" s="4"/>
      <c r="H142" s="4"/>
      <c r="I142" s="4"/>
      <c r="J142" s="4"/>
    </row>
    <row r="143" spans="1:14" ht="0" hidden="1" customHeight="1" x14ac:dyDescent="0.2">
      <c r="E143" s="4"/>
      <c r="F143" s="4"/>
      <c r="G143" s="4"/>
      <c r="H143" s="4"/>
      <c r="I143" s="4"/>
      <c r="J143" s="4"/>
    </row>
    <row r="144" spans="1:14" ht="0" hidden="1" customHeight="1" x14ac:dyDescent="0.2">
      <c r="E144" s="4"/>
      <c r="F144" s="4"/>
      <c r="G144" s="4"/>
      <c r="H144" s="4"/>
      <c r="I144" s="4"/>
      <c r="J144" s="4"/>
    </row>
    <row r="145" spans="5:10" ht="0" hidden="1" customHeight="1" x14ac:dyDescent="0.2">
      <c r="E145" s="4"/>
      <c r="F145" s="4"/>
      <c r="G145" s="4"/>
      <c r="H145" s="4"/>
      <c r="I145" s="4"/>
      <c r="J145" s="4"/>
    </row>
    <row r="146" spans="5:10" ht="0" hidden="1" customHeight="1" x14ac:dyDescent="0.2">
      <c r="E146" s="4"/>
      <c r="F146" s="4"/>
      <c r="G146" s="4"/>
      <c r="H146" s="4"/>
      <c r="I146" s="4"/>
      <c r="J146" s="4"/>
    </row>
    <row r="147" spans="5:10" ht="0" hidden="1" customHeight="1" x14ac:dyDescent="0.2">
      <c r="E147" s="4"/>
      <c r="F147" s="4"/>
      <c r="G147" s="4"/>
      <c r="H147" s="4"/>
      <c r="I147" s="4"/>
      <c r="J147" s="4"/>
    </row>
    <row r="148" spans="5:10" ht="0" hidden="1" customHeight="1" x14ac:dyDescent="0.2">
      <c r="E148" s="4"/>
      <c r="F148" s="4"/>
      <c r="G148" s="4"/>
      <c r="H148" s="4"/>
      <c r="I148" s="4"/>
      <c r="J148" s="4"/>
    </row>
    <row r="149" spans="5:10" ht="0" hidden="1" customHeight="1" x14ac:dyDescent="0.2">
      <c r="E149" s="4"/>
      <c r="F149" s="4"/>
      <c r="G149" s="4"/>
      <c r="H149" s="4"/>
      <c r="I149" s="4"/>
      <c r="J149" s="4"/>
    </row>
    <row r="150" spans="5:10" ht="0" hidden="1" customHeight="1" x14ac:dyDescent="0.2">
      <c r="E150" s="4"/>
      <c r="F150" s="4"/>
      <c r="G150" s="4"/>
      <c r="H150" s="4"/>
      <c r="I150" s="4"/>
      <c r="J150" s="4"/>
    </row>
    <row r="151" spans="5:10" ht="0" hidden="1" customHeight="1" x14ac:dyDescent="0.2">
      <c r="E151" s="4"/>
      <c r="F151" s="4"/>
      <c r="G151" s="4"/>
      <c r="H151" s="4"/>
      <c r="I151" s="4"/>
      <c r="J151" s="4"/>
    </row>
    <row r="152" spans="5:10" ht="0" hidden="1" customHeight="1" x14ac:dyDescent="0.2">
      <c r="E152" s="4"/>
      <c r="F152" s="4"/>
      <c r="G152" s="4"/>
      <c r="H152" s="4"/>
      <c r="I152" s="4"/>
      <c r="J152" s="4"/>
    </row>
    <row r="153" spans="5:10" ht="0" hidden="1" customHeight="1" x14ac:dyDescent="0.2">
      <c r="E153" s="4"/>
      <c r="F153" s="4"/>
      <c r="G153" s="4"/>
      <c r="H153" s="4"/>
      <c r="I153" s="4"/>
      <c r="J153" s="4"/>
    </row>
    <row r="154" spans="5:10" ht="0" hidden="1" customHeight="1" x14ac:dyDescent="0.2">
      <c r="E154" s="4"/>
      <c r="F154" s="4"/>
      <c r="G154" s="4"/>
      <c r="H154" s="4"/>
      <c r="I154" s="4"/>
      <c r="J154" s="4"/>
    </row>
    <row r="155" spans="5:10" ht="0" hidden="1" customHeight="1" x14ac:dyDescent="0.2">
      <c r="E155" s="4"/>
      <c r="F155" s="4"/>
      <c r="G155" s="4"/>
      <c r="H155" s="4"/>
      <c r="I155" s="4"/>
      <c r="J155" s="4"/>
    </row>
    <row r="156" spans="5:10" ht="0" hidden="1" customHeight="1" x14ac:dyDescent="0.2">
      <c r="E156" s="4"/>
      <c r="F156" s="4"/>
      <c r="G156" s="4"/>
      <c r="H156" s="4"/>
      <c r="I156" s="4"/>
      <c r="J156" s="4"/>
    </row>
    <row r="157" spans="5:10" ht="0" hidden="1" customHeight="1" x14ac:dyDescent="0.2">
      <c r="E157" s="4"/>
      <c r="F157" s="4"/>
      <c r="G157" s="4"/>
      <c r="H157" s="4"/>
      <c r="I157" s="4"/>
      <c r="J157" s="4"/>
    </row>
    <row r="158" spans="5:10" ht="0" hidden="1" customHeight="1" x14ac:dyDescent="0.2">
      <c r="E158" s="4"/>
      <c r="F158" s="4"/>
      <c r="G158" s="4"/>
      <c r="H158" s="4"/>
      <c r="I158" s="4"/>
      <c r="J158" s="4"/>
    </row>
    <row r="159" spans="5:10" ht="0" hidden="1" customHeight="1" x14ac:dyDescent="0.2">
      <c r="E159" s="4"/>
      <c r="F159" s="4"/>
      <c r="G159" s="4"/>
      <c r="H159" s="4"/>
      <c r="I159" s="4"/>
      <c r="J159" s="4"/>
    </row>
    <row r="160" spans="5:10" ht="0" hidden="1" customHeight="1" x14ac:dyDescent="0.2">
      <c r="E160" s="4"/>
      <c r="F160" s="4"/>
      <c r="G160" s="4"/>
      <c r="H160" s="4"/>
      <c r="I160" s="4"/>
      <c r="J160" s="4"/>
    </row>
    <row r="161" spans="5:10" ht="0" hidden="1" customHeight="1" x14ac:dyDescent="0.2">
      <c r="E161" s="4"/>
      <c r="F161" s="4"/>
      <c r="G161" s="4"/>
      <c r="H161" s="4"/>
      <c r="I161" s="4"/>
      <c r="J161" s="4"/>
    </row>
    <row r="162" spans="5:10" ht="0" hidden="1" customHeight="1" x14ac:dyDescent="0.2">
      <c r="E162" s="4"/>
      <c r="F162" s="4"/>
      <c r="G162" s="4"/>
      <c r="H162" s="4"/>
      <c r="I162" s="4"/>
      <c r="J162" s="4"/>
    </row>
    <row r="163" spans="5:10" ht="0" hidden="1" customHeight="1" x14ac:dyDescent="0.2">
      <c r="E163" s="4"/>
      <c r="F163" s="4"/>
      <c r="G163" s="4"/>
      <c r="H163" s="4"/>
      <c r="I163" s="4"/>
      <c r="J163" s="4"/>
    </row>
    <row r="164" spans="5:10" ht="0" hidden="1" customHeight="1" x14ac:dyDescent="0.2">
      <c r="E164" s="4"/>
      <c r="F164" s="4"/>
      <c r="G164" s="4"/>
      <c r="H164" s="4"/>
      <c r="I164" s="4"/>
      <c r="J164" s="4"/>
    </row>
    <row r="165" spans="5:10" ht="0" hidden="1" customHeight="1" x14ac:dyDescent="0.2">
      <c r="E165" s="4"/>
      <c r="F165" s="4"/>
      <c r="G165" s="4"/>
      <c r="H165" s="4"/>
      <c r="I165" s="4"/>
      <c r="J165" s="4"/>
    </row>
  </sheetData>
  <conditionalFormatting sqref="F10:J17 F101:K101">
    <cfRule type="cellIs" dxfId="148" priority="55" operator="equal">
      <formula>0</formula>
    </cfRule>
  </conditionalFormatting>
  <conditionalFormatting sqref="H46:I48 F49:I50 K38:K39 J46:J50 F34:K34 K45:K50 F29:K29 F18:K18">
    <cfRule type="cellIs" dxfId="147" priority="62" operator="equal">
      <formula>0</formula>
    </cfRule>
  </conditionalFormatting>
  <conditionalFormatting sqref="H39:H44 F35:J38 H45:J45 K35">
    <cfRule type="cellIs" dxfId="146" priority="61" operator="equal">
      <formula>0</formula>
    </cfRule>
  </conditionalFormatting>
  <conditionalFormatting sqref="F23:J28">
    <cfRule type="cellIs" dxfId="145" priority="56" operator="equal">
      <formula>0</formula>
    </cfRule>
  </conditionalFormatting>
  <conditionalFormatting sqref="F46:G48">
    <cfRule type="cellIs" dxfId="144" priority="54" operator="equal">
      <formula>0</formula>
    </cfRule>
  </conditionalFormatting>
  <conditionalFormatting sqref="F39:G45">
    <cfRule type="cellIs" dxfId="143" priority="53" operator="equal">
      <formula>0</formula>
    </cfRule>
  </conditionalFormatting>
  <conditionalFormatting sqref="F57:K57">
    <cfRule type="colorScale" priority="42">
      <colorScale>
        <cfvo type="min"/>
        <cfvo type="max"/>
        <color rgb="FFD9FBE2"/>
        <color rgb="FF00C556"/>
      </colorScale>
    </cfRule>
  </conditionalFormatting>
  <conditionalFormatting sqref="F60:K60">
    <cfRule type="colorScale" priority="44">
      <colorScale>
        <cfvo type="min"/>
        <cfvo type="max"/>
        <color rgb="FFD9FBE2"/>
        <color rgb="FF00C556"/>
      </colorScale>
    </cfRule>
  </conditionalFormatting>
  <conditionalFormatting sqref="F74:H75 F66:K73 F76:K76">
    <cfRule type="cellIs" dxfId="142" priority="39" operator="equal">
      <formula>0</formula>
    </cfRule>
  </conditionalFormatting>
  <conditionalFormatting sqref="F74:H75 F72:J73">
    <cfRule type="cellIs" dxfId="141" priority="38" operator="equal">
      <formula>0</formula>
    </cfRule>
  </conditionalFormatting>
  <conditionalFormatting sqref="I74:J75">
    <cfRule type="cellIs" dxfId="140" priority="37" operator="equal">
      <formula>0</formula>
    </cfRule>
  </conditionalFormatting>
  <conditionalFormatting sqref="F82:J88 F91:J91 F92:K92">
    <cfRule type="cellIs" dxfId="139" priority="36" operator="equal">
      <formula>0</formula>
    </cfRule>
  </conditionalFormatting>
  <conditionalFormatting sqref="F89:K89">
    <cfRule type="cellIs" dxfId="138" priority="35" operator="equal">
      <formula>0</formula>
    </cfRule>
  </conditionalFormatting>
  <conditionalFormatting sqref="F89:K89">
    <cfRule type="cellIs" dxfId="137" priority="34" operator="equal">
      <formula>0</formula>
    </cfRule>
  </conditionalFormatting>
  <conditionalFormatting sqref="F90:K90">
    <cfRule type="cellIs" dxfId="136" priority="33" operator="equal">
      <formula>0</formula>
    </cfRule>
  </conditionalFormatting>
  <conditionalFormatting sqref="F90:K90">
    <cfRule type="cellIs" dxfId="135" priority="32" operator="equal">
      <formula>0</formula>
    </cfRule>
  </conditionalFormatting>
  <conditionalFormatting sqref="F97:J100 K100 K97:K98">
    <cfRule type="cellIs" dxfId="134" priority="31" operator="equal">
      <formula>0</formula>
    </cfRule>
  </conditionalFormatting>
  <conditionalFormatting sqref="F109:J119">
    <cfRule type="cellIs" dxfId="133" priority="30" operator="equal">
      <formula>0</formula>
    </cfRule>
  </conditionalFormatting>
  <conditionalFormatting sqref="I40:I44">
    <cfRule type="cellIs" dxfId="132" priority="22" operator="equal">
      <formula>0</formula>
    </cfRule>
  </conditionalFormatting>
  <conditionalFormatting sqref="I39:J39">
    <cfRule type="cellIs" dxfId="131" priority="21" operator="equal">
      <formula>0</formula>
    </cfRule>
  </conditionalFormatting>
  <conditionalFormatting sqref="K39:K44">
    <cfRule type="cellIs" dxfId="130" priority="9" operator="equal">
      <formula>0</formula>
    </cfRule>
  </conditionalFormatting>
  <conditionalFormatting sqref="K10:K17">
    <cfRule type="cellIs" dxfId="129" priority="7" operator="equal">
      <formula>0</formula>
    </cfRule>
  </conditionalFormatting>
  <conditionalFormatting sqref="K36:K37">
    <cfRule type="cellIs" dxfId="128" priority="10" operator="equal">
      <formula>0</formula>
    </cfRule>
  </conditionalFormatting>
  <conditionalFormatting sqref="K23:K28">
    <cfRule type="cellIs" dxfId="127" priority="8" operator="equal">
      <formula>0</formula>
    </cfRule>
  </conditionalFormatting>
  <conditionalFormatting sqref="K72:K73">
    <cfRule type="cellIs" dxfId="126" priority="6" operator="equal">
      <formula>0</formula>
    </cfRule>
  </conditionalFormatting>
  <conditionalFormatting sqref="K74:K75">
    <cfRule type="cellIs" dxfId="125" priority="5" operator="equal">
      <formula>0</formula>
    </cfRule>
  </conditionalFormatting>
  <conditionalFormatting sqref="K82:K88 K91">
    <cfRule type="cellIs" dxfId="124" priority="4" operator="equal">
      <formula>0</formula>
    </cfRule>
  </conditionalFormatting>
  <conditionalFormatting sqref="K99">
    <cfRule type="cellIs" dxfId="123" priority="3" operator="equal">
      <formula>0</formula>
    </cfRule>
  </conditionalFormatting>
  <conditionalFormatting sqref="K109:K119">
    <cfRule type="cellIs" dxfId="122" priority="2" operator="equal">
      <formula>0</formula>
    </cfRule>
  </conditionalFormatting>
  <conditionalFormatting sqref="J40:J44">
    <cfRule type="cellIs" dxfId="121" priority="1" operator="equal">
      <formula>0</formula>
    </cfRule>
  </conditionalFormatting>
  <hyperlinks>
    <hyperlink ref="A8" location="Dashboard!A1" display="Dashboard" xr:uid="{DE6E4A79-CADD-4727-9F42-7CBAE38AA7FC}"/>
    <hyperlink ref="A9" location="WACC!A1" display="WACC" xr:uid="{A836440A-DC97-4553-8539-9C39E1EE999F}"/>
    <hyperlink ref="A11" location="'Balanço Patrimonial'!A1" display="Balanço Patrimonial" xr:uid="{E2A047E1-4F55-4CD6-AD80-B185613CB6C5}"/>
    <hyperlink ref="A12" location="'Projeções - Receita'!A1" display="Projeções" xr:uid="{27D55651-8AC7-4004-9025-C862B411D5E8}"/>
    <hyperlink ref="A13" location="Lojas!A1" display="Lojas" xr:uid="{9AED2111-1C3A-4A4D-97AC-2E2BD755A715}"/>
  </hyperlink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C444-E7F7-488F-A684-C4C8177918DE}">
  <sheetPr codeName="Planilha18"/>
  <dimension ref="A1:BB142"/>
  <sheetViews>
    <sheetView showGridLines="0" zoomScale="132" zoomScaleNormal="85" workbookViewId="0">
      <selection activeCell="F14" sqref="F14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56.83203125" style="1" customWidth="1"/>
    <col min="6" max="8" width="12.5" style="1" bestFit="1" customWidth="1"/>
    <col min="9" max="9" width="12.5" style="1" customWidth="1"/>
    <col min="10" max="12" width="12.5" style="1" bestFit="1" customWidth="1"/>
    <col min="13" max="26" width="9.1640625" style="1" customWidth="1"/>
    <col min="27" max="54" width="9.1640625" style="1" hidden="1" customWidth="1"/>
    <col min="55" max="16384" width="0" style="1" hidden="1"/>
  </cols>
  <sheetData>
    <row r="1" spans="1:28" ht="15" customHeight="1" x14ac:dyDescent="0.2">
      <c r="B1" s="4"/>
      <c r="C1" s="4"/>
      <c r="D1" s="4"/>
      <c r="E1" s="38"/>
      <c r="F1" s="38"/>
      <c r="G1" s="38"/>
      <c r="H1" s="38"/>
      <c r="I1" s="38"/>
      <c r="J1" s="38"/>
      <c r="K1" s="38"/>
      <c r="L1" s="38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8" ht="15" customHeight="1" x14ac:dyDescent="0.2">
      <c r="B2" s="4"/>
      <c r="C2" s="4"/>
      <c r="D2" s="4"/>
      <c r="E2" s="38"/>
      <c r="F2" s="38"/>
      <c r="G2" s="38"/>
      <c r="H2" s="38"/>
      <c r="I2" s="38"/>
      <c r="J2" s="38"/>
      <c r="K2" s="38"/>
      <c r="L2" s="3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8" ht="15" customHeight="1" x14ac:dyDescent="0.2">
      <c r="B3" s="4"/>
      <c r="C3" s="4"/>
      <c r="D3" s="4"/>
      <c r="E3" s="249"/>
      <c r="F3" s="249"/>
      <c r="G3" s="249"/>
      <c r="H3" s="249"/>
      <c r="I3" s="249"/>
      <c r="J3" s="249"/>
      <c r="K3" s="249"/>
      <c r="L3" s="24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8" ht="26.25" customHeight="1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8" ht="15" customHeight="1" x14ac:dyDescent="0.2">
      <c r="B5" s="4"/>
      <c r="C5" s="4"/>
      <c r="D5" s="9"/>
      <c r="E5" s="4"/>
      <c r="F5" s="4"/>
      <c r="G5" s="4"/>
      <c r="H5" s="4"/>
      <c r="I5" s="4"/>
      <c r="J5" s="4"/>
      <c r="K5" s="4"/>
      <c r="L5" s="4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8" ht="15" customHeight="1" x14ac:dyDescent="0.2">
      <c r="B6" s="4"/>
      <c r="C6" s="9"/>
      <c r="D6" s="9"/>
      <c r="E6" s="4"/>
      <c r="F6" s="4"/>
      <c r="G6" s="4"/>
      <c r="H6" s="4"/>
      <c r="I6" s="4"/>
      <c r="J6" s="4"/>
      <c r="K6" s="4"/>
      <c r="L6" s="9"/>
      <c r="M6" s="4"/>
      <c r="N6" s="9"/>
      <c r="O6" s="9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8" s="10" customFormat="1" ht="24.75" customHeight="1" x14ac:dyDescent="0.2">
      <c r="A7" s="8" t="s">
        <v>1</v>
      </c>
      <c r="B7" s="9"/>
      <c r="C7" s="4"/>
      <c r="D7" s="4"/>
      <c r="E7" s="34"/>
      <c r="F7" s="1"/>
      <c r="G7" s="1"/>
      <c r="H7" s="1"/>
      <c r="I7" s="1"/>
      <c r="J7" s="1"/>
      <c r="K7" s="1"/>
      <c r="L7" s="98"/>
      <c r="M7" s="4"/>
      <c r="N7" s="4"/>
      <c r="O7" s="4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8" ht="30" customHeight="1" x14ac:dyDescent="0.2">
      <c r="A8" s="15" t="s">
        <v>2</v>
      </c>
      <c r="B8" s="4"/>
      <c r="C8" s="4"/>
      <c r="D8" s="4"/>
      <c r="E8" s="132"/>
      <c r="F8" s="42">
        <v>2016</v>
      </c>
      <c r="G8" s="42">
        <v>2017</v>
      </c>
      <c r="H8" s="42">
        <v>2018</v>
      </c>
      <c r="I8" s="42">
        <v>2019</v>
      </c>
      <c r="J8" s="42">
        <v>2020</v>
      </c>
      <c r="K8" s="42">
        <v>2021</v>
      </c>
      <c r="L8" s="133" t="s">
        <v>136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8" ht="30" customHeight="1" x14ac:dyDescent="0.2">
      <c r="A9" s="15" t="s">
        <v>3</v>
      </c>
      <c r="B9" s="4"/>
      <c r="C9" s="4"/>
      <c r="D9" s="4"/>
      <c r="E9" s="134" t="s">
        <v>137</v>
      </c>
      <c r="F9" s="135">
        <f>F13+F15+F17+-F42-F44-F47</f>
        <v>782152.35000019521</v>
      </c>
      <c r="G9" s="135">
        <f t="shared" ref="G9:I9" si="0">G13+G15+G17+-G42-G44-G47</f>
        <v>668764.25</v>
      </c>
      <c r="H9" s="135">
        <f t="shared" si="0"/>
        <v>764664.85000000009</v>
      </c>
      <c r="I9" s="135">
        <f t="shared" si="0"/>
        <v>676487.39999999991</v>
      </c>
      <c r="J9" s="135">
        <f>J13+J15+J17+-J42-J44-J47</f>
        <v>404685.14999999991</v>
      </c>
      <c r="K9" s="135">
        <f>K13+K15+K17+-K42-K44-K47</f>
        <v>391126.125</v>
      </c>
      <c r="L9" s="136">
        <f>L13+L15+L17+-L42-L44-L47+K72</f>
        <v>998335.24034736585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30" customHeight="1" x14ac:dyDescent="0.2">
      <c r="A10" s="15" t="s">
        <v>6</v>
      </c>
      <c r="B10" s="4"/>
      <c r="C10" s="4"/>
      <c r="D10" s="4"/>
      <c r="E10" s="137" t="s">
        <v>138</v>
      </c>
      <c r="F10" s="46">
        <f>F11+F25</f>
        <v>3631176</v>
      </c>
      <c r="G10" s="46">
        <f t="shared" ref="F10:L10" si="1">G11+G25</f>
        <v>3394299</v>
      </c>
      <c r="H10" s="46">
        <f t="shared" si="1"/>
        <v>3478337</v>
      </c>
      <c r="I10" s="46">
        <f t="shared" si="1"/>
        <v>6037092</v>
      </c>
      <c r="J10" s="46">
        <f t="shared" si="1"/>
        <v>7309647</v>
      </c>
      <c r="K10" s="46">
        <f t="shared" si="1"/>
        <v>8672626</v>
      </c>
      <c r="L10" s="138">
        <f t="shared" si="1"/>
        <v>8256189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8" ht="30" customHeight="1" x14ac:dyDescent="0.2">
      <c r="A11" s="11" t="s">
        <v>8</v>
      </c>
      <c r="B11" s="4"/>
      <c r="C11" s="4"/>
      <c r="D11" s="4"/>
      <c r="E11" s="139" t="s">
        <v>139</v>
      </c>
      <c r="F11" s="135">
        <f t="shared" ref="F11:L11" si="2">F12+F15+F17+F18+F20</f>
        <v>2144643</v>
      </c>
      <c r="G11" s="135">
        <f t="shared" si="2"/>
        <v>2125587</v>
      </c>
      <c r="H11" s="135">
        <f t="shared" si="2"/>
        <v>2195569</v>
      </c>
      <c r="I11" s="135">
        <f t="shared" si="2"/>
        <v>2999575</v>
      </c>
      <c r="J11" s="135">
        <f t="shared" si="2"/>
        <v>3519978</v>
      </c>
      <c r="K11" s="135">
        <f t="shared" si="2"/>
        <v>3929358</v>
      </c>
      <c r="L11" s="136">
        <f t="shared" si="2"/>
        <v>3626438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8" ht="30" customHeight="1" x14ac:dyDescent="0.2">
      <c r="A12" s="15" t="s">
        <v>10</v>
      </c>
      <c r="B12" s="4"/>
      <c r="C12" s="4"/>
      <c r="D12" s="4"/>
      <c r="E12" s="140" t="s">
        <v>140</v>
      </c>
      <c r="F12" s="52">
        <v>489705</v>
      </c>
      <c r="G12" s="52">
        <v>431759</v>
      </c>
      <c r="H12" s="52">
        <v>446006</v>
      </c>
      <c r="I12" s="52">
        <v>447109</v>
      </c>
      <c r="J12" s="52">
        <v>1509159</v>
      </c>
      <c r="K12" s="52">
        <v>1050251</v>
      </c>
      <c r="L12" s="53">
        <f>660373+3978</f>
        <v>664351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8" ht="30" customHeight="1" x14ac:dyDescent="0.2">
      <c r="A13" s="15" t="s">
        <v>12</v>
      </c>
      <c r="B13" s="4"/>
      <c r="C13" s="4"/>
      <c r="D13" s="4"/>
      <c r="E13" s="141" t="s">
        <v>141</v>
      </c>
      <c r="F13" s="142">
        <f>'DRE + DCF'!F11*0.025</f>
        <v>119517.35000019526</v>
      </c>
      <c r="G13" s="142">
        <f>'DRE + DCF'!G11*0.025</f>
        <v>125890.25</v>
      </c>
      <c r="H13" s="142">
        <f>'DRE + DCF'!H11*0.025</f>
        <v>128477.85</v>
      </c>
      <c r="I13" s="142">
        <f>'DRE + DCF'!I11*0.025</f>
        <v>132129.4</v>
      </c>
      <c r="J13" s="142">
        <f>'DRE + DCF'!J11*0.025</f>
        <v>102137.15000000001</v>
      </c>
      <c r="K13" s="142">
        <f>'DRE + DCF'!K11*0.025</f>
        <v>128830.125</v>
      </c>
      <c r="L13" s="143">
        <f>'DRE + DCF'!N11*0.025</f>
        <v>139854.24034736582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8" ht="30" customHeight="1" x14ac:dyDescent="0.2">
      <c r="A14" s="15"/>
      <c r="B14" s="4"/>
      <c r="C14" s="4"/>
      <c r="D14" s="4"/>
      <c r="E14" s="141" t="s">
        <v>142</v>
      </c>
      <c r="F14" s="142">
        <f>F12-F13</f>
        <v>370187.64999980474</v>
      </c>
      <c r="G14" s="142">
        <f t="shared" ref="G14:J14" si="3">G12-G13</f>
        <v>305868.75</v>
      </c>
      <c r="H14" s="142">
        <f t="shared" si="3"/>
        <v>317528.15000000002</v>
      </c>
      <c r="I14" s="142">
        <f t="shared" si="3"/>
        <v>314979.59999999998</v>
      </c>
      <c r="J14" s="142">
        <f t="shared" si="3"/>
        <v>1407021.85</v>
      </c>
      <c r="K14" s="142">
        <f>K12-K13</f>
        <v>921420.875</v>
      </c>
      <c r="L14" s="143">
        <f>L12-L13</f>
        <v>524496.75965263415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8" ht="30" customHeight="1" x14ac:dyDescent="0.2">
      <c r="A15" s="15"/>
      <c r="B15" s="4"/>
      <c r="C15" s="4"/>
      <c r="D15" s="9"/>
      <c r="E15" s="140" t="s">
        <v>143</v>
      </c>
      <c r="F15" s="52">
        <v>1013011</v>
      </c>
      <c r="G15" s="52">
        <v>1070690</v>
      </c>
      <c r="H15" s="52">
        <v>1142836</v>
      </c>
      <c r="I15" s="52">
        <v>1151484</v>
      </c>
      <c r="J15" s="52">
        <v>1063844</v>
      </c>
      <c r="K15" s="52">
        <v>1145336</v>
      </c>
      <c r="L15" s="53">
        <v>986769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8" ht="30" customHeight="1" x14ac:dyDescent="0.2">
      <c r="A16" s="15"/>
      <c r="B16" s="4"/>
      <c r="C16" s="4"/>
      <c r="D16" s="4"/>
      <c r="E16" s="144" t="s">
        <v>144</v>
      </c>
      <c r="F16" s="52">
        <v>1013011</v>
      </c>
      <c r="G16" s="52">
        <v>1070690</v>
      </c>
      <c r="H16" s="52">
        <v>1142836</v>
      </c>
      <c r="I16" s="52">
        <v>1151484</v>
      </c>
      <c r="J16" s="52">
        <v>1063844</v>
      </c>
      <c r="K16" s="52">
        <v>1145336</v>
      </c>
      <c r="L16" s="53">
        <v>986769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" customHeight="1" x14ac:dyDescent="0.2">
      <c r="A17" s="15"/>
      <c r="B17" s="4"/>
      <c r="C17" s="4"/>
      <c r="D17" s="4"/>
      <c r="E17" s="140" t="s">
        <v>145</v>
      </c>
      <c r="F17" s="52">
        <v>536579</v>
      </c>
      <c r="G17" s="52">
        <v>479427</v>
      </c>
      <c r="H17" s="52">
        <v>490614</v>
      </c>
      <c r="I17" s="52">
        <v>544717</v>
      </c>
      <c r="J17" s="52">
        <v>641020</v>
      </c>
      <c r="K17" s="52">
        <v>849269</v>
      </c>
      <c r="L17" s="53">
        <v>979770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 x14ac:dyDescent="0.2">
      <c r="A18" s="15"/>
      <c r="B18" s="4"/>
      <c r="C18" s="4"/>
      <c r="D18" s="4"/>
      <c r="E18" s="140" t="s">
        <v>146</v>
      </c>
      <c r="F18" s="52">
        <v>55725</v>
      </c>
      <c r="G18" s="52">
        <v>72877</v>
      </c>
      <c r="H18" s="52">
        <v>42847</v>
      </c>
      <c r="I18" s="52">
        <v>833649</v>
      </c>
      <c r="J18" s="52">
        <v>282660</v>
      </c>
      <c r="K18" s="52">
        <v>849115</v>
      </c>
      <c r="L18" s="53">
        <v>936586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 x14ac:dyDescent="0.2">
      <c r="A19" s="15"/>
      <c r="B19" s="4"/>
      <c r="C19" s="4"/>
      <c r="D19" s="4"/>
      <c r="E19" s="144" t="s">
        <v>147</v>
      </c>
      <c r="F19" s="52">
        <v>55725</v>
      </c>
      <c r="G19" s="52">
        <v>7287</v>
      </c>
      <c r="H19" s="52">
        <v>42847</v>
      </c>
      <c r="I19" s="52">
        <v>833649</v>
      </c>
      <c r="J19" s="52">
        <v>282660</v>
      </c>
      <c r="K19" s="52">
        <v>849115</v>
      </c>
      <c r="L19" s="53">
        <v>936586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 x14ac:dyDescent="0.2">
      <c r="A20" s="15"/>
      <c r="B20" s="4"/>
      <c r="C20" s="4"/>
      <c r="D20" s="4"/>
      <c r="E20" s="140" t="s">
        <v>148</v>
      </c>
      <c r="F20" s="52">
        <v>49623</v>
      </c>
      <c r="G20" s="52">
        <v>70834</v>
      </c>
      <c r="H20" s="52">
        <v>73266</v>
      </c>
      <c r="I20" s="52">
        <v>22616</v>
      </c>
      <c r="J20" s="52">
        <v>23295</v>
      </c>
      <c r="K20" s="52">
        <v>35387</v>
      </c>
      <c r="L20" s="53">
        <v>58962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 x14ac:dyDescent="0.2">
      <c r="A21" s="15"/>
      <c r="B21" s="4"/>
      <c r="C21" s="4"/>
      <c r="D21" s="4"/>
      <c r="E21" s="144" t="s">
        <v>79</v>
      </c>
      <c r="F21" s="52">
        <v>49623</v>
      </c>
      <c r="G21" s="52">
        <v>70834</v>
      </c>
      <c r="H21" s="52">
        <v>73266</v>
      </c>
      <c r="I21" s="52">
        <v>22616</v>
      </c>
      <c r="J21" s="52">
        <v>23295</v>
      </c>
      <c r="K21" s="52">
        <v>35387</v>
      </c>
      <c r="L21" s="53">
        <v>58962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 x14ac:dyDescent="0.2">
      <c r="A22" s="15"/>
      <c r="B22" s="4"/>
      <c r="C22" s="4"/>
      <c r="D22" s="4"/>
      <c r="E22" s="145" t="s">
        <v>149</v>
      </c>
      <c r="F22" s="52">
        <v>13393</v>
      </c>
      <c r="G22" s="52">
        <v>15968</v>
      </c>
      <c r="H22" s="52">
        <v>17940</v>
      </c>
      <c r="I22" s="52">
        <v>21609</v>
      </c>
      <c r="J22" s="52">
        <v>22933</v>
      </c>
      <c r="K22" s="52">
        <v>33348</v>
      </c>
      <c r="L22" s="53">
        <v>58892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" customHeight="1" x14ac:dyDescent="0.2">
      <c r="A23" s="15"/>
      <c r="B23" s="4"/>
      <c r="C23" s="4"/>
      <c r="D23" s="4"/>
      <c r="E23" s="145" t="s">
        <v>150</v>
      </c>
      <c r="F23" s="52">
        <v>35463</v>
      </c>
      <c r="G23" s="52">
        <v>53835</v>
      </c>
      <c r="H23" s="52">
        <v>55067</v>
      </c>
      <c r="I23" s="52">
        <v>651</v>
      </c>
      <c r="J23" s="52">
        <v>238</v>
      </c>
      <c r="K23" s="52">
        <v>1535</v>
      </c>
      <c r="L23" s="53"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 x14ac:dyDescent="0.2">
      <c r="A24" s="15"/>
      <c r="B24" s="4"/>
      <c r="C24" s="4"/>
      <c r="D24" s="4"/>
      <c r="E24" s="145" t="s">
        <v>151</v>
      </c>
      <c r="F24" s="52">
        <v>767</v>
      </c>
      <c r="G24" s="52">
        <v>1031</v>
      </c>
      <c r="H24" s="52">
        <v>259</v>
      </c>
      <c r="I24" s="52">
        <v>356</v>
      </c>
      <c r="J24" s="52">
        <v>124</v>
      </c>
      <c r="K24" s="52">
        <v>504</v>
      </c>
      <c r="L24" s="53">
        <v>70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" customHeight="1" x14ac:dyDescent="0.2">
      <c r="A25" s="15"/>
      <c r="B25" s="4"/>
      <c r="C25" s="4"/>
      <c r="D25" s="4"/>
      <c r="E25" s="139" t="s">
        <v>152</v>
      </c>
      <c r="F25" s="135">
        <f t="shared" ref="F25:L25" si="4">F26+F34+F38</f>
        <v>1486533</v>
      </c>
      <c r="G25" s="135">
        <f t="shared" si="4"/>
        <v>1268712</v>
      </c>
      <c r="H25" s="135">
        <f t="shared" si="4"/>
        <v>1282768</v>
      </c>
      <c r="I25" s="135">
        <f t="shared" si="4"/>
        <v>3037517</v>
      </c>
      <c r="J25" s="135">
        <f t="shared" si="4"/>
        <v>3789669</v>
      </c>
      <c r="K25" s="135">
        <f t="shared" si="4"/>
        <v>4743268</v>
      </c>
      <c r="L25" s="136">
        <f t="shared" si="4"/>
        <v>4629751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" customHeight="1" x14ac:dyDescent="0.2">
      <c r="A26" s="15"/>
      <c r="B26" s="4"/>
      <c r="C26" s="4"/>
      <c r="D26" s="4"/>
      <c r="E26" s="140" t="s">
        <v>153</v>
      </c>
      <c r="F26" s="52">
        <v>546237</v>
      </c>
      <c r="G26" s="52">
        <v>457050</v>
      </c>
      <c r="H26" s="52">
        <v>448943</v>
      </c>
      <c r="I26" s="52">
        <v>624950</v>
      </c>
      <c r="J26" s="52">
        <v>1313046</v>
      </c>
      <c r="K26" s="52">
        <v>1291014</v>
      </c>
      <c r="L26" s="146">
        <v>1266451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" customHeight="1" x14ac:dyDescent="0.2">
      <c r="A27" s="15"/>
      <c r="B27" s="4"/>
      <c r="C27" s="4"/>
      <c r="D27" s="4"/>
      <c r="E27" s="147" t="s">
        <v>154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146">
        <v>3978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customHeight="1" x14ac:dyDescent="0.2">
      <c r="A28" s="15"/>
      <c r="B28" s="4"/>
      <c r="C28" s="4"/>
      <c r="D28" s="4"/>
      <c r="E28" s="144" t="s">
        <v>155</v>
      </c>
      <c r="F28" s="52">
        <v>440059</v>
      </c>
      <c r="G28" s="52">
        <v>398811</v>
      </c>
      <c r="H28" s="52">
        <v>370643</v>
      </c>
      <c r="I28" s="52">
        <v>0</v>
      </c>
      <c r="J28" s="52">
        <v>71492</v>
      </c>
      <c r="K28" s="52">
        <v>378803</v>
      </c>
      <c r="L28" s="53">
        <v>475718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customHeight="1" x14ac:dyDescent="0.2">
      <c r="A29" s="15"/>
      <c r="B29" s="4"/>
      <c r="C29" s="4"/>
      <c r="D29" s="4"/>
      <c r="E29" s="145" t="s">
        <v>132</v>
      </c>
      <c r="F29" s="52">
        <v>440059</v>
      </c>
      <c r="G29" s="52">
        <v>398811</v>
      </c>
      <c r="H29" s="52">
        <v>370643</v>
      </c>
      <c r="I29" s="52">
        <v>0</v>
      </c>
      <c r="J29" s="52">
        <v>71492</v>
      </c>
      <c r="K29" s="52">
        <v>378803</v>
      </c>
      <c r="L29" s="53">
        <v>475718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customHeight="1" x14ac:dyDescent="0.2">
      <c r="A30" s="15"/>
      <c r="B30" s="4"/>
      <c r="C30" s="4"/>
      <c r="D30" s="4"/>
      <c r="E30" s="144" t="s">
        <v>156</v>
      </c>
      <c r="F30" s="52">
        <v>106178</v>
      </c>
      <c r="G30" s="52">
        <v>58239</v>
      </c>
      <c r="H30" s="52">
        <v>78300</v>
      </c>
      <c r="I30" s="52">
        <v>624950</v>
      </c>
      <c r="J30" s="52">
        <v>1241554</v>
      </c>
      <c r="K30" s="52">
        <v>904302</v>
      </c>
      <c r="L30" s="53">
        <v>786637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" customHeight="1" x14ac:dyDescent="0.2">
      <c r="A31" s="15"/>
      <c r="B31" s="4"/>
      <c r="C31" s="4"/>
      <c r="D31" s="4"/>
      <c r="E31" s="145" t="s">
        <v>146</v>
      </c>
      <c r="F31" s="52">
        <v>1727</v>
      </c>
      <c r="G31" s="52">
        <v>2396</v>
      </c>
      <c r="H31" s="52">
        <v>7649</v>
      </c>
      <c r="I31" s="52">
        <v>521136</v>
      </c>
      <c r="J31" s="52">
        <v>1157357</v>
      </c>
      <c r="K31" s="52">
        <v>839778</v>
      </c>
      <c r="L31" s="146">
        <v>720027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customHeight="1" x14ac:dyDescent="0.2">
      <c r="A32" s="15"/>
      <c r="B32" s="4"/>
      <c r="C32" s="4"/>
      <c r="D32" s="4"/>
      <c r="E32" s="145" t="s">
        <v>157</v>
      </c>
      <c r="F32" s="52">
        <v>50474</v>
      </c>
      <c r="G32" s="52">
        <v>52280</v>
      </c>
      <c r="H32" s="52">
        <v>67748</v>
      </c>
      <c r="I32" s="52">
        <v>101836</v>
      </c>
      <c r="J32" s="52">
        <v>81513</v>
      </c>
      <c r="K32" s="52">
        <v>61937</v>
      </c>
      <c r="L32" s="146">
        <v>62527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0" customHeight="1" x14ac:dyDescent="0.2">
      <c r="A33" s="15"/>
      <c r="B33" s="4"/>
      <c r="C33" s="4"/>
      <c r="D33" s="4"/>
      <c r="E33" s="145" t="s">
        <v>149</v>
      </c>
      <c r="F33" s="52">
        <v>53977</v>
      </c>
      <c r="G33" s="52">
        <v>3563</v>
      </c>
      <c r="H33" s="52">
        <v>2903</v>
      </c>
      <c r="I33" s="52">
        <v>1978</v>
      </c>
      <c r="J33" s="52">
        <v>2684</v>
      </c>
      <c r="K33" s="52">
        <v>2587</v>
      </c>
      <c r="L33" s="146">
        <v>4083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0" customHeight="1" x14ac:dyDescent="0.2">
      <c r="A34" s="15"/>
      <c r="B34" s="4"/>
      <c r="C34" s="4"/>
      <c r="D34" s="4"/>
      <c r="E34" s="140" t="s">
        <v>158</v>
      </c>
      <c r="F34" s="52">
        <v>780251</v>
      </c>
      <c r="G34" s="52">
        <v>612572</v>
      </c>
      <c r="H34" s="52">
        <v>636927</v>
      </c>
      <c r="I34" s="52">
        <v>2225227</v>
      </c>
      <c r="J34" s="52">
        <v>2181663</v>
      </c>
      <c r="K34" s="52">
        <v>2476559</v>
      </c>
      <c r="L34" s="146">
        <v>2397442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0" customHeight="1" x14ac:dyDescent="0.2">
      <c r="A35" s="15"/>
      <c r="B35" s="4"/>
      <c r="C35" s="4"/>
      <c r="D35" s="4"/>
      <c r="E35" s="144" t="s">
        <v>159</v>
      </c>
      <c r="F35" s="52">
        <v>705570</v>
      </c>
      <c r="G35" s="52">
        <v>588325</v>
      </c>
      <c r="H35" s="52">
        <v>607408</v>
      </c>
      <c r="I35" s="52">
        <v>665906</v>
      </c>
      <c r="J35" s="52">
        <v>651814</v>
      </c>
      <c r="K35" s="52">
        <v>817978</v>
      </c>
      <c r="L35" s="146">
        <v>796588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customHeight="1" x14ac:dyDescent="0.2">
      <c r="A36" s="15"/>
      <c r="B36" s="4"/>
      <c r="C36" s="4"/>
      <c r="D36" s="4"/>
      <c r="E36" s="144" t="s">
        <v>160</v>
      </c>
      <c r="F36" s="52">
        <v>4736</v>
      </c>
      <c r="G36" s="52">
        <v>4473</v>
      </c>
      <c r="H36" s="52">
        <v>4210</v>
      </c>
      <c r="I36" s="52">
        <v>1507815</v>
      </c>
      <c r="J36" s="52">
        <v>1514438</v>
      </c>
      <c r="K36" s="52">
        <v>1640290</v>
      </c>
      <c r="L36" s="146">
        <v>1576101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 x14ac:dyDescent="0.2">
      <c r="A37" s="15"/>
      <c r="B37" s="4"/>
      <c r="C37" s="4"/>
      <c r="D37" s="4"/>
      <c r="E37" s="144" t="s">
        <v>161</v>
      </c>
      <c r="F37" s="52">
        <v>69945</v>
      </c>
      <c r="G37" s="52">
        <v>19774</v>
      </c>
      <c r="H37" s="52">
        <v>25309</v>
      </c>
      <c r="I37" s="52">
        <v>51506</v>
      </c>
      <c r="J37" s="52">
        <v>15411</v>
      </c>
      <c r="K37" s="52">
        <v>18291</v>
      </c>
      <c r="L37" s="146">
        <v>24753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customHeight="1" x14ac:dyDescent="0.2">
      <c r="A38" s="15"/>
      <c r="B38" s="4"/>
      <c r="C38" s="4"/>
      <c r="D38" s="4"/>
      <c r="E38" s="140" t="s">
        <v>162</v>
      </c>
      <c r="F38" s="52">
        <v>160045</v>
      </c>
      <c r="G38" s="52">
        <v>199090</v>
      </c>
      <c r="H38" s="52">
        <v>196898</v>
      </c>
      <c r="I38" s="52">
        <v>187340</v>
      </c>
      <c r="J38" s="52">
        <v>294960</v>
      </c>
      <c r="K38" s="52">
        <v>975695</v>
      </c>
      <c r="L38" s="146">
        <v>965858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" customHeight="1" x14ac:dyDescent="0.2">
      <c r="A39" s="15"/>
      <c r="B39" s="4"/>
      <c r="C39" s="4"/>
      <c r="D39" s="4"/>
      <c r="E39" s="144" t="s">
        <v>163</v>
      </c>
      <c r="F39" s="52">
        <v>160045</v>
      </c>
      <c r="G39" s="52">
        <v>199090</v>
      </c>
      <c r="H39" s="52">
        <v>196898</v>
      </c>
      <c r="I39" s="52">
        <v>187340</v>
      </c>
      <c r="J39" s="52">
        <v>294960</v>
      </c>
      <c r="K39" s="52">
        <v>975695</v>
      </c>
      <c r="L39" s="146">
        <v>965858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 x14ac:dyDescent="0.2">
      <c r="A40" s="15"/>
      <c r="B40" s="4"/>
      <c r="C40" s="4"/>
      <c r="D40" s="4"/>
      <c r="E40" s="148" t="s">
        <v>164</v>
      </c>
      <c r="F40" s="46">
        <f t="shared" ref="F40:L40" si="5">F41+F62</f>
        <v>2804888</v>
      </c>
      <c r="G40" s="46">
        <f t="shared" si="5"/>
        <v>2387786</v>
      </c>
      <c r="H40" s="46">
        <f t="shared" si="5"/>
        <v>2363298</v>
      </c>
      <c r="I40" s="46">
        <f t="shared" si="5"/>
        <v>3297522</v>
      </c>
      <c r="J40" s="46">
        <f t="shared" si="5"/>
        <v>4654847</v>
      </c>
      <c r="K40" s="46">
        <f t="shared" si="5"/>
        <v>5677657</v>
      </c>
      <c r="L40" s="138">
        <f t="shared" si="5"/>
        <v>5430243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customHeight="1" x14ac:dyDescent="0.2">
      <c r="A41" s="15"/>
      <c r="B41" s="4"/>
      <c r="C41" s="4"/>
      <c r="D41" s="4"/>
      <c r="E41" s="139" t="s">
        <v>165</v>
      </c>
      <c r="F41" s="135">
        <f t="shared" ref="F41:L41" si="6">F42+F44+F47+F52+F55</f>
        <v>1746409</v>
      </c>
      <c r="G41" s="135">
        <f t="shared" si="6"/>
        <v>2022855</v>
      </c>
      <c r="H41" s="135">
        <f t="shared" si="6"/>
        <v>1750068</v>
      </c>
      <c r="I41" s="135">
        <f t="shared" si="6"/>
        <v>1751077</v>
      </c>
      <c r="J41" s="135">
        <f t="shared" si="6"/>
        <v>2251711</v>
      </c>
      <c r="K41" s="135">
        <f t="shared" si="6"/>
        <v>2415055</v>
      </c>
      <c r="L41" s="136">
        <f t="shared" si="6"/>
        <v>2381594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" customHeight="1" x14ac:dyDescent="0.2">
      <c r="A42" s="15"/>
      <c r="B42" s="4"/>
      <c r="C42" s="4"/>
      <c r="D42" s="4"/>
      <c r="E42" s="140" t="s">
        <v>166</v>
      </c>
      <c r="F42" s="52">
        <v>104360</v>
      </c>
      <c r="G42" s="52">
        <v>136866</v>
      </c>
      <c r="H42" s="52">
        <v>130922</v>
      </c>
      <c r="I42" s="52">
        <v>128548</v>
      </c>
      <c r="J42" s="52">
        <v>136126</v>
      </c>
      <c r="K42" s="52">
        <v>155470</v>
      </c>
      <c r="L42" s="146">
        <v>160656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customHeight="1" x14ac:dyDescent="0.2">
      <c r="A43" s="15"/>
      <c r="B43" s="4"/>
      <c r="C43" s="4"/>
      <c r="D43" s="4"/>
      <c r="E43" s="144" t="s">
        <v>167</v>
      </c>
      <c r="F43" s="52">
        <v>104360</v>
      </c>
      <c r="G43" s="52">
        <v>136866</v>
      </c>
      <c r="H43" s="52">
        <v>130922</v>
      </c>
      <c r="I43" s="52">
        <v>128548</v>
      </c>
      <c r="J43" s="52">
        <v>136126</v>
      </c>
      <c r="K43" s="52">
        <v>155470</v>
      </c>
      <c r="L43" s="146">
        <v>160656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0" customHeight="1" x14ac:dyDescent="0.2">
      <c r="A44" s="15"/>
      <c r="B44" s="4"/>
      <c r="C44" s="4"/>
      <c r="D44" s="4"/>
      <c r="E44" s="140" t="s">
        <v>168</v>
      </c>
      <c r="F44" s="52">
        <v>609005</v>
      </c>
      <c r="G44" s="52">
        <v>686193</v>
      </c>
      <c r="H44" s="52">
        <v>678846</v>
      </c>
      <c r="I44" s="52">
        <v>804013</v>
      </c>
      <c r="J44" s="52">
        <v>1158914</v>
      </c>
      <c r="K44" s="52">
        <v>1400736</v>
      </c>
      <c r="L44" s="146">
        <v>1291227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0" customHeight="1" x14ac:dyDescent="0.2">
      <c r="A45" s="15"/>
      <c r="B45" s="4"/>
      <c r="C45" s="4"/>
      <c r="D45" s="4"/>
      <c r="E45" s="144" t="s">
        <v>169</v>
      </c>
      <c r="F45" s="52">
        <v>607021</v>
      </c>
      <c r="G45" s="52">
        <v>681917</v>
      </c>
      <c r="H45" s="52">
        <v>677120</v>
      </c>
      <c r="I45" s="52">
        <v>803651</v>
      </c>
      <c r="J45" s="52">
        <v>1151964</v>
      </c>
      <c r="K45" s="52">
        <v>1400736</v>
      </c>
      <c r="L45" s="146">
        <v>1291227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0" customHeight="1" x14ac:dyDescent="0.2">
      <c r="A46" s="15"/>
      <c r="B46" s="4"/>
      <c r="C46" s="4"/>
      <c r="D46" s="4"/>
      <c r="E46" s="144" t="s">
        <v>170</v>
      </c>
      <c r="F46" s="52">
        <v>1984</v>
      </c>
      <c r="G46" s="52">
        <v>4276</v>
      </c>
      <c r="H46" s="52">
        <v>1726</v>
      </c>
      <c r="I46" s="52">
        <v>362</v>
      </c>
      <c r="J46" s="52">
        <v>6950</v>
      </c>
      <c r="K46" s="52">
        <v>0</v>
      </c>
      <c r="L46" s="146">
        <v>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0" customHeight="1" x14ac:dyDescent="0.2">
      <c r="A47" s="15"/>
      <c r="B47" s="4"/>
      <c r="C47" s="4"/>
      <c r="D47" s="4"/>
      <c r="E47" s="140" t="s">
        <v>171</v>
      </c>
      <c r="F47" s="52">
        <v>173590</v>
      </c>
      <c r="G47" s="52">
        <v>184184</v>
      </c>
      <c r="H47" s="52">
        <v>187495</v>
      </c>
      <c r="I47" s="52">
        <v>219282</v>
      </c>
      <c r="J47" s="52">
        <v>107276</v>
      </c>
      <c r="K47" s="52">
        <v>176103</v>
      </c>
      <c r="L47" s="146">
        <v>91235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0" customHeight="1" x14ac:dyDescent="0.2">
      <c r="A48" s="15"/>
      <c r="B48" s="4"/>
      <c r="C48" s="4"/>
      <c r="D48" s="4"/>
      <c r="E48" s="144" t="s">
        <v>172</v>
      </c>
      <c r="F48" s="52">
        <v>63072</v>
      </c>
      <c r="G48" s="52">
        <v>70911</v>
      </c>
      <c r="H48" s="52">
        <v>70110</v>
      </c>
      <c r="I48" s="52">
        <v>116803</v>
      </c>
      <c r="J48" s="52">
        <v>7751</v>
      </c>
      <c r="K48" s="52">
        <v>7262</v>
      </c>
      <c r="L48" s="146"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0" customHeight="1" x14ac:dyDescent="0.2">
      <c r="A49" s="15"/>
      <c r="B49" s="4"/>
      <c r="C49" s="4"/>
      <c r="D49" s="4"/>
      <c r="E49" s="145" t="s">
        <v>132</v>
      </c>
      <c r="F49" s="52">
        <v>348</v>
      </c>
      <c r="G49" s="52">
        <v>3014</v>
      </c>
      <c r="H49" s="52">
        <v>26566</v>
      </c>
      <c r="I49" s="52">
        <v>35672</v>
      </c>
      <c r="J49" s="52">
        <v>321</v>
      </c>
      <c r="K49" s="52">
        <v>463</v>
      </c>
      <c r="L49" s="146">
        <v>389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0" customHeight="1" x14ac:dyDescent="0.2">
      <c r="A50" s="15"/>
      <c r="B50" s="4"/>
      <c r="C50" s="4"/>
      <c r="D50" s="4"/>
      <c r="E50" s="145" t="s">
        <v>79</v>
      </c>
      <c r="F50" s="52">
        <v>62724</v>
      </c>
      <c r="G50" s="52">
        <v>67897</v>
      </c>
      <c r="H50" s="52">
        <v>43544</v>
      </c>
      <c r="I50" s="52">
        <v>81131</v>
      </c>
      <c r="J50" s="52">
        <v>7430</v>
      </c>
      <c r="K50" s="52">
        <v>0</v>
      </c>
      <c r="L50" s="146">
        <v>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0" customHeight="1" x14ac:dyDescent="0.2">
      <c r="A51" s="15"/>
      <c r="B51" s="4"/>
      <c r="C51" s="4"/>
      <c r="D51" s="4"/>
      <c r="E51" s="144" t="s">
        <v>173</v>
      </c>
      <c r="F51" s="52">
        <v>110518</v>
      </c>
      <c r="G51" s="52">
        <v>113273</v>
      </c>
      <c r="H51" s="52">
        <v>117385</v>
      </c>
      <c r="I51" s="52">
        <v>102479</v>
      </c>
      <c r="J51" s="52">
        <v>99525</v>
      </c>
      <c r="K51" s="52">
        <v>175640</v>
      </c>
      <c r="L51" s="146">
        <v>90846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0" customHeight="1" x14ac:dyDescent="0.2">
      <c r="A52" s="15"/>
      <c r="B52" s="4"/>
      <c r="C52" s="4"/>
      <c r="D52" s="4"/>
      <c r="E52" s="140" t="s">
        <v>174</v>
      </c>
      <c r="F52" s="52">
        <f>F53+F54</f>
        <v>287</v>
      </c>
      <c r="G52" s="52">
        <f t="shared" ref="G52:I52" si="7">G53+G54</f>
        <v>257</v>
      </c>
      <c r="H52" s="52">
        <f t="shared" si="7"/>
        <v>230</v>
      </c>
      <c r="I52" s="52">
        <f t="shared" si="7"/>
        <v>357891</v>
      </c>
      <c r="J52" s="52">
        <f>J53+J54</f>
        <v>781203</v>
      </c>
      <c r="K52" s="52">
        <f>K53+K54</f>
        <v>592901</v>
      </c>
      <c r="L52" s="146">
        <f>L53+L54</f>
        <v>680026</v>
      </c>
      <c r="M52" s="67"/>
      <c r="N52" s="67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0" customHeight="1" x14ac:dyDescent="0.2">
      <c r="A53" s="15"/>
      <c r="B53" s="4"/>
      <c r="C53" s="4"/>
      <c r="D53" s="4"/>
      <c r="E53" s="144" t="s">
        <v>175</v>
      </c>
      <c r="F53" s="52">
        <v>0</v>
      </c>
      <c r="G53" s="52">
        <v>0</v>
      </c>
      <c r="H53" s="52">
        <v>0</v>
      </c>
      <c r="I53" s="52">
        <v>0</v>
      </c>
      <c r="J53" s="52">
        <v>390600</v>
      </c>
      <c r="K53" s="52">
        <v>121178</v>
      </c>
      <c r="L53" s="146">
        <v>195286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" customHeight="1" x14ac:dyDescent="0.2">
      <c r="A54" s="15"/>
      <c r="B54" s="4"/>
      <c r="C54" s="4"/>
      <c r="D54" s="4"/>
      <c r="E54" s="144" t="s">
        <v>176</v>
      </c>
      <c r="F54" s="52">
        <v>287</v>
      </c>
      <c r="G54" s="52">
        <v>257</v>
      </c>
      <c r="H54" s="52">
        <v>230</v>
      </c>
      <c r="I54" s="52">
        <v>357891</v>
      </c>
      <c r="J54" s="52">
        <v>390603</v>
      </c>
      <c r="K54" s="52">
        <v>471723</v>
      </c>
      <c r="L54" s="146">
        <v>484740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0" customHeight="1" x14ac:dyDescent="0.2">
      <c r="A55" s="15"/>
      <c r="B55" s="4"/>
      <c r="C55" s="4"/>
      <c r="D55" s="4"/>
      <c r="E55" s="140" t="s">
        <v>177</v>
      </c>
      <c r="F55" s="52">
        <f t="shared" ref="F55:I55" si="8">F56+F58</f>
        <v>859167</v>
      </c>
      <c r="G55" s="52">
        <f t="shared" si="8"/>
        <v>1015355</v>
      </c>
      <c r="H55" s="52">
        <f t="shared" si="8"/>
        <v>752575</v>
      </c>
      <c r="I55" s="52">
        <f t="shared" si="8"/>
        <v>241343</v>
      </c>
      <c r="J55" s="52">
        <f>J56+J58</f>
        <v>68192</v>
      </c>
      <c r="K55" s="52">
        <f>K56+K58</f>
        <v>89845</v>
      </c>
      <c r="L55" s="146">
        <f>L56+L58</f>
        <v>158450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0" customHeight="1" x14ac:dyDescent="0.2">
      <c r="A56" s="15"/>
      <c r="B56" s="4"/>
      <c r="C56" s="4"/>
      <c r="D56" s="4"/>
      <c r="E56" s="144" t="s">
        <v>178</v>
      </c>
      <c r="F56" s="52">
        <v>694914</v>
      </c>
      <c r="G56" s="52">
        <v>980051</v>
      </c>
      <c r="H56" s="52">
        <v>711575</v>
      </c>
      <c r="I56" s="52">
        <v>69519</v>
      </c>
      <c r="J56" s="52">
        <v>34766</v>
      </c>
      <c r="K56" s="52">
        <v>59016</v>
      </c>
      <c r="L56" s="146">
        <v>100917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0" customHeight="1" x14ac:dyDescent="0.2">
      <c r="A57" s="15"/>
      <c r="B57" s="4"/>
      <c r="C57" s="4"/>
      <c r="D57" s="4"/>
      <c r="E57" s="145" t="s">
        <v>179</v>
      </c>
      <c r="F57" s="52">
        <v>694914</v>
      </c>
      <c r="G57" s="52">
        <v>980051</v>
      </c>
      <c r="H57" s="52">
        <v>711575</v>
      </c>
      <c r="I57" s="52">
        <v>69519</v>
      </c>
      <c r="J57" s="52">
        <v>34766</v>
      </c>
      <c r="K57" s="52">
        <v>59016</v>
      </c>
      <c r="L57" s="146">
        <v>100917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0" customHeight="1" x14ac:dyDescent="0.2">
      <c r="A58" s="15"/>
      <c r="B58" s="4"/>
      <c r="C58" s="4"/>
      <c r="D58" s="4"/>
      <c r="E58" s="144" t="s">
        <v>79</v>
      </c>
      <c r="F58" s="56">
        <f t="shared" ref="F58:I58" si="9">F59+F60+F61</f>
        <v>164253</v>
      </c>
      <c r="G58" s="149">
        <f t="shared" si="9"/>
        <v>35304</v>
      </c>
      <c r="H58" s="149">
        <f t="shared" si="9"/>
        <v>41000</v>
      </c>
      <c r="I58" s="149">
        <f t="shared" si="9"/>
        <v>171824</v>
      </c>
      <c r="J58" s="56">
        <f>J59+J60+J61</f>
        <v>33426</v>
      </c>
      <c r="K58" s="150">
        <f>K59+K60+K61</f>
        <v>30829</v>
      </c>
      <c r="L58" s="151">
        <f>L59+L60+L61</f>
        <v>57533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0" customHeight="1" x14ac:dyDescent="0.2">
      <c r="A59" s="15"/>
      <c r="B59" s="4"/>
      <c r="C59" s="4"/>
      <c r="D59" s="4"/>
      <c r="E59" s="145" t="s">
        <v>180</v>
      </c>
      <c r="F59" s="52">
        <v>128302</v>
      </c>
      <c r="G59" s="52">
        <v>74</v>
      </c>
      <c r="H59" s="52">
        <v>403</v>
      </c>
      <c r="I59" s="52">
        <v>3938</v>
      </c>
      <c r="J59" s="52">
        <v>6788</v>
      </c>
      <c r="K59" s="52">
        <v>1910</v>
      </c>
      <c r="L59" s="146">
        <v>28758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0" customHeight="1" x14ac:dyDescent="0.2">
      <c r="A60" s="15"/>
      <c r="B60" s="4"/>
      <c r="C60" s="4"/>
      <c r="D60" s="4"/>
      <c r="E60" s="145" t="s">
        <v>181</v>
      </c>
      <c r="F60" s="52">
        <v>35951</v>
      </c>
      <c r="G60" s="52">
        <v>35230</v>
      </c>
      <c r="H60" s="52">
        <v>40597</v>
      </c>
      <c r="I60" s="52">
        <v>23052</v>
      </c>
      <c r="J60" s="52">
        <v>26637</v>
      </c>
      <c r="K60" s="52">
        <v>28918</v>
      </c>
      <c r="L60" s="146">
        <v>28774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0" customHeight="1" x14ac:dyDescent="0.2">
      <c r="A61" s="15"/>
      <c r="B61" s="4"/>
      <c r="C61" s="4"/>
      <c r="D61" s="4"/>
      <c r="E61" s="145" t="s">
        <v>182</v>
      </c>
      <c r="F61" s="52">
        <v>0</v>
      </c>
      <c r="G61" s="52">
        <v>0</v>
      </c>
      <c r="H61" s="52">
        <v>0</v>
      </c>
      <c r="I61" s="52">
        <v>144834</v>
      </c>
      <c r="J61" s="52">
        <v>1</v>
      </c>
      <c r="K61" s="52">
        <v>1</v>
      </c>
      <c r="L61" s="146">
        <v>1</v>
      </c>
      <c r="M61" s="6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0" customHeight="1" x14ac:dyDescent="0.2">
      <c r="A62" s="15"/>
      <c r="B62" s="4"/>
      <c r="C62" s="4"/>
      <c r="D62" s="4"/>
      <c r="E62" s="139" t="s">
        <v>183</v>
      </c>
      <c r="F62" s="135">
        <f t="shared" ref="F62:L62" si="10">F63+F66+F76+F74</f>
        <v>1058479</v>
      </c>
      <c r="G62" s="135">
        <f t="shared" si="10"/>
        <v>364931</v>
      </c>
      <c r="H62" s="135">
        <f t="shared" si="10"/>
        <v>613230</v>
      </c>
      <c r="I62" s="135">
        <f t="shared" si="10"/>
        <v>1546445</v>
      </c>
      <c r="J62" s="135">
        <f t="shared" si="10"/>
        <v>2403136</v>
      </c>
      <c r="K62" s="135">
        <f t="shared" si="10"/>
        <v>3262602</v>
      </c>
      <c r="L62" s="136">
        <f t="shared" si="10"/>
        <v>3048649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0" customHeight="1" x14ac:dyDescent="0.2">
      <c r="A63" s="15"/>
      <c r="B63" s="4"/>
      <c r="C63" s="4"/>
      <c r="D63" s="4"/>
      <c r="E63" s="140" t="s">
        <v>174</v>
      </c>
      <c r="F63" s="152">
        <f t="shared" ref="F63:I63" si="11">F64+F65</f>
        <v>2105</v>
      </c>
      <c r="G63" s="152">
        <f t="shared" si="11"/>
        <v>1848</v>
      </c>
      <c r="H63" s="152">
        <f t="shared" si="11"/>
        <v>1618</v>
      </c>
      <c r="I63" s="152">
        <f t="shared" si="11"/>
        <v>1229789</v>
      </c>
      <c r="J63" s="152">
        <f>J64+J65</f>
        <v>2084845</v>
      </c>
      <c r="K63" s="152">
        <f>K64+K65</f>
        <v>2596073</v>
      </c>
      <c r="L63" s="146">
        <f>L64+L65</f>
        <v>2791323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0" customHeight="1" x14ac:dyDescent="0.2">
      <c r="A64" s="15"/>
      <c r="B64" s="4"/>
      <c r="C64" s="4"/>
      <c r="D64" s="4"/>
      <c r="E64" s="144" t="s">
        <v>176</v>
      </c>
      <c r="F64" s="52">
        <v>2105</v>
      </c>
      <c r="G64" s="52">
        <v>1848</v>
      </c>
      <c r="H64" s="52">
        <v>1618</v>
      </c>
      <c r="I64" s="52">
        <v>1229789</v>
      </c>
      <c r="J64" s="52">
        <v>1264193</v>
      </c>
      <c r="K64" s="52">
        <v>1342425</v>
      </c>
      <c r="L64" s="146">
        <v>1276364</v>
      </c>
      <c r="M64" s="67">
        <f>L65+L53</f>
        <v>1710245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0" customHeight="1" x14ac:dyDescent="0.2">
      <c r="A65" s="15"/>
      <c r="B65" s="4"/>
      <c r="C65" s="4"/>
      <c r="D65" s="4"/>
      <c r="E65" s="144" t="s">
        <v>175</v>
      </c>
      <c r="F65" s="52">
        <v>0</v>
      </c>
      <c r="G65" s="52">
        <v>0</v>
      </c>
      <c r="H65" s="52">
        <v>0</v>
      </c>
      <c r="I65" s="52">
        <v>0</v>
      </c>
      <c r="J65" s="52">
        <v>820652</v>
      </c>
      <c r="K65" s="52">
        <v>1253648</v>
      </c>
      <c r="L65" s="146">
        <v>1514959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0" customHeight="1" x14ac:dyDescent="0.2">
      <c r="A66" s="15"/>
      <c r="B66" s="4"/>
      <c r="C66" s="4"/>
      <c r="D66" s="4"/>
      <c r="E66" s="140" t="s">
        <v>177</v>
      </c>
      <c r="F66" s="152">
        <f t="shared" ref="F66:I66" si="12">F67+F69</f>
        <v>736725</v>
      </c>
      <c r="G66" s="56">
        <f t="shared" si="12"/>
        <v>42049</v>
      </c>
      <c r="H66" s="150">
        <f t="shared" si="12"/>
        <v>349005</v>
      </c>
      <c r="I66" s="150">
        <f t="shared" si="12"/>
        <v>37183</v>
      </c>
      <c r="J66" s="150">
        <f>J67+J69</f>
        <v>88167</v>
      </c>
      <c r="K66" s="150">
        <f>K67+K69</f>
        <v>497003</v>
      </c>
      <c r="L66" s="151">
        <f>L67+L69</f>
        <v>83044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0" customHeight="1" x14ac:dyDescent="0.2">
      <c r="A67" s="15"/>
      <c r="B67" s="4"/>
      <c r="C67" s="4"/>
      <c r="D67" s="4"/>
      <c r="E67" s="144" t="s">
        <v>178</v>
      </c>
      <c r="F67" s="52">
        <v>690606</v>
      </c>
      <c r="G67" s="52">
        <v>0</v>
      </c>
      <c r="H67" s="52">
        <v>313450</v>
      </c>
      <c r="I67" s="52">
        <v>0</v>
      </c>
      <c r="J67" s="52">
        <v>0</v>
      </c>
      <c r="K67" s="52">
        <v>0</v>
      </c>
      <c r="L67" s="146">
        <v>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0" customHeight="1" x14ac:dyDescent="0.2">
      <c r="A68" s="15"/>
      <c r="B68" s="4"/>
      <c r="C68" s="4"/>
      <c r="D68" s="4"/>
      <c r="E68" s="145" t="s">
        <v>179</v>
      </c>
      <c r="F68" s="52">
        <v>690606</v>
      </c>
      <c r="G68" s="52">
        <v>0</v>
      </c>
      <c r="H68" s="52">
        <v>313450</v>
      </c>
      <c r="I68" s="52">
        <v>0</v>
      </c>
      <c r="J68" s="52">
        <v>0</v>
      </c>
      <c r="K68" s="52">
        <v>0</v>
      </c>
      <c r="L68" s="146"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0" customHeight="1" x14ac:dyDescent="0.2">
      <c r="A69" s="15"/>
      <c r="B69" s="4"/>
      <c r="C69" s="4"/>
      <c r="D69" s="4"/>
      <c r="E69" s="144" t="s">
        <v>79</v>
      </c>
      <c r="F69" s="152">
        <f t="shared" ref="F69:I69" si="13">F70+F71+F72+F73</f>
        <v>46119</v>
      </c>
      <c r="G69" s="152">
        <f t="shared" si="13"/>
        <v>42049</v>
      </c>
      <c r="H69" s="152">
        <f t="shared" si="13"/>
        <v>35555</v>
      </c>
      <c r="I69" s="152">
        <f t="shared" si="13"/>
        <v>37183</v>
      </c>
      <c r="J69" s="152">
        <f>J70+J71+J72+J73</f>
        <v>88167</v>
      </c>
      <c r="K69" s="152">
        <f>K70+K71+K72+K73</f>
        <v>497003</v>
      </c>
      <c r="L69" s="146">
        <f>L70+L71+L72+L73</f>
        <v>83044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0" customHeight="1" x14ac:dyDescent="0.2">
      <c r="A70" s="15"/>
      <c r="B70" s="4"/>
      <c r="C70" s="4"/>
      <c r="D70" s="4"/>
      <c r="E70" s="145" t="s">
        <v>184</v>
      </c>
      <c r="F70" s="52">
        <v>0</v>
      </c>
      <c r="G70" s="52">
        <v>0</v>
      </c>
      <c r="H70" s="52">
        <v>0</v>
      </c>
      <c r="I70" s="52">
        <v>1073</v>
      </c>
      <c r="J70" s="52">
        <v>24997</v>
      </c>
      <c r="K70" s="52">
        <v>16212</v>
      </c>
      <c r="L70" s="146">
        <v>15019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0" customHeight="1" x14ac:dyDescent="0.2">
      <c r="A71" s="15"/>
      <c r="B71" s="4"/>
      <c r="C71" s="4"/>
      <c r="D71" s="4"/>
      <c r="E71" s="145" t="s">
        <v>167</v>
      </c>
      <c r="F71" s="52">
        <v>5199</v>
      </c>
      <c r="G71" s="52">
        <v>3971</v>
      </c>
      <c r="H71" s="52">
        <v>4058</v>
      </c>
      <c r="I71" s="52">
        <v>3551</v>
      </c>
      <c r="J71" s="52">
        <v>4442</v>
      </c>
      <c r="K71" s="52">
        <v>5675</v>
      </c>
      <c r="L71" s="146">
        <v>6326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0" customHeight="1" x14ac:dyDescent="0.2">
      <c r="A72" s="15"/>
      <c r="B72" s="4"/>
      <c r="C72" s="4"/>
      <c r="D72" s="4"/>
      <c r="E72" s="145" t="s">
        <v>168</v>
      </c>
      <c r="F72" s="52">
        <v>0</v>
      </c>
      <c r="G72" s="52">
        <v>0</v>
      </c>
      <c r="H72" s="52">
        <v>0</v>
      </c>
      <c r="I72" s="52">
        <v>0</v>
      </c>
      <c r="J72" s="52">
        <v>24810</v>
      </c>
      <c r="K72" s="52">
        <v>435060</v>
      </c>
      <c r="L72" s="146">
        <v>20367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0" customHeight="1" x14ac:dyDescent="0.2">
      <c r="A73" s="15"/>
      <c r="B73" s="4"/>
      <c r="C73" s="4"/>
      <c r="D73" s="4"/>
      <c r="E73" s="145" t="s">
        <v>181</v>
      </c>
      <c r="F73" s="52">
        <v>40920</v>
      </c>
      <c r="G73" s="52">
        <v>38078</v>
      </c>
      <c r="H73" s="52">
        <v>31497</v>
      </c>
      <c r="I73" s="52">
        <v>32559</v>
      </c>
      <c r="J73" s="52">
        <v>33918</v>
      </c>
      <c r="K73" s="52">
        <v>40056</v>
      </c>
      <c r="L73" s="146">
        <v>41332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0" customHeight="1" x14ac:dyDescent="0.2">
      <c r="A74" s="15"/>
      <c r="B74" s="4"/>
      <c r="C74" s="4"/>
      <c r="D74" s="4"/>
      <c r="E74" s="140" t="s">
        <v>155</v>
      </c>
      <c r="F74" s="52">
        <v>0</v>
      </c>
      <c r="G74" s="52">
        <v>0</v>
      </c>
      <c r="H74" s="52">
        <v>0</v>
      </c>
      <c r="I74" s="52">
        <v>45631</v>
      </c>
      <c r="J74" s="52">
        <v>0</v>
      </c>
      <c r="K74" s="52">
        <v>0</v>
      </c>
      <c r="L74" s="146">
        <v>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0" customHeight="1" x14ac:dyDescent="0.2">
      <c r="A75" s="15"/>
      <c r="B75" s="4"/>
      <c r="C75" s="4"/>
      <c r="D75" s="4"/>
      <c r="E75" s="144" t="s">
        <v>185</v>
      </c>
      <c r="F75" s="52">
        <v>0</v>
      </c>
      <c r="G75" s="52">
        <v>0</v>
      </c>
      <c r="H75" s="52">
        <v>0</v>
      </c>
      <c r="I75" s="52">
        <v>45631</v>
      </c>
      <c r="J75" s="52">
        <v>0</v>
      </c>
      <c r="K75" s="52">
        <v>0</v>
      </c>
      <c r="L75" s="146">
        <v>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0" customHeight="1" x14ac:dyDescent="0.2">
      <c r="A76" s="15"/>
      <c r="B76" s="4"/>
      <c r="C76" s="4"/>
      <c r="D76" s="4"/>
      <c r="E76" s="140" t="s">
        <v>186</v>
      </c>
      <c r="F76" s="52">
        <v>319649</v>
      </c>
      <c r="G76" s="52">
        <v>321034</v>
      </c>
      <c r="H76" s="52">
        <v>262607</v>
      </c>
      <c r="I76" s="52">
        <v>233842</v>
      </c>
      <c r="J76" s="52">
        <v>230124</v>
      </c>
      <c r="K76" s="52">
        <v>169526</v>
      </c>
      <c r="L76" s="146">
        <v>174282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0" customHeight="1" x14ac:dyDescent="0.2">
      <c r="A77" s="15"/>
      <c r="B77" s="4"/>
      <c r="C77" s="4"/>
      <c r="D77" s="4"/>
      <c r="E77" s="144" t="s">
        <v>187</v>
      </c>
      <c r="F77" s="52">
        <v>260697</v>
      </c>
      <c r="G77" s="52">
        <v>321034</v>
      </c>
      <c r="H77" s="52">
        <v>262607</v>
      </c>
      <c r="I77" s="52">
        <v>233842</v>
      </c>
      <c r="J77" s="52">
        <v>230124</v>
      </c>
      <c r="K77" s="52">
        <v>169526</v>
      </c>
      <c r="L77" s="146">
        <v>174282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" customHeight="1" x14ac:dyDescent="0.2">
      <c r="A78" s="15"/>
      <c r="B78" s="4"/>
      <c r="C78" s="4"/>
      <c r="D78" s="4"/>
      <c r="E78" s="145" t="s">
        <v>188</v>
      </c>
      <c r="F78" s="52">
        <v>186979</v>
      </c>
      <c r="G78" s="52">
        <v>240376</v>
      </c>
      <c r="H78" s="52">
        <v>170657</v>
      </c>
      <c r="I78" s="52">
        <v>140199</v>
      </c>
      <c r="J78" s="52">
        <v>146246</v>
      </c>
      <c r="K78" s="52">
        <v>135721</v>
      </c>
      <c r="L78" s="146">
        <v>140350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0" customHeight="1" x14ac:dyDescent="0.2">
      <c r="A79" s="15"/>
      <c r="B79" s="4"/>
      <c r="C79" s="4"/>
      <c r="D79" s="4"/>
      <c r="E79" s="145" t="s">
        <v>189</v>
      </c>
      <c r="F79" s="52">
        <v>63217</v>
      </c>
      <c r="G79" s="52">
        <v>73831</v>
      </c>
      <c r="H79" s="52">
        <v>85476</v>
      </c>
      <c r="I79" s="52">
        <v>89505</v>
      </c>
      <c r="J79" s="52">
        <v>74994</v>
      </c>
      <c r="K79" s="52">
        <v>30095</v>
      </c>
      <c r="L79" s="146">
        <v>30258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0" customHeight="1" x14ac:dyDescent="0.2">
      <c r="A80" s="15"/>
      <c r="B80" s="4"/>
      <c r="C80" s="4"/>
      <c r="D80" s="4"/>
      <c r="E80" s="145" t="s">
        <v>190</v>
      </c>
      <c r="F80" s="52">
        <v>10501</v>
      </c>
      <c r="G80" s="52">
        <v>6827</v>
      </c>
      <c r="H80" s="52">
        <v>6474</v>
      </c>
      <c r="I80" s="52">
        <v>4138</v>
      </c>
      <c r="J80" s="52">
        <v>8884</v>
      </c>
      <c r="K80" s="52">
        <v>3710</v>
      </c>
      <c r="L80" s="146">
        <v>3674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0" customHeight="1" x14ac:dyDescent="0.2">
      <c r="A81" s="15"/>
      <c r="B81" s="4"/>
      <c r="C81" s="4"/>
      <c r="D81" s="4"/>
      <c r="E81" s="144" t="s">
        <v>191</v>
      </c>
      <c r="F81" s="52">
        <v>58952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146">
        <v>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0" customHeight="1" x14ac:dyDescent="0.2">
      <c r="A82" s="15"/>
      <c r="B82" s="4"/>
      <c r="C82" s="4"/>
      <c r="D82" s="4"/>
      <c r="E82" s="148" t="s">
        <v>192</v>
      </c>
      <c r="F82" s="46">
        <f>SUM(F83:F88)</f>
        <v>826288</v>
      </c>
      <c r="G82" s="46">
        <f t="shared" ref="G82:L82" si="14">SUM(G83:G88)</f>
        <v>1006513</v>
      </c>
      <c r="H82" s="46">
        <f t="shared" si="14"/>
        <v>1115039</v>
      </c>
      <c r="I82" s="46">
        <f t="shared" si="14"/>
        <v>2739570</v>
      </c>
      <c r="J82" s="46">
        <f t="shared" si="14"/>
        <v>2654800</v>
      </c>
      <c r="K82" s="46">
        <f t="shared" si="14"/>
        <v>2995009</v>
      </c>
      <c r="L82" s="138">
        <f t="shared" si="14"/>
        <v>2825946</v>
      </c>
      <c r="M82" s="6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0" customHeight="1" x14ac:dyDescent="0.2">
      <c r="A83" s="15"/>
      <c r="B83" s="4"/>
      <c r="C83" s="4"/>
      <c r="D83" s="4"/>
      <c r="E83" s="140" t="s">
        <v>193</v>
      </c>
      <c r="F83" s="52">
        <v>890712</v>
      </c>
      <c r="G83" s="52">
        <v>1035720</v>
      </c>
      <c r="H83" s="52">
        <v>1035720</v>
      </c>
      <c r="I83" s="52">
        <v>1847177</v>
      </c>
      <c r="J83" s="52">
        <v>1847177</v>
      </c>
      <c r="K83" s="52">
        <v>1847177</v>
      </c>
      <c r="L83" s="146">
        <v>1847177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0" customHeight="1" x14ac:dyDescent="0.2">
      <c r="A84" s="15"/>
      <c r="B84" s="4"/>
      <c r="C84" s="4"/>
      <c r="D84" s="4"/>
      <c r="E84" s="140" t="s">
        <v>194</v>
      </c>
      <c r="F84" s="52">
        <v>10516</v>
      </c>
      <c r="G84" s="52">
        <v>10516</v>
      </c>
      <c r="H84" s="52">
        <v>10516</v>
      </c>
      <c r="I84" s="52">
        <v>11647</v>
      </c>
      <c r="J84" s="52">
        <v>19375</v>
      </c>
      <c r="K84" s="52">
        <v>26499</v>
      </c>
      <c r="L84" s="146">
        <v>28899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0" customHeight="1" x14ac:dyDescent="0.2">
      <c r="A85" s="15"/>
      <c r="B85" s="4"/>
      <c r="C85" s="4"/>
      <c r="D85" s="4"/>
      <c r="E85" s="140" t="s">
        <v>195</v>
      </c>
      <c r="F85" s="52">
        <v>0</v>
      </c>
      <c r="G85" s="52">
        <v>0</v>
      </c>
      <c r="H85" s="52">
        <v>0</v>
      </c>
      <c r="I85" s="52">
        <v>882914</v>
      </c>
      <c r="J85" s="52">
        <v>792570</v>
      </c>
      <c r="K85" s="52">
        <v>1121578</v>
      </c>
      <c r="L85" s="146">
        <v>1121578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0" customHeight="1" x14ac:dyDescent="0.2">
      <c r="A86" s="15"/>
      <c r="B86" s="4"/>
      <c r="C86" s="4"/>
      <c r="D86" s="4"/>
      <c r="E86" s="140" t="s">
        <v>196</v>
      </c>
      <c r="F86" s="52">
        <v>-70882</v>
      </c>
      <c r="G86" s="52">
        <v>-39675</v>
      </c>
      <c r="H86" s="52">
        <v>65042</v>
      </c>
      <c r="I86" s="52">
        <v>0</v>
      </c>
      <c r="J86" s="52">
        <v>0</v>
      </c>
      <c r="K86" s="52">
        <v>0</v>
      </c>
      <c r="L86" s="146">
        <v>-152724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0" customHeight="1" x14ac:dyDescent="0.2">
      <c r="A87" s="15"/>
      <c r="B87" s="4"/>
      <c r="C87" s="4"/>
      <c r="D87" s="4"/>
      <c r="E87" s="140" t="s">
        <v>197</v>
      </c>
      <c r="F87" s="52">
        <v>-4067</v>
      </c>
      <c r="G87" s="52">
        <v>-49</v>
      </c>
      <c r="H87" s="52">
        <v>3759</v>
      </c>
      <c r="I87" s="52">
        <v>-2170</v>
      </c>
      <c r="J87" s="52">
        <v>-4324</v>
      </c>
      <c r="K87" s="52">
        <v>-248</v>
      </c>
      <c r="L87" s="146">
        <v>-18981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0" customHeight="1" x14ac:dyDescent="0.2">
      <c r="A88" s="15"/>
      <c r="B88" s="4"/>
      <c r="C88" s="4"/>
      <c r="D88" s="4"/>
      <c r="E88" s="140" t="s">
        <v>198</v>
      </c>
      <c r="F88" s="52">
        <v>9</v>
      </c>
      <c r="G88" s="52">
        <v>1</v>
      </c>
      <c r="H88" s="52">
        <v>2</v>
      </c>
      <c r="I88" s="52">
        <v>2</v>
      </c>
      <c r="J88" s="52">
        <v>2</v>
      </c>
      <c r="K88" s="52">
        <v>3</v>
      </c>
      <c r="L88" s="61">
        <v>-3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0" customHeight="1" x14ac:dyDescent="0.2">
      <c r="A89" s="1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0" customHeight="1" x14ac:dyDescent="0.2">
      <c r="A90" s="1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0" customHeight="1" x14ac:dyDescent="0.2">
      <c r="A91" s="1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0" customHeight="1" x14ac:dyDescent="0.2">
      <c r="A92" s="1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0" customHeight="1" x14ac:dyDescent="0.2">
      <c r="A93" s="1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0" customHeight="1" x14ac:dyDescent="0.2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0" customHeight="1" x14ac:dyDescent="0.2">
      <c r="A95" s="1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0" customHeight="1" x14ac:dyDescent="0.2">
      <c r="A96" s="1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0" customHeight="1" x14ac:dyDescent="0.2">
      <c r="A97" s="1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0" customHeight="1" x14ac:dyDescent="0.2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0" customHeight="1" x14ac:dyDescent="0.2">
      <c r="A99" s="1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0" customHeight="1" x14ac:dyDescent="0.2">
      <c r="A100" s="1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0" customHeight="1" x14ac:dyDescent="0.2">
      <c r="A101" s="1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0" customHeight="1" x14ac:dyDescent="0.2">
      <c r="A102" s="1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0" customHeight="1" x14ac:dyDescent="0.2">
      <c r="A103" s="1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0" customHeight="1" x14ac:dyDescent="0.2">
      <c r="A104" s="1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0" customHeight="1" x14ac:dyDescent="0.2">
      <c r="A105" s="1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0" customHeight="1" x14ac:dyDescent="0.2">
      <c r="A106" s="1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0" customHeight="1" x14ac:dyDescent="0.2">
      <c r="A107" s="1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0" customHeight="1" x14ac:dyDescent="0.2">
      <c r="A108" s="1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0" customHeight="1" x14ac:dyDescent="0.2">
      <c r="A109" s="1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0" customHeight="1" x14ac:dyDescent="0.2">
      <c r="A110" s="1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0" customHeight="1" x14ac:dyDescent="0.2">
      <c r="A111" s="1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0" customHeight="1" x14ac:dyDescent="0.2">
      <c r="A112" s="1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0" customHeight="1" x14ac:dyDescent="0.2">
      <c r="A113" s="1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0" customHeight="1" x14ac:dyDescent="0.2">
      <c r="A114" s="1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0" customHeight="1" x14ac:dyDescent="0.2">
      <c r="A115" s="1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0" customHeight="1" x14ac:dyDescent="0.2">
      <c r="A116" s="1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0" customHeight="1" x14ac:dyDescent="0.2">
      <c r="A117" s="1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0" customHeight="1" x14ac:dyDescent="0.2">
      <c r="A118" s="1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0" customHeight="1" x14ac:dyDescent="0.2">
      <c r="A119" s="1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0" customHeight="1" x14ac:dyDescent="0.2">
      <c r="A120" s="1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0" customHeight="1" x14ac:dyDescent="0.2">
      <c r="A121" s="1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0" customHeight="1" x14ac:dyDescent="0.2">
      <c r="A122" s="1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0" customHeight="1" x14ac:dyDescent="0.2">
      <c r="A123" s="1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0" customHeight="1" x14ac:dyDescent="0.2">
      <c r="A124" s="1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0" customHeight="1" x14ac:dyDescent="0.2">
      <c r="A125" s="1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0" customHeight="1" x14ac:dyDescent="0.2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0" customHeight="1" x14ac:dyDescent="0.2">
      <c r="A127" s="1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0" customHeight="1" x14ac:dyDescent="0.2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7" ht="30" customHeight="1" x14ac:dyDescent="0.2">
      <c r="A129" s="1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7" ht="30" customHeight="1" x14ac:dyDescent="0.2">
      <c r="A130" s="1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7" ht="30" customHeight="1" x14ac:dyDescent="0.2">
      <c r="A131" s="1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7" ht="30" customHeight="1" x14ac:dyDescent="0.2">
      <c r="A132" s="1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7" ht="30" customHeight="1" x14ac:dyDescent="0.2">
      <c r="A133" s="1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7" ht="30" customHeight="1" x14ac:dyDescent="0.2">
      <c r="A134" s="1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7" s="3" customFormat="1" ht="30" customHeight="1" x14ac:dyDescent="0.2">
      <c r="A135" s="1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"/>
    </row>
    <row r="136" spans="1:27" s="3" customFormat="1" ht="30" customHeight="1" x14ac:dyDescent="0.2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"/>
    </row>
    <row r="137" spans="1:27" s="3" customFormat="1" ht="30" customHeight="1" x14ac:dyDescent="0.2">
      <c r="A137" s="1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"/>
    </row>
    <row r="138" spans="1:27" s="3" customFormat="1" ht="30" customHeight="1" x14ac:dyDescent="0.2">
      <c r="A138" s="1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"/>
    </row>
    <row r="139" spans="1:27" s="3" customFormat="1" ht="30" customHeight="1" x14ac:dyDescent="0.2">
      <c r="A139" s="1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"/>
    </row>
    <row r="140" spans="1:27" s="3" customFormat="1" ht="30" customHeight="1" x14ac:dyDescent="0.2">
      <c r="A140" s="15"/>
      <c r="B140" s="4"/>
      <c r="C140" s="4"/>
      <c r="D140" s="1"/>
      <c r="E140" s="4"/>
      <c r="F140" s="4"/>
      <c r="G140" s="4"/>
      <c r="H140" s="4"/>
      <c r="I140" s="4"/>
      <c r="J140" s="4"/>
      <c r="K140" s="4"/>
      <c r="L140" s="4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"/>
    </row>
    <row r="141" spans="1:27" s="3" customFormat="1" ht="30" customHeight="1" x14ac:dyDescent="0.2">
      <c r="B141" s="4"/>
      <c r="C141" s="1"/>
      <c r="D141" s="1"/>
      <c r="E141" s="4"/>
      <c r="F141" s="4"/>
      <c r="G141" s="4"/>
      <c r="H141" s="4"/>
      <c r="I141" s="4"/>
      <c r="J141" s="4"/>
      <c r="K141" s="1"/>
      <c r="L141" s="1"/>
      <c r="M141" s="1"/>
      <c r="N141" s="1"/>
      <c r="O141" s="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"/>
    </row>
    <row r="142" spans="1:27" ht="0" hidden="1" customHeight="1" x14ac:dyDescent="0.2">
      <c r="F142" s="97"/>
      <c r="G142" s="97"/>
      <c r="H142" s="97"/>
      <c r="I142" s="97"/>
    </row>
  </sheetData>
  <conditionalFormatting sqref="L13:L41 L52 L55 L58 L62:L63 L66 L69 L9:L11 F62:K88 F9:K60">
    <cfRule type="cellIs" dxfId="120" priority="36" operator="equal">
      <formula>0</formula>
    </cfRule>
  </conditionalFormatting>
  <conditionalFormatting sqref="F61:K61">
    <cfRule type="cellIs" dxfId="119" priority="3" operator="equal">
      <formula>0</formula>
    </cfRule>
  </conditionalFormatting>
  <conditionalFormatting sqref="L12 L64:L65 L53:L54 L59:L60 L67:L68 L42:L51 L56:L57 L70:L88">
    <cfRule type="cellIs" dxfId="118" priority="2" operator="equal">
      <formula>0</formula>
    </cfRule>
  </conditionalFormatting>
  <conditionalFormatting sqref="L61">
    <cfRule type="cellIs" dxfId="117" priority="1" operator="equal">
      <formula>0</formula>
    </cfRule>
  </conditionalFormatting>
  <hyperlinks>
    <hyperlink ref="A10" location="'DRE + DCF'!A1" display="DRE + DCF" xr:uid="{5550A4C1-FE89-4FE1-B1E3-0F27F355E18E}"/>
    <hyperlink ref="A9" location="WACC!A1" display="WACC" xr:uid="{431916E5-740B-4685-B4A3-41ADAA9BA360}"/>
    <hyperlink ref="A8" location="Dashboard!A1" display="Dashboard" xr:uid="{6D1D7A6A-C2F6-49A9-9CC0-DE6AF1138B90}"/>
    <hyperlink ref="A12" location="'Projeções - Receita'!A1" display="Projeções" xr:uid="{EBD9089C-10B4-4410-B45B-C9C155534A3B}"/>
    <hyperlink ref="A13" location="Lojas!A1" display="Lojas" xr:uid="{C1E65A67-0EF3-4C17-9C4C-1E04E8179F3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52AA-A22B-40EA-B36A-DCCA4C62FFFF}">
  <sheetPr codeName="Planilha26"/>
  <dimension ref="A1:CC151"/>
  <sheetViews>
    <sheetView showGridLines="0" zoomScale="85" zoomScaleNormal="85" workbookViewId="0">
      <selection activeCell="A12" sqref="A12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40.83203125" style="1" bestFit="1" customWidth="1"/>
    <col min="6" max="6" width="12.5" style="1" bestFit="1" customWidth="1"/>
    <col min="7" max="7" width="12.83203125" style="1" bestFit="1" customWidth="1"/>
    <col min="8" max="8" width="13.5" style="1" bestFit="1" customWidth="1"/>
    <col min="9" max="9" width="12.6640625" style="1" bestFit="1" customWidth="1"/>
    <col min="10" max="11" width="13" style="1" bestFit="1" customWidth="1"/>
    <col min="12" max="22" width="9.1640625" style="1" customWidth="1"/>
    <col min="23" max="23" width="9.1640625" style="1" hidden="1" customWidth="1"/>
    <col min="24" max="27" width="0" style="1" hidden="1" customWidth="1"/>
    <col min="28" max="29" width="9.1640625" style="1" hidden="1" customWidth="1"/>
    <col min="30" max="33" width="0" style="1" hidden="1" customWidth="1"/>
    <col min="34" max="35" width="9.1640625" style="1" hidden="1" customWidth="1"/>
    <col min="36" max="52" width="0" style="1" hidden="1" customWidth="1"/>
    <col min="53" max="53" width="9.1640625" style="1" hidden="1" customWidth="1"/>
    <col min="54" max="57" width="0" style="1" hidden="1" customWidth="1"/>
    <col min="58" max="59" width="9.1640625" style="1" hidden="1" customWidth="1"/>
    <col min="60" max="63" width="0" style="1" hidden="1" customWidth="1"/>
    <col min="64" max="65" width="9.1640625" style="1" hidden="1" customWidth="1"/>
    <col min="66" max="68" width="0" style="1" hidden="1" customWidth="1"/>
    <col min="69" max="70" width="9.1640625" style="1" hidden="1" customWidth="1"/>
    <col min="71" max="74" width="0" style="1" hidden="1" customWidth="1"/>
    <col min="75" max="81" width="9.1640625" style="1" hidden="1" customWidth="1"/>
    <col min="82" max="16384" width="0" style="1" hidden="1"/>
  </cols>
  <sheetData>
    <row r="1" spans="1:27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5" customHeight="1" x14ac:dyDescent="0.2">
      <c r="B2" s="4"/>
      <c r="C2" s="4"/>
      <c r="D2" s="4"/>
      <c r="E2" s="4"/>
      <c r="F2" s="4"/>
      <c r="G2" s="5"/>
      <c r="H2" s="38"/>
      <c r="I2" s="38"/>
      <c r="J2" s="38"/>
      <c r="K2" s="38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7" ht="15" customHeight="1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7" ht="15" customHeight="1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7" ht="15" customHeight="1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7" ht="15" hidden="1" customHeight="1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7" s="10" customFormat="1" ht="24.75" customHeight="1" x14ac:dyDescent="0.2">
      <c r="A7" s="8" t="s">
        <v>1</v>
      </c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/>
      <c r="V7" s="9"/>
    </row>
    <row r="8" spans="1:27" ht="30" customHeight="1" x14ac:dyDescent="0.2">
      <c r="A8" s="15" t="s">
        <v>2</v>
      </c>
      <c r="B8" s="4"/>
      <c r="C8" s="4"/>
      <c r="D8" s="9"/>
      <c r="E8" s="9"/>
      <c r="F8" s="9"/>
      <c r="G8" s="9"/>
      <c r="H8" s="9"/>
      <c r="I8" s="9"/>
      <c r="J8" s="9"/>
      <c r="K8" s="9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7" ht="30" customHeight="1" x14ac:dyDescent="0.2">
      <c r="A9" s="15" t="s">
        <v>3</v>
      </c>
      <c r="B9" s="4"/>
      <c r="C9" s="4"/>
      <c r="D9" s="153"/>
      <c r="E9" s="154"/>
      <c r="F9" s="42">
        <v>2016</v>
      </c>
      <c r="G9" s="42">
        <v>2017</v>
      </c>
      <c r="H9" s="42">
        <v>2018</v>
      </c>
      <c r="I9" s="42">
        <v>2019</v>
      </c>
      <c r="J9" s="42">
        <v>2020</v>
      </c>
      <c r="K9" s="42">
        <v>2021</v>
      </c>
      <c r="L9" s="155" t="s">
        <v>136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0" customHeight="1" x14ac:dyDescent="0.2">
      <c r="A10" s="15" t="s">
        <v>6</v>
      </c>
      <c r="B10" s="4"/>
      <c r="C10" s="4"/>
      <c r="D10" s="156"/>
      <c r="E10" s="157" t="s">
        <v>199</v>
      </c>
      <c r="F10" s="158">
        <f>'Balanço Patrimonial'!F10/'Balanço Patrimonial'!F40</f>
        <v>1.2945885896335254</v>
      </c>
      <c r="G10" s="158">
        <f>'Balanço Patrimonial'!G10/'Balanço Patrimonial'!G40</f>
        <v>1.4215256308563666</v>
      </c>
      <c r="H10" s="158">
        <f>'Balanço Patrimonial'!H10/'Balanço Patrimonial'!H40</f>
        <v>1.4718148113356844</v>
      </c>
      <c r="I10" s="158">
        <f>'Balanço Patrimonial'!I10/'Balanço Patrimonial'!I40</f>
        <v>1.8307965799773285</v>
      </c>
      <c r="J10" s="158">
        <f>'Balanço Patrimonial'!J10/'Balanço Patrimonial'!J40</f>
        <v>1.5703302385663804</v>
      </c>
      <c r="K10" s="158">
        <f>'Balanço Patrimonial'!K10/'Balanço Patrimonial'!K40</f>
        <v>1.5275008687562492</v>
      </c>
      <c r="L10" s="159">
        <f>'Balanço Patrimonial'!L10/'Balanço Patrimonial'!L40</f>
        <v>1.5204087551883037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0" customHeight="1" x14ac:dyDescent="0.2">
      <c r="A11" s="11" t="s">
        <v>8</v>
      </c>
      <c r="B11" s="4"/>
      <c r="C11" s="4"/>
      <c r="D11" s="156"/>
      <c r="E11" s="157" t="s">
        <v>200</v>
      </c>
      <c r="F11" s="158">
        <f>'Balanço Patrimonial'!F11/'Balanço Patrimonial'!F41</f>
        <v>1.2280302036922623</v>
      </c>
      <c r="G11" s="158">
        <f>'Balanço Patrimonial'!G11/'Balanço Patrimonial'!G41</f>
        <v>1.0507856470186938</v>
      </c>
      <c r="H11" s="158">
        <f>'Balanço Patrimonial'!H11/'Balanço Patrimonial'!H41</f>
        <v>1.2545621084437861</v>
      </c>
      <c r="I11" s="158">
        <f>'Balanço Patrimonial'!I11/'Balanço Patrimonial'!I41</f>
        <v>1.7129886349943493</v>
      </c>
      <c r="J11" s="158">
        <f>'Balanço Patrimonial'!J11/'Balanço Patrimonial'!J41</f>
        <v>1.5632459050029066</v>
      </c>
      <c r="K11" s="158">
        <f>'Balanço Patrimonial'!K11/'Balanço Patrimonial'!K41</f>
        <v>1.6270262996080835</v>
      </c>
      <c r="L11" s="159">
        <f>'Balanço Patrimonial'!L11/'Balanço Patrimonial'!L41</f>
        <v>1.5226936245220637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0" customHeight="1" x14ac:dyDescent="0.2">
      <c r="A12" s="15" t="s">
        <v>10</v>
      </c>
      <c r="B12" s="4"/>
      <c r="C12" s="4"/>
      <c r="D12" s="156"/>
      <c r="E12" s="157" t="s">
        <v>201</v>
      </c>
      <c r="F12" s="158">
        <f>('Balanço Patrimonial'!F11-'Balanço Patrimonial'!F17)/'Balanço Patrimonial'!F41</f>
        <v>0.92078316133276916</v>
      </c>
      <c r="G12" s="158">
        <f>('Balanço Patrimonial'!G11-'Balanço Patrimonial'!G17)/'Balanço Patrimonial'!G41</f>
        <v>0.81378052307258797</v>
      </c>
      <c r="H12" s="158">
        <f>('Balanço Patrimonial'!H11-'Balanço Patrimonial'!H17)/'Balanço Patrimonial'!H41</f>
        <v>0.97422214451095612</v>
      </c>
      <c r="I12" s="158">
        <f>('Balanço Patrimonial'!I11-'Balanço Patrimonial'!I17)/'Balanço Patrimonial'!I41</f>
        <v>1.4019132225481803</v>
      </c>
      <c r="J12" s="158">
        <f>('Balanço Patrimonial'!J11-'Balanço Patrimonial'!J17)/'Balanço Patrimonial'!J41</f>
        <v>1.2785646115331852</v>
      </c>
      <c r="K12" s="158">
        <f>('Balanço Patrimonial'!K11-'Balanço Patrimonial'!K17)/'Balanço Patrimonial'!K41</f>
        <v>1.2753701261461954</v>
      </c>
      <c r="L12" s="159">
        <f>('Balanço Patrimonial'!L11-'Balanço Patrimonial'!L17)/'Balanço Patrimonial'!L41</f>
        <v>1.1113010865831876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0" customHeight="1" x14ac:dyDescent="0.2">
      <c r="A13" s="15" t="s">
        <v>12</v>
      </c>
      <c r="B13" s="4"/>
      <c r="C13" s="4"/>
      <c r="D13" s="156"/>
      <c r="E13" s="160" t="s">
        <v>202</v>
      </c>
      <c r="F13" s="158">
        <f>'Balanço Patrimonial'!F12/'Balanço Patrimonial'!F41</f>
        <v>0.28040682337298994</v>
      </c>
      <c r="G13" s="158">
        <f>'Balanço Patrimonial'!G12/'Balanço Patrimonial'!G41</f>
        <v>0.21344040971794814</v>
      </c>
      <c r="H13" s="158">
        <f>'Balanço Patrimonial'!H12/'Balanço Patrimonial'!H41</f>
        <v>0.2548506686597321</v>
      </c>
      <c r="I13" s="158">
        <f>'Balanço Patrimonial'!I12/'Balanço Patrimonial'!I41</f>
        <v>0.2553337174778722</v>
      </c>
      <c r="J13" s="158">
        <f>'Balanço Patrimonial'!J12/'Balanço Patrimonial'!J41</f>
        <v>0.6702276624309248</v>
      </c>
      <c r="K13" s="158">
        <f>'Balanço Patrimonial'!K12/'Balanço Patrimonial'!K41</f>
        <v>0.43487663842024304</v>
      </c>
      <c r="L13" s="159">
        <f>'Balanço Patrimonial'!L12/'Balanço Patrimonial'!L41</f>
        <v>0.27895224794822293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0" customHeight="1" x14ac:dyDescent="0.2">
      <c r="A14" s="1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0" customHeight="1" x14ac:dyDescent="0.2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0" customHeight="1" x14ac:dyDescent="0.2">
      <c r="A16" s="15"/>
      <c r="B16" s="4"/>
      <c r="C16" s="4"/>
      <c r="D16" s="4"/>
      <c r="E16" s="9"/>
      <c r="F16" s="74"/>
      <c r="G16" s="74"/>
      <c r="H16" s="74"/>
      <c r="I16" s="74"/>
      <c r="J16" s="74"/>
      <c r="K16" s="7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0" customHeight="1" x14ac:dyDescent="0.2">
      <c r="A17" s="11"/>
      <c r="B17" s="4"/>
      <c r="C17" s="4"/>
      <c r="D17" s="156"/>
      <c r="E17" s="154"/>
      <c r="F17" s="42">
        <v>2016</v>
      </c>
      <c r="G17" s="42">
        <v>2017</v>
      </c>
      <c r="H17" s="42">
        <v>2018</v>
      </c>
      <c r="I17" s="42">
        <v>2019</v>
      </c>
      <c r="J17" s="42">
        <v>2020</v>
      </c>
      <c r="K17" s="42">
        <v>2021</v>
      </c>
      <c r="L17" s="155" t="s">
        <v>136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0" customHeight="1" x14ac:dyDescent="0.2">
      <c r="A18" s="15"/>
      <c r="B18" s="4"/>
      <c r="C18" s="4"/>
      <c r="D18" s="156"/>
      <c r="E18" s="157" t="s">
        <v>203</v>
      </c>
      <c r="F18" s="161">
        <f>'DRE + DCF'!F32/'Balanço Patrimonial'!F82</f>
        <v>-0.17097186452204308</v>
      </c>
      <c r="G18" s="161">
        <f>'DRE + DCF'!G32/'Balanço Patrimonial'!G82</f>
        <v>9.6253103534728129E-2</v>
      </c>
      <c r="H18" s="161">
        <f>'DRE + DCF'!H32/'Balanço Patrimonial'!H82</f>
        <v>0.15572190748310133</v>
      </c>
      <c r="I18" s="161">
        <f>'DRE + DCF'!I32/'Balanço Patrimonial'!I82</f>
        <v>0.35479765072620884</v>
      </c>
      <c r="J18" s="161">
        <f>'DRE + DCF'!J32/'Balanço Patrimonial'!J82</f>
        <v>-6.2653307217299989E-2</v>
      </c>
      <c r="K18" s="161">
        <f>'DRE + DCF'!K32/'Balanço Patrimonial'!K82</f>
        <v>0.10985242448353244</v>
      </c>
      <c r="L18" s="162">
        <f>'DRE + DCF'!L32*4/'Balanço Patrimonial'!L82</f>
        <v>-0.2161824748243597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0" customHeight="1" x14ac:dyDescent="0.2">
      <c r="A19" s="15"/>
      <c r="B19" s="4"/>
      <c r="C19" s="4"/>
      <c r="D19" s="156"/>
      <c r="E19" s="157" t="s">
        <v>204</v>
      </c>
      <c r="F19" s="161">
        <f>'DRE + DCF'!F32/'Balanço Patrimonial'!F10</f>
        <v>-3.8905302302116432E-2</v>
      </c>
      <c r="G19" s="161">
        <f>'DRE + DCF'!G32/'Balanço Patrimonial'!G10</f>
        <v>2.8541975824183375E-2</v>
      </c>
      <c r="H19" s="161">
        <f>'DRE + DCF'!H32/'Balanço Patrimonial'!H10</f>
        <v>4.9919257391693159E-2</v>
      </c>
      <c r="I19" s="161">
        <f>'DRE + DCF'!I32/'Balanço Patrimonial'!I10</f>
        <v>0.16100350963675888</v>
      </c>
      <c r="J19" s="161">
        <f>'DRE + DCF'!J32/'Balanço Patrimonial'!J10</f>
        <v>-2.2755134413534335E-2</v>
      </c>
      <c r="K19" s="161">
        <f>'DRE + DCF'!K32/'Balanço Patrimonial'!K10</f>
        <v>3.7936491208083921E-2</v>
      </c>
      <c r="L19" s="162">
        <f>'DRE + DCF'!L32*4/'Balanço Patrimonial'!L10</f>
        <v>-7.3995399087884259E-2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0" customHeight="1" x14ac:dyDescent="0.2">
      <c r="A20" s="163"/>
      <c r="B20" s="4"/>
      <c r="C20" s="4"/>
      <c r="D20" s="156"/>
      <c r="E20" s="160" t="s">
        <v>70</v>
      </c>
      <c r="F20" s="161">
        <f>'DRE + DCF'!F40/('Balanço Patrimonial'!F57+'Balanço Patrimonial'!F52+'Balanço Patrimonial'!F64+'Balanço Patrimonial'!F65+'Balanço Patrimonial'!F67+'Balanço Patrimonial'!F82-'Balanço Patrimonial'!F14)</f>
        <v>3.0416282194533097E-2</v>
      </c>
      <c r="G20" s="161">
        <f>'DRE + DCF'!G40/('Balanço Patrimonial'!G57+'Balanço Patrimonial'!G52+'Balanço Patrimonial'!G64+'Balanço Patrimonial'!G65+'Balanço Patrimonial'!G67+'Balanço Patrimonial'!G82-'Balanço Patrimonial'!G14)</f>
        <v>0.1497700038956197</v>
      </c>
      <c r="H20" s="161">
        <f>'DRE + DCF'!H40/('Balanço Patrimonial'!H57+'Balanço Patrimonial'!H52+'Balanço Patrimonial'!H64+'Balanço Patrimonial'!H65+'Balanço Patrimonial'!H67+'Balanço Patrimonial'!H82-'Balanço Patrimonial'!H14)</f>
        <v>0.16679987602282809</v>
      </c>
      <c r="I20" s="161">
        <f>'DRE + DCF'!I40/('Balanço Patrimonial'!I57+'Balanço Patrimonial'!I52+'Balanço Patrimonial'!I64+'Balanço Patrimonial'!I65+'Balanço Patrimonial'!I67+'Balanço Patrimonial'!I82-'Balanço Patrimonial'!I14)</f>
        <v>0.1498347758951013</v>
      </c>
      <c r="J20" s="161">
        <f>'DRE + DCF'!J40/('Balanço Patrimonial'!J57+'Balanço Patrimonial'!J52+'Balanço Patrimonial'!J64+'Balanço Patrimonial'!J65+'Balanço Patrimonial'!J67+'Balanço Patrimonial'!J82-'Balanço Patrimonial'!J14)</f>
        <v>5.5813150974484679E-2</v>
      </c>
      <c r="K20" s="161">
        <f>'DRE + DCF'!K40/('Balanço Patrimonial'!K57+'Balanço Patrimonial'!K52+'Balanço Patrimonial'!K64+'Balanço Patrimonial'!K65+'Balanço Patrimonial'!K67+'Balanço Patrimonial'!K82-'Balanço Patrimonial'!K14)</f>
        <v>0.14265335999365789</v>
      </c>
      <c r="L20" s="162">
        <f>'DRE + DCF'!L40*4/('Balanço Patrimonial'!L57+'Balanço Patrimonial'!L52+'Balanço Patrimonial'!L64+'Balanço Patrimonial'!L65+'Balanço Patrimonial'!L67+'Balanço Patrimonial'!L82-'Balanço Patrimonial'!L14)</f>
        <v>7.068779860963186E-3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0" customHeight="1" x14ac:dyDescent="0.2">
      <c r="A21" s="16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0" customHeight="1" x14ac:dyDescent="0.2">
      <c r="A22" s="16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0" customHeight="1" x14ac:dyDescent="0.2">
      <c r="A23" s="16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0" customHeight="1" x14ac:dyDescent="0.2">
      <c r="A24" s="163"/>
      <c r="B24" s="4"/>
      <c r="C24" s="4"/>
      <c r="D24" s="156"/>
      <c r="E24" s="154"/>
      <c r="F24" s="42">
        <v>2016</v>
      </c>
      <c r="G24" s="42">
        <v>2017</v>
      </c>
      <c r="H24" s="42">
        <v>2018</v>
      </c>
      <c r="I24" s="42">
        <v>2019</v>
      </c>
      <c r="J24" s="42">
        <v>2020</v>
      </c>
      <c r="K24" s="42">
        <v>2021</v>
      </c>
      <c r="L24" s="155" t="s">
        <v>136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0" customHeight="1" x14ac:dyDescent="0.2">
      <c r="A25" s="163"/>
      <c r="B25" s="4"/>
      <c r="C25" s="4"/>
      <c r="D25" s="156"/>
      <c r="E25" s="157" t="s">
        <v>205</v>
      </c>
      <c r="F25" s="164">
        <f>('Balanço Patrimonial'!F52+'Balanço Patrimonial'!F63+'Balanço Patrimonial'!F56+'Balanço Patrimonial'!F67-'Balanço Patrimonial'!F12)/('DRE + DCF'!F22+'DRE + DCF'!F44+'DRE + DCF'!F38)</f>
        <v>4.6031209960746642</v>
      </c>
      <c r="G25" s="164">
        <f>('Balanço Patrimonial'!G52+'Balanço Patrimonial'!G63+'Balanço Patrimonial'!G56+'Balanço Patrimonial'!G67-'Balanço Patrimonial'!G12)/('DRE + DCF'!G22+'DRE + DCF'!G44+'DRE + DCF'!G38)</f>
        <v>1.1128191234523668</v>
      </c>
      <c r="H25" s="164">
        <f>('Balanço Patrimonial'!H52+'Balanço Patrimonial'!H63+'Balanço Patrimonial'!H56+'Balanço Patrimonial'!H67-'Balanço Patrimonial'!H12)/('DRE + DCF'!H22+'DRE + DCF'!H44+'DRE + DCF'!H38)</f>
        <v>1.0348380223512381</v>
      </c>
      <c r="I25" s="164">
        <f>('Balanço Patrimonial'!I52+'Balanço Patrimonial'!I63+'Balanço Patrimonial'!I56+'Balanço Patrimonial'!I67-'Balanço Patrimonial'!I12)/('DRE + DCF'!I22+'DRE + DCF'!I44+'DRE + DCF'!I38)</f>
        <v>0.77480421641425512</v>
      </c>
      <c r="J25" s="164">
        <f>('Balanço Patrimonial'!J52+'Balanço Patrimonial'!J63+'Balanço Patrimonial'!J56+'Balanço Patrimonial'!J67-'Balanço Patrimonial'!J12)/('DRE + DCF'!J22+'DRE + DCF'!J44+'DRE + DCF'!J38)</f>
        <v>3.5818746187568635</v>
      </c>
      <c r="K25" s="164">
        <f>('Balanço Patrimonial'!K52+'Balanço Patrimonial'!K63+'Balanço Patrimonial'!K56+'Balanço Patrimonial'!K67-'Balanço Patrimonial'!K12)/('DRE + DCF'!K22+'DRE + DCF'!K44+'DRE + DCF'!K38)</f>
        <v>3.2425646745689591</v>
      </c>
      <c r="L25" s="159">
        <f>('Balanço Patrimonial'!L52+'Balanço Patrimonial'!L63+'Balanço Patrimonial'!L56+'Balanço Patrimonial'!L67-'Balanço Patrimonial'!L12)/('DRE + DCF'!L22+'DRE + DCF'!L44+'DRE + DCF'!L38)/4</f>
        <v>164.69840280924331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0" customHeight="1" x14ac:dyDescent="0.2">
      <c r="A26" s="163"/>
      <c r="B26" s="4"/>
      <c r="C26" s="4"/>
      <c r="D26" s="156"/>
      <c r="E26" s="157" t="s">
        <v>206</v>
      </c>
      <c r="F26" s="164">
        <f>'DRE + DCF'!F22/'DRE + DCF'!F29</f>
        <v>1.0613157832001788E-2</v>
      </c>
      <c r="G26" s="164">
        <f>'DRE + DCF'!G22/'DRE + DCF'!G29</f>
        <v>-0.91742268231897306</v>
      </c>
      <c r="H26" s="164">
        <f>'DRE + DCF'!H22/'DRE + DCF'!H29</f>
        <v>-1.1242220538977776</v>
      </c>
      <c r="I26" s="164">
        <f>'DRE + DCF'!I22/'DRE + DCF'!I29</f>
        <v>-3.6648349894108008</v>
      </c>
      <c r="J26" s="164">
        <f>'DRE + DCF'!J22/'DRE + DCF'!J29</f>
        <v>0.72742492692217209</v>
      </c>
      <c r="K26" s="164">
        <f>'DRE + DCF'!K22/'DRE + DCF'!K29</f>
        <v>-0.34626636218451023</v>
      </c>
      <c r="L26" s="159">
        <f>'DRE + DCF'!L22/'DRE + DCF'!L29</f>
        <v>1.5493510495595113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0" customHeight="1" x14ac:dyDescent="0.2">
      <c r="A27" s="163"/>
      <c r="B27" s="4"/>
      <c r="C27" s="4"/>
      <c r="D27" s="156"/>
      <c r="E27" s="157" t="s">
        <v>207</v>
      </c>
      <c r="F27" s="164">
        <f>('Balanço Patrimonial'!F52+'Balanço Patrimonial'!F63)/'Balanço Patrimonial'!F10</f>
        <v>6.5873975813896099E-4</v>
      </c>
      <c r="G27" s="164">
        <f>('Balanço Patrimonial'!G52+'Balanço Patrimonial'!G63)/'Balanço Patrimonial'!G10</f>
        <v>6.2015750527575795E-4</v>
      </c>
      <c r="H27" s="164">
        <f>('Balanço Patrimonial'!H52+'Balanço Patrimonial'!H63)/'Balanço Patrimonial'!H10</f>
        <v>5.3128837142577044E-4</v>
      </c>
      <c r="I27" s="164">
        <f>('Balanço Patrimonial'!I52+'Balanço Patrimonial'!I63)/'Balanço Patrimonial'!I10</f>
        <v>0.26298754433425897</v>
      </c>
      <c r="J27" s="164">
        <f>('Balanço Patrimonial'!J52+'Balanço Patrimonial'!J63)/'Balanço Patrimonial'!J10</f>
        <v>0.3920911639098304</v>
      </c>
      <c r="K27" s="164">
        <f>('Balanço Patrimonial'!K52+'Balanço Patrimonial'!K63)/'Balanço Patrimonial'!K10</f>
        <v>0.36770569836633105</v>
      </c>
      <c r="L27" s="159">
        <f>('Balanço Patrimonial'!L52+'Balanço Patrimonial'!L63)/'Balanço Patrimonial'!L10</f>
        <v>0.42045415869234581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0" customHeight="1" x14ac:dyDescent="0.2">
      <c r="A28" s="15"/>
      <c r="B28" s="4"/>
      <c r="C28" s="4"/>
      <c r="D28" s="156"/>
      <c r="E28" s="157" t="s">
        <v>208</v>
      </c>
      <c r="F28" s="164">
        <f>('Balanço Patrimonial'!F53+'Balanço Patrimonial'!F64)/'Balanço Patrimonial'!F82</f>
        <v>2.5475379044594621E-3</v>
      </c>
      <c r="G28" s="164">
        <f>('Balanço Patrimonial'!G53+'Balanço Patrimonial'!G64)/'Balanço Patrimonial'!G82</f>
        <v>1.8360418593699236E-3</v>
      </c>
      <c r="H28" s="164">
        <f>('Balanço Patrimonial'!H53+'Balanço Patrimonial'!H64)/'Balanço Patrimonial'!H82</f>
        <v>1.4510703213071472E-3</v>
      </c>
      <c r="I28" s="164">
        <f>('Balanço Patrimonial'!I53+'Balanço Patrimonial'!I64)/'Balanço Patrimonial'!I82</f>
        <v>0.44889854977240956</v>
      </c>
      <c r="J28" s="164">
        <f>('Balanço Patrimonial'!J53+'Balanço Patrimonial'!J64)/'Balanço Patrimonial'!J82</f>
        <v>0.62332115413590483</v>
      </c>
      <c r="K28" s="164">
        <f>('Balanço Patrimonial'!K53+'Balanço Patrimonial'!K64)/'Balanço Patrimonial'!K82</f>
        <v>0.48868066840533703</v>
      </c>
      <c r="L28" s="159">
        <f>('Balanço Patrimonial'!L53+'Balanço Patrimonial'!L64)/'Balanço Patrimonial'!L82</f>
        <v>0.52076366639702243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0" customHeight="1" x14ac:dyDescent="0.2">
      <c r="A29" s="15"/>
      <c r="B29" s="4"/>
      <c r="C29" s="4"/>
      <c r="D29" s="4"/>
      <c r="E29" s="165" t="s">
        <v>209</v>
      </c>
      <c r="F29" s="164">
        <f>('Balanço Patrimonial'!F53+'Balanço Patrimonial'!F64)/('Balanço Patrimonial'!F53+'Balanço Patrimonial'!F64+'Balanço Patrimonial'!F82)</f>
        <v>2.5410644464644197E-3</v>
      </c>
      <c r="G29" s="164">
        <f>('Balanço Patrimonial'!G53+'Balanço Patrimonial'!G64)/('Balanço Patrimonial'!G53+'Balanço Patrimonial'!G64+'Balanço Patrimonial'!G82)</f>
        <v>1.8326769877057918E-3</v>
      </c>
      <c r="H29" s="164">
        <f>('Balanço Patrimonial'!H53+'Balanço Patrimonial'!H64)/('Balanço Patrimonial'!H53+'Balanço Patrimonial'!H64+'Balanço Patrimonial'!H82)</f>
        <v>1.4489677671836562E-3</v>
      </c>
      <c r="I29" s="164">
        <f>('Balanço Patrimonial'!I53+'Balanço Patrimonial'!I64)/('Balanço Patrimonial'!I53+'Balanço Patrimonial'!I64+'Balanço Patrimonial'!I82)</f>
        <v>0.30982055289027777</v>
      </c>
      <c r="J29" s="164">
        <f>('Balanço Patrimonial'!J53+'Balanço Patrimonial'!J64)/('Balanço Patrimonial'!J53+'Balanço Patrimonial'!J64+'Balanço Patrimonial'!J82)</f>
        <v>0.38397895114457442</v>
      </c>
      <c r="K29" s="164">
        <f>('Balanço Patrimonial'!K53+'Balanço Patrimonial'!K64)/('Balanço Patrimonial'!K53+'Balanço Patrimonial'!K64+'Balanço Patrimonial'!K82)</f>
        <v>0.32826426699609657</v>
      </c>
      <c r="L29" s="159">
        <f>('Balanço Patrimonial'!L53+'Balanço Patrimonial'!L64)/('Balanço Patrimonial'!L53+'Balanço Patrimonial'!L64+'Balanço Patrimonial'!L82)</f>
        <v>0.34243563145535316</v>
      </c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7" ht="30" customHeight="1" x14ac:dyDescent="0.2">
      <c r="A30" s="15"/>
      <c r="B30" s="4"/>
      <c r="C30" s="4"/>
      <c r="D30" s="4"/>
      <c r="E30" s="9"/>
      <c r="F30" s="74"/>
      <c r="G30" s="74"/>
      <c r="H30" s="74"/>
      <c r="I30" s="74"/>
      <c r="J30" s="74"/>
      <c r="K30" s="7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7" ht="30" customHeight="1" x14ac:dyDescent="0.2">
      <c r="A31" s="15"/>
      <c r="B31" s="4"/>
      <c r="C31" s="4"/>
      <c r="D31" s="4"/>
      <c r="E31" s="9"/>
      <c r="F31" s="74"/>
      <c r="G31" s="74"/>
      <c r="H31" s="74"/>
      <c r="I31" s="74"/>
      <c r="J31" s="74"/>
      <c r="K31" s="7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7" ht="30" customHeight="1" x14ac:dyDescent="0.2">
      <c r="A32" s="15"/>
      <c r="B32" s="4"/>
      <c r="C32" s="4"/>
      <c r="D32" s="4"/>
      <c r="E32" s="9"/>
      <c r="F32" s="74"/>
      <c r="G32" s="74"/>
      <c r="H32" s="74"/>
      <c r="I32" s="74"/>
      <c r="J32" s="74"/>
      <c r="K32" s="7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7" ht="30" customHeight="1" x14ac:dyDescent="0.2">
      <c r="A33" s="163"/>
      <c r="B33" s="4"/>
      <c r="C33" s="4"/>
      <c r="D33" s="156"/>
      <c r="E33" s="154"/>
      <c r="F33" s="42">
        <v>2016</v>
      </c>
      <c r="G33" s="42">
        <v>2017</v>
      </c>
      <c r="H33" s="42">
        <v>2018</v>
      </c>
      <c r="I33" s="42">
        <v>2019</v>
      </c>
      <c r="J33" s="42">
        <v>2020</v>
      </c>
      <c r="K33" s="155">
        <v>2021</v>
      </c>
      <c r="L33" s="155" t="s">
        <v>136</v>
      </c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7" ht="30" customHeight="1" x14ac:dyDescent="0.2">
      <c r="A34" s="15"/>
      <c r="B34" s="4"/>
      <c r="C34" s="4"/>
      <c r="D34" s="156"/>
      <c r="E34" s="157" t="s">
        <v>210</v>
      </c>
      <c r="F34" s="166">
        <f>'Balanço Patrimonial'!F15*365/'DRE + DCF'!F11</f>
        <v>77.342121248378575</v>
      </c>
      <c r="G34" s="166">
        <f>'Balanço Patrimonial'!G15*365/'DRE + DCF'!G11</f>
        <v>77.607648328603688</v>
      </c>
      <c r="H34" s="166">
        <f>'Balanço Patrimonial'!H15*365/'DRE + DCF'!H11</f>
        <v>81.168687832182741</v>
      </c>
      <c r="I34" s="166">
        <f>'Balanço Patrimonial'!I15*365/'DRE + DCF'!I11</f>
        <v>79.522736801953243</v>
      </c>
      <c r="J34" s="166">
        <f>'Balanço Patrimonial'!J15*365/'DRE + DCF'!J11</f>
        <v>95.044521019041554</v>
      </c>
      <c r="K34" s="166">
        <f>'Balanço Patrimonial'!K15*365/'DRE + DCF'!K11</f>
        <v>81.123813238557361</v>
      </c>
      <c r="L34" s="159">
        <f>'Balanço Patrimonial'!L15*365/'DRE + DCF'!L11/4</f>
        <v>75.222110208316622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0" customHeight="1" x14ac:dyDescent="0.2">
      <c r="A35" s="15"/>
      <c r="B35" s="4"/>
      <c r="C35" s="4"/>
      <c r="D35" s="156"/>
      <c r="E35" s="157" t="s">
        <v>211</v>
      </c>
      <c r="F35" s="166">
        <f>'Balanço Patrimonial'!F17*365/-'DRE + DCF'!F16</f>
        <v>97.322656321432405</v>
      </c>
      <c r="G35" s="166">
        <f>'Balanço Patrimonial'!G17*365/-'DRE + DCF'!G16</f>
        <v>82.355419858030373</v>
      </c>
      <c r="H35" s="166">
        <f>'Balanço Patrimonial'!H17*365/-'DRE + DCF'!H16</f>
        <v>81.660045364057979</v>
      </c>
      <c r="I35" s="166">
        <f>'Balanço Patrimonial'!I17*365/-'DRE + DCF'!I16</f>
        <v>129.52326245727275</v>
      </c>
      <c r="J35" s="166">
        <f>'Balanço Patrimonial'!J17*365/-'DRE + DCF'!J16</f>
        <v>113.53111436214628</v>
      </c>
      <c r="K35" s="166">
        <f>'Balanço Patrimonial'!K17*365/-'DRE + DCF'!K16</f>
        <v>134.51153824457259</v>
      </c>
      <c r="L35" s="159">
        <f>'Balanço Patrimonial'!L17*365/-'DRE + DCF'!L16/4</f>
        <v>121.0842547422538</v>
      </c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7" ht="30" customHeight="1" x14ac:dyDescent="0.2">
      <c r="A36" s="15"/>
      <c r="B36" s="4"/>
      <c r="C36" s="4"/>
      <c r="D36" s="156"/>
      <c r="E36" s="157" t="s">
        <v>212</v>
      </c>
      <c r="F36" s="166">
        <f>('Balanço Patrimonial'!F44+'Balanço Patrimonial'!F42)*365/-('DRE + DCF'!F13+'DRE + DCF'!F16+'DRE + DCF'!F38+'DRE + DCF'!F44)</f>
        <v>56.78215918478076</v>
      </c>
      <c r="G36" s="166">
        <f>('Balanço Patrimonial'!G44+'Balanço Patrimonial'!G42)*365/-('DRE + DCF'!G13+'DRE + DCF'!G16+'DRE + DCF'!G38+'DRE + DCF'!G44)</f>
        <v>66.156281649022148</v>
      </c>
      <c r="H36" s="166">
        <f>('Balanço Patrimonial'!H44+'Balanço Patrimonial'!H42)*365/-('DRE + DCF'!H13+'DRE + DCF'!H16+'DRE + DCF'!H38+'DRE + DCF'!H44)</f>
        <v>64.564898175996703</v>
      </c>
      <c r="I36" s="166">
        <f>('Balanço Patrimonial'!I44+'Balanço Patrimonial'!I42)*365/-('DRE + DCF'!I13+'DRE + DCF'!I16+'DRE + DCF'!I38+'DRE + DCF'!I44)</f>
        <v>91.418340886964117</v>
      </c>
      <c r="J36" s="166">
        <f>('Balanço Patrimonial'!J44+'Balanço Patrimonial'!J42)*365/-('DRE + DCF'!J13+'DRE + DCF'!J16+'DRE + DCF'!J38+'DRE + DCF'!J44)</f>
        <v>127.85903224783873</v>
      </c>
      <c r="K36" s="166">
        <f>('Balanço Patrimonial'!K44+'Balanço Patrimonial'!K42)*365/-('DRE + DCF'!K13+'DRE + DCF'!K16+'DRE + DCF'!K38+'DRE + DCF'!K44)</f>
        <v>126.91865826433991</v>
      </c>
      <c r="L36" s="159">
        <f>('Balanço Patrimonial'!L44+'Balanço Patrimonial'!L42)*365/-('DRE + DCF'!L13+'DRE + DCF'!L16+'DRE + DCF'!L38+'DRE + DCF'!L44)/4</f>
        <v>111.08771832367664</v>
      </c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7" ht="30" customHeight="1" x14ac:dyDescent="0.2">
      <c r="A37" s="15"/>
      <c r="B37" s="4"/>
      <c r="C37" s="4"/>
      <c r="D37" s="156"/>
      <c r="E37" s="157" t="s">
        <v>213</v>
      </c>
      <c r="F37" s="166">
        <f>F34+F35-F36</f>
        <v>117.88261838503021</v>
      </c>
      <c r="G37" s="166">
        <f t="shared" ref="G37:L37" si="0">G34+G35-G36</f>
        <v>93.806786537611927</v>
      </c>
      <c r="H37" s="166">
        <f t="shared" si="0"/>
        <v>98.263835020244002</v>
      </c>
      <c r="I37" s="166">
        <f t="shared" si="0"/>
        <v>117.62765837226188</v>
      </c>
      <c r="J37" s="166">
        <f t="shared" si="0"/>
        <v>80.716603133349125</v>
      </c>
      <c r="K37" s="166">
        <f t="shared" si="0"/>
        <v>88.716693218790056</v>
      </c>
      <c r="L37" s="159">
        <f t="shared" si="0"/>
        <v>85.218646626893772</v>
      </c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7" ht="30" customHeight="1" x14ac:dyDescent="0.2">
      <c r="A38" s="1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7" ht="30" customHeight="1" x14ac:dyDescent="0.2">
      <c r="A39" s="15"/>
      <c r="B39" s="4"/>
      <c r="C39" s="4"/>
      <c r="D39" s="4"/>
      <c r="E39" s="9"/>
      <c r="F39" s="74"/>
      <c r="G39" s="74"/>
      <c r="H39" s="74"/>
      <c r="I39" s="74"/>
      <c r="J39" s="74"/>
      <c r="K39" s="7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7" ht="30" customHeight="1" x14ac:dyDescent="0.2">
      <c r="A40" s="15"/>
      <c r="B40" s="4"/>
      <c r="C40" s="4"/>
      <c r="D40" s="4"/>
      <c r="E40" s="9"/>
      <c r="F40" s="74"/>
      <c r="G40" s="74"/>
      <c r="H40" s="74"/>
      <c r="I40" s="74"/>
      <c r="J40" s="74"/>
      <c r="K40" s="7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7" ht="30" customHeight="1" x14ac:dyDescent="0.2">
      <c r="A41" s="15"/>
      <c r="B41" s="4"/>
      <c r="C41" s="4"/>
      <c r="D41" s="156"/>
      <c r="E41" s="154"/>
      <c r="F41" s="42">
        <v>2016</v>
      </c>
      <c r="G41" s="42">
        <v>2017</v>
      </c>
      <c r="H41" s="42">
        <v>2018</v>
      </c>
      <c r="I41" s="42">
        <v>2019</v>
      </c>
      <c r="J41" s="42">
        <v>2020</v>
      </c>
      <c r="K41" s="42">
        <v>2021</v>
      </c>
      <c r="L41" s="155" t="s">
        <v>136</v>
      </c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7" ht="30" customHeight="1" x14ac:dyDescent="0.2">
      <c r="A42" s="15"/>
      <c r="B42" s="4"/>
      <c r="C42" s="4"/>
      <c r="D42" s="156"/>
      <c r="E42" s="157" t="s">
        <v>214</v>
      </c>
      <c r="F42" s="164">
        <v>0</v>
      </c>
      <c r="G42" s="164">
        <v>0</v>
      </c>
      <c r="H42" s="164">
        <v>0</v>
      </c>
      <c r="I42" s="164">
        <v>0.253477379</v>
      </c>
      <c r="J42" s="164">
        <v>0</v>
      </c>
      <c r="K42" s="164">
        <v>0</v>
      </c>
      <c r="L42" s="159"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7" ht="30" customHeight="1" x14ac:dyDescent="0.2">
      <c r="A43" s="15"/>
      <c r="B43" s="4"/>
      <c r="C43" s="4"/>
      <c r="D43" s="156"/>
      <c r="E43" s="157" t="s">
        <v>215</v>
      </c>
      <c r="F43" s="60">
        <v>0</v>
      </c>
      <c r="G43" s="60">
        <v>0</v>
      </c>
      <c r="H43" s="60">
        <v>0</v>
      </c>
      <c r="I43" s="60">
        <v>1.4004275082899999E-2</v>
      </c>
      <c r="J43" s="60">
        <v>0</v>
      </c>
      <c r="K43" s="60">
        <v>0</v>
      </c>
      <c r="L43" s="159"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7" ht="30" customHeight="1" x14ac:dyDescent="0.2">
      <c r="A44" s="15"/>
      <c r="B44" s="4"/>
      <c r="C44" s="4"/>
      <c r="D44" s="156"/>
      <c r="E44" s="157" t="s">
        <v>216</v>
      </c>
      <c r="F44" s="60">
        <v>0</v>
      </c>
      <c r="G44" s="60">
        <v>0</v>
      </c>
      <c r="H44" s="60">
        <v>0</v>
      </c>
      <c r="I44" s="60">
        <v>8.0384480059300004E-2</v>
      </c>
      <c r="J44" s="60">
        <v>0</v>
      </c>
      <c r="K44" s="60">
        <v>0</v>
      </c>
      <c r="L44" s="159"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7" ht="30" customHeight="1" x14ac:dyDescent="0.2">
      <c r="A45" s="15"/>
      <c r="B45" s="4"/>
      <c r="C45" s="4"/>
      <c r="D45" s="4"/>
      <c r="E45" s="9"/>
      <c r="F45" s="74"/>
      <c r="G45" s="74"/>
      <c r="H45" s="74"/>
      <c r="I45" s="74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7" ht="30" customHeight="1" x14ac:dyDescent="0.2">
      <c r="A46" s="15"/>
      <c r="B46" s="4"/>
      <c r="C46" s="4"/>
      <c r="D46" s="4"/>
      <c r="E46" s="9"/>
      <c r="F46" s="74"/>
      <c r="G46" s="74"/>
      <c r="H46" s="74"/>
      <c r="I46" s="74"/>
      <c r="J46" s="74"/>
      <c r="K46" s="7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7" ht="30" customHeight="1" x14ac:dyDescent="0.2">
      <c r="A47" s="15"/>
      <c r="B47" s="4"/>
      <c r="C47" s="4"/>
      <c r="D47" s="4"/>
      <c r="E47" s="9"/>
      <c r="F47" s="74"/>
      <c r="G47" s="74"/>
      <c r="H47" s="74"/>
      <c r="I47" s="74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7" ht="30" customHeight="1" x14ac:dyDescent="0.2">
      <c r="A48" s="15"/>
      <c r="B48" s="4"/>
      <c r="C48" s="4"/>
      <c r="D48" s="4"/>
      <c r="E48" s="9"/>
      <c r="F48" s="74"/>
      <c r="G48" s="74"/>
      <c r="H48" s="74"/>
      <c r="I48" s="74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30" customHeight="1" x14ac:dyDescent="0.2">
      <c r="A49" s="15"/>
      <c r="B49" s="4"/>
      <c r="C49" s="4"/>
      <c r="D49" s="4"/>
      <c r="E49" s="9"/>
      <c r="F49" s="74"/>
      <c r="G49" s="74"/>
      <c r="H49" s="74"/>
      <c r="I49" s="74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30" customHeight="1" x14ac:dyDescent="0.2">
      <c r="A50" s="15"/>
      <c r="B50" s="4"/>
      <c r="C50" s="4"/>
      <c r="D50" s="4"/>
      <c r="E50" s="9"/>
      <c r="F50" s="74"/>
      <c r="G50" s="74"/>
      <c r="H50" s="74"/>
      <c r="I50" s="74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30" customHeight="1" x14ac:dyDescent="0.2">
      <c r="A51" s="15"/>
      <c r="B51" s="4"/>
      <c r="C51" s="4"/>
      <c r="D51" s="4"/>
      <c r="E51" s="9"/>
      <c r="F51" s="74"/>
      <c r="G51" s="74"/>
      <c r="H51" s="74"/>
      <c r="I51" s="74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30" customHeight="1" x14ac:dyDescent="0.2">
      <c r="A52" s="15"/>
      <c r="B52" s="4"/>
      <c r="C52" s="4"/>
      <c r="D52" s="4"/>
      <c r="E52" s="9"/>
      <c r="F52" s="74"/>
      <c r="G52" s="74"/>
      <c r="H52" s="74"/>
      <c r="I52" s="74"/>
      <c r="J52" s="74"/>
      <c r="K52" s="7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hidden="1" x14ac:dyDescent="0.2">
      <c r="A53" s="15"/>
      <c r="B53" s="4"/>
      <c r="C53" s="4"/>
      <c r="D53" s="4"/>
      <c r="E53" s="9"/>
      <c r="F53" s="74"/>
      <c r="G53" s="74"/>
      <c r="H53" s="74"/>
      <c r="I53" s="74"/>
      <c r="J53" s="74"/>
      <c r="K53" s="7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47" customHeight="1" x14ac:dyDescent="0.2">
      <c r="A54" s="15"/>
      <c r="B54" s="4"/>
      <c r="C54" s="4"/>
      <c r="D54" s="4"/>
      <c r="E54" s="9"/>
      <c r="F54" s="74"/>
      <c r="G54" s="74"/>
      <c r="H54" s="74"/>
      <c r="I54" s="74"/>
      <c r="J54" s="74"/>
      <c r="K54" s="7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47" customHeight="1" x14ac:dyDescent="0.2">
      <c r="A55" s="15"/>
      <c r="B55" s="4"/>
      <c r="C55" s="4"/>
      <c r="D55" s="4"/>
      <c r="E55" s="9"/>
      <c r="F55" s="74"/>
      <c r="G55" s="74"/>
      <c r="H55" s="74"/>
      <c r="I55" s="74"/>
      <c r="J55" s="74"/>
      <c r="K55" s="7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30" customHeight="1" x14ac:dyDescent="0.2">
      <c r="A56" s="15"/>
      <c r="B56" s="4"/>
      <c r="C56" s="4"/>
      <c r="D56" s="4"/>
      <c r="E56" s="9"/>
      <c r="F56" s="74"/>
      <c r="G56" s="74"/>
      <c r="H56" s="74"/>
      <c r="I56" s="74"/>
      <c r="J56" s="74"/>
      <c r="K56" s="7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30" customHeight="1" x14ac:dyDescent="0.2">
      <c r="A57" s="15"/>
      <c r="B57" s="4"/>
      <c r="C57" s="4"/>
      <c r="D57" s="4"/>
      <c r="E57" s="9"/>
      <c r="F57" s="74"/>
      <c r="G57" s="74"/>
      <c r="H57" s="74"/>
      <c r="I57" s="74"/>
      <c r="J57" s="74"/>
      <c r="K57" s="7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30" customHeight="1" x14ac:dyDescent="0.2">
      <c r="A58" s="15"/>
      <c r="B58" s="4"/>
      <c r="C58" s="4"/>
      <c r="D58" s="4"/>
      <c r="E58" s="9"/>
      <c r="F58" s="74"/>
      <c r="G58" s="74"/>
      <c r="H58" s="74"/>
      <c r="I58" s="74"/>
      <c r="J58" s="74"/>
      <c r="K58" s="7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30" customHeight="1" x14ac:dyDescent="0.2">
      <c r="A59" s="15"/>
      <c r="B59" s="4"/>
      <c r="C59" s="4"/>
      <c r="D59" s="4"/>
      <c r="E59" s="9"/>
      <c r="F59" s="74"/>
      <c r="G59" s="74"/>
      <c r="H59" s="74"/>
      <c r="I59" s="74"/>
      <c r="J59" s="74"/>
      <c r="K59" s="7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30" customHeight="1" x14ac:dyDescent="0.2">
      <c r="A60" s="15"/>
      <c r="B60" s="4"/>
      <c r="C60" s="4"/>
      <c r="D60" s="4"/>
      <c r="E60" s="9"/>
      <c r="F60" s="74"/>
      <c r="G60" s="74"/>
      <c r="H60" s="74"/>
      <c r="I60" s="74"/>
      <c r="J60" s="74"/>
      <c r="K60" s="7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30" customHeight="1" x14ac:dyDescent="0.2">
      <c r="A61" s="15"/>
      <c r="B61" s="4"/>
      <c r="C61" s="4"/>
      <c r="D61" s="4"/>
      <c r="E61" s="9"/>
      <c r="F61" s="74"/>
      <c r="G61" s="74"/>
      <c r="H61" s="74"/>
      <c r="I61" s="74"/>
      <c r="J61" s="74"/>
      <c r="K61" s="7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30" customHeight="1" x14ac:dyDescent="0.2">
      <c r="A62" s="15"/>
      <c r="B62" s="4"/>
      <c r="C62" s="4"/>
      <c r="D62" s="4"/>
      <c r="E62" s="9"/>
      <c r="F62" s="74"/>
      <c r="G62" s="74"/>
      <c r="H62" s="74"/>
      <c r="I62" s="74"/>
      <c r="J62" s="74"/>
      <c r="K62" s="7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30" customHeight="1" x14ac:dyDescent="0.2">
      <c r="A63" s="15"/>
      <c r="B63" s="4"/>
      <c r="C63" s="4"/>
      <c r="D63" s="4"/>
      <c r="E63" s="9"/>
      <c r="F63" s="74"/>
      <c r="G63" s="74"/>
      <c r="H63" s="74"/>
      <c r="I63" s="74"/>
      <c r="J63" s="74"/>
      <c r="K63" s="7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30" customHeight="1" x14ac:dyDescent="0.2">
      <c r="A64" s="15"/>
      <c r="B64" s="4"/>
      <c r="C64" s="4"/>
      <c r="D64" s="4"/>
      <c r="E64" s="9"/>
      <c r="F64" s="74"/>
      <c r="G64" s="74"/>
      <c r="H64" s="74"/>
      <c r="I64" s="74"/>
      <c r="J64" s="74"/>
      <c r="K64" s="7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30" customHeight="1" x14ac:dyDescent="0.2">
      <c r="A65" s="15"/>
      <c r="B65" s="4"/>
      <c r="C65" s="4"/>
      <c r="D65" s="4"/>
      <c r="E65" s="9"/>
      <c r="F65" s="74"/>
      <c r="G65" s="74"/>
      <c r="H65" s="74"/>
      <c r="I65" s="74"/>
      <c r="J65" s="74"/>
      <c r="K65" s="7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30" customHeight="1" x14ac:dyDescent="0.2">
      <c r="A66" s="15"/>
      <c r="B66" s="4"/>
      <c r="C66" s="4"/>
      <c r="D66" s="4"/>
      <c r="E66" s="9"/>
      <c r="F66" s="74"/>
      <c r="G66" s="74"/>
      <c r="H66" s="74"/>
      <c r="I66" s="74"/>
      <c r="J66" s="74"/>
      <c r="K66" s="7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30" customHeight="1" x14ac:dyDescent="0.2">
      <c r="A67" s="15"/>
      <c r="B67" s="4"/>
      <c r="C67" s="4"/>
      <c r="D67" s="4"/>
      <c r="E67" s="9"/>
      <c r="F67" s="74"/>
      <c r="G67" s="74"/>
      <c r="H67" s="74"/>
      <c r="I67" s="74"/>
      <c r="J67" s="74"/>
      <c r="K67" s="7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30" customHeight="1" x14ac:dyDescent="0.2">
      <c r="A68" s="15"/>
      <c r="B68" s="4"/>
      <c r="C68" s="4"/>
      <c r="D68" s="4"/>
      <c r="E68" s="9"/>
      <c r="F68" s="74"/>
      <c r="G68" s="74"/>
      <c r="H68" s="74"/>
      <c r="I68" s="74"/>
      <c r="J68" s="74"/>
      <c r="K68" s="7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30" customHeight="1" x14ac:dyDescent="0.2">
      <c r="A69" s="15"/>
      <c r="B69" s="4"/>
      <c r="C69" s="4"/>
      <c r="D69" s="4"/>
      <c r="E69" s="9"/>
      <c r="F69" s="74"/>
      <c r="G69" s="74"/>
      <c r="H69" s="74"/>
      <c r="I69" s="74"/>
      <c r="J69" s="74"/>
      <c r="K69" s="7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30" customHeight="1" x14ac:dyDescent="0.2">
      <c r="A70" s="15"/>
      <c r="B70" s="4"/>
      <c r="C70" s="4"/>
      <c r="D70" s="4"/>
      <c r="E70" s="9"/>
      <c r="F70" s="74"/>
      <c r="G70" s="74"/>
      <c r="H70" s="74"/>
      <c r="I70" s="74"/>
      <c r="J70" s="74"/>
      <c r="K70" s="7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30" customHeight="1" x14ac:dyDescent="0.2">
      <c r="A71" s="15"/>
      <c r="B71" s="4"/>
      <c r="C71" s="4"/>
      <c r="D71" s="4"/>
      <c r="E71" s="9"/>
      <c r="F71" s="74"/>
      <c r="G71" s="74"/>
      <c r="H71" s="74"/>
      <c r="I71" s="74"/>
      <c r="J71" s="74"/>
      <c r="K71" s="7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30" customHeight="1" x14ac:dyDescent="0.2">
      <c r="A72" s="15"/>
      <c r="B72" s="4"/>
      <c r="C72" s="4"/>
      <c r="D72" s="4"/>
      <c r="E72" s="9"/>
      <c r="F72" s="74"/>
      <c r="G72" s="74"/>
      <c r="H72" s="74"/>
      <c r="I72" s="74"/>
      <c r="J72" s="74"/>
      <c r="K72" s="7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30" customHeight="1" x14ac:dyDescent="0.2">
      <c r="A73" s="15"/>
      <c r="B73" s="4"/>
      <c r="C73" s="4"/>
      <c r="D73" s="4"/>
      <c r="E73" s="9"/>
      <c r="F73" s="74"/>
      <c r="G73" s="74"/>
      <c r="H73" s="74"/>
      <c r="I73" s="74"/>
      <c r="J73" s="74"/>
      <c r="K73" s="7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30" customHeight="1" x14ac:dyDescent="0.2">
      <c r="A74" s="15"/>
      <c r="B74" s="4"/>
      <c r="C74" s="4"/>
      <c r="D74" s="4"/>
      <c r="E74" s="9"/>
      <c r="F74" s="74"/>
      <c r="G74" s="74"/>
      <c r="H74" s="74"/>
      <c r="I74" s="74"/>
      <c r="J74" s="74"/>
      <c r="K74" s="7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30" customHeight="1" x14ac:dyDescent="0.2">
      <c r="A75" s="15"/>
      <c r="B75" s="4"/>
      <c r="C75" s="4"/>
      <c r="D75" s="4"/>
      <c r="E75" s="9"/>
      <c r="F75" s="74"/>
      <c r="G75" s="74"/>
      <c r="H75" s="74"/>
      <c r="I75" s="74"/>
      <c r="J75" s="74"/>
      <c r="K75" s="7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30" customHeight="1" x14ac:dyDescent="0.2">
      <c r="A76" s="15"/>
      <c r="B76" s="4"/>
      <c r="C76" s="4"/>
      <c r="D76" s="4"/>
      <c r="E76" s="9"/>
      <c r="F76" s="74"/>
      <c r="G76" s="74"/>
      <c r="H76" s="74"/>
      <c r="I76" s="74"/>
      <c r="J76" s="74"/>
      <c r="K76" s="7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30" customHeight="1" x14ac:dyDescent="0.2">
      <c r="A77" s="1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30" customHeight="1" x14ac:dyDescent="0.2">
      <c r="A78" s="1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30" customHeight="1" x14ac:dyDescent="0.2">
      <c r="A79" s="1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30" customHeight="1" x14ac:dyDescent="0.2">
      <c r="A80" s="1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30" customHeight="1" x14ac:dyDescent="0.2">
      <c r="A81" s="1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30" customHeight="1" x14ac:dyDescent="0.2">
      <c r="A82" s="1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30" customHeight="1" x14ac:dyDescent="0.2">
      <c r="A83" s="1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30" customHeight="1" x14ac:dyDescent="0.2">
      <c r="A84" s="1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30" customHeight="1" x14ac:dyDescent="0.2">
      <c r="A85" s="1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30" customHeight="1" x14ac:dyDescent="0.2">
      <c r="A86" s="1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30" customHeight="1" x14ac:dyDescent="0.2">
      <c r="A87" s="1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30" customHeight="1" x14ac:dyDescent="0.2">
      <c r="A88" s="1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30" customHeight="1" x14ac:dyDescent="0.2">
      <c r="A89" s="1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30" customHeight="1" x14ac:dyDescent="0.2">
      <c r="A90" s="1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30" customHeight="1" x14ac:dyDescent="0.2">
      <c r="A91" s="1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30" customHeight="1" x14ac:dyDescent="0.2">
      <c r="A92" s="1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30" customHeight="1" x14ac:dyDescent="0.2">
      <c r="A93" s="1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30" customHeight="1" x14ac:dyDescent="0.2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30" customHeight="1" x14ac:dyDescent="0.2">
      <c r="A95" s="1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30" customHeight="1" x14ac:dyDescent="0.2">
      <c r="A96" s="1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30" customHeight="1" x14ac:dyDescent="0.2">
      <c r="A97" s="1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30" customHeight="1" x14ac:dyDescent="0.2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30" customHeight="1" x14ac:dyDescent="0.2">
      <c r="A99" s="1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30" customHeight="1" x14ac:dyDescent="0.2">
      <c r="A100" s="1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30" customHeight="1" x14ac:dyDescent="0.2">
      <c r="A101" s="1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30" customHeight="1" x14ac:dyDescent="0.2">
      <c r="A102" s="1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30" customHeight="1" x14ac:dyDescent="0.2">
      <c r="A103" s="1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30" customHeight="1" x14ac:dyDescent="0.2">
      <c r="A104" s="1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30" customHeight="1" x14ac:dyDescent="0.2">
      <c r="A105" s="1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30" customHeight="1" x14ac:dyDescent="0.2">
      <c r="A106" s="1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30" customHeight="1" x14ac:dyDescent="0.2">
      <c r="A107" s="1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30" customHeight="1" x14ac:dyDescent="0.2">
      <c r="A108" s="1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30" customHeight="1" x14ac:dyDescent="0.2">
      <c r="A109" s="1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30" customHeight="1" x14ac:dyDescent="0.2">
      <c r="A110" s="1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30" customHeight="1" x14ac:dyDescent="0.2">
      <c r="A111" s="1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30" customHeight="1" x14ac:dyDescent="0.2">
      <c r="A112" s="1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30" customHeight="1" x14ac:dyDescent="0.2">
      <c r="A113" s="1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30" customHeight="1" x14ac:dyDescent="0.2">
      <c r="A114" s="1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30" customHeight="1" x14ac:dyDescent="0.2">
      <c r="A115" s="1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30" customHeight="1" x14ac:dyDescent="0.2">
      <c r="A116" s="1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30" customHeight="1" x14ac:dyDescent="0.2">
      <c r="A117" s="1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30" customHeight="1" x14ac:dyDescent="0.2">
      <c r="A118" s="1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30" customHeight="1" x14ac:dyDescent="0.2">
      <c r="A119" s="1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30" customHeight="1" x14ac:dyDescent="0.2">
      <c r="A120" s="1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30" customHeight="1" x14ac:dyDescent="0.2">
      <c r="A121" s="1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30" customHeight="1" x14ac:dyDescent="0.2">
      <c r="A122" s="1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30" customHeight="1" x14ac:dyDescent="0.2">
      <c r="A123" s="1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30" customHeight="1" x14ac:dyDescent="0.2">
      <c r="A124" s="1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30" customHeight="1" x14ac:dyDescent="0.2">
      <c r="A125" s="1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30" customHeight="1" x14ac:dyDescent="0.2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30" customHeight="1" x14ac:dyDescent="0.2">
      <c r="A127" s="1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30" customHeight="1" x14ac:dyDescent="0.2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3" ht="30" customHeight="1" x14ac:dyDescent="0.2">
      <c r="A129" s="1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3" ht="30" customHeight="1" x14ac:dyDescent="0.2">
      <c r="A130" s="1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3" ht="30" customHeight="1" x14ac:dyDescent="0.2">
      <c r="A131" s="1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3" s="3" customFormat="1" ht="30" customHeight="1" x14ac:dyDescent="0.2">
      <c r="A132" s="1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1"/>
    </row>
    <row r="133" spans="1:23" s="3" customFormat="1" ht="30" customHeight="1" x14ac:dyDescent="0.2">
      <c r="A133" s="1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1"/>
    </row>
    <row r="134" spans="1:23" s="3" customFormat="1" ht="30" customHeight="1" x14ac:dyDescent="0.2">
      <c r="A134" s="1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"/>
    </row>
    <row r="135" spans="1:23" s="3" customFormat="1" ht="30" customHeight="1" x14ac:dyDescent="0.2">
      <c r="A135" s="1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1"/>
    </row>
    <row r="136" spans="1:23" s="3" customFormat="1" ht="30" customHeight="1" x14ac:dyDescent="0.2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"/>
    </row>
    <row r="137" spans="1:23" s="3" customFormat="1" ht="30" customHeight="1" x14ac:dyDescent="0.2">
      <c r="A137" s="1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1"/>
    </row>
    <row r="138" spans="1:23" s="3" customFormat="1" ht="30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1"/>
    </row>
    <row r="139" spans="1:23" ht="15" hidden="1" customHeight="1" x14ac:dyDescent="0.2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23" ht="15" hidden="1" customHeight="1" x14ac:dyDescent="0.2"/>
    <row r="141" spans="1:23" ht="15" hidden="1" customHeight="1" x14ac:dyDescent="0.2"/>
    <row r="142" spans="1:23" ht="15" hidden="1" customHeight="1" x14ac:dyDescent="0.2"/>
    <row r="143" spans="1:23" ht="15" hidden="1" customHeight="1" x14ac:dyDescent="0.2"/>
    <row r="144" spans="1:23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</sheetData>
  <conditionalFormatting sqref="A1:A6 C9:D15 U9:XFD33 C17:D21 P34:XFD1048576 C24:D29 M17:T17 P18:T33 L29:O29 B1:B1048576 A20:A1048576 C33:D37 E14:E15 C22:E23 E18:E19 C16:T16 C30:O32 M9:T9 F10:T15 F18:O23 M24:O28 M33:O37 F25:L29 F34:L37 F42:H44 J42:N44 C1:XFD8 D21:E21 D41:D44 M41:N41 C38:C1048576 O49:O1048576 D45:N1048576 D38:O40">
    <cfRule type="cellIs" dxfId="116" priority="83" operator="equal">
      <formula>0</formula>
    </cfRule>
  </conditionalFormatting>
  <conditionalFormatting sqref="F9:K9">
    <cfRule type="cellIs" dxfId="115" priority="81" operator="equal">
      <formula>0</formula>
    </cfRule>
  </conditionalFormatting>
  <conditionalFormatting sqref="E22:E23">
    <cfRule type="cellIs" dxfId="114" priority="70" operator="equal">
      <formula>0</formula>
    </cfRule>
  </conditionalFormatting>
  <conditionalFormatting sqref="E9">
    <cfRule type="cellIs" dxfId="113" priority="76" operator="equal">
      <formula>0</formula>
    </cfRule>
  </conditionalFormatting>
  <conditionalFormatting sqref="E10:E12">
    <cfRule type="cellIs" dxfId="112" priority="75" operator="equal">
      <formula>0</formula>
    </cfRule>
  </conditionalFormatting>
  <conditionalFormatting sqref="F22:K23">
    <cfRule type="cellIs" dxfId="111" priority="74" operator="equal">
      <formula>0</formula>
    </cfRule>
  </conditionalFormatting>
  <conditionalFormatting sqref="E15">
    <cfRule type="cellIs" dxfId="110" priority="67" operator="equal">
      <formula>0</formula>
    </cfRule>
  </conditionalFormatting>
  <conditionalFormatting sqref="E14">
    <cfRule type="cellIs" dxfId="109" priority="64" operator="equal">
      <formula>0</formula>
    </cfRule>
  </conditionalFormatting>
  <conditionalFormatting sqref="E13">
    <cfRule type="cellIs" dxfId="108" priority="63" operator="equal">
      <formula>0</formula>
    </cfRule>
  </conditionalFormatting>
  <conditionalFormatting sqref="F17:K17">
    <cfRule type="cellIs" dxfId="107" priority="58" operator="equal">
      <formula>0</formula>
    </cfRule>
  </conditionalFormatting>
  <conditionalFormatting sqref="E17">
    <cfRule type="cellIs" dxfId="106" priority="54" operator="equal">
      <formula>0</formula>
    </cfRule>
  </conditionalFormatting>
  <conditionalFormatting sqref="E21">
    <cfRule type="cellIs" dxfId="105" priority="51" operator="equal">
      <formula>0</formula>
    </cfRule>
  </conditionalFormatting>
  <conditionalFormatting sqref="E20">
    <cfRule type="cellIs" dxfId="104" priority="50" operator="equal">
      <formula>0</formula>
    </cfRule>
  </conditionalFormatting>
  <conditionalFormatting sqref="F24:K24">
    <cfRule type="cellIs" dxfId="103" priority="47" operator="equal">
      <formula>0</formula>
    </cfRule>
  </conditionalFormatting>
  <conditionalFormatting sqref="E24">
    <cfRule type="cellIs" dxfId="102" priority="43" operator="equal">
      <formula>0</formula>
    </cfRule>
  </conditionalFormatting>
  <conditionalFormatting sqref="E25:E28">
    <cfRule type="cellIs" dxfId="101" priority="40" operator="equal">
      <formula>0</formula>
    </cfRule>
  </conditionalFormatting>
  <conditionalFormatting sqref="E34:E36">
    <cfRule type="cellIs" dxfId="100" priority="37" operator="equal">
      <formula>0</formula>
    </cfRule>
  </conditionalFormatting>
  <conditionalFormatting sqref="E37">
    <cfRule type="cellIs" dxfId="99" priority="34" operator="equal">
      <formula>0</formula>
    </cfRule>
  </conditionalFormatting>
  <conditionalFormatting sqref="F33:K33">
    <cfRule type="cellIs" dxfId="98" priority="33" operator="equal">
      <formula>0</formula>
    </cfRule>
  </conditionalFormatting>
  <conditionalFormatting sqref="E33">
    <cfRule type="cellIs" dxfId="97" priority="29" operator="equal">
      <formula>0</formula>
    </cfRule>
  </conditionalFormatting>
  <conditionalFormatting sqref="E29">
    <cfRule type="cellIs" dxfId="96" priority="26" operator="equal">
      <formula>0</formula>
    </cfRule>
  </conditionalFormatting>
  <conditionalFormatting sqref="E42:E44">
    <cfRule type="cellIs" dxfId="95" priority="22" operator="equal">
      <formula>0</formula>
    </cfRule>
  </conditionalFormatting>
  <conditionalFormatting sqref="F41:K41">
    <cfRule type="cellIs" dxfId="94" priority="21" operator="equal">
      <formula>0</formula>
    </cfRule>
  </conditionalFormatting>
  <conditionalFormatting sqref="E41">
    <cfRule type="cellIs" dxfId="93" priority="17" operator="equal">
      <formula>0</formula>
    </cfRule>
  </conditionalFormatting>
  <conditionalFormatting sqref="O41:O48">
    <cfRule type="cellIs" dxfId="92" priority="15" operator="equal">
      <formula>0</formula>
    </cfRule>
  </conditionalFormatting>
  <conditionalFormatting sqref="L9">
    <cfRule type="cellIs" dxfId="91" priority="14" operator="equal">
      <formula>0</formula>
    </cfRule>
  </conditionalFormatting>
  <conditionalFormatting sqref="L17">
    <cfRule type="cellIs" dxfId="90" priority="12" operator="equal">
      <formula>0</formula>
    </cfRule>
  </conditionalFormatting>
  <conditionalFormatting sqref="L24">
    <cfRule type="cellIs" dxfId="89" priority="11" operator="equal">
      <formula>0</formula>
    </cfRule>
  </conditionalFormatting>
  <conditionalFormatting sqref="L33">
    <cfRule type="cellIs" dxfId="88" priority="9" operator="equal">
      <formula>0</formula>
    </cfRule>
  </conditionalFormatting>
  <conditionalFormatting sqref="L41">
    <cfRule type="cellIs" dxfId="87" priority="7" operator="equal">
      <formula>0</formula>
    </cfRule>
  </conditionalFormatting>
  <conditionalFormatting sqref="I43:I44">
    <cfRule type="cellIs" dxfId="86" priority="3" operator="equal">
      <formula>0</formula>
    </cfRule>
  </conditionalFormatting>
  <conditionalFormatting sqref="I42:I44">
    <cfRule type="cellIs" dxfId="85" priority="2" operator="equal">
      <formula>0</formula>
    </cfRule>
  </conditionalFormatting>
  <conditionalFormatting sqref="I42:I44">
    <cfRule type="cellIs" dxfId="84" priority="1" operator="equal">
      <formula>0</formula>
    </cfRule>
  </conditionalFormatting>
  <hyperlinks>
    <hyperlink ref="A10" location="'DRE + DCF'!A1" display="DRE + DCF" xr:uid="{67778021-A91F-48D4-A2E5-0F0C272DD11B}"/>
    <hyperlink ref="A9" location="WACC!A1" display="WACC" xr:uid="{8E441F7E-F548-45F1-99EF-37F1916F9D80}"/>
    <hyperlink ref="A8" location="Dashboard!A1" display="Dashboard" xr:uid="{5D797550-17A3-4331-8E13-EA974CE9EF0B}"/>
    <hyperlink ref="A12" location="'Projeções - Receita'!A1" display="Projeções" xr:uid="{865CD173-E559-4F2B-9DB1-F59C0B2AF539}"/>
    <hyperlink ref="A13" location="Lojas!A1" display="Lojas" xr:uid="{98D1A47F-0DB4-4CDA-A4B9-1409F7CB738A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47AE-7AC1-4FBA-925E-C7DD765C901B}">
  <sheetPr codeName="Planilha23"/>
  <dimension ref="A1:BB110"/>
  <sheetViews>
    <sheetView showGridLines="0" zoomScale="85" zoomScaleNormal="85" workbookViewId="0"/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21.5" style="1" bestFit="1" customWidth="1"/>
    <col min="6" max="6" width="56" style="1" customWidth="1"/>
    <col min="7" max="7" width="31" style="1" bestFit="1" customWidth="1"/>
    <col min="8" max="8" width="33.5" style="1" bestFit="1" customWidth="1"/>
    <col min="9" max="9" width="30.6640625" style="1" bestFit="1" customWidth="1"/>
    <col min="10" max="10" width="11.83203125" style="1" customWidth="1"/>
    <col min="11" max="11" width="15.6640625" style="1" customWidth="1"/>
    <col min="12" max="12" width="11.83203125" style="1" customWidth="1"/>
    <col min="13" max="13" width="11.83203125" style="1" hidden="1" customWidth="1"/>
    <col min="14" max="14" width="14" style="1" hidden="1" customWidth="1"/>
    <col min="15" max="24" width="9.1640625" style="1" customWidth="1"/>
    <col min="25" max="25" width="9.1640625" style="1" hidden="1" customWidth="1"/>
    <col min="26" max="29" width="0" style="1" hidden="1" customWidth="1"/>
    <col min="30" max="31" width="9.1640625" style="1" hidden="1" customWidth="1"/>
    <col min="32" max="35" width="0" style="1" hidden="1" customWidth="1"/>
    <col min="36" max="37" width="9.1640625" style="1" hidden="1" customWidth="1"/>
    <col min="38" max="41" width="0" style="1" hidden="1" customWidth="1"/>
    <col min="42" max="42" width="9.1640625" style="1" hidden="1" customWidth="1"/>
    <col min="43" max="46" width="0" style="1" hidden="1" customWidth="1"/>
    <col min="47" max="48" width="9.1640625" style="1" hidden="1" customWidth="1"/>
    <col min="49" max="52" width="0" style="1" hidden="1" customWidth="1"/>
    <col min="53" max="54" width="9.1640625" style="1" hidden="1" customWidth="1"/>
    <col min="55" max="16384" width="0" style="1" hidden="1"/>
  </cols>
  <sheetData>
    <row r="1" spans="1:27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67" t="s">
        <v>217</v>
      </c>
      <c r="N1" s="167" t="s">
        <v>218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7" ht="15" customHeight="1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67" t="s">
        <v>219</v>
      </c>
      <c r="N2" s="167" t="s">
        <v>220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7" ht="15" customHeight="1" x14ac:dyDescent="0.2">
      <c r="B3" s="4"/>
      <c r="C3" s="4"/>
      <c r="D3" s="4"/>
      <c r="E3" s="4"/>
      <c r="F3" s="4"/>
      <c r="G3" s="38"/>
      <c r="H3" s="38"/>
      <c r="I3" s="38"/>
      <c r="J3" s="4"/>
      <c r="K3" s="4"/>
      <c r="L3" s="5"/>
      <c r="M3" s="167" t="s">
        <v>221</v>
      </c>
      <c r="N3" s="167" t="s">
        <v>222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spans="1:27" ht="15" customHeight="1" x14ac:dyDescent="0.2">
      <c r="B4" s="4"/>
      <c r="C4" s="4"/>
      <c r="D4" s="4"/>
      <c r="E4" s="4"/>
      <c r="F4" s="38"/>
      <c r="G4" s="38"/>
      <c r="H4" s="38"/>
      <c r="I4" s="38"/>
      <c r="J4" s="4"/>
      <c r="K4" s="4"/>
      <c r="L4" s="5"/>
      <c r="M4" s="167"/>
      <c r="N4" s="167" t="s">
        <v>223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spans="1:27" ht="15" customHeight="1" x14ac:dyDescent="0.2">
      <c r="B5" s="4"/>
      <c r="C5" s="4"/>
      <c r="D5" s="4"/>
      <c r="E5" s="4"/>
      <c r="F5" s="9"/>
      <c r="G5" s="38"/>
      <c r="H5" s="9"/>
      <c r="I5" s="9"/>
      <c r="J5" s="4"/>
      <c r="K5" s="4"/>
      <c r="L5" s="5"/>
      <c r="M5" s="38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7" ht="15" x14ac:dyDescent="0.2">
      <c r="B6" s="4"/>
      <c r="C6" s="4"/>
      <c r="D6" s="4"/>
      <c r="E6" s="4"/>
      <c r="F6" s="9"/>
      <c r="G6" s="9"/>
      <c r="H6" s="9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7" s="10" customFormat="1" ht="24.75" customHeight="1" x14ac:dyDescent="0.2">
      <c r="A7" s="8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7" ht="30" customHeight="1" x14ac:dyDescent="0.2">
      <c r="A8" s="15" t="s">
        <v>2</v>
      </c>
      <c r="B8" s="4"/>
      <c r="C8" s="9"/>
      <c r="D8" s="9"/>
      <c r="E8" s="168"/>
      <c r="F8" s="169"/>
      <c r="G8" s="169"/>
      <c r="H8" s="170"/>
      <c r="I8" s="17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4"/>
      <c r="V8" s="4"/>
      <c r="W8" s="4"/>
      <c r="X8" s="4"/>
    </row>
    <row r="9" spans="1:27" ht="30" customHeight="1" x14ac:dyDescent="0.2">
      <c r="A9" s="15" t="s">
        <v>3</v>
      </c>
      <c r="B9" s="4"/>
      <c r="C9" s="9"/>
      <c r="D9" s="4"/>
      <c r="E9" s="171"/>
      <c r="F9" s="42" t="s">
        <v>224</v>
      </c>
      <c r="G9" s="42" t="s">
        <v>225</v>
      </c>
      <c r="H9" s="42" t="s">
        <v>226</v>
      </c>
      <c r="I9" s="114" t="s">
        <v>227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4"/>
      <c r="V9" s="4"/>
      <c r="W9" s="4"/>
      <c r="X9" s="4"/>
      <c r="Y9" s="4"/>
      <c r="Z9" s="4"/>
      <c r="AA9" s="4"/>
    </row>
    <row r="10" spans="1:27" ht="30" customHeight="1" x14ac:dyDescent="0.2">
      <c r="A10" s="15" t="s">
        <v>6</v>
      </c>
      <c r="B10" s="4"/>
      <c r="C10" s="9"/>
      <c r="D10" s="4"/>
      <c r="E10" s="172" t="s">
        <v>228</v>
      </c>
      <c r="F10" s="52">
        <f>SUM(G19:G28)</f>
        <v>604643.85297000001</v>
      </c>
      <c r="G10" s="52">
        <v>90295.46875</v>
      </c>
      <c r="H10" s="52">
        <f>SUMIF($H$19:$H$28,"Possível",$G$19:$G$28)+16764+8161</f>
        <v>282122.00514999998</v>
      </c>
      <c r="I10" s="82">
        <f>SUMIF($H$19:$H$28,"Remota",$G$19:$G$28)</f>
        <v>232224.97352999999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4"/>
      <c r="V10" s="4"/>
      <c r="W10" s="4"/>
      <c r="X10" s="4"/>
      <c r="Y10" s="4"/>
      <c r="Z10" s="4"/>
      <c r="AA10" s="4"/>
    </row>
    <row r="11" spans="1:27" ht="30" customHeight="1" x14ac:dyDescent="0.2">
      <c r="A11" s="15" t="s">
        <v>8</v>
      </c>
      <c r="B11" s="4"/>
      <c r="C11" s="9"/>
      <c r="D11" s="4"/>
      <c r="E11" s="172" t="s">
        <v>229</v>
      </c>
      <c r="F11" s="52">
        <v>0</v>
      </c>
      <c r="G11" s="52">
        <v>0</v>
      </c>
      <c r="H11" s="52">
        <v>0</v>
      </c>
      <c r="I11" s="82">
        <f>F11-G11-H11</f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4"/>
      <c r="V11" s="4"/>
      <c r="W11" s="4"/>
      <c r="X11" s="4"/>
      <c r="Y11" s="4"/>
      <c r="Z11" s="4"/>
      <c r="AA11" s="4"/>
    </row>
    <row r="12" spans="1:27" ht="30" customHeight="1" x14ac:dyDescent="0.2">
      <c r="A12" s="11" t="s">
        <v>230</v>
      </c>
      <c r="B12" s="4"/>
      <c r="C12" s="9"/>
      <c r="D12" s="4"/>
      <c r="E12" s="172" t="s">
        <v>231</v>
      </c>
      <c r="F12" s="52">
        <v>0</v>
      </c>
      <c r="G12" s="52">
        <v>0</v>
      </c>
      <c r="H12" s="52">
        <v>0</v>
      </c>
      <c r="I12" s="82">
        <f>F12-G12-H12</f>
        <v>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4"/>
      <c r="V12" s="4"/>
      <c r="W12" s="4"/>
      <c r="X12" s="4"/>
    </row>
    <row r="13" spans="1:27" ht="30" customHeight="1" x14ac:dyDescent="0.2">
      <c r="A13" s="15" t="s">
        <v>10</v>
      </c>
      <c r="B13" s="4"/>
      <c r="C13" s="9"/>
      <c r="D13" s="4"/>
      <c r="E13" s="172" t="s">
        <v>232</v>
      </c>
      <c r="F13" s="52">
        <v>0</v>
      </c>
      <c r="G13" s="52">
        <v>0</v>
      </c>
      <c r="H13" s="52">
        <v>0</v>
      </c>
      <c r="I13" s="82">
        <f>F13-G13-H13</f>
        <v>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"/>
      <c r="V13" s="4"/>
      <c r="W13" s="4"/>
      <c r="X13" s="4"/>
    </row>
    <row r="14" spans="1:27" ht="30" customHeight="1" thickBot="1" x14ac:dyDescent="0.25">
      <c r="A14" s="15" t="s">
        <v>12</v>
      </c>
      <c r="B14" s="4"/>
      <c r="C14" s="9"/>
      <c r="D14" s="4"/>
      <c r="E14" s="173" t="s">
        <v>233</v>
      </c>
      <c r="F14" s="174">
        <f>SUM(F10:F13)</f>
        <v>604643.85297000001</v>
      </c>
      <c r="G14" s="174">
        <f>SUM(G10:G13)</f>
        <v>90295.46875</v>
      </c>
      <c r="H14" s="174">
        <f>SUM(H10:H13)</f>
        <v>282122.00514999998</v>
      </c>
      <c r="I14" s="175">
        <f>SUM(I10:I13)</f>
        <v>232224.97352999999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"/>
      <c r="V14" s="4"/>
      <c r="W14" s="4"/>
      <c r="X14" s="4"/>
    </row>
    <row r="15" spans="1:27" ht="30" customHeight="1" x14ac:dyDescent="0.2">
      <c r="A15" s="15"/>
      <c r="B15" s="4"/>
      <c r="C15" s="9"/>
      <c r="D15" s="4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"/>
      <c r="V15" s="4"/>
      <c r="W15" s="4"/>
      <c r="X15" s="4"/>
    </row>
    <row r="16" spans="1:27" ht="30" customHeight="1" x14ac:dyDescent="0.2">
      <c r="A16" s="15"/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"/>
      <c r="V16" s="4"/>
      <c r="W16" s="4"/>
      <c r="X16" s="4"/>
    </row>
    <row r="17" spans="1:24" ht="30" customHeight="1" x14ac:dyDescent="0.2">
      <c r="A17" s="15"/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"/>
      <c r="V17" s="4"/>
      <c r="W17" s="4"/>
      <c r="X17" s="4"/>
    </row>
    <row r="18" spans="1:24" ht="30" customHeight="1" x14ac:dyDescent="0.2">
      <c r="A18" s="15"/>
      <c r="B18" s="4"/>
      <c r="C18" s="9"/>
      <c r="D18" s="9"/>
      <c r="E18" s="176" t="s">
        <v>234</v>
      </c>
      <c r="F18" s="42" t="s">
        <v>20</v>
      </c>
      <c r="G18" s="42" t="s">
        <v>235</v>
      </c>
      <c r="H18" s="42" t="s">
        <v>236</v>
      </c>
      <c r="I18" s="114" t="s">
        <v>237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"/>
      <c r="V18" s="4"/>
      <c r="W18" s="4"/>
      <c r="X18" s="4"/>
    </row>
    <row r="19" spans="1:24" ht="120" x14ac:dyDescent="0.2">
      <c r="A19" s="11"/>
      <c r="B19" s="4"/>
      <c r="C19" s="9"/>
      <c r="D19" s="4"/>
      <c r="E19" s="172" t="s">
        <v>218</v>
      </c>
      <c r="F19" s="177" t="s">
        <v>238</v>
      </c>
      <c r="G19" s="52">
        <v>172197.41566999999</v>
      </c>
      <c r="H19" s="52" t="s">
        <v>219</v>
      </c>
      <c r="I19" s="90" t="s">
        <v>239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"/>
      <c r="V19" s="4"/>
      <c r="W19" s="4"/>
      <c r="X19" s="4"/>
    </row>
    <row r="20" spans="1:24" ht="78.75" customHeight="1" x14ac:dyDescent="0.2">
      <c r="A20" s="15"/>
      <c r="B20" s="4"/>
      <c r="C20" s="9"/>
      <c r="D20" s="4"/>
      <c r="E20" s="172" t="s">
        <v>218</v>
      </c>
      <c r="F20" s="177" t="s">
        <v>240</v>
      </c>
      <c r="G20" s="52">
        <v>232224.97352999999</v>
      </c>
      <c r="H20" s="52" t="s">
        <v>217</v>
      </c>
      <c r="I20" s="90">
        <v>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"/>
      <c r="V20" s="4"/>
      <c r="W20" s="4"/>
      <c r="X20" s="4"/>
    </row>
    <row r="21" spans="1:24" ht="62.25" customHeight="1" x14ac:dyDescent="0.2">
      <c r="A21" s="15"/>
      <c r="B21" s="4"/>
      <c r="C21" s="9"/>
      <c r="D21" s="4"/>
      <c r="E21" s="172" t="s">
        <v>218</v>
      </c>
      <c r="F21" s="177" t="s">
        <v>241</v>
      </c>
      <c r="G21" s="52">
        <v>8130.6527900000001</v>
      </c>
      <c r="H21" s="52" t="s">
        <v>219</v>
      </c>
      <c r="I21" s="82" t="s">
        <v>242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"/>
      <c r="V21" s="4"/>
      <c r="W21" s="4"/>
      <c r="X21" s="4"/>
    </row>
    <row r="22" spans="1:24" ht="122.25" customHeight="1" x14ac:dyDescent="0.2">
      <c r="A22" s="15"/>
      <c r="B22" s="4"/>
      <c r="C22" s="9"/>
      <c r="D22" s="4"/>
      <c r="E22" s="172" t="s">
        <v>218</v>
      </c>
      <c r="F22" s="177" t="s">
        <v>243</v>
      </c>
      <c r="G22" s="52">
        <v>17071.171180000001</v>
      </c>
      <c r="H22" s="52" t="s">
        <v>219</v>
      </c>
      <c r="I22" s="90">
        <v>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"/>
      <c r="V22" s="4"/>
      <c r="W22" s="4"/>
      <c r="X22" s="4"/>
    </row>
    <row r="23" spans="1:24" ht="86.25" customHeight="1" x14ac:dyDescent="0.2">
      <c r="A23" s="15"/>
      <c r="B23" s="4"/>
      <c r="C23" s="9"/>
      <c r="D23" s="4"/>
      <c r="E23" s="172" t="s">
        <v>218</v>
      </c>
      <c r="F23" s="177" t="s">
        <v>244</v>
      </c>
      <c r="G23" s="52">
        <v>14985.829820000001</v>
      </c>
      <c r="H23" s="52" t="s">
        <v>219</v>
      </c>
      <c r="I23" s="90">
        <v>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"/>
      <c r="V23" s="4"/>
      <c r="W23" s="4"/>
      <c r="X23" s="4"/>
    </row>
    <row r="24" spans="1:24" ht="140.25" customHeight="1" x14ac:dyDescent="0.2">
      <c r="A24" s="15"/>
      <c r="B24" s="4"/>
      <c r="C24" s="9"/>
      <c r="D24" s="4"/>
      <c r="E24" s="172" t="s">
        <v>218</v>
      </c>
      <c r="F24" s="177" t="s">
        <v>245</v>
      </c>
      <c r="G24" s="52">
        <v>14082.91769</v>
      </c>
      <c r="H24" s="52" t="s">
        <v>219</v>
      </c>
      <c r="I24" s="82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"/>
      <c r="V24" s="4"/>
      <c r="W24" s="4"/>
      <c r="X24" s="4"/>
    </row>
    <row r="25" spans="1:24" ht="86.25" customHeight="1" x14ac:dyDescent="0.2">
      <c r="A25" s="15"/>
      <c r="B25" s="4"/>
      <c r="C25" s="9"/>
      <c r="D25" s="4"/>
      <c r="E25" s="172" t="s">
        <v>218</v>
      </c>
      <c r="F25" s="177" t="s">
        <v>246</v>
      </c>
      <c r="G25" s="52">
        <v>59142.234380000002</v>
      </c>
      <c r="H25" s="52" t="s">
        <v>221</v>
      </c>
      <c r="I25" s="90" t="s">
        <v>247</v>
      </c>
      <c r="J25" s="9"/>
      <c r="K25" s="74"/>
      <c r="L25" s="9"/>
      <c r="M25" s="9"/>
      <c r="N25" s="9"/>
      <c r="O25" s="9"/>
      <c r="P25" s="9"/>
      <c r="Q25" s="9"/>
      <c r="R25" s="9"/>
      <c r="S25" s="9"/>
      <c r="T25" s="9"/>
      <c r="U25" s="4"/>
      <c r="V25" s="4"/>
      <c r="W25" s="4"/>
      <c r="X25" s="4"/>
    </row>
    <row r="26" spans="1:24" ht="86.25" customHeight="1" x14ac:dyDescent="0.2">
      <c r="A26" s="15"/>
      <c r="B26" s="4"/>
      <c r="C26" s="9"/>
      <c r="D26" s="4"/>
      <c r="E26" s="172" t="s">
        <v>218</v>
      </c>
      <c r="F26" s="177" t="s">
        <v>248</v>
      </c>
      <c r="G26" s="52">
        <v>39331.938820000003</v>
      </c>
      <c r="H26" s="52" t="s">
        <v>221</v>
      </c>
      <c r="I26" s="90" t="s">
        <v>249</v>
      </c>
      <c r="J26" s="9"/>
      <c r="K26" s="74"/>
      <c r="L26" s="74"/>
      <c r="M26" s="74"/>
      <c r="N26" s="4"/>
      <c r="O26" s="4"/>
      <c r="P26" s="4"/>
      <c r="Q26" s="9"/>
      <c r="R26" s="9"/>
      <c r="S26" s="9"/>
      <c r="T26" s="9"/>
      <c r="U26" s="4"/>
      <c r="V26" s="4"/>
      <c r="W26" s="4"/>
      <c r="X26" s="4"/>
    </row>
    <row r="27" spans="1:24" ht="86.25" customHeight="1" x14ac:dyDescent="0.2">
      <c r="A27" s="15"/>
      <c r="B27" s="4"/>
      <c r="C27" s="4"/>
      <c r="D27" s="4"/>
      <c r="E27" s="172" t="s">
        <v>218</v>
      </c>
      <c r="F27" s="177" t="s">
        <v>250</v>
      </c>
      <c r="G27" s="52">
        <v>16747.701089999999</v>
      </c>
      <c r="H27" s="52" t="s">
        <v>221</v>
      </c>
      <c r="I27" s="90">
        <v>0</v>
      </c>
      <c r="J27" s="9"/>
      <c r="K27" s="74"/>
      <c r="L27" s="74"/>
      <c r="M27" s="7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86.25" customHeight="1" thickBot="1" x14ac:dyDescent="0.25">
      <c r="A28" s="15"/>
      <c r="B28" s="4"/>
      <c r="C28" s="4"/>
      <c r="D28" s="4"/>
      <c r="E28" s="173" t="s">
        <v>218</v>
      </c>
      <c r="F28" s="178" t="s">
        <v>251</v>
      </c>
      <c r="G28" s="174">
        <v>30729.018</v>
      </c>
      <c r="H28" s="174" t="s">
        <v>219</v>
      </c>
      <c r="I28" s="179">
        <v>0</v>
      </c>
      <c r="J28" s="9"/>
      <c r="K28" s="74"/>
      <c r="L28" s="74"/>
      <c r="M28" s="7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86.25" customHeight="1" x14ac:dyDescent="0.2">
      <c r="A29" s="15"/>
      <c r="B29" s="4"/>
      <c r="C29" s="4"/>
      <c r="D29" s="4"/>
      <c r="E29" s="72"/>
      <c r="F29" s="74"/>
      <c r="G29" s="74"/>
      <c r="H29" s="74"/>
      <c r="I29" s="74"/>
      <c r="J29" s="9"/>
      <c r="K29" s="74"/>
      <c r="L29" s="74"/>
      <c r="M29" s="7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86.25" customHeight="1" x14ac:dyDescent="0.2">
      <c r="A30" s="15"/>
      <c r="B30" s="4"/>
      <c r="C30" s="4"/>
      <c r="D30" s="4"/>
      <c r="E30" s="72"/>
      <c r="F30" s="74"/>
      <c r="G30" s="74"/>
      <c r="H30" s="74"/>
      <c r="I30" s="74"/>
      <c r="J30" s="74"/>
      <c r="K30" s="74"/>
      <c r="L30" s="74"/>
      <c r="M30" s="7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5"/>
      <c r="B31" s="4"/>
      <c r="C31" s="4"/>
      <c r="D31" s="4"/>
      <c r="E31" s="72"/>
      <c r="F31" s="74"/>
      <c r="G31" s="74"/>
      <c r="H31" s="74"/>
      <c r="I31" s="74"/>
      <c r="J31" s="74"/>
      <c r="K31" s="74"/>
      <c r="L31" s="74"/>
      <c r="M31" s="7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30" customHeight="1" x14ac:dyDescent="0.2">
      <c r="A32" s="15"/>
      <c r="B32" s="4"/>
      <c r="C32" s="4"/>
      <c r="D32" s="4"/>
      <c r="E32" s="72"/>
      <c r="F32" s="74"/>
      <c r="G32" s="74"/>
      <c r="H32" s="74"/>
      <c r="I32" s="74"/>
      <c r="J32" s="74"/>
      <c r="K32" s="74"/>
      <c r="L32" s="74"/>
      <c r="M32" s="7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30" customHeight="1" x14ac:dyDescent="0.2">
      <c r="A33" s="15"/>
      <c r="B33" s="4"/>
      <c r="C33" s="4"/>
      <c r="D33" s="4"/>
      <c r="E33" s="72"/>
      <c r="F33" s="74"/>
      <c r="G33" s="74"/>
      <c r="H33" s="74"/>
      <c r="I33" s="74"/>
      <c r="J33" s="74"/>
      <c r="K33" s="74"/>
      <c r="L33" s="74"/>
      <c r="M33" s="7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30" customHeight="1" x14ac:dyDescent="0.2">
      <c r="A34" s="15"/>
      <c r="B34" s="4"/>
      <c r="C34" s="4"/>
      <c r="D34" s="4"/>
      <c r="E34" s="72"/>
      <c r="F34" s="74"/>
      <c r="G34" s="74"/>
      <c r="H34" s="74"/>
      <c r="I34" s="74"/>
      <c r="J34" s="74"/>
      <c r="K34" s="74"/>
      <c r="L34" s="74"/>
      <c r="M34" s="7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30" customHeight="1" x14ac:dyDescent="0.2">
      <c r="A35" s="15"/>
      <c r="B35" s="4"/>
      <c r="C35" s="4"/>
      <c r="D35" s="4"/>
      <c r="E35" s="72"/>
      <c r="F35" s="74"/>
      <c r="G35" s="74"/>
      <c r="H35" s="74"/>
      <c r="I35" s="74"/>
      <c r="J35" s="74"/>
      <c r="K35" s="74"/>
      <c r="L35" s="74"/>
      <c r="M35" s="7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30" customHeight="1" x14ac:dyDescent="0.2">
      <c r="A36" s="15"/>
      <c r="B36" s="4"/>
      <c r="C36" s="4"/>
      <c r="D36" s="4"/>
      <c r="E36" s="72"/>
      <c r="F36" s="74"/>
      <c r="G36" s="74"/>
      <c r="H36" s="74"/>
      <c r="I36" s="74"/>
      <c r="J36" s="74"/>
      <c r="K36" s="74"/>
      <c r="L36" s="74"/>
      <c r="M36" s="7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30" customHeight="1" x14ac:dyDescent="0.2">
      <c r="A37" s="15"/>
      <c r="B37" s="4"/>
      <c r="C37" s="4"/>
      <c r="D37" s="4"/>
      <c r="E37" s="72"/>
      <c r="F37" s="74"/>
      <c r="G37" s="74"/>
      <c r="H37" s="74"/>
      <c r="I37" s="74"/>
      <c r="J37" s="74"/>
      <c r="K37" s="74"/>
      <c r="L37" s="74"/>
      <c r="M37" s="7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30" customHeight="1" x14ac:dyDescent="0.2">
      <c r="A38" s="15"/>
      <c r="B38" s="4"/>
      <c r="C38" s="4"/>
      <c r="D38" s="4"/>
      <c r="E38" s="72"/>
      <c r="F38" s="74"/>
      <c r="G38" s="74"/>
      <c r="H38" s="74"/>
      <c r="I38" s="74"/>
      <c r="J38" s="74"/>
      <c r="K38" s="74"/>
      <c r="L38" s="74"/>
      <c r="M38" s="7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30" customHeight="1" x14ac:dyDescent="0.2">
      <c r="A39" s="15"/>
      <c r="B39" s="4"/>
      <c r="C39" s="4"/>
      <c r="D39" s="4"/>
      <c r="E39" s="72"/>
      <c r="F39" s="74"/>
      <c r="G39" s="74"/>
      <c r="H39" s="74"/>
      <c r="I39" s="74"/>
      <c r="J39" s="74"/>
      <c r="K39" s="74"/>
      <c r="L39" s="74"/>
      <c r="M39" s="7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30" customHeight="1" x14ac:dyDescent="0.2">
      <c r="A40" s="15"/>
      <c r="B40" s="4"/>
      <c r="C40" s="4"/>
      <c r="D40" s="4"/>
      <c r="E40" s="72"/>
      <c r="F40" s="74"/>
      <c r="G40" s="74"/>
      <c r="H40" s="74"/>
      <c r="I40" s="74"/>
      <c r="J40" s="74"/>
      <c r="K40" s="74"/>
      <c r="L40" s="74"/>
      <c r="M40" s="7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30" customHeight="1" x14ac:dyDescent="0.2">
      <c r="A41" s="15"/>
      <c r="B41" s="4"/>
      <c r="C41" s="4"/>
      <c r="D41" s="4"/>
      <c r="E41" s="72"/>
      <c r="F41" s="74"/>
      <c r="G41" s="74"/>
      <c r="H41" s="74"/>
      <c r="I41" s="74"/>
      <c r="J41" s="74"/>
      <c r="K41" s="74"/>
      <c r="L41" s="74"/>
      <c r="M41" s="7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30" customHeight="1" x14ac:dyDescent="0.2">
      <c r="A42" s="15"/>
      <c r="B42" s="4"/>
      <c r="C42" s="4"/>
      <c r="D42" s="4"/>
      <c r="E42" s="72"/>
      <c r="F42" s="74"/>
      <c r="G42" s="74"/>
      <c r="H42" s="74"/>
      <c r="I42" s="74"/>
      <c r="J42" s="74"/>
      <c r="K42" s="74"/>
      <c r="L42" s="74"/>
      <c r="M42" s="7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30" customHeight="1" x14ac:dyDescent="0.2">
      <c r="A43" s="15"/>
      <c r="B43" s="4"/>
      <c r="C43" s="4"/>
      <c r="D43" s="4"/>
      <c r="E43" s="72"/>
      <c r="F43" s="74"/>
      <c r="G43" s="74"/>
      <c r="H43" s="74"/>
      <c r="I43" s="74"/>
      <c r="J43" s="74"/>
      <c r="K43" s="74"/>
      <c r="L43" s="74"/>
      <c r="M43" s="7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30" customHeight="1" x14ac:dyDescent="0.2">
      <c r="A44" s="15"/>
      <c r="B44" s="4"/>
      <c r="C44" s="4"/>
      <c r="D44" s="4"/>
      <c r="E44" s="72"/>
      <c r="F44" s="74"/>
      <c r="G44" s="74"/>
      <c r="H44" s="74"/>
      <c r="I44" s="74"/>
      <c r="J44" s="74"/>
      <c r="K44" s="74"/>
      <c r="L44" s="74"/>
      <c r="M44" s="7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30" customHeight="1" x14ac:dyDescent="0.2">
      <c r="A45" s="15"/>
      <c r="B45" s="4"/>
      <c r="C45" s="4"/>
      <c r="D45" s="4"/>
      <c r="E45" s="72"/>
      <c r="F45" s="74"/>
      <c r="G45" s="74"/>
      <c r="H45" s="74"/>
      <c r="I45" s="74"/>
      <c r="J45" s="74"/>
      <c r="K45" s="74"/>
      <c r="L45" s="74"/>
      <c r="M45" s="7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30" customHeight="1" x14ac:dyDescent="0.2">
      <c r="A46" s="15"/>
      <c r="B46" s="4"/>
      <c r="C46" s="4"/>
      <c r="D46" s="4"/>
      <c r="E46" s="72"/>
      <c r="F46" s="74"/>
      <c r="G46" s="74"/>
      <c r="H46" s="74"/>
      <c r="I46" s="74"/>
      <c r="J46" s="74"/>
      <c r="K46" s="74"/>
      <c r="L46" s="74"/>
      <c r="M46" s="7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30" customHeight="1" x14ac:dyDescent="0.2">
      <c r="A47" s="15"/>
      <c r="B47" s="4"/>
      <c r="C47" s="4"/>
      <c r="D47" s="4"/>
      <c r="E47" s="72"/>
      <c r="F47" s="74"/>
      <c r="G47" s="74"/>
      <c r="H47" s="74"/>
      <c r="I47" s="74"/>
      <c r="J47" s="74"/>
      <c r="K47" s="74"/>
      <c r="L47" s="74"/>
      <c r="M47" s="7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30" customHeight="1" x14ac:dyDescent="0.2">
      <c r="A48" s="15"/>
      <c r="B48" s="4"/>
      <c r="C48" s="4"/>
      <c r="D48" s="4"/>
      <c r="E48" s="72"/>
      <c r="F48" s="74"/>
      <c r="G48" s="74"/>
      <c r="H48" s="74"/>
      <c r="I48" s="74"/>
      <c r="J48" s="74"/>
      <c r="K48" s="74"/>
      <c r="L48" s="74"/>
      <c r="M48" s="7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30" customHeight="1" x14ac:dyDescent="0.2">
      <c r="A49" s="15"/>
      <c r="B49" s="4"/>
      <c r="C49" s="4"/>
      <c r="D49" s="4"/>
      <c r="E49" s="72"/>
      <c r="F49" s="74"/>
      <c r="G49" s="74"/>
      <c r="H49" s="74"/>
      <c r="I49" s="74"/>
      <c r="J49" s="74"/>
      <c r="K49" s="74"/>
      <c r="L49" s="74"/>
      <c r="M49" s="7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30" customHeight="1" x14ac:dyDescent="0.2">
      <c r="A50" s="15"/>
      <c r="B50" s="4"/>
      <c r="C50" s="4"/>
      <c r="D50" s="4"/>
      <c r="E50" s="72"/>
      <c r="F50" s="74"/>
      <c r="G50" s="74"/>
      <c r="H50" s="74"/>
      <c r="I50" s="74"/>
      <c r="J50" s="74"/>
      <c r="K50" s="74"/>
      <c r="L50" s="74"/>
      <c r="M50" s="7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30" customHeight="1" x14ac:dyDescent="0.2">
      <c r="A51" s="15"/>
      <c r="B51" s="4"/>
      <c r="C51" s="4"/>
      <c r="D51" s="4"/>
      <c r="E51" s="72"/>
      <c r="F51" s="74"/>
      <c r="G51" s="74"/>
      <c r="H51" s="74"/>
      <c r="I51" s="74"/>
      <c r="J51" s="74"/>
      <c r="K51" s="74"/>
      <c r="L51" s="74"/>
      <c r="M51" s="7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30" customHeight="1" x14ac:dyDescent="0.2">
      <c r="A52" s="15"/>
      <c r="B52" s="4"/>
      <c r="C52" s="4"/>
      <c r="D52" s="4"/>
      <c r="E52" s="72"/>
      <c r="F52" s="74"/>
      <c r="G52" s="74"/>
      <c r="H52" s="74"/>
      <c r="I52" s="74"/>
      <c r="J52" s="74"/>
      <c r="K52" s="74"/>
      <c r="L52" s="74"/>
      <c r="M52" s="7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30" customHeight="1" x14ac:dyDescent="0.2">
      <c r="A53" s="15"/>
      <c r="B53" s="4"/>
      <c r="C53" s="4"/>
      <c r="D53" s="4"/>
      <c r="E53" s="72"/>
      <c r="F53" s="74"/>
      <c r="G53" s="74"/>
      <c r="H53" s="74"/>
      <c r="I53" s="74"/>
      <c r="J53" s="74"/>
      <c r="K53" s="74"/>
      <c r="L53" s="74"/>
      <c r="M53" s="7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30" customHeight="1" x14ac:dyDescent="0.2">
      <c r="A54" s="15"/>
      <c r="B54" s="4"/>
      <c r="C54" s="4"/>
      <c r="D54" s="4"/>
      <c r="E54" s="72"/>
      <c r="F54" s="74"/>
      <c r="G54" s="74"/>
      <c r="H54" s="74"/>
      <c r="I54" s="74"/>
      <c r="J54" s="74"/>
      <c r="K54" s="74"/>
      <c r="L54" s="74"/>
      <c r="M54" s="7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30" customHeight="1" x14ac:dyDescent="0.2">
      <c r="A55" s="15"/>
      <c r="B55" s="4"/>
      <c r="C55" s="4"/>
      <c r="D55" s="4"/>
      <c r="E55" s="72"/>
      <c r="F55" s="74"/>
      <c r="G55" s="74"/>
      <c r="H55" s="74"/>
      <c r="I55" s="74"/>
      <c r="J55" s="74"/>
      <c r="K55" s="74"/>
      <c r="L55" s="74"/>
      <c r="M55" s="7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30" customHeight="1" x14ac:dyDescent="0.2">
      <c r="A56" s="15"/>
      <c r="B56" s="4"/>
      <c r="C56" s="4"/>
      <c r="D56" s="4"/>
      <c r="E56" s="72"/>
      <c r="F56" s="74"/>
      <c r="G56" s="74"/>
      <c r="H56" s="74"/>
      <c r="I56" s="74"/>
      <c r="J56" s="74"/>
      <c r="K56" s="74"/>
      <c r="L56" s="74"/>
      <c r="M56" s="7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30" customHeight="1" x14ac:dyDescent="0.2">
      <c r="A57" s="15"/>
      <c r="B57" s="4"/>
      <c r="C57" s="4"/>
      <c r="D57" s="4"/>
      <c r="E57" s="72"/>
      <c r="F57" s="74"/>
      <c r="G57" s="74"/>
      <c r="H57" s="74"/>
      <c r="I57" s="74"/>
      <c r="J57" s="74"/>
      <c r="K57" s="74"/>
      <c r="L57" s="74"/>
      <c r="M57" s="7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30" customHeight="1" x14ac:dyDescent="0.2">
      <c r="A58" s="15"/>
      <c r="B58" s="4"/>
      <c r="C58" s="4"/>
      <c r="D58" s="4"/>
      <c r="E58" s="72"/>
      <c r="F58" s="74"/>
      <c r="G58" s="74"/>
      <c r="H58" s="74"/>
      <c r="I58" s="74"/>
      <c r="J58" s="74"/>
      <c r="K58" s="74"/>
      <c r="L58" s="74"/>
      <c r="M58" s="7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30" customHeight="1" x14ac:dyDescent="0.2">
      <c r="A59" s="15"/>
      <c r="B59" s="4"/>
      <c r="C59" s="4"/>
      <c r="D59" s="4"/>
      <c r="E59" s="72"/>
      <c r="F59" s="74"/>
      <c r="G59" s="74"/>
      <c r="H59" s="74"/>
      <c r="I59" s="74"/>
      <c r="J59" s="74"/>
      <c r="K59" s="74"/>
      <c r="L59" s="74"/>
      <c r="M59" s="7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30" customHeight="1" x14ac:dyDescent="0.2">
      <c r="A60" s="15"/>
      <c r="B60" s="4"/>
      <c r="C60" s="4"/>
      <c r="D60" s="4"/>
      <c r="E60" s="72"/>
      <c r="F60" s="74"/>
      <c r="G60" s="74"/>
      <c r="H60" s="74"/>
      <c r="I60" s="74"/>
      <c r="J60" s="74"/>
      <c r="K60" s="74"/>
      <c r="L60" s="74"/>
      <c r="M60" s="7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30" customHeight="1" x14ac:dyDescent="0.2">
      <c r="A61" s="15"/>
      <c r="B61" s="4"/>
      <c r="C61" s="4"/>
      <c r="D61" s="4"/>
      <c r="E61" s="72"/>
      <c r="F61" s="74"/>
      <c r="G61" s="74"/>
      <c r="H61" s="74"/>
      <c r="I61" s="74"/>
      <c r="J61" s="74"/>
      <c r="K61" s="74"/>
      <c r="L61" s="74"/>
      <c r="M61" s="7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30" customHeight="1" x14ac:dyDescent="0.2">
      <c r="A62" s="15"/>
      <c r="B62" s="4"/>
      <c r="C62" s="4"/>
      <c r="D62" s="4"/>
      <c r="E62" s="72"/>
      <c r="F62" s="74"/>
      <c r="G62" s="74"/>
      <c r="H62" s="74"/>
      <c r="I62" s="74"/>
      <c r="J62" s="74"/>
      <c r="K62" s="74"/>
      <c r="L62" s="74"/>
      <c r="M62" s="7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30" customHeight="1" x14ac:dyDescent="0.2">
      <c r="A63" s="15"/>
      <c r="B63" s="4"/>
      <c r="C63" s="4"/>
      <c r="D63" s="4"/>
      <c r="E63" s="72"/>
      <c r="F63" s="74"/>
      <c r="G63" s="74"/>
      <c r="H63" s="74"/>
      <c r="I63" s="74"/>
      <c r="J63" s="74"/>
      <c r="K63" s="74"/>
      <c r="L63" s="74"/>
      <c r="M63" s="7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30" customHeight="1" x14ac:dyDescent="0.2">
      <c r="A64" s="15"/>
      <c r="B64" s="4"/>
      <c r="C64" s="4"/>
      <c r="D64" s="4"/>
      <c r="E64" s="72"/>
      <c r="F64" s="74"/>
      <c r="G64" s="74"/>
      <c r="H64" s="74"/>
      <c r="I64" s="74"/>
      <c r="J64" s="74"/>
      <c r="K64" s="74"/>
      <c r="L64" s="74"/>
      <c r="M64" s="7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30" customHeight="1" x14ac:dyDescent="0.2">
      <c r="A65" s="15"/>
      <c r="B65" s="4"/>
      <c r="C65" s="4"/>
      <c r="D65" s="4"/>
      <c r="E65" s="72"/>
      <c r="F65" s="74"/>
      <c r="G65" s="74"/>
      <c r="H65" s="74"/>
      <c r="I65" s="74"/>
      <c r="J65" s="74"/>
      <c r="K65" s="74"/>
      <c r="L65" s="74"/>
      <c r="M65" s="7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30" customHeight="1" x14ac:dyDescent="0.2">
      <c r="A66" s="15"/>
      <c r="B66" s="4"/>
      <c r="C66" s="4"/>
      <c r="D66" s="4"/>
      <c r="E66" s="72"/>
      <c r="F66" s="74"/>
      <c r="G66" s="74"/>
      <c r="H66" s="74"/>
      <c r="I66" s="74"/>
      <c r="J66" s="74"/>
      <c r="K66" s="74"/>
      <c r="L66" s="74"/>
      <c r="M66" s="7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30" customHeight="1" x14ac:dyDescent="0.2">
      <c r="A67" s="15"/>
      <c r="B67" s="4"/>
      <c r="C67" s="4"/>
      <c r="D67" s="4"/>
      <c r="E67" s="72"/>
      <c r="F67" s="74"/>
      <c r="G67" s="74"/>
      <c r="H67" s="74"/>
      <c r="I67" s="74"/>
      <c r="J67" s="74"/>
      <c r="K67" s="74"/>
      <c r="L67" s="74"/>
      <c r="M67" s="7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30" customHeight="1" x14ac:dyDescent="0.2">
      <c r="A68" s="15"/>
      <c r="B68" s="4"/>
      <c r="C68" s="4"/>
      <c r="D68" s="4"/>
      <c r="E68" s="72"/>
      <c r="F68" s="74"/>
      <c r="G68" s="74"/>
      <c r="H68" s="74"/>
      <c r="I68" s="74"/>
      <c r="J68" s="74"/>
      <c r="K68" s="74"/>
      <c r="L68" s="74"/>
      <c r="M68" s="7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30" customHeight="1" x14ac:dyDescent="0.2">
      <c r="A69" s="15"/>
      <c r="B69" s="4"/>
      <c r="C69" s="4"/>
      <c r="D69" s="4"/>
      <c r="E69" s="72"/>
      <c r="F69" s="74"/>
      <c r="G69" s="74"/>
      <c r="H69" s="74"/>
      <c r="I69" s="74"/>
      <c r="J69" s="74"/>
      <c r="K69" s="74"/>
      <c r="L69" s="74"/>
      <c r="M69" s="7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30" customHeight="1" x14ac:dyDescent="0.2">
      <c r="A70" s="15"/>
      <c r="B70" s="4"/>
      <c r="C70" s="4"/>
      <c r="D70" s="4"/>
      <c r="E70" s="72"/>
      <c r="F70" s="74"/>
      <c r="G70" s="74"/>
      <c r="H70" s="74"/>
      <c r="I70" s="74"/>
      <c r="J70" s="74"/>
      <c r="K70" s="74"/>
      <c r="L70" s="74"/>
      <c r="M70" s="7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30" customHeight="1" x14ac:dyDescent="0.2">
      <c r="A71" s="15"/>
      <c r="B71" s="4"/>
      <c r="C71" s="4"/>
      <c r="D71" s="4"/>
      <c r="E71" s="72"/>
      <c r="F71" s="74"/>
      <c r="G71" s="74"/>
      <c r="H71" s="74"/>
      <c r="I71" s="74"/>
      <c r="J71" s="74"/>
      <c r="K71" s="74"/>
      <c r="L71" s="74"/>
      <c r="M71" s="7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30" customHeight="1" x14ac:dyDescent="0.2">
      <c r="A72" s="15"/>
      <c r="B72" s="4"/>
      <c r="C72" s="4"/>
      <c r="D72" s="4"/>
      <c r="E72" s="72"/>
      <c r="F72" s="74"/>
      <c r="G72" s="74"/>
      <c r="H72" s="74"/>
      <c r="I72" s="74"/>
      <c r="J72" s="74"/>
      <c r="K72" s="74"/>
      <c r="L72" s="74"/>
      <c r="M72" s="7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0" customHeight="1" x14ac:dyDescent="0.2">
      <c r="A73" s="15"/>
      <c r="B73" s="4"/>
      <c r="C73" s="4"/>
      <c r="D73" s="4"/>
      <c r="E73" s="72"/>
      <c r="F73" s="74"/>
      <c r="G73" s="74"/>
      <c r="H73" s="74"/>
      <c r="I73" s="74"/>
      <c r="J73" s="74"/>
      <c r="K73" s="74"/>
      <c r="L73" s="74"/>
      <c r="M73" s="7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30" customHeight="1" x14ac:dyDescent="0.2">
      <c r="A74" s="15"/>
      <c r="B74" s="4"/>
      <c r="C74" s="4"/>
      <c r="D74" s="4"/>
      <c r="E74" s="72"/>
      <c r="F74" s="74"/>
      <c r="G74" s="74"/>
      <c r="H74" s="74"/>
      <c r="I74" s="74"/>
      <c r="J74" s="74"/>
      <c r="K74" s="74"/>
      <c r="L74" s="74"/>
      <c r="M74" s="7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30" customHeight="1" x14ac:dyDescent="0.2">
      <c r="A75" s="15"/>
      <c r="B75" s="4"/>
      <c r="C75" s="4"/>
      <c r="D75" s="4"/>
      <c r="E75" s="72"/>
      <c r="F75" s="74"/>
      <c r="G75" s="74"/>
      <c r="H75" s="74"/>
      <c r="I75" s="74"/>
      <c r="J75" s="74"/>
      <c r="K75" s="74"/>
      <c r="L75" s="74"/>
      <c r="M75" s="7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30" customHeight="1" x14ac:dyDescent="0.2">
      <c r="A76" s="15"/>
      <c r="B76" s="4"/>
      <c r="C76" s="4"/>
      <c r="D76" s="4"/>
      <c r="E76" s="72"/>
      <c r="F76" s="74"/>
      <c r="G76" s="74"/>
      <c r="H76" s="74"/>
      <c r="I76" s="74"/>
      <c r="J76" s="74"/>
      <c r="K76" s="74"/>
      <c r="L76" s="74"/>
      <c r="M76" s="7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30" customHeight="1" x14ac:dyDescent="0.2">
      <c r="A77" s="15"/>
      <c r="B77" s="4"/>
      <c r="C77" s="4"/>
      <c r="D77" s="4"/>
      <c r="E77" s="72"/>
      <c r="F77" s="74"/>
      <c r="G77" s="74"/>
      <c r="H77" s="74"/>
      <c r="I77" s="74"/>
      <c r="J77" s="74"/>
      <c r="K77" s="74"/>
      <c r="L77" s="74"/>
      <c r="M77" s="7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30" customHeight="1" x14ac:dyDescent="0.2">
      <c r="A78" s="15"/>
      <c r="B78" s="4"/>
      <c r="C78" s="4"/>
      <c r="D78" s="4"/>
      <c r="E78" s="72"/>
      <c r="F78" s="74"/>
      <c r="G78" s="74"/>
      <c r="H78" s="74"/>
      <c r="I78" s="74"/>
      <c r="J78" s="74"/>
      <c r="K78" s="74"/>
      <c r="L78" s="74"/>
      <c r="M78" s="7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30" customHeight="1" x14ac:dyDescent="0.2">
      <c r="A79" s="15"/>
      <c r="B79" s="4"/>
      <c r="C79" s="4"/>
      <c r="D79" s="4"/>
      <c r="E79" s="72"/>
      <c r="F79" s="74"/>
      <c r="G79" s="74"/>
      <c r="H79" s="74"/>
      <c r="I79" s="74"/>
      <c r="J79" s="74"/>
      <c r="K79" s="74"/>
      <c r="L79" s="74"/>
      <c r="M79" s="7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30" customHeight="1" x14ac:dyDescent="0.2">
      <c r="A80" s="15"/>
      <c r="B80" s="4"/>
      <c r="C80" s="4"/>
      <c r="D80" s="4"/>
      <c r="E80" s="72"/>
      <c r="F80" s="74"/>
      <c r="G80" s="74"/>
      <c r="H80" s="74"/>
      <c r="I80" s="74"/>
      <c r="J80" s="74"/>
      <c r="K80" s="74"/>
      <c r="L80" s="74"/>
      <c r="M80" s="7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30" customHeight="1" x14ac:dyDescent="0.2">
      <c r="A81" s="15"/>
      <c r="B81" s="4"/>
      <c r="C81" s="4"/>
      <c r="D81" s="4"/>
      <c r="E81" s="72"/>
      <c r="F81" s="74"/>
      <c r="G81" s="74"/>
      <c r="H81" s="74"/>
      <c r="I81" s="74"/>
      <c r="J81" s="74"/>
      <c r="K81" s="74"/>
      <c r="L81" s="74"/>
      <c r="M81" s="7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30" customHeight="1" x14ac:dyDescent="0.2">
      <c r="A82" s="15"/>
      <c r="B82" s="4"/>
      <c r="C82" s="4"/>
      <c r="D82" s="4"/>
      <c r="E82" s="72"/>
      <c r="F82" s="74"/>
      <c r="G82" s="74"/>
      <c r="H82" s="74"/>
      <c r="I82" s="74"/>
      <c r="J82" s="74"/>
      <c r="K82" s="74"/>
      <c r="L82" s="74"/>
      <c r="M82" s="7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30" customHeight="1" x14ac:dyDescent="0.2">
      <c r="A83" s="15"/>
      <c r="B83" s="4"/>
      <c r="C83" s="4"/>
      <c r="D83" s="4"/>
      <c r="E83" s="72"/>
      <c r="F83" s="74"/>
      <c r="G83" s="74"/>
      <c r="H83" s="74"/>
      <c r="I83" s="74"/>
      <c r="J83" s="74"/>
      <c r="K83" s="74"/>
      <c r="L83" s="74"/>
      <c r="M83" s="7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30" customHeight="1" x14ac:dyDescent="0.2">
      <c r="A84" s="15"/>
      <c r="B84" s="4"/>
      <c r="C84" s="4"/>
      <c r="D84" s="4"/>
      <c r="E84" s="72"/>
      <c r="F84" s="74"/>
      <c r="G84" s="74"/>
      <c r="H84" s="74"/>
      <c r="I84" s="74"/>
      <c r="J84" s="74"/>
      <c r="K84" s="74"/>
      <c r="L84" s="74"/>
      <c r="M84" s="7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30" customHeight="1" x14ac:dyDescent="0.2">
      <c r="A85" s="15"/>
      <c r="B85" s="4"/>
      <c r="C85" s="4"/>
      <c r="D85" s="4"/>
      <c r="E85" s="72"/>
      <c r="F85" s="74"/>
      <c r="G85" s="74"/>
      <c r="H85" s="74"/>
      <c r="I85" s="74"/>
      <c r="J85" s="74"/>
      <c r="K85" s="74"/>
      <c r="L85" s="74"/>
      <c r="M85" s="7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30" customHeight="1" x14ac:dyDescent="0.2">
      <c r="A86" s="15"/>
      <c r="B86" s="4"/>
      <c r="C86" s="4"/>
      <c r="D86" s="4"/>
      <c r="E86" s="72"/>
      <c r="F86" s="74"/>
      <c r="G86" s="74"/>
      <c r="H86" s="74"/>
      <c r="I86" s="74"/>
      <c r="J86" s="74"/>
      <c r="K86" s="74"/>
      <c r="L86" s="74"/>
      <c r="M86" s="7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30" customHeight="1" x14ac:dyDescent="0.2">
      <c r="A87" s="15"/>
      <c r="B87" s="4"/>
      <c r="C87" s="4"/>
      <c r="D87" s="4"/>
      <c r="E87" s="72"/>
      <c r="F87" s="74"/>
      <c r="G87" s="74"/>
      <c r="H87" s="74"/>
      <c r="I87" s="74"/>
      <c r="J87" s="74"/>
      <c r="K87" s="74"/>
      <c r="L87" s="74"/>
      <c r="M87" s="7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30" customHeight="1" x14ac:dyDescent="0.2">
      <c r="A88" s="15"/>
      <c r="B88" s="4"/>
      <c r="C88" s="4"/>
      <c r="D88" s="4"/>
      <c r="E88" s="72"/>
      <c r="F88" s="74"/>
      <c r="G88" s="74"/>
      <c r="H88" s="74"/>
      <c r="I88" s="74"/>
      <c r="J88" s="74"/>
      <c r="K88" s="74"/>
      <c r="L88" s="74"/>
      <c r="M88" s="7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30" customHeight="1" x14ac:dyDescent="0.2">
      <c r="A89" s="15"/>
      <c r="B89" s="4"/>
      <c r="C89" s="4"/>
      <c r="D89" s="4"/>
      <c r="E89" s="72"/>
      <c r="F89" s="74"/>
      <c r="G89" s="74"/>
      <c r="H89" s="74"/>
      <c r="I89" s="74"/>
      <c r="J89" s="74"/>
      <c r="K89" s="74"/>
      <c r="L89" s="74"/>
      <c r="M89" s="7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30" customHeight="1" x14ac:dyDescent="0.2">
      <c r="A90" s="15"/>
      <c r="B90" s="4"/>
      <c r="C90" s="4"/>
      <c r="D90" s="4"/>
      <c r="E90" s="72"/>
      <c r="F90" s="74"/>
      <c r="G90" s="74"/>
      <c r="H90" s="74"/>
      <c r="I90" s="74"/>
      <c r="J90" s="74"/>
      <c r="K90" s="74"/>
      <c r="L90" s="74"/>
      <c r="M90" s="7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30" customHeight="1" x14ac:dyDescent="0.2">
      <c r="A91" s="15"/>
      <c r="B91" s="4"/>
      <c r="C91" s="4"/>
      <c r="D91" s="4"/>
      <c r="E91" s="72"/>
      <c r="F91" s="74"/>
      <c r="G91" s="74"/>
      <c r="H91" s="74"/>
      <c r="I91" s="74"/>
      <c r="J91" s="74"/>
      <c r="K91" s="74"/>
      <c r="L91" s="74"/>
      <c r="M91" s="7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30" customHeight="1" x14ac:dyDescent="0.2">
      <c r="A92" s="15"/>
      <c r="B92" s="4"/>
      <c r="C92" s="4"/>
      <c r="D92" s="4"/>
      <c r="E92" s="72"/>
      <c r="F92" s="74"/>
      <c r="G92" s="74"/>
      <c r="H92" s="74"/>
      <c r="I92" s="74"/>
      <c r="J92" s="74"/>
      <c r="K92" s="74"/>
      <c r="L92" s="74"/>
      <c r="M92" s="7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30" customHeight="1" x14ac:dyDescent="0.2">
      <c r="A93" s="15"/>
      <c r="B93" s="4"/>
      <c r="C93" s="4"/>
      <c r="D93" s="4"/>
      <c r="E93" s="72"/>
      <c r="F93" s="74"/>
      <c r="G93" s="74"/>
      <c r="H93" s="74"/>
      <c r="I93" s="74"/>
      <c r="J93" s="74"/>
      <c r="K93" s="74"/>
      <c r="L93" s="74"/>
      <c r="M93" s="7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30" customHeight="1" x14ac:dyDescent="0.2">
      <c r="A94" s="15"/>
      <c r="B94" s="4"/>
      <c r="C94" s="4"/>
      <c r="D94" s="4"/>
      <c r="E94" s="72"/>
      <c r="F94" s="74"/>
      <c r="G94" s="74"/>
      <c r="H94" s="74"/>
      <c r="I94" s="74"/>
      <c r="J94" s="74"/>
      <c r="K94" s="74"/>
      <c r="L94" s="74"/>
      <c r="M94" s="7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30" customHeight="1" x14ac:dyDescent="0.2">
      <c r="A95" s="15"/>
      <c r="B95" s="4"/>
      <c r="C95" s="4"/>
      <c r="D95" s="4"/>
      <c r="E95" s="72"/>
      <c r="F95" s="74"/>
      <c r="G95" s="74"/>
      <c r="H95" s="74"/>
      <c r="I95" s="74"/>
      <c r="J95" s="74"/>
      <c r="K95" s="74"/>
      <c r="L95" s="74"/>
      <c r="M95" s="7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30" customHeight="1" x14ac:dyDescent="0.2">
      <c r="A96" s="15"/>
      <c r="B96" s="4"/>
      <c r="C96" s="4"/>
      <c r="D96" s="4"/>
      <c r="E96" s="72"/>
      <c r="F96" s="74"/>
      <c r="G96" s="74"/>
      <c r="H96" s="74"/>
      <c r="I96" s="74"/>
      <c r="J96" s="74"/>
      <c r="K96" s="74"/>
      <c r="L96" s="74"/>
      <c r="M96" s="7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5" ht="30" customHeight="1" x14ac:dyDescent="0.2">
      <c r="A97" s="15"/>
      <c r="B97" s="4"/>
      <c r="C97" s="4"/>
      <c r="D97" s="4"/>
      <c r="E97" s="72"/>
      <c r="F97" s="74"/>
      <c r="G97" s="74"/>
      <c r="H97" s="74"/>
      <c r="I97" s="74"/>
      <c r="J97" s="74"/>
      <c r="K97" s="74"/>
      <c r="L97" s="74"/>
      <c r="M97" s="7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5" ht="30" customHeight="1" x14ac:dyDescent="0.2">
      <c r="A98" s="15"/>
      <c r="B98" s="4"/>
      <c r="C98" s="4"/>
      <c r="D98" s="4"/>
      <c r="E98" s="72"/>
      <c r="F98" s="74"/>
      <c r="G98" s="74"/>
      <c r="H98" s="74"/>
      <c r="I98" s="74"/>
      <c r="J98" s="74"/>
      <c r="K98" s="74"/>
      <c r="L98" s="74"/>
      <c r="M98" s="7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5" ht="30" customHeight="1" x14ac:dyDescent="0.2">
      <c r="A99" s="15"/>
      <c r="B99" s="4"/>
      <c r="C99" s="4"/>
      <c r="D99" s="4"/>
      <c r="E99" s="72"/>
      <c r="F99" s="74"/>
      <c r="G99" s="74"/>
      <c r="H99" s="74"/>
      <c r="I99" s="74"/>
      <c r="J99" s="74"/>
      <c r="K99" s="74"/>
      <c r="L99" s="74"/>
      <c r="M99" s="7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5" ht="30" customHeight="1" x14ac:dyDescent="0.2">
      <c r="A100" s="15"/>
      <c r="B100" s="4"/>
      <c r="C100" s="4"/>
      <c r="D100" s="4"/>
      <c r="E100" s="72"/>
      <c r="F100" s="74"/>
      <c r="G100" s="74"/>
      <c r="H100" s="74"/>
      <c r="I100" s="74"/>
      <c r="J100" s="74"/>
      <c r="K100" s="74"/>
      <c r="L100" s="74"/>
      <c r="M100" s="7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5" ht="30" customHeight="1" x14ac:dyDescent="0.2">
      <c r="A101" s="15"/>
      <c r="B101" s="4"/>
      <c r="C101" s="4"/>
      <c r="D101" s="4"/>
      <c r="E101" s="72"/>
      <c r="F101" s="74"/>
      <c r="G101" s="74"/>
      <c r="H101" s="74"/>
      <c r="I101" s="74"/>
      <c r="J101" s="74"/>
      <c r="K101" s="74"/>
      <c r="L101" s="74"/>
      <c r="M101" s="7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5" ht="30" customHeight="1" x14ac:dyDescent="0.2">
      <c r="A102" s="15"/>
      <c r="B102" s="4"/>
      <c r="C102" s="4"/>
      <c r="D102" s="4"/>
      <c r="E102" s="72"/>
      <c r="F102" s="74"/>
      <c r="G102" s="74"/>
      <c r="H102" s="74"/>
      <c r="I102" s="74"/>
      <c r="J102" s="74"/>
      <c r="K102" s="74"/>
      <c r="L102" s="74"/>
      <c r="M102" s="7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5" s="3" customFormat="1" ht="30" customHeight="1" x14ac:dyDescent="0.2">
      <c r="A103" s="15"/>
      <c r="B103" s="4"/>
      <c r="C103" s="4"/>
      <c r="D103" s="4"/>
      <c r="E103" s="72"/>
      <c r="F103" s="74"/>
      <c r="G103" s="74"/>
      <c r="H103" s="74"/>
      <c r="I103" s="74"/>
      <c r="J103" s="74"/>
      <c r="K103" s="74"/>
      <c r="L103" s="74"/>
      <c r="M103" s="7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1"/>
    </row>
    <row r="104" spans="1:25" s="3" customFormat="1" ht="30" customHeight="1" x14ac:dyDescent="0.2">
      <c r="A104" s="15"/>
      <c r="B104" s="4"/>
      <c r="C104" s="4"/>
      <c r="D104" s="4"/>
      <c r="E104" s="72"/>
      <c r="F104" s="74"/>
      <c r="G104" s="74"/>
      <c r="H104" s="74"/>
      <c r="I104" s="74"/>
      <c r="J104" s="74"/>
      <c r="K104" s="74"/>
      <c r="L104" s="74"/>
      <c r="M104" s="7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1"/>
    </row>
    <row r="105" spans="1:25" s="3" customFormat="1" ht="30" customHeight="1" x14ac:dyDescent="0.2">
      <c r="A105" s="15"/>
      <c r="B105" s="4"/>
      <c r="C105" s="4"/>
      <c r="D105" s="4"/>
      <c r="E105" s="72"/>
      <c r="F105" s="74"/>
      <c r="G105" s="74"/>
      <c r="H105" s="74"/>
      <c r="I105" s="74"/>
      <c r="J105" s="74"/>
      <c r="K105" s="74"/>
      <c r="L105" s="74"/>
      <c r="M105" s="7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1"/>
    </row>
    <row r="106" spans="1:25" s="3" customFormat="1" ht="30" customHeight="1" x14ac:dyDescent="0.2">
      <c r="A106" s="15"/>
      <c r="B106" s="4"/>
      <c r="C106" s="4"/>
      <c r="D106" s="4"/>
      <c r="E106" s="72"/>
      <c r="F106" s="74"/>
      <c r="G106" s="74"/>
      <c r="H106" s="74"/>
      <c r="I106" s="74"/>
      <c r="J106" s="74"/>
      <c r="K106" s="74"/>
      <c r="L106" s="74"/>
      <c r="M106" s="7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1"/>
    </row>
    <row r="107" spans="1:25" s="3" customFormat="1" ht="30" customHeight="1" x14ac:dyDescent="0.2">
      <c r="A107" s="15"/>
      <c r="B107" s="4"/>
      <c r="C107" s="4"/>
      <c r="D107" s="4"/>
      <c r="E107" s="4"/>
      <c r="F107" s="4"/>
      <c r="G107" s="4"/>
      <c r="H107" s="4"/>
      <c r="I107" s="4"/>
      <c r="J107" s="74"/>
      <c r="K107" s="74"/>
      <c r="L107" s="74"/>
      <c r="M107" s="7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1"/>
    </row>
    <row r="108" spans="1:25" s="3" customFormat="1" ht="30" customHeight="1" x14ac:dyDescent="0.2">
      <c r="A108" s="15"/>
      <c r="B108" s="4"/>
      <c r="C108" s="4"/>
      <c r="D108" s="1"/>
      <c r="E108" s="1"/>
      <c r="F108" s="1"/>
      <c r="G108" s="1"/>
      <c r="H108" s="1"/>
      <c r="I108" s="1"/>
      <c r="J108" s="97"/>
      <c r="K108" s="97"/>
      <c r="L108" s="74"/>
      <c r="M108" s="7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1"/>
    </row>
    <row r="109" spans="1:25" s="3" customFormat="1" ht="30" customHeight="1" x14ac:dyDescent="0.2">
      <c r="A109" s="15"/>
      <c r="B109" s="4"/>
      <c r="C109" s="4"/>
      <c r="D109" s="1"/>
      <c r="E109" s="1"/>
      <c r="F109" s="1"/>
      <c r="G109" s="1"/>
      <c r="H109" s="1"/>
      <c r="I109" s="1"/>
      <c r="J109" s="1"/>
      <c r="K109" s="1"/>
      <c r="L109" s="97"/>
      <c r="M109" s="97"/>
      <c r="N109" s="1"/>
      <c r="O109" s="1"/>
      <c r="P109" s="1"/>
      <c r="Q109" s="4"/>
      <c r="R109" s="4"/>
      <c r="S109" s="4"/>
      <c r="T109" s="4"/>
      <c r="U109" s="4"/>
      <c r="V109" s="4"/>
      <c r="W109" s="4"/>
      <c r="X109" s="4"/>
      <c r="Y109" s="1"/>
    </row>
    <row r="110" spans="1:25" ht="0" hidden="1" customHeight="1" x14ac:dyDescent="0.2">
      <c r="A110" s="15"/>
    </row>
  </sheetData>
  <conditionalFormatting sqref="J10:J14 J22:J29 J19:J20 F10:I11">
    <cfRule type="cellIs" dxfId="83" priority="5" operator="equal">
      <formula>0</formula>
    </cfRule>
  </conditionalFormatting>
  <conditionalFormatting sqref="J12:J13 J22">
    <cfRule type="cellIs" dxfId="82" priority="4" operator="equal">
      <formula>0</formula>
    </cfRule>
  </conditionalFormatting>
  <conditionalFormatting sqref="F12:I14">
    <cfRule type="cellIs" dxfId="81" priority="3" operator="equal">
      <formula>0</formula>
    </cfRule>
  </conditionalFormatting>
  <conditionalFormatting sqref="F19:I27 G28:I28">
    <cfRule type="cellIs" dxfId="80" priority="2" operator="equal">
      <formula>0</formula>
    </cfRule>
  </conditionalFormatting>
  <conditionalFormatting sqref="F28">
    <cfRule type="cellIs" dxfId="79" priority="1" operator="equal">
      <formula>0</formula>
    </cfRule>
  </conditionalFormatting>
  <dataValidations disablePrompts="1" count="2">
    <dataValidation type="list" allowBlank="1" sqref="E19:E28" xr:uid="{2EA1CE9A-1E29-427D-84B9-A64E2E6210B5}">
      <formula1>$N$1:$N$4</formula1>
    </dataValidation>
    <dataValidation type="list" allowBlank="1" sqref="H19:H28" xr:uid="{5F7BF0AC-FB1E-4173-A9A1-F0A907C581E2}">
      <formula1>$M$1:$M$3</formula1>
    </dataValidation>
  </dataValidations>
  <hyperlinks>
    <hyperlink ref="A10" location="'DRE + DCF'!A1" display="DRE + DCF" xr:uid="{1E60EB94-C414-4D01-BE33-D7731D98D4AD}"/>
    <hyperlink ref="A9" location="WACC!A1" display="WACC" xr:uid="{02A39B11-2056-4281-8DE3-AC699A081084}"/>
    <hyperlink ref="A8" location="Dashboard!A1" display="Dashboard" xr:uid="{30E267A2-CDCD-4E01-B5D9-F49636DE279C}"/>
    <hyperlink ref="A11" location="'Balanço Patrimonial'!A1" display="Balanço Patrimonial" xr:uid="{334D5609-F07C-4AA4-8D68-AC9CCE34D6E7}"/>
    <hyperlink ref="A13" location="'Projeções - Receita'!A1" display="Projeções" xr:uid="{E51A6042-9991-41D9-95B8-2A2F4C5250A0}"/>
    <hyperlink ref="A14" location="Lojas!A1" display="Lojas" xr:uid="{4B2210F0-76BD-459F-8DBD-C242873AF368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9A49-F47E-40F2-8275-6152573C7754}">
  <sheetPr codeName="Planilha19"/>
  <dimension ref="A1:BU140"/>
  <sheetViews>
    <sheetView showGridLines="0" topLeftCell="I18" zoomScale="133" zoomScaleNormal="80" workbookViewId="0">
      <selection activeCell="V18" sqref="V18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65.83203125" style="1" bestFit="1" customWidth="1"/>
    <col min="6" max="7" width="12.5" style="1" bestFit="1" customWidth="1"/>
    <col min="8" max="8" width="13.5" style="1" customWidth="1"/>
    <col min="9" max="12" width="14.83203125" style="1" bestFit="1" customWidth="1"/>
    <col min="13" max="13" width="13.5" style="1" bestFit="1" customWidth="1"/>
    <col min="14" max="15" width="14.33203125" style="1" bestFit="1" customWidth="1"/>
    <col min="16" max="18" width="14.33203125" style="1" customWidth="1"/>
    <col min="19" max="19" width="19.1640625" style="1" bestFit="1" customWidth="1"/>
    <col min="20" max="20" width="101.33203125" style="10" customWidth="1"/>
    <col min="21" max="21" width="26.83203125" style="1" bestFit="1" customWidth="1"/>
    <col min="22" max="36" width="9.1640625" style="1" customWidth="1"/>
    <col min="37" max="37" width="9.1640625" style="1" hidden="1" customWidth="1"/>
    <col min="38" max="41" width="0" style="1" hidden="1" customWidth="1"/>
    <col min="42" max="43" width="9.1640625" style="1" hidden="1" customWidth="1"/>
    <col min="44" max="47" width="0" style="1" hidden="1" customWidth="1"/>
    <col min="48" max="73" width="9.1640625" style="1" hidden="1" customWidth="1"/>
    <col min="74" max="16384" width="0" style="1" hidden="1"/>
  </cols>
  <sheetData>
    <row r="1" spans="1:36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9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" customHeight="1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38"/>
      <c r="N2" s="38"/>
      <c r="O2" s="38"/>
      <c r="P2" s="38"/>
      <c r="Q2" s="38"/>
      <c r="R2" s="38"/>
      <c r="S2" s="38"/>
      <c r="T2" s="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" customHeight="1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38"/>
      <c r="N3" s="38"/>
      <c r="O3" s="38"/>
      <c r="P3" s="38"/>
      <c r="Q3" s="38"/>
      <c r="R3" s="38"/>
      <c r="S3" s="38"/>
      <c r="T3" s="9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26.25" customHeight="1" x14ac:dyDescent="0.2">
      <c r="B4" s="4"/>
      <c r="C4" s="4"/>
      <c r="D4" s="4"/>
      <c r="E4" s="38"/>
      <c r="F4" s="38"/>
      <c r="G4" s="38"/>
      <c r="H4" s="38"/>
      <c r="I4" s="38"/>
      <c r="J4" s="38"/>
      <c r="K4" s="38"/>
      <c r="L4" s="315" t="s">
        <v>252</v>
      </c>
      <c r="M4" s="315"/>
      <c r="N4" s="315"/>
      <c r="O4" s="38"/>
      <c r="P4" s="38"/>
      <c r="Q4" s="38"/>
      <c r="R4" s="38"/>
      <c r="S4" s="38"/>
      <c r="T4" s="38"/>
      <c r="U4" s="38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5" customHeight="1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251"/>
      <c r="M5" s="251"/>
      <c r="N5" s="251"/>
      <c r="O5" s="4"/>
      <c r="P5" s="4"/>
      <c r="Q5" s="4"/>
      <c r="R5" s="4"/>
      <c r="S5" s="38"/>
      <c r="T5" s="9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5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30" customHeight="1" x14ac:dyDescent="0.2">
      <c r="A7" s="8" t="s">
        <v>1</v>
      </c>
      <c r="B7" s="4"/>
      <c r="C7" s="4"/>
      <c r="D7" s="9"/>
      <c r="E7" s="9"/>
      <c r="F7" s="9"/>
      <c r="G7" s="9"/>
      <c r="H7" s="9"/>
      <c r="I7" s="9"/>
      <c r="J7" s="9"/>
      <c r="K7" s="180"/>
      <c r="L7" s="9"/>
      <c r="M7" s="9"/>
      <c r="N7" s="9"/>
      <c r="O7" s="9"/>
      <c r="P7" s="9"/>
      <c r="Q7" s="9"/>
      <c r="R7" s="9"/>
      <c r="S7" s="9"/>
      <c r="T7" s="9"/>
      <c r="U7" s="9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30" customHeight="1" x14ac:dyDescent="0.2">
      <c r="A8" s="15" t="s">
        <v>2</v>
      </c>
      <c r="B8" s="4"/>
      <c r="C8" s="4"/>
      <c r="D8" s="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6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30" customHeight="1" x14ac:dyDescent="0.2">
      <c r="A9" s="15" t="s">
        <v>3</v>
      </c>
      <c r="B9" s="4"/>
      <c r="C9" s="4"/>
      <c r="D9" s="4"/>
      <c r="E9" s="132"/>
      <c r="F9" s="42">
        <v>2016</v>
      </c>
      <c r="G9" s="42">
        <v>2017</v>
      </c>
      <c r="H9" s="42">
        <v>2018</v>
      </c>
      <c r="I9" s="42">
        <v>2019</v>
      </c>
      <c r="J9" s="42">
        <v>2020</v>
      </c>
      <c r="K9" s="181">
        <v>2021</v>
      </c>
      <c r="L9" s="43">
        <v>2022</v>
      </c>
      <c r="M9" s="43">
        <v>2023</v>
      </c>
      <c r="N9" s="43">
        <v>2024</v>
      </c>
      <c r="O9" s="43">
        <v>2025</v>
      </c>
      <c r="P9" s="43">
        <f>O9+1</f>
        <v>2026</v>
      </c>
      <c r="Q9" s="43">
        <f t="shared" ref="Q9:R9" si="0">P9+1</f>
        <v>2027</v>
      </c>
      <c r="R9" s="43">
        <f t="shared" si="0"/>
        <v>2028</v>
      </c>
      <c r="S9" s="182" t="s">
        <v>253</v>
      </c>
      <c r="T9" s="183" t="s">
        <v>254</v>
      </c>
      <c r="U9" s="76" t="s">
        <v>255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30" customHeight="1" x14ac:dyDescent="0.2">
      <c r="A10" s="15" t="s">
        <v>6</v>
      </c>
      <c r="B10" s="4"/>
      <c r="C10" s="4"/>
      <c r="D10" s="4"/>
      <c r="E10" s="148" t="s">
        <v>256</v>
      </c>
      <c r="F10" s="46">
        <f>'DRE + DCF'!F11</f>
        <v>4780694.0000078101</v>
      </c>
      <c r="G10" s="46">
        <f>'DRE + DCF'!G11</f>
        <v>5035610</v>
      </c>
      <c r="H10" s="46">
        <f>'DRE + DCF'!H11</f>
        <v>5139114</v>
      </c>
      <c r="I10" s="46">
        <f>I11+I12+I14</f>
        <v>5285178</v>
      </c>
      <c r="J10" s="46">
        <f>'DRE + DCF'!J11</f>
        <v>4085486</v>
      </c>
      <c r="K10" s="46">
        <f>K11+K12+K14</f>
        <v>5153206</v>
      </c>
      <c r="L10" s="46">
        <f>L11+L12+L14</f>
        <v>5594169.613894633</v>
      </c>
      <c r="M10" s="46">
        <f t="shared" ref="M10:R10" si="1">M11+M12+M14</f>
        <v>6643601.443778594</v>
      </c>
      <c r="N10" s="46">
        <f t="shared" si="1"/>
        <v>7910445.6856245035</v>
      </c>
      <c r="O10" s="46">
        <f t="shared" si="1"/>
        <v>9223569.7285775803</v>
      </c>
      <c r="P10" s="46">
        <f t="shared" si="1"/>
        <v>10319264.194264177</v>
      </c>
      <c r="Q10" s="46">
        <f t="shared" si="1"/>
        <v>11455212.798306828</v>
      </c>
      <c r="R10" s="46">
        <f t="shared" si="1"/>
        <v>12401748.108633673</v>
      </c>
      <c r="S10" s="184">
        <f>(I10/F10)^(1/COUNT($G$9:$I$9))-1</f>
        <v>3.4005599632739969E-2</v>
      </c>
      <c r="T10" s="185"/>
      <c r="U10" s="6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40.5" customHeight="1" x14ac:dyDescent="0.2">
      <c r="A11" s="15" t="s">
        <v>8</v>
      </c>
      <c r="B11" s="4"/>
      <c r="C11" s="4"/>
      <c r="D11" s="4"/>
      <c r="E11" s="122" t="s">
        <v>257</v>
      </c>
      <c r="F11" s="52">
        <v>4601146.97</v>
      </c>
      <c r="G11" s="52">
        <v>4779324.62</v>
      </c>
      <c r="H11" s="52">
        <v>4882089</v>
      </c>
      <c r="I11" s="52">
        <v>5051851</v>
      </c>
      <c r="J11" s="52">
        <v>3922889</v>
      </c>
      <c r="K11" s="52">
        <v>4960633</v>
      </c>
      <c r="L11" s="52">
        <f>L31*L32</f>
        <v>5310679.0191957159</v>
      </c>
      <c r="M11" s="52">
        <f t="shared" ref="M11:R11" si="2">M31*M32</f>
        <v>6306929.7562485179</v>
      </c>
      <c r="N11" s="52">
        <f t="shared" si="2"/>
        <v>7438955.5122064427</v>
      </c>
      <c r="O11" s="52">
        <f t="shared" si="2"/>
        <v>8673812.7788821086</v>
      </c>
      <c r="P11" s="52">
        <f t="shared" si="2"/>
        <v>9704200.0300107971</v>
      </c>
      <c r="Q11" s="52">
        <f t="shared" si="2"/>
        <v>10672082.243427096</v>
      </c>
      <c r="R11" s="52">
        <f t="shared" si="2"/>
        <v>11553908.086034661</v>
      </c>
      <c r="S11" s="184">
        <f>(I11/F11)^(1/COUNT($G$9:$I$9))-1</f>
        <v>3.1639927815343416E-2</v>
      </c>
      <c r="T11" s="185"/>
      <c r="U11" s="61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32.25" customHeight="1" x14ac:dyDescent="0.2">
      <c r="A12" s="11" t="s">
        <v>10</v>
      </c>
      <c r="B12" s="4"/>
      <c r="C12" s="4"/>
      <c r="D12" s="4"/>
      <c r="E12" s="122" t="s">
        <v>258</v>
      </c>
      <c r="F12" s="52">
        <v>179547.03</v>
      </c>
      <c r="G12" s="52">
        <v>256285.38</v>
      </c>
      <c r="H12" s="52">
        <v>241271</v>
      </c>
      <c r="I12" s="52">
        <v>216402</v>
      </c>
      <c r="J12" s="52">
        <v>149259</v>
      </c>
      <c r="K12" s="52">
        <v>174974</v>
      </c>
      <c r="L12" s="52">
        <f>L13*L11</f>
        <v>265533.95095978578</v>
      </c>
      <c r="M12" s="52">
        <f t="shared" ref="M12:R12" si="3">M13*M11</f>
        <v>315346.48781242594</v>
      </c>
      <c r="N12" s="52">
        <f t="shared" si="3"/>
        <v>446337.33073238656</v>
      </c>
      <c r="O12" s="52">
        <f t="shared" si="3"/>
        <v>520428.76673292648</v>
      </c>
      <c r="P12" s="52">
        <f t="shared" si="3"/>
        <v>582252.00180064782</v>
      </c>
      <c r="Q12" s="52">
        <f t="shared" si="3"/>
        <v>747045.75703989679</v>
      </c>
      <c r="R12" s="52">
        <f t="shared" si="3"/>
        <v>808773.56602242636</v>
      </c>
      <c r="S12" s="184">
        <f>(I12/F12)^(1/COUNT($G$9:$I$9))-1</f>
        <v>6.4210847925311398E-2</v>
      </c>
      <c r="T12" s="186"/>
      <c r="U12" s="6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32.25" customHeight="1" x14ac:dyDescent="0.2">
      <c r="A13" s="15" t="s">
        <v>12</v>
      </c>
      <c r="B13" s="4"/>
      <c r="C13" s="4"/>
      <c r="D13" s="4"/>
      <c r="E13" s="187" t="s">
        <v>259</v>
      </c>
      <c r="F13" s="188">
        <f>F12/F11</f>
        <v>3.9022233188956361E-2</v>
      </c>
      <c r="G13" s="188">
        <f t="shared" ref="G13:J13" si="4">G12/G11</f>
        <v>5.3623764941080732E-2</v>
      </c>
      <c r="H13" s="188">
        <f t="shared" si="4"/>
        <v>4.941962344398064E-2</v>
      </c>
      <c r="I13" s="188">
        <f t="shared" si="4"/>
        <v>4.2836180243637431E-2</v>
      </c>
      <c r="J13" s="188">
        <f t="shared" si="4"/>
        <v>3.8048234349735616E-2</v>
      </c>
      <c r="K13" s="188">
        <f>K12/K11</f>
        <v>3.52725146165822E-2</v>
      </c>
      <c r="L13" s="188">
        <v>0.05</v>
      </c>
      <c r="M13" s="188">
        <v>0.05</v>
      </c>
      <c r="N13" s="188">
        <v>0.06</v>
      </c>
      <c r="O13" s="188">
        <v>0.06</v>
      </c>
      <c r="P13" s="188">
        <v>0.06</v>
      </c>
      <c r="Q13" s="188">
        <v>7.0000000000000007E-2</v>
      </c>
      <c r="R13" s="188">
        <v>7.0000000000000007E-2</v>
      </c>
      <c r="S13" s="184"/>
      <c r="T13" s="189"/>
      <c r="U13" s="61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32.25" customHeight="1" x14ac:dyDescent="0.2">
      <c r="A14" s="11"/>
      <c r="B14" s="4"/>
      <c r="C14" s="4"/>
      <c r="D14" s="4"/>
      <c r="E14" s="122" t="s">
        <v>260</v>
      </c>
      <c r="F14" s="52" t="s">
        <v>242</v>
      </c>
      <c r="G14" s="52" t="s">
        <v>242</v>
      </c>
      <c r="H14" s="52">
        <v>15754</v>
      </c>
      <c r="I14" s="52">
        <v>16925</v>
      </c>
      <c r="J14" s="52">
        <v>13338</v>
      </c>
      <c r="K14" s="52">
        <v>17599</v>
      </c>
      <c r="L14" s="52">
        <f>L15*L11</f>
        <v>17956.643739131596</v>
      </c>
      <c r="M14" s="52">
        <f t="shared" ref="M14:R14" si="5">M15*M11</f>
        <v>21325.199717650084</v>
      </c>
      <c r="N14" s="52">
        <f t="shared" si="5"/>
        <v>25152.842685674179</v>
      </c>
      <c r="O14" s="52">
        <f t="shared" si="5"/>
        <v>29328.182962543502</v>
      </c>
      <c r="P14" s="52">
        <f t="shared" si="5"/>
        <v>32812.162452733646</v>
      </c>
      <c r="Q14" s="52">
        <f t="shared" si="5"/>
        <v>36084.797839835373</v>
      </c>
      <c r="R14" s="52">
        <f t="shared" si="5"/>
        <v>39066.456576586083</v>
      </c>
      <c r="S14" s="184"/>
      <c r="T14" s="190"/>
      <c r="U14" s="6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39" x14ac:dyDescent="0.2">
      <c r="A15" s="15"/>
      <c r="B15" s="4"/>
      <c r="C15" s="4"/>
      <c r="D15" s="4"/>
      <c r="E15" s="187" t="s">
        <v>259</v>
      </c>
      <c r="F15" s="52" t="s">
        <v>242</v>
      </c>
      <c r="G15" s="52" t="s">
        <v>242</v>
      </c>
      <c r="H15" s="188">
        <f>H14/H11</f>
        <v>3.2268973384139451E-3</v>
      </c>
      <c r="I15" s="188">
        <f t="shared" ref="I15:J15" si="6">I14/I11</f>
        <v>3.3502571631665303E-3</v>
      </c>
      <c r="J15" s="188">
        <f t="shared" si="6"/>
        <v>3.4000452217740548E-3</v>
      </c>
      <c r="K15" s="188">
        <f>K14/K11</f>
        <v>3.5477327187881063E-3</v>
      </c>
      <c r="L15" s="188">
        <f>AVERAGE(H15:K15)</f>
        <v>3.3812331105356592E-3</v>
      </c>
      <c r="M15" s="188">
        <f>L15</f>
        <v>3.3812331105356592E-3</v>
      </c>
      <c r="N15" s="188">
        <f t="shared" ref="N15:R15" si="7">M15</f>
        <v>3.3812331105356592E-3</v>
      </c>
      <c r="O15" s="188">
        <f t="shared" si="7"/>
        <v>3.3812331105356592E-3</v>
      </c>
      <c r="P15" s="188">
        <f t="shared" si="7"/>
        <v>3.3812331105356592E-3</v>
      </c>
      <c r="Q15" s="188">
        <f t="shared" si="7"/>
        <v>3.3812331105356592E-3</v>
      </c>
      <c r="R15" s="188">
        <f t="shared" si="7"/>
        <v>3.3812331105356592E-3</v>
      </c>
      <c r="S15" s="184"/>
      <c r="T15" s="191" t="s">
        <v>261</v>
      </c>
      <c r="U15" s="61">
        <v>3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30" customHeight="1" x14ac:dyDescent="0.2">
      <c r="A16" s="15"/>
      <c r="B16" s="4"/>
      <c r="C16" s="4"/>
      <c r="D16" s="4"/>
      <c r="E16" s="192"/>
      <c r="F16" s="192"/>
      <c r="G16" s="192"/>
      <c r="H16" s="193"/>
      <c r="I16" s="193"/>
      <c r="J16" s="193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9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30" customHeight="1" x14ac:dyDescent="0.2">
      <c r="A17" s="15"/>
      <c r="B17" s="4"/>
      <c r="C17" s="4"/>
      <c r="D17" s="4"/>
      <c r="E17" s="9"/>
      <c r="F17" s="9"/>
      <c r="G17" s="9"/>
      <c r="H17" s="9"/>
      <c r="I17" s="9"/>
      <c r="J17" s="9"/>
      <c r="K17" s="180"/>
      <c r="L17" s="9"/>
      <c r="M17" s="9"/>
      <c r="N17" s="9"/>
      <c r="O17" s="9"/>
      <c r="P17" s="9"/>
      <c r="Q17" s="9"/>
      <c r="R17" s="9"/>
      <c r="S17" s="9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ht="30" customHeight="1" x14ac:dyDescent="0.2">
      <c r="A18" s="15"/>
      <c r="B18" s="4"/>
      <c r="C18" s="4"/>
      <c r="D18" s="4"/>
      <c r="E18" s="3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6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30" customHeight="1" x14ac:dyDescent="0.2">
      <c r="A19" s="15"/>
      <c r="B19" s="4"/>
      <c r="C19" s="4"/>
      <c r="D19" s="4"/>
      <c r="E19" s="120"/>
      <c r="F19" s="194">
        <v>2016</v>
      </c>
      <c r="G19" s="181">
        <v>2017</v>
      </c>
      <c r="H19" s="181">
        <v>2018</v>
      </c>
      <c r="I19" s="181">
        <v>2019</v>
      </c>
      <c r="J19" s="181">
        <v>2020</v>
      </c>
      <c r="K19" s="181">
        <v>2021</v>
      </c>
      <c r="L19" s="195">
        <v>2022</v>
      </c>
      <c r="M19" s="195">
        <v>2023</v>
      </c>
      <c r="N19" s="43">
        <v>2024</v>
      </c>
      <c r="O19" s="43">
        <v>2025</v>
      </c>
      <c r="P19" s="43">
        <f>O19+1</f>
        <v>2026</v>
      </c>
      <c r="Q19" s="43">
        <f t="shared" ref="Q19:R19" si="8">P19+1</f>
        <v>2027</v>
      </c>
      <c r="R19" s="43">
        <f t="shared" si="8"/>
        <v>2028</v>
      </c>
      <c r="S19" s="196" t="s">
        <v>253</v>
      </c>
      <c r="T19" s="194" t="s">
        <v>254</v>
      </c>
      <c r="U19" s="133" t="s">
        <v>255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ht="30" customHeight="1" x14ac:dyDescent="0.2">
      <c r="A20" s="15"/>
      <c r="B20" s="4"/>
      <c r="C20" s="4"/>
      <c r="D20" s="4"/>
      <c r="E20" s="148" t="s">
        <v>262</v>
      </c>
      <c r="F20" s="46">
        <v>279</v>
      </c>
      <c r="G20" s="46">
        <v>276</v>
      </c>
      <c r="H20" s="46">
        <v>279</v>
      </c>
      <c r="I20" s="46">
        <v>287</v>
      </c>
      <c r="J20" s="46">
        <v>295</v>
      </c>
      <c r="K20" s="46">
        <v>319</v>
      </c>
      <c r="L20" s="46">
        <f>L21+K20</f>
        <v>344</v>
      </c>
      <c r="M20" s="46">
        <f t="shared" ref="M20:O20" si="9">M21+L20</f>
        <v>369</v>
      </c>
      <c r="N20" s="46">
        <f t="shared" si="9"/>
        <v>394</v>
      </c>
      <c r="O20" s="46">
        <f t="shared" si="9"/>
        <v>419</v>
      </c>
      <c r="P20" s="46">
        <f t="shared" ref="P20" si="10">P21+O20</f>
        <v>419</v>
      </c>
      <c r="Q20" s="46">
        <f t="shared" ref="Q20" si="11">Q21+P20</f>
        <v>419</v>
      </c>
      <c r="R20" s="46">
        <f t="shared" ref="R20" si="12">R21+Q20</f>
        <v>419</v>
      </c>
      <c r="S20" s="60"/>
      <c r="T20" s="190"/>
      <c r="U20" s="61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30" customHeight="1" x14ac:dyDescent="0.2">
      <c r="A21" s="15"/>
      <c r="B21" s="4"/>
      <c r="C21" s="4"/>
      <c r="D21" s="4"/>
      <c r="E21" s="122" t="s">
        <v>263</v>
      </c>
      <c r="F21" s="52">
        <v>2</v>
      </c>
      <c r="G21" s="52">
        <v>0</v>
      </c>
      <c r="H21" s="52">
        <v>4</v>
      </c>
      <c r="I21" s="52">
        <v>10</v>
      </c>
      <c r="J21" s="52">
        <v>10</v>
      </c>
      <c r="K21" s="52">
        <v>26</v>
      </c>
      <c r="L21" s="52">
        <v>25</v>
      </c>
      <c r="M21" s="52">
        <v>25</v>
      </c>
      <c r="N21" s="52">
        <v>25</v>
      </c>
      <c r="O21" s="52">
        <v>25</v>
      </c>
      <c r="P21" s="52">
        <v>0</v>
      </c>
      <c r="Q21" s="52">
        <v>0</v>
      </c>
      <c r="R21" s="52">
        <v>0</v>
      </c>
      <c r="S21" s="60"/>
      <c r="T21" s="190" t="s">
        <v>264</v>
      </c>
      <c r="U21" s="61">
        <v>3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ht="30" customHeight="1" x14ac:dyDescent="0.2">
      <c r="A22" s="15"/>
      <c r="B22" s="4"/>
      <c r="C22" s="4"/>
      <c r="D22" s="4"/>
      <c r="E22" s="148" t="s">
        <v>265</v>
      </c>
      <c r="F22" s="46">
        <v>524400</v>
      </c>
      <c r="G22" s="46">
        <v>518500</v>
      </c>
      <c r="H22" s="46">
        <v>525800</v>
      </c>
      <c r="I22" s="46">
        <v>544000</v>
      </c>
      <c r="J22" s="46">
        <v>559000</v>
      </c>
      <c r="K22" s="46">
        <v>597000</v>
      </c>
      <c r="L22" s="46" t="s">
        <v>242</v>
      </c>
      <c r="M22" s="46" t="s">
        <v>242</v>
      </c>
      <c r="N22" s="46" t="s">
        <v>242</v>
      </c>
      <c r="O22" s="46" t="s">
        <v>242</v>
      </c>
      <c r="P22" s="46"/>
      <c r="Q22" s="46"/>
      <c r="R22" s="46"/>
      <c r="S22" s="60"/>
      <c r="T22" s="190"/>
      <c r="U22" s="61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30" customHeight="1" x14ac:dyDescent="0.2">
      <c r="A23" s="15"/>
      <c r="B23" s="4"/>
      <c r="C23" s="4"/>
      <c r="D23" s="4"/>
      <c r="E23" s="122" t="s">
        <v>266</v>
      </c>
      <c r="F23" s="52">
        <v>0</v>
      </c>
      <c r="G23" s="52">
        <v>0</v>
      </c>
      <c r="H23" s="52">
        <f>H22-H26</f>
        <v>9807.0499999998137</v>
      </c>
      <c r="I23" s="52">
        <f t="shared" ref="I23:K23" si="13">I22-I26</f>
        <v>8526.7999999998137</v>
      </c>
      <c r="J23" s="52">
        <f>J22-J26</f>
        <v>6381.7999999998137</v>
      </c>
      <c r="K23" s="52">
        <f t="shared" si="13"/>
        <v>3199.4599999998463</v>
      </c>
      <c r="L23" s="52">
        <f>L24*L26</f>
        <v>8187.7989522055377</v>
      </c>
      <c r="M23" s="52">
        <f t="shared" ref="M23:O23" si="14">M24*M26</f>
        <v>8789.5546575476892</v>
      </c>
      <c r="N23" s="52">
        <f t="shared" si="14"/>
        <v>9391.3103628898407</v>
      </c>
      <c r="O23" s="52">
        <f t="shared" si="14"/>
        <v>9993.0660682319904</v>
      </c>
      <c r="P23" s="52">
        <f t="shared" ref="P23:R23" si="15">P24*P26</f>
        <v>9993.0660682319904</v>
      </c>
      <c r="Q23" s="52">
        <f t="shared" si="15"/>
        <v>9993.0660682319904</v>
      </c>
      <c r="R23" s="52">
        <f t="shared" si="15"/>
        <v>9993.0660682319904</v>
      </c>
      <c r="S23" s="52"/>
      <c r="T23" s="197"/>
      <c r="U23" s="6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30" customHeight="1" x14ac:dyDescent="0.2">
      <c r="A24" s="15"/>
      <c r="B24" s="4"/>
      <c r="C24" s="4"/>
      <c r="D24" s="4"/>
      <c r="E24" s="140" t="s">
        <v>267</v>
      </c>
      <c r="F24" s="52">
        <v>0</v>
      </c>
      <c r="G24" s="52">
        <v>0</v>
      </c>
      <c r="H24" s="50">
        <f>H23/H22</f>
        <v>1.865167364016701E-2</v>
      </c>
      <c r="I24" s="50">
        <f t="shared" ref="I24:K24" si="16">I23/I22</f>
        <v>1.5674264705882009E-2</v>
      </c>
      <c r="J24" s="50">
        <f t="shared" si="16"/>
        <v>1.1416457960643674E-2</v>
      </c>
      <c r="K24" s="50">
        <f t="shared" si="16"/>
        <v>5.3592294807367612E-3</v>
      </c>
      <c r="L24" s="50">
        <f>AVERAGE(H24:K24)</f>
        <v>1.2775406446857365E-2</v>
      </c>
      <c r="M24" s="50">
        <f>L24</f>
        <v>1.2775406446857365E-2</v>
      </c>
      <c r="N24" s="50">
        <f t="shared" ref="N24:R24" si="17">M24</f>
        <v>1.2775406446857365E-2</v>
      </c>
      <c r="O24" s="50">
        <f t="shared" si="17"/>
        <v>1.2775406446857365E-2</v>
      </c>
      <c r="P24" s="50">
        <f t="shared" si="17"/>
        <v>1.2775406446857365E-2</v>
      </c>
      <c r="Q24" s="50">
        <f t="shared" si="17"/>
        <v>1.2775406446857365E-2</v>
      </c>
      <c r="R24" s="50">
        <f t="shared" si="17"/>
        <v>1.2775406446857365E-2</v>
      </c>
      <c r="S24" s="52"/>
      <c r="T24" s="190" t="s">
        <v>268</v>
      </c>
      <c r="U24" s="61">
        <v>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ht="30" customHeight="1" x14ac:dyDescent="0.2">
      <c r="A25" s="15"/>
      <c r="B25" s="4"/>
      <c r="C25" s="4"/>
      <c r="D25" s="4"/>
      <c r="E25" s="122" t="s">
        <v>269</v>
      </c>
      <c r="F25" s="52">
        <f>F22/F20</f>
        <v>1879.5698924731182</v>
      </c>
      <c r="G25" s="52">
        <f t="shared" ref="G25:K25" si="18">G22/G20</f>
        <v>1878.623188405797</v>
      </c>
      <c r="H25" s="52">
        <f t="shared" si="18"/>
        <v>1884.5878136200718</v>
      </c>
      <c r="I25" s="52">
        <f t="shared" si="18"/>
        <v>1895.4703832752614</v>
      </c>
      <c r="J25" s="52">
        <f t="shared" si="18"/>
        <v>1894.9152542372881</v>
      </c>
      <c r="K25" s="52">
        <f t="shared" si="18"/>
        <v>1871.473354231975</v>
      </c>
      <c r="L25" s="52">
        <f>AVERAGE(F25:K25)</f>
        <v>1884.1066477072518</v>
      </c>
      <c r="M25" s="52">
        <f>L25</f>
        <v>1884.1066477072518</v>
      </c>
      <c r="N25" s="52">
        <f t="shared" ref="N25:R25" si="19">M25</f>
        <v>1884.1066477072518</v>
      </c>
      <c r="O25" s="52">
        <f t="shared" si="19"/>
        <v>1884.1066477072518</v>
      </c>
      <c r="P25" s="52">
        <f t="shared" si="19"/>
        <v>1884.1066477072518</v>
      </c>
      <c r="Q25" s="52">
        <f t="shared" si="19"/>
        <v>1884.1066477072518</v>
      </c>
      <c r="R25" s="52">
        <f t="shared" si="19"/>
        <v>1884.1066477072518</v>
      </c>
      <c r="S25" s="52"/>
      <c r="T25" s="190" t="s">
        <v>270</v>
      </c>
      <c r="U25" s="61">
        <v>3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30" customHeight="1" x14ac:dyDescent="0.2">
      <c r="A26" s="15"/>
      <c r="B26" s="4"/>
      <c r="C26" s="4"/>
      <c r="D26" s="4"/>
      <c r="E26" s="148" t="s">
        <v>271</v>
      </c>
      <c r="F26" s="198">
        <f>SUM(F27:F30)</f>
        <v>508002.81</v>
      </c>
      <c r="G26" s="198">
        <f t="shared" ref="G26:R26" si="20">SUM(G27:G30)</f>
        <v>508002.81000000023</v>
      </c>
      <c r="H26" s="198">
        <f t="shared" si="20"/>
        <v>515992.95000000019</v>
      </c>
      <c r="I26" s="198">
        <f t="shared" si="20"/>
        <v>535473.20000000019</v>
      </c>
      <c r="J26" s="198">
        <f t="shared" si="20"/>
        <v>552618.20000000019</v>
      </c>
      <c r="K26" s="198">
        <f t="shared" si="20"/>
        <v>593800.54000000015</v>
      </c>
      <c r="L26" s="198">
        <f t="shared" si="20"/>
        <v>640903.20619268145</v>
      </c>
      <c r="M26" s="198">
        <f t="shared" si="20"/>
        <v>688005.87238536275</v>
      </c>
      <c r="N26" s="198">
        <f t="shared" si="20"/>
        <v>735108.53857804404</v>
      </c>
      <c r="O26" s="198">
        <f t="shared" si="20"/>
        <v>782211.20477072534</v>
      </c>
      <c r="P26" s="198">
        <f t="shared" si="20"/>
        <v>782211.20477072534</v>
      </c>
      <c r="Q26" s="198">
        <f t="shared" si="20"/>
        <v>782211.20477072534</v>
      </c>
      <c r="R26" s="198">
        <f t="shared" si="20"/>
        <v>782211.20477072534</v>
      </c>
      <c r="S26" s="182"/>
      <c r="T26" s="183"/>
      <c r="U26" s="7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ht="30" customHeight="1" x14ac:dyDescent="0.2">
      <c r="A27" s="15"/>
      <c r="B27" s="4"/>
      <c r="C27" s="4"/>
      <c r="D27" s="199"/>
      <c r="E27" s="122" t="s">
        <v>272</v>
      </c>
      <c r="F27" s="52">
        <f>SUMIF(Lojas!$E$10:$E$328,"&lt;="&amp;(F19-3),Lojas!$G$10:$G$328)</f>
        <v>448662.15</v>
      </c>
      <c r="G27" s="52">
        <f>SUMIF(Lojas!$E$10:$E$328,"&lt;="&amp;(G19-3),Lojas!$G$10:$G$328)</f>
        <v>483069.25000000023</v>
      </c>
      <c r="H27" s="52">
        <f>SUMIF(Lojas!$E$10:$E$328,"&lt;="&amp;(H19-3),Lojas!$G$10:$G$328)</f>
        <v>503640.08000000019</v>
      </c>
      <c r="I27" s="52">
        <f>SUMIF(Lojas!$E$10:$E$328,"&lt;="&amp;(I19-3),Lojas!$G$10:$G$328)</f>
        <v>508002.81000000023</v>
      </c>
      <c r="J27" s="52">
        <f>SUMIF(Lojas!$E$10:$E$328,"&lt;="&amp;(J19-3),Lojas!$G$10:$G$328)</f>
        <v>508002.81000000023</v>
      </c>
      <c r="K27" s="52">
        <f>SUMIF(Lojas!$E$10:$E$328,"&lt;="&amp;(K19-3),Lojas!$G$10:$G$328)</f>
        <v>515992.95000000019</v>
      </c>
      <c r="L27" s="52">
        <f>K27+K28</f>
        <v>535473.20000000019</v>
      </c>
      <c r="M27" s="52">
        <f>L27+L28</f>
        <v>552618.20000000019</v>
      </c>
      <c r="N27" s="52">
        <f>M27+M28</f>
        <v>593800.54000000015</v>
      </c>
      <c r="O27" s="52">
        <f>N27+N28</f>
        <v>640903.20619268145</v>
      </c>
      <c r="P27" s="52">
        <f t="shared" ref="P27:R27" si="21">O27+O28</f>
        <v>688005.87238536275</v>
      </c>
      <c r="Q27" s="52">
        <f t="shared" si="21"/>
        <v>735108.53857804404</v>
      </c>
      <c r="R27" s="52">
        <f t="shared" si="21"/>
        <v>782211.20477072534</v>
      </c>
      <c r="S27" s="60"/>
      <c r="T27" s="200"/>
      <c r="U27" s="6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30" customHeight="1" x14ac:dyDescent="0.2">
      <c r="A28" s="15"/>
      <c r="B28" s="4"/>
      <c r="C28" s="4"/>
      <c r="D28" s="4"/>
      <c r="E28" s="122" t="s">
        <v>273</v>
      </c>
      <c r="F28" s="201">
        <f>SUMIF(Lojas!$E$10:$E$328,F19-2,Lojas!$G$10:$G$328)</f>
        <v>34407.1</v>
      </c>
      <c r="G28" s="201">
        <f>SUMIF(Lojas!$E$10:$E$328,G19-2,Lojas!$G$10:$G$328)</f>
        <v>20570.830000000002</v>
      </c>
      <c r="H28" s="201">
        <f>SUMIF(Lojas!$E$10:$E$328,H19-2,Lojas!$G$10:$G$328)</f>
        <v>4362.7299999999996</v>
      </c>
      <c r="I28" s="201">
        <f>SUMIF(Lojas!$E$10:$E$328,I19-2,Lojas!$G$10:$G$328)</f>
        <v>0</v>
      </c>
      <c r="J28" s="201">
        <f>SUMIF(Lojas!$E$10:$E$328,J19-2,Lojas!$G$10:$G$328)</f>
        <v>7990.14</v>
      </c>
      <c r="K28" s="52">
        <f>J29</f>
        <v>19480.25</v>
      </c>
      <c r="L28" s="52">
        <f t="shared" ref="L28" si="22">K29</f>
        <v>17145</v>
      </c>
      <c r="M28" s="52">
        <f>L29</f>
        <v>41182.339999999997</v>
      </c>
      <c r="N28" s="52">
        <f>M29</f>
        <v>47102.666192681296</v>
      </c>
      <c r="O28" s="52">
        <f t="shared" ref="O28" si="23">N29</f>
        <v>47102.666192681296</v>
      </c>
      <c r="P28" s="52">
        <f t="shared" ref="P28:P29" si="24">O29</f>
        <v>47102.666192681296</v>
      </c>
      <c r="Q28" s="52">
        <f t="shared" ref="Q28:Q29" si="25">P29</f>
        <v>47102.666192681296</v>
      </c>
      <c r="R28" s="52">
        <f t="shared" ref="R28:R29" si="26">Q29</f>
        <v>0</v>
      </c>
      <c r="S28" s="60"/>
      <c r="T28" s="200"/>
      <c r="U28" s="61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ht="30" customHeight="1" x14ac:dyDescent="0.2">
      <c r="A29" s="15"/>
      <c r="B29" s="4"/>
      <c r="C29" s="4"/>
      <c r="D29" s="4"/>
      <c r="E29" s="202" t="s">
        <v>274</v>
      </c>
      <c r="F29" s="52">
        <f>SUMIF(Lojas!$E$10:$E$328,F19-1,Lojas!$G$10:$G$328)</f>
        <v>20570.830000000002</v>
      </c>
      <c r="G29" s="52">
        <f>SUMIF(Lojas!$E$10:$E$328,G19-1,Lojas!$G$10:$G$328)</f>
        <v>4362.7299999999996</v>
      </c>
      <c r="H29" s="52">
        <f>SUMIF(Lojas!$E$10:$E$328,H19-1,Lojas!$G$10:$G$328)</f>
        <v>0</v>
      </c>
      <c r="I29" s="52">
        <f>SUMIF(Lojas!$E$10:$E$328,I19-1,Lojas!$G$10:$G$328)</f>
        <v>7990.14</v>
      </c>
      <c r="J29" s="52">
        <f>SUMIF(Lojas!$E$10:$E$328,J19-1,Lojas!$G$10:$G$328)</f>
        <v>19480.25</v>
      </c>
      <c r="K29" s="52">
        <f>J30</f>
        <v>17145</v>
      </c>
      <c r="L29" s="52">
        <f>K30</f>
        <v>41182.339999999997</v>
      </c>
      <c r="M29" s="52">
        <f>L30</f>
        <v>47102.666192681296</v>
      </c>
      <c r="N29" s="52">
        <f t="shared" ref="N29:O29" si="27">M30</f>
        <v>47102.666192681296</v>
      </c>
      <c r="O29" s="52">
        <f t="shared" si="27"/>
        <v>47102.666192681296</v>
      </c>
      <c r="P29" s="52">
        <f t="shared" si="24"/>
        <v>47102.666192681296</v>
      </c>
      <c r="Q29" s="52">
        <f t="shared" si="25"/>
        <v>0</v>
      </c>
      <c r="R29" s="52">
        <f t="shared" si="26"/>
        <v>0</v>
      </c>
      <c r="S29" s="60"/>
      <c r="T29" s="203"/>
      <c r="U29" s="6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30" customHeight="1" x14ac:dyDescent="0.2">
      <c r="A30" s="15"/>
      <c r="B30" s="4"/>
      <c r="C30" s="4"/>
      <c r="D30" s="4"/>
      <c r="E30" s="122" t="s">
        <v>275</v>
      </c>
      <c r="F30" s="52">
        <f>SUMIF(Lojas!$E$10:$E$328,F19,Lojas!$G$10:$G$328)</f>
        <v>4362.7299999999996</v>
      </c>
      <c r="G30" s="52">
        <f>SUMIF(Lojas!$E$10:$E$328,G19,Lojas!$G$10:$G$328)</f>
        <v>0</v>
      </c>
      <c r="H30" s="52">
        <f>SUMIF(Lojas!$E$10:$E$328,H19,Lojas!$G$10:$G$328)</f>
        <v>7990.14</v>
      </c>
      <c r="I30" s="52">
        <f>SUMIF(Lojas!$E$10:$E$328,I19,Lojas!$G$10:$G$328)</f>
        <v>19480.25</v>
      </c>
      <c r="J30" s="52">
        <f>SUMIF(Lojas!$E$10:$E$328,J19,Lojas!$G$10:$G$328)</f>
        <v>17145</v>
      </c>
      <c r="K30" s="52">
        <f>SUMIF(Lojas!$E$10:$E$328,K19,Lojas!$G$10:$G$328)</f>
        <v>41182.339999999997</v>
      </c>
      <c r="L30" s="52">
        <f>L21*L25</f>
        <v>47102.666192681296</v>
      </c>
      <c r="M30" s="52">
        <f>M21*M25</f>
        <v>47102.666192681296</v>
      </c>
      <c r="N30" s="52">
        <f t="shared" ref="N30:O30" si="28">N21*N25</f>
        <v>47102.666192681296</v>
      </c>
      <c r="O30" s="52">
        <f t="shared" si="28"/>
        <v>47102.666192681296</v>
      </c>
      <c r="P30" s="52">
        <f t="shared" ref="P30:R30" si="29">P21*P25</f>
        <v>0</v>
      </c>
      <c r="Q30" s="52">
        <f t="shared" si="29"/>
        <v>0</v>
      </c>
      <c r="R30" s="52">
        <f t="shared" si="29"/>
        <v>0</v>
      </c>
      <c r="S30" s="60"/>
      <c r="T30" s="203"/>
      <c r="U30" s="61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ht="30" customHeight="1" x14ac:dyDescent="0.2">
      <c r="A31" s="15"/>
      <c r="B31" s="4"/>
      <c r="C31" s="4"/>
      <c r="D31" s="4"/>
      <c r="E31" s="148" t="s">
        <v>276</v>
      </c>
      <c r="F31" s="46">
        <f>(F30*'Projeções - Receita'!$E$36)+(F29*'Projeções - Receita'!$F$36)+(F28*'Projeções - Receita'!$G$36)+(F27*'Projeções - Receita'!$H$36)+(F23*'Projeções - Receita'!$H$36)</f>
        <v>493229.98499999999</v>
      </c>
      <c r="G31" s="46">
        <f>(G30*'Projeções - Receita'!$E$36)+(G29*'Projeções - Receita'!$F$36)+(G28*'Projeções - Receita'!$G$36)+(G27*'Projeções - Receita'!$H$36)+(G23*'Projeções - Receita'!$H$36)</f>
        <v>503120.0950000002</v>
      </c>
      <c r="H31" s="46">
        <f>(H30*'Projeções - Receita'!$E$36)+(H29*'Projeções - Receita'!$F$36)+(H28*'Projeções - Receita'!$G$36)+(H27*'Projeções - Receita'!$H$36)+(H23*'Projeções - Receita'!$H$36)</f>
        <v>521077.80833333335</v>
      </c>
      <c r="I31" s="46">
        <f>(I30*'Projeções - Receita'!$E$36)+(I29*'Projeções - Receita'!$F$36)+(I28*'Projeções - Receita'!$G$36)+(I27*'Projeções - Receita'!$H$36)+(I23*'Projeções - Receita'!$H$36)</f>
        <v>531596.49500000011</v>
      </c>
      <c r="J31" s="46">
        <f>(J30*'Projeções - Receita'!$E$36)+(J29*'Projeções - Receita'!$F$36)+(J28*'Projeções - Receita'!$G$36)+(J27*'Projeções - Receita'!$H$36)+(J23*'Projeções - Receita'!$H$36)</f>
        <v>542602.39333333343</v>
      </c>
      <c r="K31" s="46">
        <f>(K30*'Projeções - Receita'!$E$36)+(K29*'Projeções - Receita'!$F$36)+(K28*'Projeções - Receita'!$G$36)+(K27*'Projeções - Receita'!$H$36)-(K23*'Projeções - Receita'!$H$36)</f>
        <v>561048.20166666701</v>
      </c>
      <c r="L31" s="46">
        <f>(L30*'Projeções - Receita'!$E$36)+(L29*'Projeções - Receita'!$F$36)+(L28*'Projeções - Receita'!$G$36)+(L27*'Projeções - Receita'!$H$36)-(L23*'Projeções - Receita'!$H$36)</f>
        <v>592579.12747746857</v>
      </c>
      <c r="M31" s="46">
        <f>(M30*'Projeções - Receita'!$E$36)+(M29*'Projeções - Receita'!$F$36)+(M28*'Projeções - Receita'!$G$36)+(M27*'Projeções - Receita'!$H$36)-(M23*'Projeções - Receita'!$H$36)</f>
        <v>633100.37256724725</v>
      </c>
      <c r="N31" s="46">
        <f>(N30*'Projeções - Receita'!$E$36)+(N29*'Projeções - Receita'!$F$36)+(N28*'Projeções - Receita'!$G$36)+(N27*'Projeções - Receita'!$H$36)-(N23*'Projeções - Receita'!$H$36)</f>
        <v>678614.56202247285</v>
      </c>
      <c r="O31" s="46">
        <f>(O30*'Projeções - Receita'!$E$36)+(O29*'Projeções - Receita'!$F$36)+(O28*'Projeções - Receita'!$G$36)+(O27*'Projeções - Receita'!$H$36)-(O23*'Projeções - Receita'!$H$36)</f>
        <v>725115.4725098121</v>
      </c>
      <c r="P31" s="46">
        <f>(P30*'Projeções - Receita'!$E$36)+(P29*'Projeções - Receita'!$F$36)+(P28*'Projeções - Receita'!$G$36)+(P27*'Projeções - Receita'!$H$36)-(P23*'Projeções - Receita'!$H$36)</f>
        <v>748666.80560615275</v>
      </c>
      <c r="Q31" s="46">
        <f>(Q30*'Projeções - Receita'!$E$36)+(Q29*'Projeções - Receita'!$F$36)+(Q28*'Projeções - Receita'!$G$36)+(Q27*'Projeções - Receita'!$H$36)-(Q23*'Projeções - Receita'!$H$36)</f>
        <v>764367.69433704647</v>
      </c>
      <c r="R31" s="46">
        <f>(R30*'Projeções - Receita'!$E$36)+(R29*'Projeções - Receita'!$F$36)+(R28*'Projeções - Receita'!$G$36)+(R27*'Projeções - Receita'!$H$36)-(R23*'Projeções - Receita'!$H$36)</f>
        <v>772218.13870249339</v>
      </c>
      <c r="S31" s="184"/>
      <c r="T31" s="203"/>
      <c r="U31" s="61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30" customHeight="1" x14ac:dyDescent="0.2">
      <c r="A32" s="15"/>
      <c r="B32" s="4"/>
      <c r="C32" s="4"/>
      <c r="D32" s="4"/>
      <c r="E32" s="148" t="s">
        <v>814</v>
      </c>
      <c r="F32" s="324">
        <f>F11/F31</f>
        <v>9.3286035114024948</v>
      </c>
      <c r="G32" s="324">
        <f t="shared" ref="G32:K32" si="30">G11/G31</f>
        <v>9.499371357846476</v>
      </c>
      <c r="H32" s="324">
        <f t="shared" si="30"/>
        <v>9.3692130463497474</v>
      </c>
      <c r="I32" s="324">
        <f t="shared" si="30"/>
        <v>9.5031683758562</v>
      </c>
      <c r="J32" s="324">
        <f t="shared" si="30"/>
        <v>7.2297672258700798</v>
      </c>
      <c r="K32" s="324">
        <f t="shared" si="30"/>
        <v>8.8417233764653229</v>
      </c>
      <c r="L32" s="324">
        <f>AVERAGE(F32:K32)</f>
        <v>8.9619744822983858</v>
      </c>
      <c r="M32" s="324">
        <f>L32+1</f>
        <v>9.9619744822983858</v>
      </c>
      <c r="N32" s="324">
        <f t="shared" ref="N32:R32" si="31">M32+1</f>
        <v>10.961974482298386</v>
      </c>
      <c r="O32" s="324">
        <f t="shared" si="31"/>
        <v>11.961974482298386</v>
      </c>
      <c r="P32" s="324">
        <f t="shared" si="31"/>
        <v>12.961974482298386</v>
      </c>
      <c r="Q32" s="324">
        <f t="shared" si="31"/>
        <v>13.961974482298386</v>
      </c>
      <c r="R32" s="324">
        <f t="shared" si="31"/>
        <v>14.961974482298386</v>
      </c>
      <c r="S32" s="184"/>
      <c r="T32" s="203"/>
      <c r="U32" s="61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ht="30" customHeight="1" x14ac:dyDescent="0.2">
      <c r="A33" s="1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6" ht="30" customHeight="1" x14ac:dyDescent="0.2">
      <c r="A34" s="15"/>
      <c r="B34" s="4"/>
      <c r="C34" s="4"/>
      <c r="D34" s="4"/>
      <c r="E34" s="204"/>
      <c r="F34" s="4"/>
      <c r="G34" s="4"/>
      <c r="H34" s="205"/>
      <c r="I34" s="4"/>
      <c r="J34" s="4"/>
      <c r="K34" s="4"/>
      <c r="L34" s="4"/>
      <c r="M34" s="4"/>
      <c r="N34" s="4"/>
      <c r="O34" s="69"/>
      <c r="P34" s="69"/>
      <c r="Q34" s="69"/>
      <c r="R34" s="6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6" ht="30" customHeight="1" x14ac:dyDescent="0.2">
      <c r="A35" s="15"/>
      <c r="B35" s="4"/>
      <c r="C35" s="4"/>
      <c r="D35" s="4"/>
      <c r="E35" s="206" t="s">
        <v>275</v>
      </c>
      <c r="F35" s="207" t="s">
        <v>274</v>
      </c>
      <c r="G35" s="207" t="s">
        <v>273</v>
      </c>
      <c r="H35" s="208" t="s">
        <v>272</v>
      </c>
      <c r="I35" s="7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277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30" customHeight="1" x14ac:dyDescent="0.2">
      <c r="A36" s="15"/>
      <c r="B36" s="4"/>
      <c r="C36" s="4"/>
      <c r="D36" s="4"/>
      <c r="E36" s="209">
        <v>0.5</v>
      </c>
      <c r="F36" s="210">
        <v>0.66666666666666663</v>
      </c>
      <c r="G36" s="210">
        <v>0.83333333333333326</v>
      </c>
      <c r="H36" s="211">
        <v>1</v>
      </c>
      <c r="I36" s="7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30" customHeight="1" x14ac:dyDescent="0.2">
      <c r="A37" s="15"/>
      <c r="B37" s="4"/>
      <c r="C37" s="4"/>
      <c r="D37" s="4"/>
      <c r="E37" s="72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9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30" customHeight="1" x14ac:dyDescent="0.2">
      <c r="A38" s="15"/>
      <c r="B38" s="4"/>
      <c r="C38" s="4"/>
      <c r="D38" s="4"/>
      <c r="E38" s="72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9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ht="30" customHeight="1" x14ac:dyDescent="0.2">
      <c r="A39" s="15"/>
      <c r="B39" s="4"/>
      <c r="C39" s="4"/>
      <c r="D39" s="4"/>
      <c r="E39" s="72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9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30" customHeight="1" x14ac:dyDescent="0.2">
      <c r="A40" s="15"/>
      <c r="B40" s="4"/>
      <c r="C40" s="4"/>
      <c r="D40" s="4"/>
      <c r="E40" s="72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9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30" customHeight="1" x14ac:dyDescent="0.2">
      <c r="A41" s="15"/>
      <c r="B41" s="4"/>
      <c r="C41" s="4"/>
      <c r="D41" s="4"/>
      <c r="E41" s="72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9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30" customHeight="1" x14ac:dyDescent="0.2">
      <c r="A42" s="15"/>
      <c r="B42" s="4"/>
      <c r="C42" s="4"/>
      <c r="D42" s="4"/>
      <c r="E42" s="72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9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30" customHeight="1" x14ac:dyDescent="0.2">
      <c r="A43" s="15"/>
      <c r="B43" s="4"/>
      <c r="C43" s="4"/>
      <c r="D43" s="4"/>
      <c r="E43" s="72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9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30" customHeight="1" x14ac:dyDescent="0.2">
      <c r="A44" s="1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30" customHeight="1" x14ac:dyDescent="0.2">
      <c r="A45" s="1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30" customHeight="1" x14ac:dyDescent="0.2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30" customHeight="1" x14ac:dyDescent="0.2">
      <c r="A47" s="1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30" customHeight="1" x14ac:dyDescent="0.2">
      <c r="A48" s="1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30" customHeight="1" x14ac:dyDescent="0.2">
      <c r="A49" s="1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30" customHeight="1" x14ac:dyDescent="0.2">
      <c r="A50" s="1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30" customHeight="1" x14ac:dyDescent="0.2">
      <c r="A51" s="1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30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ht="30" customHeight="1" x14ac:dyDescent="0.2">
      <c r="A53" s="1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30" customHeight="1" x14ac:dyDescent="0.2">
      <c r="A54" s="1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30" customHeight="1" x14ac:dyDescent="0.2">
      <c r="A55" s="1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30" customHeight="1" x14ac:dyDescent="0.2">
      <c r="A56" s="1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30" customHeight="1" x14ac:dyDescent="0.2">
      <c r="A57" s="1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30" customHeight="1" x14ac:dyDescent="0.2">
      <c r="A58" s="15"/>
      <c r="B58" s="4"/>
      <c r="C58" s="4"/>
      <c r="D58" s="4"/>
      <c r="E58" s="72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9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30" customHeight="1" x14ac:dyDescent="0.2">
      <c r="A59" s="15"/>
      <c r="B59" s="4"/>
      <c r="C59" s="4"/>
      <c r="D59" s="4"/>
      <c r="E59" s="72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9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30" customHeight="1" x14ac:dyDescent="0.2">
      <c r="A60" s="15"/>
      <c r="B60" s="4"/>
      <c r="C60" s="4"/>
      <c r="D60" s="4"/>
      <c r="E60" s="72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9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30" customHeight="1" x14ac:dyDescent="0.2">
      <c r="A61" s="15"/>
      <c r="B61" s="4"/>
      <c r="C61" s="4"/>
      <c r="D61" s="4"/>
      <c r="E61" s="72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9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30" customHeight="1" x14ac:dyDescent="0.2">
      <c r="A62" s="15"/>
      <c r="B62" s="4"/>
      <c r="C62" s="4"/>
      <c r="D62" s="4"/>
      <c r="E62" s="72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9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30" customHeight="1" x14ac:dyDescent="0.2">
      <c r="A63" s="15"/>
      <c r="B63" s="4"/>
      <c r="C63" s="4"/>
      <c r="D63" s="4"/>
      <c r="E63" s="72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9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30" customHeight="1" x14ac:dyDescent="0.2">
      <c r="A64" s="15"/>
      <c r="B64" s="4"/>
      <c r="C64" s="4"/>
      <c r="D64" s="4"/>
      <c r="E64" s="72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9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30" customHeight="1" x14ac:dyDescent="0.2">
      <c r="A65" s="15"/>
      <c r="B65" s="4"/>
      <c r="C65" s="4"/>
      <c r="D65" s="4"/>
      <c r="E65" s="72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9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30" customHeight="1" x14ac:dyDescent="0.2">
      <c r="A66" s="15"/>
      <c r="B66" s="4"/>
      <c r="C66" s="4"/>
      <c r="D66" s="4"/>
      <c r="E66" s="72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9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30" customHeight="1" x14ac:dyDescent="0.2">
      <c r="A67" s="15"/>
      <c r="B67" s="4"/>
      <c r="C67" s="4"/>
      <c r="D67" s="4"/>
      <c r="E67" s="72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9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30" customHeight="1" x14ac:dyDescent="0.2">
      <c r="A68" s="15"/>
      <c r="B68" s="4"/>
      <c r="C68" s="4"/>
      <c r="D68" s="4"/>
      <c r="E68" s="72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9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30" customHeight="1" x14ac:dyDescent="0.2">
      <c r="A69" s="15"/>
      <c r="B69" s="4"/>
      <c r="C69" s="4"/>
      <c r="D69" s="4"/>
      <c r="E69" s="72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9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30" customHeight="1" x14ac:dyDescent="0.2">
      <c r="A70" s="15"/>
      <c r="B70" s="4"/>
      <c r="C70" s="4"/>
      <c r="D70" s="4"/>
      <c r="E70" s="72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9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30" customHeight="1" x14ac:dyDescent="0.2">
      <c r="A71" s="15"/>
      <c r="B71" s="4"/>
      <c r="C71" s="4"/>
      <c r="D71" s="4"/>
      <c r="E71" s="72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9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30" customHeight="1" x14ac:dyDescent="0.2">
      <c r="A72" s="15"/>
      <c r="B72" s="4"/>
      <c r="C72" s="4"/>
      <c r="D72" s="4"/>
      <c r="E72" s="72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9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30" customHeight="1" x14ac:dyDescent="0.2">
      <c r="A73" s="15"/>
      <c r="B73" s="4"/>
      <c r="C73" s="4"/>
      <c r="D73" s="4"/>
      <c r="E73" s="72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9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30" customHeight="1" x14ac:dyDescent="0.2">
      <c r="A74" s="15"/>
      <c r="B74" s="4"/>
      <c r="C74" s="4"/>
      <c r="D74" s="4"/>
      <c r="E74" s="72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9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30" customHeight="1" x14ac:dyDescent="0.2">
      <c r="A75" s="15"/>
      <c r="B75" s="4"/>
      <c r="C75" s="4"/>
      <c r="D75" s="4"/>
      <c r="E75" s="72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9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30" customHeight="1" x14ac:dyDescent="0.2">
      <c r="A76" s="15"/>
      <c r="B76" s="4"/>
      <c r="C76" s="4"/>
      <c r="D76" s="4"/>
      <c r="E76" s="72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9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30" customHeight="1" x14ac:dyDescent="0.2">
      <c r="A77" s="15"/>
      <c r="B77" s="4"/>
      <c r="C77" s="4"/>
      <c r="D77" s="4"/>
      <c r="E77" s="72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9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30" customHeight="1" x14ac:dyDescent="0.2">
      <c r="A78" s="15"/>
      <c r="B78" s="4"/>
      <c r="C78" s="4"/>
      <c r="D78" s="4"/>
      <c r="E78" s="72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9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30" customHeight="1" x14ac:dyDescent="0.2">
      <c r="A79" s="15"/>
      <c r="B79" s="4"/>
      <c r="C79" s="4"/>
      <c r="D79" s="4"/>
      <c r="E79" s="72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9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30" customHeight="1" x14ac:dyDescent="0.2">
      <c r="A80" s="15"/>
      <c r="B80" s="4"/>
      <c r="C80" s="4"/>
      <c r="D80" s="4"/>
      <c r="E80" s="72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9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30" customHeight="1" x14ac:dyDescent="0.2">
      <c r="A81" s="15"/>
      <c r="B81" s="4"/>
      <c r="C81" s="4"/>
      <c r="D81" s="4"/>
      <c r="E81" s="72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9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30" customHeight="1" x14ac:dyDescent="0.2">
      <c r="A82" s="15"/>
      <c r="B82" s="4"/>
      <c r="C82" s="4"/>
      <c r="D82" s="4"/>
      <c r="E82" s="72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9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30" customHeight="1" x14ac:dyDescent="0.2">
      <c r="A83" s="15"/>
      <c r="B83" s="4"/>
      <c r="C83" s="4"/>
      <c r="D83" s="4"/>
      <c r="E83" s="72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9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30" customHeight="1" x14ac:dyDescent="0.2">
      <c r="A84" s="15"/>
      <c r="B84" s="4"/>
      <c r="C84" s="4"/>
      <c r="D84" s="4"/>
      <c r="E84" s="72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9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30" customHeight="1" x14ac:dyDescent="0.2">
      <c r="A85" s="15"/>
      <c r="B85" s="4"/>
      <c r="C85" s="4"/>
      <c r="D85" s="4"/>
      <c r="E85" s="72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9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30" customHeight="1" x14ac:dyDescent="0.2">
      <c r="A86" s="15"/>
      <c r="B86" s="4"/>
      <c r="C86" s="4"/>
      <c r="D86" s="4"/>
      <c r="E86" s="72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9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30" customHeight="1" x14ac:dyDescent="0.2">
      <c r="A87" s="15"/>
      <c r="B87" s="4"/>
      <c r="C87" s="4"/>
      <c r="D87" s="4"/>
      <c r="E87" s="72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9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30" customHeight="1" x14ac:dyDescent="0.2">
      <c r="A88" s="15"/>
      <c r="B88" s="4"/>
      <c r="C88" s="4"/>
      <c r="D88" s="4"/>
      <c r="E88" s="72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9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30" customHeight="1" x14ac:dyDescent="0.2">
      <c r="A89" s="15"/>
      <c r="B89" s="4"/>
      <c r="C89" s="4"/>
      <c r="D89" s="4"/>
      <c r="E89" s="72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9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30" customHeight="1" x14ac:dyDescent="0.2">
      <c r="A90" s="15"/>
      <c r="B90" s="4"/>
      <c r="C90" s="4"/>
      <c r="D90" s="4"/>
      <c r="E90" s="72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9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30" customHeight="1" x14ac:dyDescent="0.2">
      <c r="A91" s="15"/>
      <c r="B91" s="4"/>
      <c r="C91" s="4"/>
      <c r="D91" s="4"/>
      <c r="E91" s="72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9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30" customHeight="1" x14ac:dyDescent="0.2">
      <c r="A92" s="15"/>
      <c r="B92" s="4"/>
      <c r="C92" s="4"/>
      <c r="D92" s="4"/>
      <c r="E92" s="72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9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30" customHeight="1" x14ac:dyDescent="0.2">
      <c r="A93" s="15"/>
      <c r="B93" s="4"/>
      <c r="C93" s="4"/>
      <c r="D93" s="4"/>
      <c r="E93" s="72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9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30" customHeight="1" x14ac:dyDescent="0.2">
      <c r="A94" s="15"/>
      <c r="B94" s="4"/>
      <c r="C94" s="4"/>
      <c r="D94" s="4"/>
      <c r="E94" s="72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9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30" customHeight="1" x14ac:dyDescent="0.2">
      <c r="A95" s="15"/>
      <c r="B95" s="4"/>
      <c r="C95" s="4"/>
      <c r="D95" s="4"/>
      <c r="E95" s="72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9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30" customHeight="1" x14ac:dyDescent="0.2">
      <c r="A96" s="15"/>
      <c r="B96" s="4"/>
      <c r="C96" s="4"/>
      <c r="D96" s="4"/>
      <c r="E96" s="72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9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7" s="3" customFormat="1" ht="30" customHeight="1" x14ac:dyDescent="0.2">
      <c r="A97" s="15"/>
      <c r="B97" s="4"/>
      <c r="C97" s="4"/>
      <c r="D97" s="4"/>
      <c r="E97" s="72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9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</row>
    <row r="98" spans="1:37" s="3" customFormat="1" ht="30" customHeight="1" x14ac:dyDescent="0.2">
      <c r="A98" s="15"/>
      <c r="B98" s="4"/>
      <c r="C98" s="4"/>
      <c r="D98" s="4"/>
      <c r="E98" s="72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9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1"/>
    </row>
    <row r="99" spans="1:37" s="3" customFormat="1" ht="30" customHeight="1" x14ac:dyDescent="0.2">
      <c r="A99" s="15"/>
      <c r="B99" s="4"/>
      <c r="C99" s="4"/>
      <c r="D99" s="4"/>
      <c r="E99" s="72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9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</row>
    <row r="100" spans="1:37" s="3" customFormat="1" ht="30" customHeight="1" x14ac:dyDescent="0.2">
      <c r="A100" s="15"/>
      <c r="B100" s="4"/>
      <c r="C100" s="4"/>
      <c r="D100" s="4"/>
      <c r="E100" s="72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9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1"/>
    </row>
    <row r="101" spans="1:37" s="3" customFormat="1" ht="30" customHeight="1" x14ac:dyDescent="0.2">
      <c r="A101" s="15"/>
      <c r="B101" s="4"/>
      <c r="C101" s="4"/>
      <c r="D101" s="4"/>
      <c r="E101" s="72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9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</row>
    <row r="102" spans="1:37" s="3" customFormat="1" ht="30" customHeight="1" x14ac:dyDescent="0.2">
      <c r="A102" s="15"/>
      <c r="B102" s="4"/>
      <c r="C102" s="4"/>
      <c r="D102" s="4"/>
      <c r="E102" s="72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9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1"/>
    </row>
    <row r="103" spans="1:37" s="3" customFormat="1" ht="30" customHeight="1" x14ac:dyDescent="0.2">
      <c r="A103" s="15"/>
      <c r="B103" s="4"/>
      <c r="C103" s="4"/>
      <c r="D103" s="4"/>
      <c r="E103" s="72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9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</row>
    <row r="104" spans="1:37" ht="0" hidden="1" customHeight="1" x14ac:dyDescent="0.2">
      <c r="C104" s="4"/>
      <c r="D104" s="4"/>
      <c r="E104" s="72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9"/>
      <c r="U104" s="4"/>
      <c r="V104" s="4"/>
      <c r="W104" s="4"/>
    </row>
    <row r="105" spans="1:37" ht="0" hidden="1" customHeight="1" x14ac:dyDescent="0.2">
      <c r="D105" s="4"/>
      <c r="E105" s="72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9"/>
      <c r="U105" s="4"/>
      <c r="V105" s="4"/>
    </row>
    <row r="106" spans="1:37" ht="0" hidden="1" customHeight="1" x14ac:dyDescent="0.2">
      <c r="D106" s="4"/>
      <c r="E106" s="72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9"/>
      <c r="U106" s="4"/>
      <c r="V106" s="4"/>
    </row>
    <row r="107" spans="1:37" ht="0" hidden="1" customHeight="1" x14ac:dyDescent="0.2">
      <c r="D107" s="4"/>
      <c r="E107" s="72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9"/>
      <c r="V107" s="4"/>
    </row>
    <row r="108" spans="1:37" ht="0" hidden="1" customHeight="1" x14ac:dyDescent="0.2"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</row>
    <row r="109" spans="1:37" ht="0" hidden="1" customHeight="1" x14ac:dyDescent="0.2"/>
    <row r="110" spans="1:37" ht="0" hidden="1" customHeight="1" x14ac:dyDescent="0.2"/>
    <row r="111" spans="1:37" ht="0" hidden="1" customHeight="1" x14ac:dyDescent="0.2"/>
    <row r="112" spans="1:37" ht="0" hidden="1" customHeight="1" x14ac:dyDescent="0.2"/>
    <row r="113" ht="0" hidden="1" customHeight="1" x14ac:dyDescent="0.2"/>
    <row r="114" ht="0" hidden="1" customHeight="1" x14ac:dyDescent="0.2"/>
    <row r="115" ht="0" hidden="1" customHeight="1" x14ac:dyDescent="0.2"/>
    <row r="116" ht="0" hidden="1" customHeight="1" x14ac:dyDescent="0.2"/>
    <row r="117" ht="0" hidden="1" customHeight="1" x14ac:dyDescent="0.2"/>
    <row r="118" ht="0" hidden="1" customHeight="1" x14ac:dyDescent="0.2"/>
    <row r="119" ht="0" hidden="1" customHeight="1" x14ac:dyDescent="0.2"/>
    <row r="120" ht="0" hidden="1" customHeight="1" x14ac:dyDescent="0.2"/>
    <row r="121" ht="0" hidden="1" customHeight="1" x14ac:dyDescent="0.2"/>
    <row r="122" ht="0" hidden="1" customHeight="1" x14ac:dyDescent="0.2"/>
    <row r="123" ht="0" hidden="1" customHeight="1" x14ac:dyDescent="0.2"/>
    <row r="124" ht="0" hidden="1" customHeight="1" x14ac:dyDescent="0.2"/>
    <row r="125" ht="0" hidden="1" customHeight="1" x14ac:dyDescent="0.2"/>
    <row r="126" ht="0" hidden="1" customHeight="1" x14ac:dyDescent="0.2"/>
    <row r="127" ht="0" hidden="1" customHeight="1" x14ac:dyDescent="0.2"/>
    <row r="128" ht="0" hidden="1" customHeight="1" x14ac:dyDescent="0.2"/>
    <row r="129" ht="0" hidden="1" customHeight="1" x14ac:dyDescent="0.2"/>
    <row r="130" ht="0" hidden="1" customHeight="1" x14ac:dyDescent="0.2"/>
    <row r="131" ht="0" hidden="1" customHeight="1" x14ac:dyDescent="0.2"/>
    <row r="132" ht="0" hidden="1" customHeight="1" x14ac:dyDescent="0.2"/>
    <row r="133" ht="0" hidden="1" customHeight="1" x14ac:dyDescent="0.2"/>
    <row r="134" ht="0" hidden="1" customHeight="1" x14ac:dyDescent="0.2"/>
    <row r="135" ht="0" hidden="1" customHeight="1" x14ac:dyDescent="0.2"/>
    <row r="136" ht="0" hidden="1" customHeight="1" x14ac:dyDescent="0.2"/>
    <row r="137" ht="0" hidden="1" customHeight="1" x14ac:dyDescent="0.2"/>
    <row r="138" ht="0" hidden="1" customHeight="1" x14ac:dyDescent="0.2"/>
    <row r="139" ht="0" hidden="1" customHeight="1" x14ac:dyDescent="0.2"/>
    <row r="140" ht="0" hidden="1" customHeight="1" x14ac:dyDescent="0.2"/>
  </sheetData>
  <mergeCells count="1">
    <mergeCell ref="L4:N4"/>
  </mergeCells>
  <phoneticPr fontId="3" type="noConversion"/>
  <conditionalFormatting sqref="A5:C6 V4:XFD4 E35:H36 T12 V13:W14 V15:V16 B13:B15 A4:E4 C14:D15 B19:C20 D7:J7 J34:V36 A1:XFD3 B17:V18 B16:T16 X13:XFD32 W15:W32 V19:V32 E5:XFD8 D33:V33 D34:D36 E26:T26 E27:R31 V9:XFD12 B7:C12 D5:D12 E25:S25 D19:T24 S27:T30 D25:D32 E31:T31 C13:T13 E9:T11 A21:C1048576 W33:XFD1048576 D37:V1048576 H15:R15">
    <cfRule type="cellIs" dxfId="78" priority="113" operator="equal">
      <formula>0</formula>
    </cfRule>
  </conditionalFormatting>
  <conditionalFormatting sqref="D35:D36">
    <cfRule type="cellIs" dxfId="77" priority="109" operator="equal">
      <formula>0</formula>
    </cfRule>
  </conditionalFormatting>
  <conditionalFormatting sqref="F14:J14">
    <cfRule type="cellIs" dxfId="76" priority="95" operator="equal">
      <formula>0</formula>
    </cfRule>
  </conditionalFormatting>
  <conditionalFormatting sqref="E14">
    <cfRule type="cellIs" dxfId="75" priority="94" operator="equal">
      <formula>0</formula>
    </cfRule>
  </conditionalFormatting>
  <conditionalFormatting sqref="K14:R14 F12:S12">
    <cfRule type="cellIs" dxfId="74" priority="93" operator="equal">
      <formula>0</formula>
    </cfRule>
  </conditionalFormatting>
  <conditionalFormatting sqref="E12">
    <cfRule type="cellIs" dxfId="73" priority="92" operator="equal">
      <formula>0</formula>
    </cfRule>
  </conditionalFormatting>
  <conditionalFormatting sqref="U16">
    <cfRule type="cellIs" dxfId="72" priority="89" operator="equal">
      <formula>0</formula>
    </cfRule>
  </conditionalFormatting>
  <conditionalFormatting sqref="T25">
    <cfRule type="cellIs" dxfId="71" priority="76" operator="equal">
      <formula>0</formula>
    </cfRule>
  </conditionalFormatting>
  <conditionalFormatting sqref="E34:I34">
    <cfRule type="cellIs" dxfId="70" priority="69" operator="equal">
      <formula>0</formula>
    </cfRule>
  </conditionalFormatting>
  <conditionalFormatting sqref="S15 F15:G15">
    <cfRule type="cellIs" dxfId="69" priority="65" operator="equal">
      <formula>0</formula>
    </cfRule>
  </conditionalFormatting>
  <conditionalFormatting sqref="E15">
    <cfRule type="cellIs" dxfId="68" priority="62" operator="equal">
      <formula>0</formula>
    </cfRule>
  </conditionalFormatting>
  <conditionalFormatting sqref="S14">
    <cfRule type="cellIs" dxfId="67" priority="60" operator="equal">
      <formula>0</formula>
    </cfRule>
  </conditionalFormatting>
  <conditionalFormatting sqref="T14">
    <cfRule type="cellIs" dxfId="66" priority="55" operator="equal">
      <formula>0</formula>
    </cfRule>
  </conditionalFormatting>
  <conditionalFormatting sqref="T15">
    <cfRule type="cellIs" dxfId="65" priority="50" operator="equal">
      <formula>0</formula>
    </cfRule>
  </conditionalFormatting>
  <conditionalFormatting sqref="L4">
    <cfRule type="cellIs" dxfId="64" priority="5" operator="equal">
      <formula>0</formula>
    </cfRule>
  </conditionalFormatting>
  <conditionalFormatting sqref="U10:U15">
    <cfRule type="colorScale" priority="676">
      <colorScale>
        <cfvo type="min"/>
        <cfvo type="max"/>
        <color rgb="FFD9FBE2"/>
        <color rgb="FF00C556"/>
      </colorScale>
    </cfRule>
  </conditionalFormatting>
  <conditionalFormatting sqref="E32 G32:T32">
    <cfRule type="cellIs" dxfId="63" priority="3" operator="equal">
      <formula>0</formula>
    </cfRule>
  </conditionalFormatting>
  <conditionalFormatting sqref="U32">
    <cfRule type="colorScale" priority="4">
      <colorScale>
        <cfvo type="min"/>
        <cfvo type="max"/>
        <color rgb="FFD9FBE2"/>
        <color rgb="FF00C556"/>
      </colorScale>
    </cfRule>
  </conditionalFormatting>
  <conditionalFormatting sqref="F32:K32">
    <cfRule type="cellIs" dxfId="62" priority="1" operator="equal">
      <formula>0</formula>
    </cfRule>
  </conditionalFormatting>
  <conditionalFormatting sqref="U20:U31">
    <cfRule type="colorScale" priority="703">
      <colorScale>
        <cfvo type="min"/>
        <cfvo type="max"/>
        <color rgb="FFD9FBE2"/>
        <color rgb="FF00C556"/>
      </colorScale>
    </cfRule>
  </conditionalFormatting>
  <hyperlinks>
    <hyperlink ref="A10" location="'DRE + DCF'!A1" display="DRE + DCF" xr:uid="{55F44AFA-ADCC-4926-92C3-B72958C81A73}"/>
    <hyperlink ref="A9" location="WACC!A1" display="WACC" xr:uid="{9E0B5715-4E55-4542-97ED-8D69DC70BBD2}"/>
    <hyperlink ref="A8" location="Dashboard!A1" display="Dashboard" xr:uid="{32AB7B8B-5C1A-4083-BF57-FE5948BAF84C}"/>
    <hyperlink ref="A13" location="Lojas!A1" display="Lojas" xr:uid="{D7EEF8CB-EDA0-43CF-B2B6-A2127C1BC4F5}"/>
    <hyperlink ref="A12" location="'Projeções - Receita'!A1" display="Projeções - Receita" xr:uid="{ABA071BC-4495-41BD-A6D4-A0EC7C04D536}"/>
    <hyperlink ref="A11" location="'Balanço Patrimonial'!A1" display="Balanço Patrimonial" xr:uid="{0790EBCA-FF40-4421-9A6D-0D3E9EB6FC7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E0C3-707A-4181-956E-309894670B38}">
  <dimension ref="A2:BS68"/>
  <sheetViews>
    <sheetView showGridLines="0" topLeftCell="A2" zoomScale="116" zoomScaleNormal="85" workbookViewId="0">
      <selection activeCell="K10" sqref="K10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63.5" style="1" bestFit="1" customWidth="1"/>
    <col min="6" max="6" width="13.1640625" style="1" bestFit="1" customWidth="1"/>
    <col min="7" max="8" width="12.83203125" style="1" bestFit="1" customWidth="1"/>
    <col min="9" max="9" width="13.1640625" style="1" bestFit="1" customWidth="1"/>
    <col min="10" max="12" width="13.1640625" style="1" customWidth="1"/>
    <col min="13" max="14" width="13.1640625" style="1" bestFit="1" customWidth="1"/>
    <col min="15" max="16" width="13.83203125" style="1" customWidth="1"/>
    <col min="17" max="18" width="13.5" style="1" customWidth="1"/>
    <col min="19" max="29" width="9.1640625" style="1" customWidth="1"/>
    <col min="30" max="71" width="9.1640625" style="1" hidden="1" customWidth="1"/>
    <col min="72" max="16384" width="0" style="1" hidden="1"/>
  </cols>
  <sheetData>
    <row r="2" spans="1:31" ht="15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" customHeight="1" x14ac:dyDescent="0.2">
      <c r="B3" s="4"/>
      <c r="C3" s="4"/>
      <c r="D3" s="4"/>
      <c r="E3" s="4"/>
      <c r="F3" s="38"/>
      <c r="G3" s="38"/>
      <c r="H3" s="38"/>
      <c r="I3" s="38"/>
      <c r="J3" s="38"/>
      <c r="K3" s="38"/>
      <c r="L3" s="3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" customHeight="1" x14ac:dyDescent="0.2">
      <c r="B4" s="4"/>
      <c r="C4" s="4"/>
      <c r="D4" s="4"/>
      <c r="E4" s="4"/>
      <c r="F4" s="38"/>
      <c r="G4" s="38"/>
      <c r="H4" s="38"/>
      <c r="I4" s="38"/>
      <c r="J4" s="38"/>
      <c r="K4" s="38"/>
      <c r="L4" s="3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26" x14ac:dyDescent="0.2">
      <c r="B5" s="4"/>
      <c r="C5" s="4"/>
      <c r="D5" s="4"/>
      <c r="E5" s="4"/>
      <c r="F5" s="38"/>
      <c r="G5" s="323" t="s">
        <v>0</v>
      </c>
      <c r="H5" s="323"/>
      <c r="I5" s="323"/>
      <c r="J5" s="323"/>
      <c r="K5" s="323"/>
      <c r="L5" s="38"/>
      <c r="M5" s="3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" customHeight="1" x14ac:dyDescent="0.2">
      <c r="B6" s="4"/>
      <c r="C6" s="4"/>
      <c r="D6" s="4"/>
      <c r="E6" s="4"/>
      <c r="F6" s="38"/>
      <c r="G6" s="38"/>
      <c r="H6" s="38"/>
      <c r="I6" s="38"/>
      <c r="J6" s="38"/>
      <c r="K6" s="38"/>
      <c r="L6" s="3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10" customFormat="1" ht="24.75" customHeight="1" x14ac:dyDescent="0.2">
      <c r="A7" s="8" t="s">
        <v>1</v>
      </c>
      <c r="B7" s="9"/>
      <c r="C7" s="9"/>
      <c r="D7" s="9"/>
      <c r="E7" s="9"/>
      <c r="F7" s="4"/>
      <c r="G7" s="4"/>
      <c r="H7" s="243"/>
      <c r="I7" s="243"/>
      <c r="J7" s="243"/>
      <c r="K7" s="9"/>
      <c r="L7" s="4"/>
      <c r="M7" s="9"/>
      <c r="N7" s="9"/>
      <c r="O7" s="9"/>
      <c r="P7" s="4"/>
      <c r="Q7" s="4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ht="30" customHeight="1" x14ac:dyDescent="0.2">
      <c r="A8" s="15" t="s">
        <v>2</v>
      </c>
      <c r="B8" s="4"/>
      <c r="C8" s="4"/>
      <c r="D8" s="9"/>
      <c r="E8" s="34"/>
      <c r="M8" s="21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31" ht="30" customHeight="1" x14ac:dyDescent="0.2">
      <c r="A9" s="15" t="s">
        <v>3</v>
      </c>
      <c r="B9" s="4"/>
      <c r="C9" s="4"/>
      <c r="D9" s="4"/>
      <c r="E9" s="41"/>
      <c r="F9" s="42">
        <v>2018</v>
      </c>
      <c r="G9" s="42">
        <v>2019</v>
      </c>
      <c r="H9" s="42">
        <v>2020</v>
      </c>
      <c r="I9" s="42">
        <v>2021</v>
      </c>
      <c r="J9" s="42"/>
      <c r="K9" s="43">
        <v>2022</v>
      </c>
      <c r="L9" s="43">
        <v>2023</v>
      </c>
      <c r="M9" s="43">
        <v>2024</v>
      </c>
      <c r="N9" s="43">
        <v>2025</v>
      </c>
      <c r="O9" s="43">
        <f>N9+1</f>
        <v>2026</v>
      </c>
      <c r="P9" s="43">
        <f t="shared" ref="P9:Q9" si="0">O9+1</f>
        <v>2027</v>
      </c>
      <c r="Q9" s="44">
        <f t="shared" si="0"/>
        <v>2028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31" ht="30" customHeight="1" x14ac:dyDescent="0.2">
      <c r="A10" s="15" t="s">
        <v>6</v>
      </c>
      <c r="B10" s="4"/>
      <c r="C10" s="4"/>
      <c r="D10" s="4"/>
      <c r="E10" s="148" t="s">
        <v>278</v>
      </c>
      <c r="F10" s="46">
        <f>'DRE - Contas Abertas'!H59</f>
        <v>356221</v>
      </c>
      <c r="G10" s="46">
        <f>'DRE - Contas Abertas'!I59</f>
        <v>315919</v>
      </c>
      <c r="H10" s="46">
        <f>'DRE - Contas Abertas'!J59</f>
        <v>-259017</v>
      </c>
      <c r="I10" s="46">
        <f>'DRE - Contas Abertas'!K59</f>
        <v>-117653</v>
      </c>
      <c r="J10" s="46"/>
      <c r="K10" s="46">
        <f>K11+K12</f>
        <v>-399446.66645005188</v>
      </c>
      <c r="L10" s="46">
        <f>L11+L12</f>
        <v>-379456.58117212611</v>
      </c>
      <c r="M10" s="46">
        <f>M11+M12</f>
        <v>-283298.24169114733</v>
      </c>
      <c r="N10" s="46">
        <f>N11+N12</f>
        <v>365925.8831495574</v>
      </c>
      <c r="O10" s="46">
        <f t="shared" ref="O10:Q10" si="1">O11+O12</f>
        <v>604135.51865704916</v>
      </c>
      <c r="P10" s="46">
        <f t="shared" si="1"/>
        <v>900051.5424857731</v>
      </c>
      <c r="Q10" s="54">
        <f t="shared" si="1"/>
        <v>1090351.8457598244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1" ht="30" customHeight="1" x14ac:dyDescent="0.2">
      <c r="A11" s="15" t="s">
        <v>8</v>
      </c>
      <c r="B11" s="4"/>
      <c r="C11" s="4"/>
      <c r="D11" s="4"/>
      <c r="E11" s="122" t="s">
        <v>279</v>
      </c>
      <c r="F11" s="52">
        <f>F10-F12</f>
        <v>307621</v>
      </c>
      <c r="G11" s="52">
        <f>G10-G12</f>
        <v>308619</v>
      </c>
      <c r="H11" s="52">
        <f>H10-H12</f>
        <v>-227817</v>
      </c>
      <c r="I11" s="52">
        <f>I10-I12</f>
        <v>-152853</v>
      </c>
      <c r="J11" s="52"/>
      <c r="K11" s="52">
        <f>K25</f>
        <v>-452934.03134946205</v>
      </c>
      <c r="L11" s="52">
        <f t="shared" ref="L11:Q11" si="2">L25</f>
        <v>-442977.8469176318</v>
      </c>
      <c r="M11" s="52">
        <f t="shared" si="2"/>
        <v>-373205.41774460586</v>
      </c>
      <c r="N11" s="52">
        <f t="shared" si="2"/>
        <v>261094.22885533958</v>
      </c>
      <c r="O11" s="52">
        <f t="shared" si="2"/>
        <v>486850.60962317651</v>
      </c>
      <c r="P11" s="52">
        <f t="shared" si="2"/>
        <v>749571.69288868527</v>
      </c>
      <c r="Q11" s="53">
        <f t="shared" si="2"/>
        <v>927437.96340889973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1" ht="30" customHeight="1" x14ac:dyDescent="0.2">
      <c r="A12" s="11" t="s">
        <v>10</v>
      </c>
      <c r="B12" s="4"/>
      <c r="C12" s="4"/>
      <c r="D12" s="4"/>
      <c r="E12" s="122" t="s">
        <v>280</v>
      </c>
      <c r="F12" s="215">
        <v>48600</v>
      </c>
      <c r="G12" s="215">
        <v>7300</v>
      </c>
      <c r="H12" s="215">
        <v>-31200</v>
      </c>
      <c r="I12" s="215">
        <v>35200</v>
      </c>
      <c r="J12" s="215"/>
      <c r="K12" s="215">
        <f>K18</f>
        <v>53487.364899410168</v>
      </c>
      <c r="L12" s="215">
        <f t="shared" ref="L12:Q12" si="3">L18</f>
        <v>63521.265745505683</v>
      </c>
      <c r="M12" s="215">
        <f t="shared" si="3"/>
        <v>89907.176053458505</v>
      </c>
      <c r="N12" s="215">
        <f t="shared" si="3"/>
        <v>104831.65429421782</v>
      </c>
      <c r="O12" s="215">
        <f t="shared" si="3"/>
        <v>117284.90903387264</v>
      </c>
      <c r="P12" s="215">
        <f t="shared" si="3"/>
        <v>150479.84959708786</v>
      </c>
      <c r="Q12" s="216">
        <f t="shared" si="3"/>
        <v>162913.88235092457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1" ht="30" customHeight="1" x14ac:dyDescent="0.2">
      <c r="A13" s="15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31" ht="30" customHeight="1" x14ac:dyDescent="0.2">
      <c r="A14" s="11"/>
      <c r="B14" s="4"/>
      <c r="C14" s="4"/>
      <c r="D14" s="9"/>
      <c r="E14" s="9"/>
      <c r="F14" s="4"/>
      <c r="G14" s="4"/>
      <c r="H14" s="4"/>
      <c r="I14" s="9"/>
      <c r="J14" s="9"/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31" ht="30" customHeight="1" x14ac:dyDescent="0.2">
      <c r="A15" s="15"/>
      <c r="B15" s="4"/>
      <c r="C15" s="4"/>
      <c r="D15" s="9"/>
      <c r="E15" s="34"/>
      <c r="I15" s="2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31" ht="30" customHeight="1" x14ac:dyDescent="0.2">
      <c r="A16" s="15"/>
      <c r="B16" s="4"/>
      <c r="C16" s="4"/>
      <c r="D16" s="4"/>
      <c r="E16" s="41"/>
      <c r="F16" s="42">
        <v>2018</v>
      </c>
      <c r="G16" s="42">
        <v>2019</v>
      </c>
      <c r="H16" s="42">
        <v>2020</v>
      </c>
      <c r="I16" s="42">
        <v>2021</v>
      </c>
      <c r="J16" s="42" t="s">
        <v>136</v>
      </c>
      <c r="K16" s="43">
        <f>I16+1</f>
        <v>2022</v>
      </c>
      <c r="L16" s="43">
        <f t="shared" ref="L16:M16" si="4">K16+1</f>
        <v>2023</v>
      </c>
      <c r="M16" s="43">
        <f t="shared" si="4"/>
        <v>2024</v>
      </c>
      <c r="N16" s="43">
        <f t="shared" ref="N16" si="5">M16+1</f>
        <v>2025</v>
      </c>
      <c r="O16" s="44">
        <f t="shared" ref="O16" si="6">N16+1</f>
        <v>2026</v>
      </c>
      <c r="P16" s="260">
        <f t="shared" ref="P16" si="7">O16+1</f>
        <v>2027</v>
      </c>
      <c r="Q16" s="44">
        <f t="shared" ref="Q16" si="8">P16+1</f>
        <v>2028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4" ht="30" customHeight="1" x14ac:dyDescent="0.2">
      <c r="A17" s="15"/>
      <c r="B17" s="4"/>
      <c r="C17" s="4"/>
      <c r="D17" s="4"/>
      <c r="E17" s="218" t="s">
        <v>281</v>
      </c>
      <c r="F17" s="46">
        <f>'Projeções - Receita'!H12</f>
        <v>241271</v>
      </c>
      <c r="G17" s="46">
        <f>'Projeções - Receita'!I12</f>
        <v>216402</v>
      </c>
      <c r="H17" s="46">
        <f>'Projeções - Receita'!J12</f>
        <v>149259</v>
      </c>
      <c r="I17" s="46">
        <f>'Projeções - Receita'!K12</f>
        <v>174974</v>
      </c>
      <c r="J17" s="46">
        <f>56400+9900</f>
        <v>66300</v>
      </c>
      <c r="K17" s="46">
        <f>'Projeções - Receita'!L12</f>
        <v>265533.95095978578</v>
      </c>
      <c r="L17" s="46">
        <f>'Projeções - Receita'!M12</f>
        <v>315346.48781242594</v>
      </c>
      <c r="M17" s="46">
        <f>'Projeções - Receita'!N12</f>
        <v>446337.33073238656</v>
      </c>
      <c r="N17" s="46">
        <f>'Projeções - Receita'!O12</f>
        <v>520428.76673292648</v>
      </c>
      <c r="O17" s="46">
        <f>'Projeções - Receita'!P12</f>
        <v>582252.00180064782</v>
      </c>
      <c r="P17" s="261">
        <f>'Projeções - Receita'!Q12</f>
        <v>747045.75703989679</v>
      </c>
      <c r="Q17" s="54">
        <f>'Projeções - Receita'!R12</f>
        <v>808773.56602242636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4" ht="30" customHeight="1" x14ac:dyDescent="0.2">
      <c r="A18" s="15"/>
      <c r="B18" s="4"/>
      <c r="C18" s="4"/>
      <c r="D18" s="4"/>
      <c r="E18" s="218" t="s">
        <v>283</v>
      </c>
      <c r="F18" s="46">
        <v>48600</v>
      </c>
      <c r="G18" s="46">
        <v>7300</v>
      </c>
      <c r="H18" s="46">
        <v>-31200</v>
      </c>
      <c r="I18" s="46">
        <v>35174</v>
      </c>
      <c r="J18" s="46">
        <v>17100</v>
      </c>
      <c r="K18" s="46">
        <f>K19*K17</f>
        <v>53487.364899410168</v>
      </c>
      <c r="L18" s="46">
        <f>L19*L17</f>
        <v>63521.265745505683</v>
      </c>
      <c r="M18" s="46">
        <f>M19*M17</f>
        <v>89907.176053458505</v>
      </c>
      <c r="N18" s="46">
        <f>N19*N17</f>
        <v>104831.65429421782</v>
      </c>
      <c r="O18" s="46">
        <f>O19*O17</f>
        <v>117284.90903387264</v>
      </c>
      <c r="P18" s="261">
        <f>P19*P17</f>
        <v>150479.84959708786</v>
      </c>
      <c r="Q18" s="54">
        <f>Q19*Q17</f>
        <v>162913.88235092457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30" customHeight="1" thickBot="1" x14ac:dyDescent="0.25">
      <c r="A19" s="15"/>
      <c r="B19" s="4"/>
      <c r="C19" s="4"/>
      <c r="D19" s="4"/>
      <c r="E19" s="219" t="s">
        <v>47</v>
      </c>
      <c r="F19" s="220">
        <v>0.20143324311666136</v>
      </c>
      <c r="G19" s="220">
        <v>3.373351447768505E-2</v>
      </c>
      <c r="H19" s="221">
        <v>-0.20903262114847346</v>
      </c>
      <c r="I19" s="221">
        <v>0.20102415215974945</v>
      </c>
      <c r="J19" s="221">
        <v>0.25791855203619912</v>
      </c>
      <c r="K19" s="220">
        <f>F19</f>
        <v>0.20143324311666136</v>
      </c>
      <c r="L19" s="220">
        <f>K19</f>
        <v>0.20143324311666136</v>
      </c>
      <c r="M19" s="220">
        <f t="shared" ref="M19:Q19" si="9">L19</f>
        <v>0.20143324311666136</v>
      </c>
      <c r="N19" s="220">
        <f t="shared" si="9"/>
        <v>0.20143324311666136</v>
      </c>
      <c r="O19" s="220">
        <f t="shared" si="9"/>
        <v>0.20143324311666136</v>
      </c>
      <c r="P19" s="220">
        <f t="shared" si="9"/>
        <v>0.20143324311666136</v>
      </c>
      <c r="Q19" s="220">
        <f t="shared" si="9"/>
        <v>0.20143324311666136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30" customHeight="1" x14ac:dyDescent="0.2">
      <c r="A20" s="15"/>
      <c r="B20" s="4"/>
      <c r="C20" s="4"/>
      <c r="D20" s="4"/>
      <c r="E20" s="253"/>
      <c r="F20" s="254"/>
      <c r="G20" s="254"/>
      <c r="H20" s="255"/>
      <c r="I20" s="255"/>
      <c r="J20" s="255"/>
      <c r="K20" s="254"/>
      <c r="L20" s="254"/>
      <c r="M20" s="254"/>
      <c r="N20" s="25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4" ht="30" customHeight="1" x14ac:dyDescent="0.2">
      <c r="A21" s="1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4" ht="30" customHeight="1" x14ac:dyDescent="0.2">
      <c r="A22" s="15"/>
      <c r="B22" s="4"/>
      <c r="C22" s="4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4" ht="30" customHeight="1" x14ac:dyDescent="0.2">
      <c r="A23" s="15"/>
      <c r="B23" s="4"/>
      <c r="C23" s="4"/>
      <c r="D23" s="4"/>
      <c r="E23" s="41"/>
      <c r="F23" s="42">
        <v>2018</v>
      </c>
      <c r="G23" s="42">
        <v>2019</v>
      </c>
      <c r="H23" s="42">
        <v>2020</v>
      </c>
      <c r="I23" s="42">
        <v>2021</v>
      </c>
      <c r="J23" s="42" t="s">
        <v>136</v>
      </c>
      <c r="K23" s="43">
        <f>I23+1</f>
        <v>2022</v>
      </c>
      <c r="L23" s="43">
        <f t="shared" ref="L23:M23" si="10">K23+1</f>
        <v>2023</v>
      </c>
      <c r="M23" s="43">
        <f t="shared" si="10"/>
        <v>2024</v>
      </c>
      <c r="N23" s="43">
        <f t="shared" ref="N23" si="11">M23+1</f>
        <v>2025</v>
      </c>
      <c r="O23" s="43">
        <f t="shared" ref="O23" si="12">N23+1</f>
        <v>2026</v>
      </c>
      <c r="P23" s="260">
        <f t="shared" ref="P23" si="13">O23+1</f>
        <v>2027</v>
      </c>
      <c r="Q23" s="44">
        <f t="shared" ref="Q23" si="14">P23+1</f>
        <v>2028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30" customHeight="1" x14ac:dyDescent="0.2">
      <c r="A24" s="15"/>
      <c r="B24" s="4"/>
      <c r="C24" s="4"/>
      <c r="D24" s="4"/>
      <c r="E24" s="218" t="s">
        <v>284</v>
      </c>
      <c r="F24" s="46">
        <f>'Projeções - Receita'!H11+'Projeções - Receita'!H14</f>
        <v>4897843</v>
      </c>
      <c r="G24" s="46">
        <f>'Projeções - Receita'!I11+'Projeções - Receita'!I14</f>
        <v>5068776</v>
      </c>
      <c r="H24" s="46">
        <f>'Projeções - Receita'!J11+'Projeções - Receita'!J14</f>
        <v>3936227</v>
      </c>
      <c r="I24" s="46">
        <f>'Projeções - Receita'!K11+'Projeções - Receita'!K14</f>
        <v>4978232</v>
      </c>
      <c r="J24" s="46">
        <f>'DRE + DCF'!L11-J17</f>
        <v>1130724</v>
      </c>
      <c r="K24" s="46">
        <f>'Projeções - Receita'!L11+'Projeções - Receita'!L14</f>
        <v>5328635.6629348472</v>
      </c>
      <c r="L24" s="46">
        <f>'Projeções - Receita'!M11+'Projeções - Receita'!M14</f>
        <v>6328254.9559661681</v>
      </c>
      <c r="M24" s="46">
        <f>'Projeções - Receita'!N11+'Projeções - Receita'!N14</f>
        <v>7464108.354892117</v>
      </c>
      <c r="N24" s="46">
        <f>'Projeções - Receita'!O11+'Projeções - Receita'!O14</f>
        <v>8703140.9618446529</v>
      </c>
      <c r="O24" s="46">
        <f>'Projeções - Receita'!P11+'Projeções - Receita'!P14</f>
        <v>9737012.1924635302</v>
      </c>
      <c r="P24" s="261">
        <f>'Projeções - Receita'!Q11+'Projeções - Receita'!Q14</f>
        <v>10708167.041266931</v>
      </c>
      <c r="Q24" s="54">
        <f>'Projeções - Receita'!R11+'Projeções - Receita'!R14</f>
        <v>11592974.542611247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30" customHeight="1" x14ac:dyDescent="0.2">
      <c r="A25" s="15"/>
      <c r="B25" s="4"/>
      <c r="C25" s="4"/>
      <c r="D25" s="4"/>
      <c r="E25" s="218" t="s">
        <v>285</v>
      </c>
      <c r="F25" s="46">
        <v>307620.99999804981</v>
      </c>
      <c r="G25" s="46">
        <v>308621</v>
      </c>
      <c r="H25" s="46">
        <v>-227817.00000048801</v>
      </c>
      <c r="I25" s="46">
        <v>-152826</v>
      </c>
      <c r="J25" s="46">
        <v>-188043</v>
      </c>
      <c r="K25" s="46">
        <f>K26*K24</f>
        <v>-452934.03134946205</v>
      </c>
      <c r="L25" s="46">
        <f>L26*L24</f>
        <v>-442977.8469176318</v>
      </c>
      <c r="M25" s="46">
        <f>M26*M24</f>
        <v>-373205.41774460586</v>
      </c>
      <c r="N25" s="46">
        <f>N26*N24</f>
        <v>261094.22885533958</v>
      </c>
      <c r="O25" s="46">
        <f>O26*O24</f>
        <v>486850.60962317651</v>
      </c>
      <c r="P25" s="46">
        <f>P26*P24</f>
        <v>749571.69288868527</v>
      </c>
      <c r="Q25" s="46">
        <f>Q26*Q24</f>
        <v>927437.96340889973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30" customHeight="1" thickBot="1" x14ac:dyDescent="0.25">
      <c r="A26" s="15"/>
      <c r="B26" s="4"/>
      <c r="C26" s="4"/>
      <c r="D26" s="4"/>
      <c r="E26" s="219" t="s">
        <v>47</v>
      </c>
      <c r="F26" s="223">
        <v>6.2807444011179991E-2</v>
      </c>
      <c r="G26" s="223">
        <v>6.0886691382692787E-2</v>
      </c>
      <c r="H26" s="223">
        <v>-5.7876997439550111E-2</v>
      </c>
      <c r="I26" s="223">
        <v>-3.0698850515604736E-2</v>
      </c>
      <c r="J26" s="223">
        <v>-0.16630318273955447</v>
      </c>
      <c r="K26" s="223">
        <v>-8.5000000000000006E-2</v>
      </c>
      <c r="L26" s="223">
        <v>-7.0000000000000007E-2</v>
      </c>
      <c r="M26" s="223">
        <v>-0.05</v>
      </c>
      <c r="N26" s="223">
        <v>0.03</v>
      </c>
      <c r="O26" s="223">
        <v>0.05</v>
      </c>
      <c r="P26" s="223">
        <v>7.0000000000000007E-2</v>
      </c>
      <c r="Q26" s="267">
        <v>0.08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30" customHeight="1" x14ac:dyDescent="0.2">
      <c r="A27" s="1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4" ht="30" customHeight="1" x14ac:dyDescent="0.2">
      <c r="A28" s="1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4" ht="30" customHeight="1" x14ac:dyDescent="0.2">
      <c r="A29" s="1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4" ht="30" customHeight="1" x14ac:dyDescent="0.2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4" ht="30" customHeight="1" x14ac:dyDescent="0.2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4" ht="30" customHeight="1" x14ac:dyDescent="0.2">
      <c r="A32" s="1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2" ht="30" customHeight="1" x14ac:dyDescent="0.2">
      <c r="A33" s="1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2" ht="30" customHeight="1" x14ac:dyDescent="0.2">
      <c r="A34" s="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2" ht="30" customHeight="1" x14ac:dyDescent="0.2">
      <c r="A35" s="1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2" ht="30" customHeight="1" x14ac:dyDescent="0.2">
      <c r="A36" s="1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2" ht="30" customHeight="1" thickBot="1" x14ac:dyDescent="0.25">
      <c r="A37" s="15"/>
      <c r="B37" s="4"/>
      <c r="C37" s="4"/>
      <c r="D37" s="4"/>
      <c r="E37" s="4"/>
      <c r="F37" s="4"/>
      <c r="G37" s="4"/>
      <c r="H37" s="4"/>
      <c r="I37" s="4"/>
      <c r="J37" s="4"/>
      <c r="K37" s="223">
        <v>-8.5000000000000006E-2</v>
      </c>
      <c r="L37" s="223">
        <v>-7.0000000000000007E-2</v>
      </c>
      <c r="M37" s="223">
        <v>-0.05</v>
      </c>
      <c r="N37" s="223">
        <v>0.03</v>
      </c>
      <c r="O37" s="223">
        <v>0.05</v>
      </c>
      <c r="P37" s="223">
        <v>7.0000000000000007E-2</v>
      </c>
      <c r="Q37" s="267">
        <v>0.08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2" ht="30" customHeight="1" x14ac:dyDescent="0.2">
      <c r="A38" s="1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2" ht="30" customHeight="1" x14ac:dyDescent="0.2">
      <c r="A39" s="1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2" ht="30" customHeight="1" x14ac:dyDescent="0.2">
      <c r="A40" s="1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2" ht="30" customHeight="1" x14ac:dyDescent="0.2">
      <c r="A41" s="1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2" ht="30" customHeight="1" x14ac:dyDescent="0.2">
      <c r="A42" s="15"/>
      <c r="B42" s="4"/>
      <c r="C42" s="4"/>
      <c r="D42" s="4"/>
      <c r="E42" s="72"/>
      <c r="F42" s="74"/>
      <c r="G42" s="74"/>
      <c r="H42" s="74"/>
      <c r="I42" s="74"/>
      <c r="J42" s="74"/>
      <c r="K42" s="7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2" ht="30" customHeight="1" x14ac:dyDescent="0.2">
      <c r="A43" s="15"/>
      <c r="B43" s="4"/>
      <c r="C43" s="4"/>
      <c r="D43" s="4"/>
      <c r="E43" s="72"/>
      <c r="F43" s="74"/>
      <c r="G43" s="74"/>
      <c r="H43" s="74"/>
      <c r="I43" s="74"/>
      <c r="J43" s="74"/>
      <c r="K43" s="7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2" ht="30" customHeight="1" x14ac:dyDescent="0.2">
      <c r="A44" s="15"/>
      <c r="B44" s="4"/>
      <c r="C44" s="4"/>
      <c r="D44" s="4"/>
      <c r="E44" s="72"/>
      <c r="F44" s="74"/>
      <c r="G44" s="74"/>
      <c r="H44" s="74"/>
      <c r="I44" s="74"/>
      <c r="J44" s="74"/>
      <c r="K44" s="7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2" s="3" customFormat="1" ht="30" customHeight="1" x14ac:dyDescent="0.2">
      <c r="A45" s="15"/>
      <c r="B45" s="4"/>
      <c r="C45" s="4"/>
      <c r="D45" s="4"/>
      <c r="E45" s="72"/>
      <c r="F45" s="74"/>
      <c r="G45" s="74"/>
      <c r="H45" s="74"/>
      <c r="I45" s="74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1"/>
    </row>
    <row r="46" spans="1:32" s="3" customFormat="1" ht="30" customHeight="1" x14ac:dyDescent="0.2">
      <c r="A46" s="15"/>
      <c r="B46" s="4"/>
      <c r="C46" s="4"/>
      <c r="D46" s="4"/>
      <c r="E46" s="72"/>
      <c r="F46" s="74"/>
      <c r="G46" s="74"/>
      <c r="H46" s="74"/>
      <c r="I46" s="74"/>
      <c r="J46" s="74"/>
      <c r="K46" s="74"/>
      <c r="L46" s="4"/>
      <c r="M46" s="4" t="s">
        <v>277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1"/>
    </row>
    <row r="47" spans="1:32" s="3" customFormat="1" ht="30" customHeight="1" x14ac:dyDescent="0.2">
      <c r="A47" s="15"/>
      <c r="B47" s="4"/>
      <c r="C47" s="4"/>
      <c r="D47" s="4"/>
      <c r="E47" s="72"/>
      <c r="F47" s="74"/>
      <c r="G47" s="74"/>
      <c r="H47" s="74"/>
      <c r="I47" s="74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1"/>
    </row>
    <row r="48" spans="1:32" s="3" customFormat="1" ht="30" customHeight="1" x14ac:dyDescent="0.2">
      <c r="A48" s="15"/>
      <c r="B48" s="4"/>
      <c r="C48" s="4"/>
      <c r="D48" s="4"/>
      <c r="E48" s="72"/>
      <c r="F48" s="74"/>
      <c r="G48" s="74"/>
      <c r="H48" s="74"/>
      <c r="I48" s="74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1"/>
    </row>
    <row r="49" spans="1:32" s="3" customFormat="1" ht="30" customHeight="1" x14ac:dyDescent="0.2">
      <c r="A49" s="15"/>
      <c r="B49" s="4"/>
      <c r="C49" s="4"/>
      <c r="D49" s="4"/>
      <c r="E49" s="72"/>
      <c r="F49" s="74"/>
      <c r="G49" s="74"/>
      <c r="H49" s="74"/>
      <c r="I49" s="74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1"/>
    </row>
    <row r="50" spans="1:32" s="3" customFormat="1" ht="30" hidden="1" customHeight="1" x14ac:dyDescent="0.2">
      <c r="A50" s="15"/>
      <c r="B50" s="4"/>
      <c r="C50" s="4"/>
      <c r="D50" s="4"/>
      <c r="E50" s="72"/>
      <c r="F50" s="74"/>
      <c r="G50" s="74"/>
      <c r="H50" s="74"/>
      <c r="I50" s="74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1"/>
    </row>
    <row r="51" spans="1:32" s="3" customFormat="1" ht="30" hidden="1" customHeight="1" x14ac:dyDescent="0.2">
      <c r="B51" s="4"/>
      <c r="C51" s="4"/>
      <c r="D51" s="4"/>
      <c r="E51" s="72"/>
      <c r="F51" s="74"/>
      <c r="G51" s="74"/>
      <c r="H51" s="74"/>
      <c r="I51" s="74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1"/>
    </row>
    <row r="52" spans="1:32" ht="0" hidden="1" customHeight="1" x14ac:dyDescent="0.2">
      <c r="C52" s="4"/>
      <c r="D52" s="4"/>
      <c r="E52" s="72"/>
      <c r="F52" s="74"/>
      <c r="G52" s="74"/>
      <c r="H52" s="74"/>
      <c r="I52" s="74"/>
      <c r="J52" s="74"/>
      <c r="K52" s="74"/>
      <c r="L52" s="4"/>
      <c r="M52" s="4"/>
      <c r="N52" s="4"/>
      <c r="O52" s="4"/>
      <c r="Q52" s="4"/>
      <c r="R52" s="4"/>
    </row>
    <row r="53" spans="1:32" ht="0" hidden="1" customHeight="1" x14ac:dyDescent="0.2">
      <c r="C53" s="4"/>
      <c r="D53" s="4"/>
      <c r="E53" s="72"/>
      <c r="F53" s="74"/>
      <c r="G53" s="74"/>
      <c r="H53" s="74"/>
      <c r="I53" s="74"/>
      <c r="J53" s="74"/>
      <c r="K53" s="74"/>
      <c r="L53" s="4"/>
      <c r="M53" s="4"/>
    </row>
    <row r="54" spans="1:32" ht="0" hidden="1" customHeight="1" x14ac:dyDescent="0.2">
      <c r="F54" s="97"/>
      <c r="G54" s="97"/>
      <c r="H54" s="97"/>
      <c r="I54" s="97"/>
      <c r="J54" s="97"/>
      <c r="K54" s="97"/>
    </row>
    <row r="55" spans="1:32" ht="0" hidden="1" customHeight="1" x14ac:dyDescent="0.2"/>
    <row r="56" spans="1:32" ht="0" hidden="1" customHeight="1" x14ac:dyDescent="0.2"/>
    <row r="57" spans="1:32" ht="0" hidden="1" customHeight="1" x14ac:dyDescent="0.2"/>
    <row r="58" spans="1:32" ht="0" hidden="1" customHeight="1" x14ac:dyDescent="0.2"/>
    <row r="59" spans="1:32" ht="0" hidden="1" customHeight="1" x14ac:dyDescent="0.2"/>
    <row r="60" spans="1:32" ht="0" hidden="1" customHeight="1" x14ac:dyDescent="0.2"/>
    <row r="61" spans="1:32" ht="0" hidden="1" customHeight="1" x14ac:dyDescent="0.2"/>
    <row r="62" spans="1:32" ht="0" hidden="1" customHeight="1" x14ac:dyDescent="0.2"/>
    <row r="63" spans="1:32" ht="0" hidden="1" customHeight="1" x14ac:dyDescent="0.2"/>
    <row r="64" spans="1:32" ht="0" hidden="1" customHeight="1" x14ac:dyDescent="0.2"/>
    <row r="65" ht="0" hidden="1" customHeight="1" x14ac:dyDescent="0.2"/>
    <row r="66" ht="0" hidden="1" customHeight="1" x14ac:dyDescent="0.2"/>
    <row r="67" ht="0" hidden="1" customHeight="1" x14ac:dyDescent="0.2"/>
    <row r="68" ht="0" hidden="1" customHeight="1" x14ac:dyDescent="0.2"/>
  </sheetData>
  <mergeCells count="1">
    <mergeCell ref="G5:K5"/>
  </mergeCells>
  <phoneticPr fontId="3" type="noConversion"/>
  <conditionalFormatting sqref="E10:J12 K11:Q12 F17:Q17 F24:Q24">
    <cfRule type="cellIs" dxfId="61" priority="28" operator="equal">
      <formula>0</formula>
    </cfRule>
  </conditionalFormatting>
  <conditionalFormatting sqref="K10:Q10">
    <cfRule type="cellIs" dxfId="60" priority="26" operator="equal">
      <formula>0</formula>
    </cfRule>
  </conditionalFormatting>
  <hyperlinks>
    <hyperlink ref="A10" location="'DRE + DCF'!A1" display="DRE + DCF" xr:uid="{5FD0FD49-6D1B-4BED-8E7D-26441E84C18F}"/>
    <hyperlink ref="A9" location="WACC!A1" display="WACC" xr:uid="{14A2BC80-74C1-4CB1-9264-C203A954548E}"/>
    <hyperlink ref="A8" location="Dashboard!A1" display="Dashboard" xr:uid="{C8FAA1B4-A167-400B-9BBD-FAC3C2F258DD}"/>
    <hyperlink ref="A11" location="'Balanço Patrimonial'!A1" display="Balanço Patrimonial" xr:uid="{9A915ACB-5BED-4E85-8ACE-DBE40417DC37}"/>
    <hyperlink ref="A13" location="Lojas!A1" display="Lojas" xr:uid="{98B3B4A1-91A1-4C3E-9138-2FE184CE79D4}"/>
    <hyperlink ref="A12" location="'Projeções - Receita'!A1" display="Projeções - Receita" xr:uid="{B82FB948-CB08-46AE-922D-2710D6DDEDEF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4D83-E40F-4F27-AF57-12014253F55A}">
  <sheetPr codeName="Planilha20"/>
  <dimension ref="A1:BL113"/>
  <sheetViews>
    <sheetView showGridLines="0" topLeftCell="C1" zoomScale="112" zoomScaleNormal="85" workbookViewId="0">
      <selection activeCell="K11" sqref="K11"/>
    </sheetView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65.1640625" style="1" bestFit="1" customWidth="1"/>
    <col min="6" max="6" width="11.83203125" style="1" customWidth="1"/>
    <col min="7" max="7" width="13.5" style="1" bestFit="1" customWidth="1"/>
    <col min="8" max="18" width="11.83203125" style="1" customWidth="1"/>
    <col min="19" max="34" width="9.1640625" style="1" customWidth="1"/>
    <col min="35" max="35" width="9.1640625" style="1" hidden="1" customWidth="1"/>
    <col min="36" max="39" width="0" style="1" hidden="1" customWidth="1"/>
    <col min="40" max="41" width="9.1640625" style="1" hidden="1" customWidth="1"/>
    <col min="42" max="45" width="0" style="1" hidden="1" customWidth="1"/>
    <col min="46" max="47" width="9.1640625" style="1" hidden="1" customWidth="1"/>
    <col min="48" max="51" width="0" style="1" hidden="1" customWidth="1"/>
    <col min="52" max="52" width="9.1640625" style="1" hidden="1" customWidth="1"/>
    <col min="53" max="56" width="0" style="1" hidden="1" customWidth="1"/>
    <col min="57" max="58" width="9.1640625" style="1" hidden="1" customWidth="1"/>
    <col min="59" max="62" width="0" style="1" hidden="1" customWidth="1"/>
    <col min="63" max="64" width="9.1640625" style="1" hidden="1" customWidth="1"/>
    <col min="65" max="16384" width="0" style="1" hidden="1"/>
  </cols>
  <sheetData>
    <row r="1" spans="1:35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5" ht="15" customHeight="1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38"/>
      <c r="P2" s="38"/>
      <c r="Q2" s="38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ht="15" customHeight="1" x14ac:dyDescent="0.2">
      <c r="B3" s="4"/>
      <c r="C3" s="4"/>
      <c r="D3" s="4"/>
      <c r="E3" s="315" t="s">
        <v>0</v>
      </c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249"/>
      <c r="Q3" s="2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5" ht="15" customHeight="1" x14ac:dyDescent="0.2">
      <c r="B4" s="4"/>
      <c r="C4" s="4"/>
      <c r="D4" s="4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249"/>
      <c r="Q4" s="24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5" ht="15" customHeight="1" x14ac:dyDescent="0.2">
      <c r="B5" s="4"/>
      <c r="C5" s="4"/>
      <c r="D5" s="4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249"/>
      <c r="Q5" s="249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5" ht="15" x14ac:dyDescent="0.2">
      <c r="B6" s="4"/>
      <c r="C6" s="4"/>
      <c r="D6" s="4"/>
      <c r="E6" s="4"/>
      <c r="F6" s="39"/>
      <c r="G6" s="39"/>
      <c r="H6" s="39"/>
      <c r="I6" s="39"/>
      <c r="J6" s="3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s="10" customFormat="1" ht="24.75" customHeight="1" x14ac:dyDescent="0.2">
      <c r="A7" s="8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5" ht="30" customHeight="1" x14ac:dyDescent="0.2">
      <c r="A8" s="15" t="s">
        <v>2</v>
      </c>
      <c r="B8" s="4"/>
      <c r="C8" s="4"/>
      <c r="D8" s="9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  <c r="S8" s="4"/>
      <c r="T8" s="4"/>
      <c r="U8" s="9"/>
      <c r="V8" s="9"/>
      <c r="W8" s="9"/>
      <c r="X8" s="9"/>
      <c r="Y8" s="9"/>
      <c r="Z8" s="9"/>
      <c r="AA8" s="74"/>
      <c r="AB8" s="4"/>
      <c r="AC8" s="4"/>
      <c r="AD8" s="4"/>
      <c r="AE8" s="4"/>
      <c r="AF8" s="4"/>
      <c r="AG8" s="4"/>
      <c r="AH8" s="4"/>
      <c r="AI8" s="4"/>
    </row>
    <row r="9" spans="1:35" ht="30" customHeight="1" x14ac:dyDescent="0.2">
      <c r="A9" s="15" t="s">
        <v>3</v>
      </c>
      <c r="B9" s="4"/>
      <c r="C9" s="4"/>
      <c r="D9" s="4"/>
      <c r="E9" s="120"/>
      <c r="F9" s="42">
        <v>2016</v>
      </c>
      <c r="G9" s="42">
        <f>F9+1</f>
        <v>2017</v>
      </c>
      <c r="H9" s="42">
        <f t="shared" ref="H9:J9" si="0">G9+1</f>
        <v>2018</v>
      </c>
      <c r="I9" s="42">
        <f t="shared" si="0"/>
        <v>2019</v>
      </c>
      <c r="J9" s="42">
        <f t="shared" si="0"/>
        <v>2020</v>
      </c>
      <c r="K9" s="42">
        <v>2021</v>
      </c>
      <c r="L9" s="43">
        <v>2022</v>
      </c>
      <c r="M9" s="43">
        <v>2023</v>
      </c>
      <c r="N9" s="43">
        <v>2024</v>
      </c>
      <c r="O9" s="43">
        <v>2025</v>
      </c>
      <c r="P9" s="43">
        <f>O9+1</f>
        <v>2026</v>
      </c>
      <c r="Q9" s="43">
        <f t="shared" ref="Q9:R9" si="1">P9+1</f>
        <v>2027</v>
      </c>
      <c r="R9" s="224">
        <f t="shared" si="1"/>
        <v>2028</v>
      </c>
      <c r="S9" s="4"/>
      <c r="T9" s="4"/>
      <c r="U9" s="9"/>
      <c r="V9" s="9"/>
      <c r="W9" s="9"/>
      <c r="X9" s="9"/>
      <c r="Y9" s="9"/>
      <c r="Z9" s="9"/>
      <c r="AA9" s="74"/>
      <c r="AB9" s="4"/>
      <c r="AC9" s="4"/>
      <c r="AD9" s="4"/>
      <c r="AE9" s="4"/>
      <c r="AF9" s="4"/>
      <c r="AG9" s="4"/>
      <c r="AH9" s="4"/>
      <c r="AI9" s="4"/>
    </row>
    <row r="10" spans="1:35" ht="30" customHeight="1" x14ac:dyDescent="0.2">
      <c r="A10" s="15" t="s">
        <v>6</v>
      </c>
      <c r="B10" s="4"/>
      <c r="C10" s="4"/>
      <c r="D10" s="4"/>
      <c r="E10" s="120" t="s">
        <v>286</v>
      </c>
      <c r="F10" s="84">
        <v>6.2879882132213849E-2</v>
      </c>
      <c r="G10" s="84">
        <v>2.9474213204347066E-2</v>
      </c>
      <c r="H10" s="84">
        <v>3.7455811701915476E-2</v>
      </c>
      <c r="I10" s="84">
        <v>4.306151617159526E-2</v>
      </c>
      <c r="J10" s="84">
        <v>4.517456886424509E-2</v>
      </c>
      <c r="K10" s="84">
        <v>0.10060982737443336</v>
      </c>
      <c r="L10" s="84">
        <v>6.9699999999999998E-2</v>
      </c>
      <c r="M10" s="84">
        <v>7.177E-2</v>
      </c>
      <c r="N10" s="84">
        <v>5.5079999999999997E-2</v>
      </c>
      <c r="O10" s="84">
        <v>6.08E-2</v>
      </c>
      <c r="P10" s="84">
        <v>6.2600000000000003E-2</v>
      </c>
      <c r="Q10" s="84">
        <v>6.1159999999999999E-2</v>
      </c>
      <c r="R10" s="225">
        <v>6.6390000000000005E-2</v>
      </c>
      <c r="S10" s="105"/>
      <c r="T10" s="4"/>
      <c r="U10" s="9"/>
      <c r="V10" s="9"/>
      <c r="W10" s="9"/>
      <c r="X10" s="9"/>
      <c r="Y10" s="9"/>
      <c r="Z10" s="9"/>
      <c r="AA10" s="74"/>
      <c r="AB10" s="4"/>
      <c r="AC10" s="4"/>
      <c r="AD10" s="4"/>
      <c r="AE10" s="4"/>
      <c r="AF10" s="4"/>
      <c r="AG10" s="4"/>
      <c r="AH10" s="4"/>
      <c r="AI10" s="4"/>
    </row>
    <row r="11" spans="1:35" ht="30" customHeight="1" x14ac:dyDescent="0.2">
      <c r="A11" s="15" t="s">
        <v>8</v>
      </c>
      <c r="B11" s="4"/>
      <c r="C11" s="4"/>
      <c r="D11" s="4"/>
      <c r="E11" s="148" t="s">
        <v>137</v>
      </c>
      <c r="F11" s="47">
        <f>'Balanço Patrimonial'!F9</f>
        <v>782152.35000019521</v>
      </c>
      <c r="G11" s="47">
        <f>'Balanço Patrimonial'!G9</f>
        <v>668764.25</v>
      </c>
      <c r="H11" s="47">
        <f>'Balanço Patrimonial'!H9</f>
        <v>764664.85000000009</v>
      </c>
      <c r="I11" s="47">
        <f>'Balanço Patrimonial'!I9</f>
        <v>676487.39999999991</v>
      </c>
      <c r="J11" s="47">
        <f>'Balanço Patrimonial'!J9</f>
        <v>404685.14999999991</v>
      </c>
      <c r="K11" s="47">
        <f>'Balanço Patrimonial'!K9</f>
        <v>391126.125</v>
      </c>
      <c r="L11" s="47">
        <f>L12*'DRE + DCF'!N11</f>
        <v>697553.45887125074</v>
      </c>
      <c r="M11" s="47">
        <f>M12*'DRE + DCF'!O11</f>
        <v>828410.19960484176</v>
      </c>
      <c r="N11" s="47">
        <f>N12*'DRE + DCF'!P11</f>
        <v>986376.73328945762</v>
      </c>
      <c r="O11" s="47">
        <f>O12*'DRE + DCF'!Q11</f>
        <v>1150114.0314603692</v>
      </c>
      <c r="P11" s="47">
        <f>P12*'DRE + DCF'!R11</f>
        <v>1286739.3962879593</v>
      </c>
      <c r="Q11" s="47">
        <f>Q12*'DRE + DCF'!S11</f>
        <v>1428384.1679948841</v>
      </c>
      <c r="R11" s="226">
        <f>R12*'DRE + DCF'!T11</f>
        <v>1546410.4391365976</v>
      </c>
      <c r="S11" s="4"/>
      <c r="T11" s="4"/>
      <c r="U11" s="9"/>
      <c r="V11" s="9"/>
      <c r="W11" s="9"/>
      <c r="X11" s="9"/>
      <c r="Y11" s="9"/>
      <c r="Z11" s="9"/>
      <c r="AA11" s="74"/>
      <c r="AB11" s="4"/>
      <c r="AC11" s="4"/>
      <c r="AD11" s="4"/>
      <c r="AE11" s="4"/>
      <c r="AF11" s="4"/>
      <c r="AG11" s="4"/>
      <c r="AH11" s="4"/>
      <c r="AI11" s="4"/>
    </row>
    <row r="12" spans="1:35" ht="30" customHeight="1" x14ac:dyDescent="0.2">
      <c r="A12" s="11" t="s">
        <v>10</v>
      </c>
      <c r="B12" s="4"/>
      <c r="C12" s="4"/>
      <c r="D12" s="4"/>
      <c r="E12" s="139" t="s">
        <v>282</v>
      </c>
      <c r="F12" s="188">
        <f>F11/'DRE + DCF'!F11</f>
        <v>0.16360644500545682</v>
      </c>
      <c r="G12" s="188">
        <f>G11/'DRE + DCF'!G11</f>
        <v>0.13280699855628217</v>
      </c>
      <c r="H12" s="188">
        <f>H11/'DRE + DCF'!H11</f>
        <v>0.14879312854316915</v>
      </c>
      <c r="I12" s="188">
        <f>I11/'DRE + DCF'!I11</f>
        <v>0.12799713765445084</v>
      </c>
      <c r="J12" s="188">
        <f>J11/'DRE + DCF'!J11</f>
        <v>9.9054347512144189E-2</v>
      </c>
      <c r="K12" s="188">
        <f>K11/'DRE + DCF'!K11</f>
        <v>7.5899585791754834E-2</v>
      </c>
      <c r="L12" s="188">
        <f>AVERAGE($F$12:$K$12)</f>
        <v>0.12469294051054298</v>
      </c>
      <c r="M12" s="188">
        <f>AVERAGE($F$12:$K$12)</f>
        <v>0.12469294051054298</v>
      </c>
      <c r="N12" s="188">
        <f>AVERAGE($F$12:$K$12)</f>
        <v>0.12469294051054298</v>
      </c>
      <c r="O12" s="188">
        <f>AVERAGE($F$12:$K$12)</f>
        <v>0.12469294051054298</v>
      </c>
      <c r="P12" s="188">
        <f t="shared" ref="P12:R12" si="2">AVERAGE($F$12:$K$12)</f>
        <v>0.12469294051054298</v>
      </c>
      <c r="Q12" s="188">
        <f t="shared" si="2"/>
        <v>0.12469294051054298</v>
      </c>
      <c r="R12" s="227">
        <f t="shared" si="2"/>
        <v>0.12469294051054298</v>
      </c>
      <c r="S12" s="4"/>
      <c r="T12" s="4"/>
      <c r="U12" s="9"/>
      <c r="V12" s="9"/>
      <c r="W12" s="9"/>
      <c r="X12" s="9"/>
      <c r="Y12" s="9"/>
      <c r="Z12" s="9"/>
      <c r="AA12" s="74"/>
      <c r="AB12" s="4"/>
      <c r="AC12" s="4"/>
      <c r="AD12" s="4"/>
      <c r="AE12" s="4"/>
      <c r="AF12" s="4"/>
      <c r="AG12" s="4"/>
      <c r="AH12" s="4"/>
      <c r="AI12" s="4"/>
    </row>
    <row r="13" spans="1:35" ht="30" customHeight="1" x14ac:dyDescent="0.2">
      <c r="A13" s="15" t="s">
        <v>12</v>
      </c>
      <c r="B13" s="4"/>
      <c r="C13" s="4"/>
      <c r="D13" s="4"/>
      <c r="E13" s="148" t="s">
        <v>287</v>
      </c>
      <c r="F13" s="46" t="s">
        <v>242</v>
      </c>
      <c r="G13" s="46" t="s">
        <v>242</v>
      </c>
      <c r="H13" s="46" t="s">
        <v>242</v>
      </c>
      <c r="I13" s="46" t="s">
        <v>242</v>
      </c>
      <c r="J13" s="46" t="s">
        <v>242</v>
      </c>
      <c r="K13" s="46">
        <f>K14-K25</f>
        <v>435445</v>
      </c>
      <c r="L13" s="46">
        <f>L14-L25</f>
        <v>124448.77041172166</v>
      </c>
      <c r="M13" s="46">
        <f>M14-M25</f>
        <v>582096.09430440189</v>
      </c>
      <c r="N13" s="46">
        <f t="shared" ref="N13" si="3">N14-N25</f>
        <v>77606.100637650001</v>
      </c>
      <c r="O13" s="46">
        <f>O14-O25</f>
        <v>193753.57453675644</v>
      </c>
      <c r="P13" s="46">
        <f t="shared" ref="P13:R13" si="4">P14-P25</f>
        <v>-56256.359251915361</v>
      </c>
      <c r="Q13" s="46">
        <f t="shared" si="4"/>
        <v>-93976.281100267661</v>
      </c>
      <c r="R13" s="63">
        <f t="shared" si="4"/>
        <v>-131603.70852708572</v>
      </c>
      <c r="S13" s="4"/>
      <c r="T13" s="4"/>
      <c r="U13" s="9"/>
      <c r="V13" s="9"/>
      <c r="W13" s="9"/>
      <c r="X13" s="9"/>
      <c r="Y13" s="9"/>
      <c r="Z13" s="9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30" customHeight="1" x14ac:dyDescent="0.2">
      <c r="A14" s="15"/>
      <c r="B14" s="4"/>
      <c r="C14" s="4"/>
      <c r="D14" s="4"/>
      <c r="E14" s="121" t="s">
        <v>288</v>
      </c>
      <c r="F14" s="46">
        <f t="shared" ref="F14:N14" si="5">F15+F18+F20+F22+F24</f>
        <v>110200</v>
      </c>
      <c r="G14" s="46">
        <f t="shared" si="5"/>
        <v>98900</v>
      </c>
      <c r="H14" s="46">
        <f t="shared" si="5"/>
        <v>239700</v>
      </c>
      <c r="I14" s="46">
        <f t="shared" si="5"/>
        <v>318700</v>
      </c>
      <c r="J14" s="46">
        <f t="shared" si="5"/>
        <v>302500</v>
      </c>
      <c r="K14" s="46">
        <f t="shared" si="5"/>
        <v>682100</v>
      </c>
      <c r="L14" s="46">
        <f>L15+L18+L20+L22+L24</f>
        <v>447708.77041172166</v>
      </c>
      <c r="M14" s="46">
        <f>M15+M18+M20+M22+M24</f>
        <v>965997.68309100159</v>
      </c>
      <c r="N14" s="46">
        <f t="shared" si="5"/>
        <v>534712.48975814634</v>
      </c>
      <c r="O14" s="46">
        <f t="shared" ref="O14:R14" si="6">O15+O18+O20+O22+O24</f>
        <v>517013.57453675644</v>
      </c>
      <c r="P14" s="46">
        <f t="shared" si="6"/>
        <v>327645.22953468427</v>
      </c>
      <c r="Q14" s="46">
        <f t="shared" si="6"/>
        <v>363130.10802022868</v>
      </c>
      <c r="R14" s="63">
        <f t="shared" si="6"/>
        <v>401381.76675316878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30" customHeight="1" x14ac:dyDescent="0.2">
      <c r="A15" s="11"/>
      <c r="B15" s="4"/>
      <c r="C15" s="4"/>
      <c r="D15" s="4"/>
      <c r="E15" s="140" t="s">
        <v>289</v>
      </c>
      <c r="F15" s="52">
        <v>16300</v>
      </c>
      <c r="G15" s="52">
        <v>0</v>
      </c>
      <c r="H15" s="52">
        <v>24100</v>
      </c>
      <c r="I15" s="52">
        <v>65700</v>
      </c>
      <c r="J15" s="52">
        <v>63700</v>
      </c>
      <c r="K15" s="52">
        <v>178700</v>
      </c>
      <c r="L15" s="52">
        <f>L16*L17</f>
        <v>183803.25961538462</v>
      </c>
      <c r="M15" s="52">
        <f>M16*M17</f>
        <v>196994.81955798075</v>
      </c>
      <c r="N15" s="52">
        <f t="shared" ref="N15" si="7">N16*N17</f>
        <v>207845.29421923435</v>
      </c>
      <c r="O15" s="52">
        <f t="shared" ref="O15:R15" si="8">O16*O17</f>
        <v>220482.28810776377</v>
      </c>
      <c r="P15" s="52">
        <f t="shared" si="8"/>
        <v>0</v>
      </c>
      <c r="Q15" s="52">
        <f t="shared" si="8"/>
        <v>0</v>
      </c>
      <c r="R15" s="82">
        <f t="shared" si="8"/>
        <v>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ht="30" customHeight="1" x14ac:dyDescent="0.2">
      <c r="A16" s="15"/>
      <c r="B16" s="4"/>
      <c r="C16" s="4"/>
      <c r="D16" s="4"/>
      <c r="E16" s="141" t="s">
        <v>290</v>
      </c>
      <c r="F16" s="142">
        <v>2</v>
      </c>
      <c r="G16" s="142">
        <f>COUNTIF(Lojas!$E$10:$E$313,G9)</f>
        <v>0</v>
      </c>
      <c r="H16" s="142">
        <v>4</v>
      </c>
      <c r="I16" s="142">
        <v>10</v>
      </c>
      <c r="J16" s="142">
        <v>10</v>
      </c>
      <c r="K16" s="142">
        <v>26</v>
      </c>
      <c r="L16" s="142">
        <v>25</v>
      </c>
      <c r="M16" s="142">
        <v>25</v>
      </c>
      <c r="N16" s="142">
        <v>25</v>
      </c>
      <c r="O16" s="142">
        <v>25</v>
      </c>
      <c r="P16" s="142"/>
      <c r="Q16" s="142"/>
      <c r="R16" s="228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ht="30" customHeight="1" x14ac:dyDescent="0.2">
      <c r="A17" s="15"/>
      <c r="B17" s="4"/>
      <c r="C17" s="4"/>
      <c r="D17" s="4"/>
      <c r="E17" s="141" t="s">
        <v>291</v>
      </c>
      <c r="F17" s="142">
        <f>IFERROR(F15/F16,0)</f>
        <v>8150</v>
      </c>
      <c r="G17" s="142">
        <f>IFERROR(G15/G16,0)</f>
        <v>0</v>
      </c>
      <c r="H17" s="142">
        <f>IFERROR(H15/H16,0)</f>
        <v>6025</v>
      </c>
      <c r="I17" s="142">
        <f t="shared" ref="I17:K17" si="9">IFERROR(I15/I16,0)</f>
        <v>6570</v>
      </c>
      <c r="J17" s="142">
        <f t="shared" si="9"/>
        <v>6370</v>
      </c>
      <c r="K17" s="142">
        <f t="shared" si="9"/>
        <v>6873.0769230769229</v>
      </c>
      <c r="L17" s="142">
        <f>K17*(1+L$10)</f>
        <v>7352.1303846153851</v>
      </c>
      <c r="M17" s="142">
        <f>L17*(1+M$10)</f>
        <v>7879.7927823192304</v>
      </c>
      <c r="N17" s="142">
        <f>M17*(1+N$10)</f>
        <v>8313.8117687693739</v>
      </c>
      <c r="O17" s="142">
        <f t="shared" ref="O17" si="10">N17*(1+O$10)</f>
        <v>8819.2915243105508</v>
      </c>
      <c r="P17" s="142"/>
      <c r="Q17" s="142"/>
      <c r="R17" s="228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30" customHeight="1" x14ac:dyDescent="0.2">
      <c r="A18" s="15"/>
      <c r="B18" s="4"/>
      <c r="C18" s="4"/>
      <c r="D18" s="4"/>
      <c r="E18" s="140" t="s">
        <v>292</v>
      </c>
      <c r="F18" s="52">
        <v>29800</v>
      </c>
      <c r="G18" s="52">
        <v>20100</v>
      </c>
      <c r="H18" s="52">
        <v>132500</v>
      </c>
      <c r="I18" s="52">
        <v>131600</v>
      </c>
      <c r="J18" s="52">
        <v>74400</v>
      </c>
      <c r="K18" s="52">
        <v>59800</v>
      </c>
      <c r="L18" s="52">
        <f>L19*'DRE + DCF'!N$11</f>
        <v>85181.671143452739</v>
      </c>
      <c r="M18" s="52">
        <f>M19*'DRE + DCF'!O$11</f>
        <v>101161.22900287432</v>
      </c>
      <c r="N18" s="52">
        <f>N19*'DRE + DCF'!P$11</f>
        <v>120451.2965279752</v>
      </c>
      <c r="O18" s="52">
        <f>O19*'DRE + DCF'!N$11</f>
        <v>85181.671143452739</v>
      </c>
      <c r="P18" s="52">
        <f>P19*'DRE + DCF'!O$11</f>
        <v>101161.22900287432</v>
      </c>
      <c r="Q18" s="52">
        <f>Q19*'DRE + DCF'!P$11</f>
        <v>120451.2965279752</v>
      </c>
      <c r="R18" s="82">
        <f>R19*'DRE + DCF'!Q$11</f>
        <v>140446.06038346686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30" customHeight="1" x14ac:dyDescent="0.2">
      <c r="A19" s="15"/>
      <c r="B19" s="4"/>
      <c r="C19" s="4"/>
      <c r="D19" s="4"/>
      <c r="E19" s="229" t="s">
        <v>282</v>
      </c>
      <c r="F19" s="84">
        <f>F18/'DRE + DCF'!F$11</f>
        <v>6.2334046060993058E-3</v>
      </c>
      <c r="G19" s="84">
        <f>G18/'DRE + DCF'!G$11</f>
        <v>3.9915720240447537E-3</v>
      </c>
      <c r="H19" s="84">
        <f>H18/'DRE + DCF'!H$11</f>
        <v>2.5782654364156936E-2</v>
      </c>
      <c r="I19" s="84">
        <f>I18/'DRE + DCF'!I$11</f>
        <v>2.4899833042456864E-2</v>
      </c>
      <c r="J19" s="84">
        <f>J18/'DRE + DCF'!J$11</f>
        <v>1.8210807722753179E-2</v>
      </c>
      <c r="K19" s="84">
        <f>K18/'DRE + DCF'!K$11</f>
        <v>1.1604428700197256E-2</v>
      </c>
      <c r="L19" s="84">
        <f>AVERAGE($F19:$I19)</f>
        <v>1.5226866009189464E-2</v>
      </c>
      <c r="M19" s="84">
        <f>AVERAGE($F19:$I19)</f>
        <v>1.5226866009189464E-2</v>
      </c>
      <c r="N19" s="84">
        <f>AVERAGE($F19:$I19)</f>
        <v>1.5226866009189464E-2</v>
      </c>
      <c r="O19" s="84">
        <f>AVERAGE($F19:$I19)</f>
        <v>1.5226866009189464E-2</v>
      </c>
      <c r="P19" s="84">
        <f t="shared" ref="P19:R19" si="11">AVERAGE($F19:$I19)</f>
        <v>1.5226866009189464E-2</v>
      </c>
      <c r="Q19" s="84">
        <f t="shared" si="11"/>
        <v>1.5226866009189464E-2</v>
      </c>
      <c r="R19" s="85">
        <f t="shared" si="11"/>
        <v>1.5226866009189464E-2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30" customHeight="1" x14ac:dyDescent="0.2">
      <c r="A20" s="15"/>
      <c r="B20" s="4"/>
      <c r="C20" s="4"/>
      <c r="D20" s="4"/>
      <c r="E20" s="140" t="s">
        <v>293</v>
      </c>
      <c r="F20" s="52">
        <v>4600</v>
      </c>
      <c r="G20" s="52">
        <v>31200</v>
      </c>
      <c r="H20" s="52">
        <v>4600</v>
      </c>
      <c r="I20" s="52">
        <v>15000</v>
      </c>
      <c r="J20" s="52">
        <v>45000</v>
      </c>
      <c r="K20" s="52">
        <v>144500</v>
      </c>
      <c r="L20" s="52">
        <f>L21*'DRE + DCF'!N$11</f>
        <v>15231.94373180685</v>
      </c>
      <c r="M20" s="52">
        <f>M21*'DRE + DCF'!O$11</f>
        <v>18089.362738813146</v>
      </c>
      <c r="N20" s="52">
        <f>N21*'DRE + DCF'!P$11</f>
        <v>21538.757651836935</v>
      </c>
      <c r="O20" s="52">
        <f>O21*'DRE + DCF'!N$11</f>
        <v>15231.94373180685</v>
      </c>
      <c r="P20" s="52">
        <f>P21*'DRE + DCF'!O$11</f>
        <v>18089.362738813146</v>
      </c>
      <c r="Q20" s="52">
        <f>Q21*'DRE + DCF'!P$11</f>
        <v>21538.757651836935</v>
      </c>
      <c r="R20" s="82">
        <f>R21*'DRE + DCF'!Q$11</f>
        <v>25114.164354820165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30" customHeight="1" x14ac:dyDescent="0.2">
      <c r="A21" s="11"/>
      <c r="B21" s="4"/>
      <c r="C21" s="4"/>
      <c r="D21" s="4"/>
      <c r="E21" s="229" t="s">
        <v>282</v>
      </c>
      <c r="F21" s="84">
        <f>F20/'DRE + DCF'!F$11</f>
        <v>9.6220339557237609E-4</v>
      </c>
      <c r="G21" s="84">
        <f>G20/'DRE + DCF'!G$11</f>
        <v>6.19587299254708E-3</v>
      </c>
      <c r="H21" s="84">
        <f>H20/'DRE + DCF'!H$11</f>
        <v>8.9509592509525956E-4</v>
      </c>
      <c r="I21" s="84">
        <f>I20/'DRE + DCF'!I$11</f>
        <v>2.8381268665414361E-3</v>
      </c>
      <c r="J21" s="84">
        <f>J20/'DRE + DCF'!J$11</f>
        <v>1.1014601445213617E-2</v>
      </c>
      <c r="K21" s="84">
        <f>K20/'DRE + DCF'!K$11</f>
        <v>2.8040801792282667E-2</v>
      </c>
      <c r="L21" s="84">
        <f>AVERAGE($F21:$I21)</f>
        <v>2.7228247949390378E-3</v>
      </c>
      <c r="M21" s="84">
        <f>AVERAGE($F21:$I21)</f>
        <v>2.7228247949390378E-3</v>
      </c>
      <c r="N21" s="84">
        <f>AVERAGE($F21:$I21)</f>
        <v>2.7228247949390378E-3</v>
      </c>
      <c r="O21" s="84">
        <f>AVERAGE($F21:$I21)</f>
        <v>2.7228247949390378E-3</v>
      </c>
      <c r="P21" s="84">
        <f t="shared" ref="P21:R21" si="12">AVERAGE($F21:$I21)</f>
        <v>2.7228247949390378E-3</v>
      </c>
      <c r="Q21" s="84">
        <f t="shared" si="12"/>
        <v>2.7228247949390378E-3</v>
      </c>
      <c r="R21" s="85">
        <f t="shared" si="12"/>
        <v>2.7228247949390378E-3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30" customHeight="1" x14ac:dyDescent="0.2">
      <c r="A22" s="11"/>
      <c r="B22" s="4"/>
      <c r="C22" s="4"/>
      <c r="D22" s="4"/>
      <c r="E22" s="140" t="s">
        <v>294</v>
      </c>
      <c r="F22" s="52">
        <v>59500</v>
      </c>
      <c r="G22" s="52">
        <v>47600</v>
      </c>
      <c r="H22" s="52">
        <v>78500</v>
      </c>
      <c r="I22" s="52">
        <v>106400</v>
      </c>
      <c r="J22" s="52">
        <v>119400</v>
      </c>
      <c r="K22" s="52">
        <v>299100</v>
      </c>
      <c r="L22" s="52">
        <f>L23*'DRE + DCF'!N11</f>
        <v>163491.89592107749</v>
      </c>
      <c r="M22" s="52">
        <f>L22*(1+M10)</f>
        <v>175225.70929133322</v>
      </c>
      <c r="N22" s="52">
        <f t="shared" ref="N22" si="13">M22*(1+N10)</f>
        <v>184877.14135909986</v>
      </c>
      <c r="O22" s="52">
        <f t="shared" ref="O22" si="14">N22*(1+O10)</f>
        <v>196117.67155373312</v>
      </c>
      <c r="P22" s="52">
        <f t="shared" ref="P22" si="15">O22*(1+P10)</f>
        <v>208394.6377929968</v>
      </c>
      <c r="Q22" s="52">
        <f t="shared" ref="Q22" si="16">P22*(1+Q10)</f>
        <v>221140.05384041651</v>
      </c>
      <c r="R22" s="82">
        <f t="shared" ref="R22" si="17">Q22*(1+R10)</f>
        <v>235821.54201488176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30" customHeight="1" x14ac:dyDescent="0.2">
      <c r="A23" s="11"/>
      <c r="B23" s="4"/>
      <c r="C23" s="4"/>
      <c r="D23" s="4"/>
      <c r="E23" s="229" t="s">
        <v>282</v>
      </c>
      <c r="F23" s="84">
        <f>F22/'DRE + DCF'!F$11</f>
        <v>1.2445891747077473E-2</v>
      </c>
      <c r="G23" s="84">
        <f>G22/'DRE + DCF'!G$11</f>
        <v>9.4526780270910576E-3</v>
      </c>
      <c r="H23" s="84">
        <f>H22/'DRE + DCF'!H$11</f>
        <v>1.5275006547821279E-2</v>
      </c>
      <c r="I23" s="84">
        <f>I22/'DRE + DCF'!I$11</f>
        <v>2.0131779906667251E-2</v>
      </c>
      <c r="J23" s="84">
        <f>J22/'DRE + DCF'!J$11</f>
        <v>2.9225409167966798E-2</v>
      </c>
      <c r="K23" s="84">
        <f>K22/'DRE + DCF'!K$11</f>
        <v>5.8041548900150487E-2</v>
      </c>
      <c r="L23" s="84">
        <f>J23</f>
        <v>2.9225409167966798E-2</v>
      </c>
      <c r="M23" s="84">
        <f>M22/'DRE + DCF'!N$11</f>
        <v>3.1322916783951771E-2</v>
      </c>
      <c r="N23" s="84">
        <f>N22/'DRE + DCF'!O$11</f>
        <v>2.7827849536673849E-2</v>
      </c>
      <c r="O23" s="84">
        <f>O22/'DRE + DCF'!M$11</f>
        <v>4.4601131910213927E-2</v>
      </c>
      <c r="P23" s="84">
        <f>P22/'DRE + DCF'!N$11</f>
        <v>3.7252112856105107E-2</v>
      </c>
      <c r="Q23" s="84">
        <f>Q22/'DRE + DCF'!O$11</f>
        <v>3.3286171019109419E-2</v>
      </c>
      <c r="R23" s="85">
        <f>R22/'DRE + DCF'!P$11</f>
        <v>2.9811410303143295E-2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30" customHeight="1" x14ac:dyDescent="0.2">
      <c r="A24" s="103"/>
      <c r="B24" s="4"/>
      <c r="C24" s="4"/>
      <c r="D24" s="4"/>
      <c r="E24" s="140" t="s">
        <v>295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f>415000*(1+(112.5%*12.75%))</f>
        <v>474526.56250000006</v>
      </c>
      <c r="N24" s="52">
        <v>0</v>
      </c>
      <c r="O24" s="52">
        <v>0</v>
      </c>
      <c r="P24" s="52">
        <v>0</v>
      </c>
      <c r="Q24" s="52">
        <v>0</v>
      </c>
      <c r="R24" s="82">
        <v>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s="2" customFormat="1" ht="30" customHeight="1" x14ac:dyDescent="0.2">
      <c r="A25" s="103"/>
      <c r="B25" s="86"/>
      <c r="C25" s="86"/>
      <c r="D25" s="86"/>
      <c r="E25" s="121" t="s">
        <v>67</v>
      </c>
      <c r="F25" s="46">
        <v>202684</v>
      </c>
      <c r="G25" s="46">
        <v>197897</v>
      </c>
      <c r="H25" s="46">
        <v>205091</v>
      </c>
      <c r="I25" s="46">
        <v>233042</v>
      </c>
      <c r="J25" s="46">
        <v>246322</v>
      </c>
      <c r="K25" s="46">
        <v>246655</v>
      </c>
      <c r="L25" s="46">
        <f>'DRE + DCF'!N44</f>
        <v>323260</v>
      </c>
      <c r="M25" s="46">
        <f>'DRE + DCF'!O44</f>
        <v>383901.58878659963</v>
      </c>
      <c r="N25" s="46">
        <f>'DRE + DCF'!P44</f>
        <v>457106.38912049634</v>
      </c>
      <c r="O25" s="46">
        <f>'DRE + DCF'!N44</f>
        <v>323260</v>
      </c>
      <c r="P25" s="46">
        <f>'DRE + DCF'!O44</f>
        <v>383901.58878659963</v>
      </c>
      <c r="Q25" s="46">
        <f>'DRE + DCF'!P44</f>
        <v>457106.38912049634</v>
      </c>
      <c r="R25" s="63">
        <f>'DRE + DCF'!Q44</f>
        <v>532985.4752802545</v>
      </c>
      <c r="S25" s="4"/>
      <c r="T25" s="4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</row>
    <row r="26" spans="1:35" s="2" customFormat="1" ht="30" customHeight="1" x14ac:dyDescent="0.2">
      <c r="A26" s="103"/>
      <c r="B26" s="86"/>
      <c r="C26" s="86"/>
      <c r="D26" s="86"/>
      <c r="E26" s="229" t="s">
        <v>296</v>
      </c>
      <c r="F26" s="188">
        <f>F25/'DRE + DCF'!F11</f>
        <v>4.239635500612858E-2</v>
      </c>
      <c r="G26" s="188">
        <f>G25/'DRE + DCF'!G11</f>
        <v>3.9299508897631071E-2</v>
      </c>
      <c r="H26" s="188">
        <f>H25/'DRE + DCF'!H11</f>
        <v>3.9907851820372146E-2</v>
      </c>
      <c r="I26" s="188">
        <f>I25/'DRE + DCF'!I11</f>
        <v>4.409351741550329E-2</v>
      </c>
      <c r="J26" s="188">
        <f>J25/'DRE + DCF'!J11</f>
        <v>6.0291970159731305E-2</v>
      </c>
      <c r="K26" s="188">
        <f>K25/'DRE + DCF'!K11</f>
        <v>4.7864387308480839E-2</v>
      </c>
      <c r="L26" s="188">
        <f>L25/'DRE + DCF'!N11</f>
        <v>5.7785162465774434E-2</v>
      </c>
      <c r="M26" s="188">
        <f>M25/'DRE + DCF'!O11</f>
        <v>5.7785162465774434E-2</v>
      </c>
      <c r="N26" s="188">
        <f>N25/'DRE + DCF'!P11</f>
        <v>5.7785162465774434E-2</v>
      </c>
      <c r="O26" s="188">
        <f>O25/'DRE + DCF'!N11</f>
        <v>5.7785162465774434E-2</v>
      </c>
      <c r="P26" s="188">
        <f>P25/'DRE + DCF'!O11</f>
        <v>5.7785162465774434E-2</v>
      </c>
      <c r="Q26" s="188">
        <f>Q25/'DRE + DCF'!P11</f>
        <v>5.7785162465774434E-2</v>
      </c>
      <c r="R26" s="227">
        <f>R25/'DRE + DCF'!Q11</f>
        <v>5.7785162465774434E-2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</row>
    <row r="27" spans="1:35" s="2" customFormat="1" ht="30" customHeight="1" x14ac:dyDescent="0.2">
      <c r="A27" s="15"/>
      <c r="B27" s="86"/>
      <c r="C27" s="86"/>
      <c r="D27" s="86"/>
      <c r="E27" s="121" t="s">
        <v>297</v>
      </c>
      <c r="F27" s="46">
        <v>0</v>
      </c>
      <c r="G27" s="46">
        <v>0</v>
      </c>
      <c r="H27" s="46">
        <v>0</v>
      </c>
      <c r="I27" s="46">
        <v>295675</v>
      </c>
      <c r="J27" s="46">
        <v>306443</v>
      </c>
      <c r="K27" s="46">
        <v>338325</v>
      </c>
      <c r="L27" s="46">
        <f>'DRE + DCF'!N38</f>
        <v>385418.87812052626</v>
      </c>
      <c r="M27" s="46">
        <f>'DRE + DCF'!O38</f>
        <v>457721.09032611159</v>
      </c>
      <c r="N27" s="46">
        <f>'DRE + DCF'!P38</f>
        <v>545002.26343050925</v>
      </c>
      <c r="O27" s="46">
        <f>'DRE + DCF'!N38</f>
        <v>385418.87812052626</v>
      </c>
      <c r="P27" s="46">
        <f>'DRE + DCF'!O38</f>
        <v>457721.09032611159</v>
      </c>
      <c r="Q27" s="46">
        <f>'DRE + DCF'!P38</f>
        <v>545002.26343050925</v>
      </c>
      <c r="R27" s="63">
        <f>'DRE + DCF'!Q38</f>
        <v>635471.95426916773</v>
      </c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</row>
    <row r="28" spans="1:35" ht="30" customHeight="1" x14ac:dyDescent="0.2">
      <c r="A28" s="15"/>
      <c r="B28" s="4"/>
      <c r="C28" s="4"/>
      <c r="D28" s="4"/>
      <c r="E28" s="72"/>
      <c r="F28" s="73"/>
      <c r="G28" s="4"/>
      <c r="H28" s="4"/>
      <c r="I28" s="4"/>
      <c r="J28" s="73"/>
      <c r="K28" s="73"/>
      <c r="L28" s="73"/>
      <c r="M28" s="73"/>
      <c r="N28" s="73"/>
      <c r="O28" s="73"/>
      <c r="P28" s="73"/>
      <c r="Q28" s="73"/>
      <c r="R28" s="73"/>
      <c r="S28" s="86"/>
      <c r="T28" s="8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30" customHeight="1" x14ac:dyDescent="0.2">
      <c r="A29" s="15"/>
      <c r="B29" s="4"/>
      <c r="C29" s="4"/>
      <c r="D29" s="9"/>
      <c r="E29" s="9"/>
      <c r="F29" s="9"/>
      <c r="G29" s="4"/>
      <c r="H29" s="4"/>
      <c r="I29" s="4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30" customHeight="1" x14ac:dyDescent="0.2">
      <c r="A30" s="15"/>
      <c r="B30" s="4"/>
      <c r="C30" s="4"/>
      <c r="D30" s="4"/>
      <c r="E30" s="34"/>
      <c r="F30" s="35"/>
      <c r="G30" s="3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30" customHeight="1" x14ac:dyDescent="0.2">
      <c r="A31" s="15"/>
      <c r="B31" s="4"/>
      <c r="C31" s="4"/>
      <c r="D31" s="4"/>
      <c r="E31" s="230" t="s">
        <v>298</v>
      </c>
      <c r="F31" s="42" t="s">
        <v>299</v>
      </c>
      <c r="G31" s="231" t="s">
        <v>300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30" customHeight="1" x14ac:dyDescent="0.2">
      <c r="A32" s="15"/>
      <c r="B32" s="4"/>
      <c r="C32" s="4"/>
      <c r="D32" s="4"/>
      <c r="E32" s="232">
        <v>0.35144072605553878</v>
      </c>
      <c r="F32" s="233">
        <v>0.27306587702674356</v>
      </c>
      <c r="G32" s="234">
        <v>0.21498377093187401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4" ht="30" customHeight="1" x14ac:dyDescent="0.2">
      <c r="A33" s="1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30" customHeight="1" x14ac:dyDescent="0.2">
      <c r="A34" s="15"/>
      <c r="B34" s="4"/>
      <c r="C34" s="4"/>
      <c r="D34" s="4"/>
      <c r="E34" s="72"/>
      <c r="F34" s="73"/>
      <c r="G34" s="7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30" customHeight="1" x14ac:dyDescent="0.2">
      <c r="A35" s="15"/>
      <c r="B35" s="4"/>
      <c r="C35" s="4"/>
      <c r="D35" s="4"/>
      <c r="E35" s="7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30" customHeight="1" x14ac:dyDescent="0.2">
      <c r="A36" s="15"/>
      <c r="B36" s="4"/>
      <c r="C36" s="4"/>
      <c r="D36" s="4"/>
      <c r="E36" s="230"/>
      <c r="F36" s="42">
        <v>2005</v>
      </c>
      <c r="G36" s="42">
        <v>2006</v>
      </c>
      <c r="H36" s="42">
        <v>2007</v>
      </c>
      <c r="I36" s="42">
        <v>2008</v>
      </c>
      <c r="J36" s="42">
        <v>2009</v>
      </c>
      <c r="K36" s="42">
        <v>2010</v>
      </c>
      <c r="L36" s="42">
        <v>2011</v>
      </c>
      <c r="M36" s="42">
        <v>2012</v>
      </c>
      <c r="N36" s="42">
        <v>2013</v>
      </c>
      <c r="O36" s="42">
        <v>2014</v>
      </c>
      <c r="P36" s="42">
        <v>2015</v>
      </c>
      <c r="Q36" s="42">
        <v>2016</v>
      </c>
      <c r="R36" s="42">
        <v>2017</v>
      </c>
      <c r="S36" s="42">
        <v>2018</v>
      </c>
      <c r="T36" s="42">
        <v>2019</v>
      </c>
      <c r="U36" s="42">
        <v>2020</v>
      </c>
      <c r="V36" s="42">
        <v>2021</v>
      </c>
      <c r="W36" s="63" t="s">
        <v>301</v>
      </c>
      <c r="X36" s="4"/>
      <c r="Y36" s="4"/>
      <c r="Z36" s="4"/>
      <c r="AA36" s="4"/>
      <c r="AB36" s="4"/>
      <c r="AC36" s="4"/>
      <c r="AD36" s="4"/>
      <c r="AE36" s="4"/>
      <c r="AF36" s="4"/>
    </row>
    <row r="37" spans="1:34" ht="30" customHeight="1" x14ac:dyDescent="0.2">
      <c r="A37" s="15"/>
      <c r="B37" s="4"/>
      <c r="C37" s="4"/>
      <c r="D37" s="4"/>
      <c r="E37" s="230" t="s">
        <v>302</v>
      </c>
      <c r="F37" s="212">
        <v>1.1072</v>
      </c>
      <c r="G37" s="212">
        <v>1.6</v>
      </c>
      <c r="H37" s="212">
        <v>1.734</v>
      </c>
      <c r="I37" s="212">
        <v>1.6</v>
      </c>
      <c r="J37" s="212">
        <v>1.66</v>
      </c>
      <c r="K37" s="212">
        <v>1.8779999999999999</v>
      </c>
      <c r="L37" s="212">
        <v>1.9039999999999999</v>
      </c>
      <c r="M37" s="212">
        <v>1.7390000000000001</v>
      </c>
      <c r="N37" s="212">
        <v>1.7359</v>
      </c>
      <c r="O37" s="212">
        <v>1.7900999999999998</v>
      </c>
      <c r="P37" s="212">
        <v>1.7</v>
      </c>
      <c r="Q37" s="212">
        <v>1.3925730000000001</v>
      </c>
      <c r="R37" s="212">
        <v>1.4681169999999999</v>
      </c>
      <c r="S37" s="212">
        <v>1.7359740000000001</v>
      </c>
      <c r="T37" s="212">
        <v>1.9448479999999999</v>
      </c>
      <c r="U37" s="212">
        <v>1.2361410000000002</v>
      </c>
      <c r="V37" s="212">
        <v>0.93093499999999996</v>
      </c>
      <c r="W37" s="63"/>
      <c r="X37" s="4"/>
      <c r="Y37" s="4"/>
      <c r="Z37" s="4"/>
      <c r="AA37" s="4"/>
      <c r="AB37" s="4"/>
      <c r="AC37" s="4"/>
      <c r="AD37" s="4"/>
      <c r="AE37" s="4"/>
      <c r="AF37" s="4"/>
    </row>
    <row r="38" spans="1:34" ht="30" customHeight="1" x14ac:dyDescent="0.2">
      <c r="A38" s="15"/>
      <c r="B38" s="4"/>
      <c r="C38" s="4"/>
      <c r="D38" s="4"/>
      <c r="E38" s="230" t="s">
        <v>303</v>
      </c>
      <c r="F38" s="212">
        <v>8.6999999999999993</v>
      </c>
      <c r="G38" s="212">
        <v>10.3</v>
      </c>
      <c r="H38" s="212">
        <v>12</v>
      </c>
      <c r="I38" s="212">
        <v>13.6</v>
      </c>
      <c r="J38" s="212">
        <v>15.2</v>
      </c>
      <c r="K38" s="212">
        <v>17.100000000000001</v>
      </c>
      <c r="L38" s="212">
        <v>19</v>
      </c>
      <c r="M38" s="212">
        <v>20.8</v>
      </c>
      <c r="N38" s="212">
        <v>22.5</v>
      </c>
      <c r="O38" s="212">
        <v>24.3</v>
      </c>
      <c r="P38" s="212">
        <v>26</v>
      </c>
      <c r="Q38" s="212">
        <v>27.4</v>
      </c>
      <c r="R38" s="212">
        <v>28.847245000000001</v>
      </c>
      <c r="S38" s="212">
        <v>30.583219</v>
      </c>
      <c r="T38" s="212">
        <v>32.528067</v>
      </c>
      <c r="U38" s="212">
        <v>33.764207999999996</v>
      </c>
      <c r="V38" s="212">
        <v>34.695143000000002</v>
      </c>
      <c r="W38" s="227">
        <f>(O38/F38)^(1/COUNT(G36:O36))-1</f>
        <v>0.12089575531937191</v>
      </c>
      <c r="X38" s="4"/>
      <c r="Y38" s="4"/>
      <c r="Z38" s="4"/>
      <c r="AA38" s="4"/>
      <c r="AB38" s="4"/>
      <c r="AC38" s="4"/>
      <c r="AD38" s="4"/>
      <c r="AE38" s="4"/>
      <c r="AF38" s="4"/>
    </row>
    <row r="39" spans="1:34" ht="30" customHeight="1" x14ac:dyDescent="0.2">
      <c r="A39" s="15"/>
      <c r="B39" s="4"/>
      <c r="C39" s="4"/>
      <c r="D39" s="4"/>
      <c r="E39" s="72"/>
      <c r="F39" s="74"/>
      <c r="G39" s="74"/>
      <c r="H39" s="7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30" customHeight="1" x14ac:dyDescent="0.2">
      <c r="A40" s="15"/>
      <c r="B40" s="4"/>
      <c r="C40" s="4"/>
      <c r="D40" s="4"/>
      <c r="E40" s="72"/>
      <c r="F40" s="74"/>
      <c r="G40" s="74"/>
      <c r="H40" s="7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30" customHeight="1" x14ac:dyDescent="0.2">
      <c r="A41" s="15"/>
      <c r="B41" s="4"/>
      <c r="C41" s="4"/>
      <c r="D41" s="4"/>
      <c r="E41" s="72"/>
      <c r="F41" s="74"/>
      <c r="G41" s="74"/>
      <c r="H41" s="7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30" customHeight="1" x14ac:dyDescent="0.2">
      <c r="A42" s="15"/>
      <c r="B42" s="4"/>
      <c r="C42" s="4"/>
      <c r="D42" s="4"/>
      <c r="E42" s="72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30" customHeight="1" x14ac:dyDescent="0.2">
      <c r="A43" s="15"/>
      <c r="B43" s="4"/>
      <c r="C43" s="4"/>
      <c r="D43" s="4"/>
      <c r="E43" s="72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30" customHeight="1" x14ac:dyDescent="0.2">
      <c r="A44" s="15"/>
      <c r="B44" s="4"/>
      <c r="C44" s="4"/>
      <c r="D44" s="4"/>
      <c r="E44" s="72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30" customHeight="1" x14ac:dyDescent="0.2">
      <c r="A45" s="15"/>
      <c r="B45" s="4"/>
      <c r="C45" s="4"/>
      <c r="D45" s="4"/>
      <c r="E45" s="72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30" customHeight="1" x14ac:dyDescent="0.2">
      <c r="A46" s="15"/>
      <c r="B46" s="4"/>
      <c r="C46" s="4"/>
      <c r="D46" s="4"/>
      <c r="E46" s="72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30" customHeight="1" x14ac:dyDescent="0.2">
      <c r="A47" s="15"/>
      <c r="B47" s="4"/>
      <c r="C47" s="4"/>
      <c r="D47" s="4"/>
      <c r="E47" s="72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30" customHeight="1" x14ac:dyDescent="0.2">
      <c r="A48" s="15"/>
      <c r="B48" s="4"/>
      <c r="C48" s="4"/>
      <c r="D48" s="4"/>
      <c r="E48" s="72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30" customHeight="1" x14ac:dyDescent="0.2">
      <c r="A49" s="15"/>
      <c r="B49" s="4"/>
      <c r="C49" s="4"/>
      <c r="D49" s="4"/>
      <c r="E49" s="72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30" customHeight="1" x14ac:dyDescent="0.2">
      <c r="A50" s="15"/>
      <c r="B50" s="4"/>
      <c r="C50" s="4"/>
      <c r="D50" s="4"/>
      <c r="E50" s="72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30" customHeight="1" x14ac:dyDescent="0.2">
      <c r="A51" s="15"/>
      <c r="B51" s="4"/>
      <c r="C51" s="4"/>
      <c r="D51" s="4"/>
      <c r="E51" s="72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30" customHeight="1" x14ac:dyDescent="0.2">
      <c r="A52" s="15"/>
      <c r="B52" s="4"/>
      <c r="C52" s="4"/>
      <c r="D52" s="4"/>
      <c r="E52" s="72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ht="30" customHeight="1" x14ac:dyDescent="0.2">
      <c r="A53" s="15"/>
      <c r="B53" s="4"/>
      <c r="C53" s="4"/>
      <c r="D53" s="4"/>
      <c r="E53" s="72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ht="30" customHeight="1" x14ac:dyDescent="0.2">
      <c r="A54" s="15"/>
      <c r="B54" s="4"/>
      <c r="C54" s="4"/>
      <c r="D54" s="4"/>
      <c r="E54" s="72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30" customHeight="1" x14ac:dyDescent="0.2">
      <c r="A55" s="15"/>
      <c r="B55" s="4"/>
      <c r="C55" s="4"/>
      <c r="D55" s="4"/>
      <c r="E55" s="72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30" customHeight="1" x14ac:dyDescent="0.2">
      <c r="A56" s="15"/>
      <c r="B56" s="4"/>
      <c r="C56" s="4"/>
      <c r="D56" s="4"/>
      <c r="E56" s="72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ht="30" customHeight="1" x14ac:dyDescent="0.2">
      <c r="A57" s="15"/>
      <c r="B57" s="4"/>
      <c r="C57" s="4"/>
      <c r="D57" s="4"/>
      <c r="E57" s="72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ht="30" customHeight="1" x14ac:dyDescent="0.2">
      <c r="A58" s="15"/>
      <c r="B58" s="4"/>
      <c r="C58" s="4"/>
      <c r="D58" s="4"/>
      <c r="E58" s="72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ht="30" customHeight="1" x14ac:dyDescent="0.2">
      <c r="A59" s="15"/>
      <c r="B59" s="4"/>
      <c r="C59" s="4"/>
      <c r="D59" s="4"/>
      <c r="E59" s="72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30" customHeight="1" x14ac:dyDescent="0.2">
      <c r="A60" s="15"/>
      <c r="B60" s="4"/>
      <c r="C60" s="4"/>
      <c r="D60" s="4"/>
      <c r="E60" s="72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ht="30" customHeight="1" x14ac:dyDescent="0.2">
      <c r="A61" s="15"/>
      <c r="B61" s="4"/>
      <c r="C61" s="4"/>
      <c r="D61" s="4"/>
      <c r="E61" s="72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ht="30" customHeight="1" x14ac:dyDescent="0.2">
      <c r="A62" s="15"/>
      <c r="B62" s="4"/>
      <c r="C62" s="4"/>
      <c r="D62" s="4"/>
      <c r="E62" s="72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ht="30" customHeight="1" x14ac:dyDescent="0.2">
      <c r="A63" s="15"/>
      <c r="B63" s="4"/>
      <c r="C63" s="4"/>
      <c r="D63" s="4"/>
      <c r="E63" s="72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ht="30" customHeight="1" x14ac:dyDescent="0.2">
      <c r="A64" s="15"/>
      <c r="B64" s="4"/>
      <c r="C64" s="4"/>
      <c r="D64" s="4"/>
      <c r="E64" s="72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ht="30" customHeight="1" x14ac:dyDescent="0.2">
      <c r="A65" s="15"/>
      <c r="B65" s="4"/>
      <c r="C65" s="4"/>
      <c r="D65" s="4"/>
      <c r="E65" s="72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ht="30" customHeight="1" x14ac:dyDescent="0.2">
      <c r="A66" s="15"/>
      <c r="B66" s="4"/>
      <c r="C66" s="4"/>
      <c r="D66" s="4"/>
      <c r="E66" s="72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ht="30" customHeight="1" x14ac:dyDescent="0.2">
      <c r="A67" s="15"/>
      <c r="B67" s="4"/>
      <c r="C67" s="4"/>
      <c r="D67" s="4"/>
      <c r="E67" s="72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ht="30" customHeight="1" x14ac:dyDescent="0.2">
      <c r="A68" s="15"/>
      <c r="B68" s="4"/>
      <c r="C68" s="4"/>
      <c r="D68" s="4"/>
      <c r="E68" s="72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ht="30" customHeight="1" x14ac:dyDescent="0.2">
      <c r="A69" s="15"/>
      <c r="B69" s="4"/>
      <c r="C69" s="4"/>
      <c r="D69" s="4"/>
      <c r="E69" s="72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ht="30" customHeight="1" x14ac:dyDescent="0.2">
      <c r="A70" s="15"/>
      <c r="B70" s="4"/>
      <c r="C70" s="4"/>
      <c r="D70" s="4"/>
      <c r="E70" s="72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ht="30" customHeight="1" x14ac:dyDescent="0.2">
      <c r="A71" s="15"/>
      <c r="B71" s="4"/>
      <c r="C71" s="4"/>
      <c r="D71" s="4"/>
      <c r="E71" s="72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ht="30" customHeight="1" x14ac:dyDescent="0.2">
      <c r="A72" s="15"/>
      <c r="B72" s="4"/>
      <c r="C72" s="4"/>
      <c r="D72" s="4"/>
      <c r="E72" s="72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ht="30" customHeight="1" x14ac:dyDescent="0.2">
      <c r="A73" s="15"/>
      <c r="B73" s="4"/>
      <c r="C73" s="4"/>
      <c r="D73" s="4"/>
      <c r="E73" s="72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ht="30" customHeight="1" x14ac:dyDescent="0.2">
      <c r="A74" s="15"/>
      <c r="B74" s="4"/>
      <c r="C74" s="4"/>
      <c r="D74" s="4"/>
      <c r="E74" s="72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ht="30" customHeight="1" x14ac:dyDescent="0.2">
      <c r="A75" s="15"/>
      <c r="B75" s="4"/>
      <c r="C75" s="4"/>
      <c r="D75" s="4"/>
      <c r="E75" s="72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ht="30" customHeight="1" x14ac:dyDescent="0.2">
      <c r="A76" s="15"/>
      <c r="B76" s="4"/>
      <c r="C76" s="4"/>
      <c r="D76" s="4"/>
      <c r="E76" s="72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ht="30" customHeight="1" x14ac:dyDescent="0.2">
      <c r="A77" s="15"/>
      <c r="B77" s="4"/>
      <c r="C77" s="4"/>
      <c r="D77" s="4"/>
      <c r="E77" s="72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ht="30" customHeight="1" x14ac:dyDescent="0.2">
      <c r="A78" s="15"/>
      <c r="B78" s="4"/>
      <c r="C78" s="4"/>
      <c r="D78" s="4"/>
      <c r="E78" s="72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ht="30" customHeight="1" x14ac:dyDescent="0.2">
      <c r="A79" s="15"/>
      <c r="B79" s="4"/>
      <c r="C79" s="4"/>
      <c r="D79" s="4"/>
      <c r="E79" s="72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ht="30" customHeight="1" x14ac:dyDescent="0.2">
      <c r="A80" s="15"/>
      <c r="B80" s="4"/>
      <c r="C80" s="4"/>
      <c r="D80" s="4"/>
      <c r="E80" s="72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ht="30" customHeight="1" x14ac:dyDescent="0.2">
      <c r="A81" s="15"/>
      <c r="B81" s="4"/>
      <c r="C81" s="4"/>
      <c r="D81" s="4"/>
      <c r="E81" s="72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ht="30" customHeight="1" x14ac:dyDescent="0.2">
      <c r="A82" s="15"/>
      <c r="B82" s="4"/>
      <c r="C82" s="4"/>
      <c r="D82" s="4"/>
      <c r="E82" s="72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ht="30" customHeight="1" x14ac:dyDescent="0.2">
      <c r="A83" s="15"/>
      <c r="B83" s="4"/>
      <c r="C83" s="4"/>
      <c r="D83" s="4"/>
      <c r="E83" s="72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ht="30" customHeight="1" x14ac:dyDescent="0.2">
      <c r="A84" s="15"/>
      <c r="B84" s="4"/>
      <c r="C84" s="4"/>
      <c r="D84" s="4"/>
      <c r="E84" s="72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ht="30" customHeight="1" x14ac:dyDescent="0.2">
      <c r="A85" s="15"/>
      <c r="B85" s="4"/>
      <c r="C85" s="4"/>
      <c r="D85" s="4"/>
      <c r="E85" s="72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ht="30" customHeight="1" x14ac:dyDescent="0.2">
      <c r="A86" s="15"/>
      <c r="B86" s="4"/>
      <c r="C86" s="4"/>
      <c r="D86" s="4"/>
      <c r="E86" s="72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30" customHeight="1" x14ac:dyDescent="0.2">
      <c r="A87" s="15"/>
      <c r="B87" s="4"/>
      <c r="C87" s="4"/>
      <c r="D87" s="4"/>
      <c r="E87" s="72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30" customHeight="1" x14ac:dyDescent="0.2">
      <c r="A88" s="15"/>
      <c r="B88" s="4"/>
      <c r="C88" s="4"/>
      <c r="D88" s="4"/>
      <c r="E88" s="72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30" customHeight="1" x14ac:dyDescent="0.2">
      <c r="A89" s="15"/>
      <c r="B89" s="4"/>
      <c r="C89" s="4"/>
      <c r="D89" s="4"/>
      <c r="E89" s="72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ht="30" customHeight="1" x14ac:dyDescent="0.2">
      <c r="A90" s="15"/>
      <c r="B90" s="4"/>
      <c r="C90" s="4"/>
      <c r="D90" s="4"/>
      <c r="E90" s="72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ht="30" customHeight="1" x14ac:dyDescent="0.2">
      <c r="A91" s="15"/>
      <c r="B91" s="4"/>
      <c r="C91" s="4"/>
      <c r="D91" s="4"/>
      <c r="E91" s="72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ht="30" customHeight="1" x14ac:dyDescent="0.2">
      <c r="A92" s="15"/>
      <c r="B92" s="4"/>
      <c r="C92" s="4"/>
      <c r="D92" s="4"/>
      <c r="E92" s="72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ht="30" customHeight="1" x14ac:dyDescent="0.2">
      <c r="A93" s="15"/>
      <c r="B93" s="4"/>
      <c r="C93" s="4"/>
      <c r="D93" s="4"/>
      <c r="E93" s="72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ht="30" customHeight="1" x14ac:dyDescent="0.2">
      <c r="A94" s="15"/>
      <c r="B94" s="4"/>
      <c r="C94" s="4"/>
      <c r="D94" s="4"/>
      <c r="E94" s="72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ht="30" customHeight="1" x14ac:dyDescent="0.2">
      <c r="A95" s="15"/>
      <c r="B95" s="4"/>
      <c r="C95" s="4"/>
      <c r="D95" s="4"/>
      <c r="E95" s="72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ht="30" customHeight="1" x14ac:dyDescent="0.2">
      <c r="A96" s="15"/>
      <c r="B96" s="4"/>
      <c r="C96" s="4"/>
      <c r="D96" s="4"/>
      <c r="E96" s="72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5" ht="30" customHeight="1" x14ac:dyDescent="0.2">
      <c r="A97" s="15"/>
      <c r="B97" s="4"/>
      <c r="C97" s="4"/>
      <c r="D97" s="4"/>
      <c r="E97" s="72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5" ht="30" customHeight="1" x14ac:dyDescent="0.2">
      <c r="A98" s="15"/>
      <c r="B98" s="4"/>
      <c r="C98" s="4"/>
      <c r="D98" s="4"/>
      <c r="E98" s="72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5" ht="30" customHeight="1" x14ac:dyDescent="0.2">
      <c r="A99" s="15"/>
      <c r="B99" s="4"/>
      <c r="C99" s="4"/>
      <c r="D99" s="4"/>
      <c r="E99" s="72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5" ht="30" customHeight="1" x14ac:dyDescent="0.2">
      <c r="A100" s="15"/>
      <c r="B100" s="4"/>
      <c r="C100" s="4"/>
      <c r="D100" s="4"/>
      <c r="E100" s="72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5" ht="30" customHeight="1" x14ac:dyDescent="0.2">
      <c r="A101" s="15"/>
      <c r="B101" s="4"/>
      <c r="C101" s="4"/>
      <c r="D101" s="4"/>
      <c r="E101" s="72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5" ht="30" customHeight="1" x14ac:dyDescent="0.2">
      <c r="A102" s="15"/>
      <c r="B102" s="4"/>
      <c r="C102" s="4"/>
      <c r="D102" s="4"/>
      <c r="E102" s="72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5" ht="30" customHeight="1" x14ac:dyDescent="0.2">
      <c r="A103" s="15"/>
      <c r="B103" s="4"/>
      <c r="C103" s="4"/>
      <c r="D103" s="4"/>
      <c r="E103" s="72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5" s="3" customFormat="1" ht="30" customHeight="1" x14ac:dyDescent="0.2">
      <c r="A104" s="15"/>
      <c r="B104" s="4"/>
      <c r="C104" s="4"/>
      <c r="D104" s="4"/>
      <c r="E104" s="72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1"/>
    </row>
    <row r="105" spans="1:35" s="3" customFormat="1" ht="30" customHeight="1" x14ac:dyDescent="0.2">
      <c r="A105" s="15"/>
      <c r="B105" s="4"/>
      <c r="C105" s="4"/>
      <c r="D105" s="4"/>
      <c r="E105" s="72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1"/>
    </row>
    <row r="106" spans="1:35" s="3" customFormat="1" ht="30" customHeight="1" x14ac:dyDescent="0.2">
      <c r="A106" s="15"/>
      <c r="B106" s="4"/>
      <c r="C106" s="4"/>
      <c r="D106" s="4"/>
      <c r="E106" s="72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1"/>
    </row>
    <row r="107" spans="1:35" s="3" customFormat="1" ht="30" customHeight="1" x14ac:dyDescent="0.2">
      <c r="A107" s="15"/>
      <c r="B107" s="4"/>
      <c r="C107" s="4"/>
      <c r="D107" s="4"/>
      <c r="E107" s="72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1"/>
    </row>
    <row r="108" spans="1:35" s="3" customFormat="1" ht="30" customHeight="1" x14ac:dyDescent="0.2">
      <c r="A108" s="15"/>
      <c r="B108" s="4"/>
      <c r="C108" s="4"/>
      <c r="D108" s="4"/>
      <c r="E108" s="72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1"/>
    </row>
    <row r="109" spans="1:35" s="3" customFormat="1" ht="30" customHeight="1" x14ac:dyDescent="0.2">
      <c r="A109" s="15"/>
      <c r="B109" s="4"/>
      <c r="C109" s="4"/>
      <c r="D109" s="4"/>
      <c r="E109" s="72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1"/>
    </row>
    <row r="110" spans="1:35" s="3" customFormat="1" ht="30" customHeight="1" x14ac:dyDescent="0.2">
      <c r="B110" s="4"/>
      <c r="C110" s="4"/>
      <c r="D110" s="4"/>
      <c r="E110" s="72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1"/>
    </row>
    <row r="111" spans="1:35" ht="0" hidden="1" customHeight="1" x14ac:dyDescent="0.2">
      <c r="C111" s="4"/>
      <c r="D111" s="4"/>
      <c r="E111" s="72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35" ht="0" hidden="1" customHeight="1" x14ac:dyDescent="0.2">
      <c r="E112" s="72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4"/>
      <c r="S112" s="4"/>
    </row>
    <row r="113" spans="6:17" ht="0" hidden="1" customHeight="1" x14ac:dyDescent="0.2"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</row>
  </sheetData>
  <mergeCells count="1">
    <mergeCell ref="E3:O5"/>
  </mergeCells>
  <conditionalFormatting sqref="F26:R27 F24:R24 K37:V38">
    <cfRule type="cellIs" dxfId="57" priority="13" operator="equal">
      <formula>0</formula>
    </cfRule>
  </conditionalFormatting>
  <conditionalFormatting sqref="V37:V38">
    <cfRule type="cellIs" dxfId="56" priority="3" operator="equal">
      <formula>0</formula>
    </cfRule>
  </conditionalFormatting>
  <conditionalFormatting sqref="W38">
    <cfRule type="cellIs" dxfId="55" priority="2" operator="equal">
      <formula>0</formula>
    </cfRule>
  </conditionalFormatting>
  <conditionalFormatting sqref="F37:J38">
    <cfRule type="cellIs" dxfId="54" priority="1" operator="equal">
      <formula>0</formula>
    </cfRule>
  </conditionalFormatting>
  <hyperlinks>
    <hyperlink ref="A10" location="'DRE + DCF'!A1" display="DRE + DCF" xr:uid="{F6364A48-FAF2-44CF-A522-ED830F356F90}"/>
    <hyperlink ref="A9" location="WACC!A1" display="WACC" xr:uid="{4B65121A-0FBC-4F7A-94B1-DEF29F3FAEF7}"/>
    <hyperlink ref="A8" location="Dashboard!A1" display="Dashboard" xr:uid="{05D1E473-226C-4EC8-863F-041CC5FAC7D1}"/>
    <hyperlink ref="A11" location="'Balanço Patrimonial'!A1" display="Balanço Patrimonial" xr:uid="{0471971F-F530-4FFA-9AFD-7EEF3BE90976}"/>
    <hyperlink ref="A13" location="Lojas!A1" display="Lojas" xr:uid="{7BFADE83-8ABF-4B1C-A903-E216549EF6B5}"/>
    <hyperlink ref="A12" location="'Projeções - Receita'!A1" display="Projeções - Receita" xr:uid="{6210EA81-7A7D-460D-BC9F-6B1F4145F386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0FE9-0EBA-412D-A9F4-4E8659455B47}">
  <sheetPr codeName="Planilha27"/>
  <dimension ref="A1:CL84"/>
  <sheetViews>
    <sheetView showGridLines="0" zoomScale="85" zoomScaleNormal="85" workbookViewId="0"/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5" width="37" style="1" bestFit="1" customWidth="1"/>
    <col min="6" max="9" width="15.5" style="1" bestFit="1" customWidth="1"/>
    <col min="10" max="10" width="15.33203125" style="1" bestFit="1" customWidth="1"/>
    <col min="11" max="11" width="11" style="1" bestFit="1" customWidth="1"/>
    <col min="12" max="12" width="17.5" style="1" bestFit="1" customWidth="1"/>
    <col min="13" max="13" width="16.83203125" style="1" bestFit="1" customWidth="1"/>
    <col min="14" max="25" width="9.1640625" style="1" customWidth="1"/>
    <col min="26" max="26" width="9.1640625" style="1" hidden="1" customWidth="1"/>
    <col min="27" max="30" width="0" style="1" hidden="1" customWidth="1"/>
    <col min="31" max="32" width="9.1640625" style="1" hidden="1" customWidth="1"/>
    <col min="33" max="36" width="0" style="1" hidden="1" customWidth="1"/>
    <col min="37" max="38" width="9.1640625" style="1" hidden="1" customWidth="1"/>
    <col min="39" max="55" width="0" style="1" hidden="1" customWidth="1"/>
    <col min="56" max="56" width="9.1640625" style="1" hidden="1" customWidth="1"/>
    <col min="57" max="60" width="0" style="1" hidden="1" customWidth="1"/>
    <col min="61" max="62" width="9.1640625" style="1" hidden="1" customWidth="1"/>
    <col min="63" max="66" width="0" style="1" hidden="1" customWidth="1"/>
    <col min="67" max="68" width="9.1640625" style="1" hidden="1" customWidth="1"/>
    <col min="69" max="72" width="0" style="1" hidden="1" customWidth="1"/>
    <col min="73" max="73" width="9.1640625" style="1" hidden="1" customWidth="1"/>
    <col min="74" max="77" width="0" style="1" hidden="1" customWidth="1"/>
    <col min="78" max="79" width="9.1640625" style="1" hidden="1" customWidth="1"/>
    <col min="80" max="83" width="0" style="1" hidden="1" customWidth="1"/>
    <col min="84" max="85" width="9.1640625" style="1" hidden="1" customWidth="1"/>
    <col min="86" max="88" width="0" style="1" hidden="1" customWidth="1"/>
    <col min="89" max="90" width="9.1640625" style="1" hidden="1" customWidth="1"/>
    <col min="91" max="16384" width="0" style="1" hidden="1"/>
  </cols>
  <sheetData>
    <row r="1" spans="1:30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30" ht="15" customHeight="1" x14ac:dyDescent="0.2">
      <c r="B2" s="4"/>
      <c r="C2" s="4"/>
      <c r="D2" s="4"/>
      <c r="E2" s="4"/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30" ht="15" customHeight="1" x14ac:dyDescent="0.2">
      <c r="B3" s="4"/>
      <c r="C3" s="4"/>
      <c r="D3" s="4"/>
      <c r="E3" s="273" t="s">
        <v>0</v>
      </c>
      <c r="F3" s="273"/>
      <c r="G3" s="273"/>
      <c r="H3" s="273"/>
      <c r="I3" s="273"/>
      <c r="J3" s="27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30" ht="15" customHeight="1" x14ac:dyDescent="0.2">
      <c r="B4" s="4"/>
      <c r="C4" s="4"/>
      <c r="D4" s="4"/>
      <c r="E4" s="273"/>
      <c r="F4" s="273"/>
      <c r="G4" s="273"/>
      <c r="H4" s="273"/>
      <c r="I4" s="273"/>
      <c r="J4" s="27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30" ht="15" customHeight="1" x14ac:dyDescent="0.2">
      <c r="B5" s="4"/>
      <c r="C5" s="4"/>
      <c r="D5" s="4"/>
      <c r="E5" s="273"/>
      <c r="F5" s="273"/>
      <c r="G5" s="273"/>
      <c r="H5" s="273"/>
      <c r="I5" s="273"/>
      <c r="J5" s="27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30" ht="15" hidden="1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30" s="10" customFormat="1" ht="24.75" customHeight="1" x14ac:dyDescent="0.2">
      <c r="A7" s="8" t="s">
        <v>1</v>
      </c>
      <c r="B7" s="9"/>
      <c r="C7" s="4"/>
      <c r="D7" s="9"/>
      <c r="E7" s="9"/>
      <c r="F7" s="39"/>
      <c r="G7" s="39"/>
      <c r="H7" s="39"/>
      <c r="I7" s="9"/>
      <c r="J7" s="9"/>
      <c r="K7" s="4"/>
      <c r="L7" s="4"/>
      <c r="M7" s="4"/>
      <c r="N7" s="4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0" ht="30" customHeight="1" x14ac:dyDescent="0.2">
      <c r="A8" s="15" t="s">
        <v>2</v>
      </c>
      <c r="B8" s="4"/>
      <c r="C8" s="4"/>
      <c r="D8" s="9"/>
      <c r="E8" s="9"/>
      <c r="F8" s="9"/>
      <c r="G8" s="9"/>
      <c r="H8" s="9"/>
      <c r="I8" s="9"/>
      <c r="J8" s="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30" ht="30" customHeight="1" x14ac:dyDescent="0.2">
      <c r="A9" s="15" t="s">
        <v>3</v>
      </c>
      <c r="B9" s="4"/>
      <c r="C9" s="4"/>
      <c r="D9" s="9"/>
      <c r="E9" s="256"/>
      <c r="F9" s="42" t="s">
        <v>304</v>
      </c>
      <c r="G9" s="42" t="s">
        <v>305</v>
      </c>
      <c r="H9" s="42" t="s">
        <v>306</v>
      </c>
      <c r="I9" s="42" t="s">
        <v>307</v>
      </c>
      <c r="J9" s="114" t="s">
        <v>308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30" customHeight="1" x14ac:dyDescent="0.2">
      <c r="A10" s="15" t="s">
        <v>6</v>
      </c>
      <c r="B10" s="4"/>
      <c r="C10" s="4"/>
      <c r="D10" s="4"/>
      <c r="E10" s="218" t="s">
        <v>35</v>
      </c>
      <c r="F10" s="47">
        <v>1197024</v>
      </c>
      <c r="G10" s="47">
        <f>($J$10-$F$10)*SUM(G21,G23)/SUM($G$21:$I$21,$G$23:$I$23)</f>
        <v>1309906.0278429242</v>
      </c>
      <c r="H10" s="47">
        <f>($J$10-$F$10)*SUM(H21,H23)/SUM($G$21:$I$21,$G$23:$I$23)</f>
        <v>1288114.4988788438</v>
      </c>
      <c r="I10" s="47">
        <f>($J$10-$F$10)*SUM(I21,I23)/SUM($G$21:$I$21,$G$23:$I$23)</f>
        <v>1799125.0871728645</v>
      </c>
      <c r="J10" s="226">
        <f>'Projeções - Receita'!L10</f>
        <v>5594169.613894633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30" customHeight="1" x14ac:dyDescent="0.2">
      <c r="A11" s="15" t="s">
        <v>8</v>
      </c>
      <c r="B11" s="4"/>
      <c r="C11" s="4"/>
      <c r="D11" s="4"/>
      <c r="E11" s="236" t="s">
        <v>39</v>
      </c>
      <c r="F11" s="237">
        <f>F12/F10</f>
        <v>0.47402474804181033</v>
      </c>
      <c r="G11" s="237">
        <f>AVERAGE(G33,G35)</f>
        <v>0.49794030858624383</v>
      </c>
      <c r="H11" s="237">
        <f>AVERAGE(H33,H35)</f>
        <v>0.4761516888522348</v>
      </c>
      <c r="I11" s="237">
        <f>AVERAGE(I33,I35)</f>
        <v>0.50400742119258191</v>
      </c>
      <c r="J11" s="257">
        <f>J12/J10</f>
        <v>0.48975710257035782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30" customHeight="1" x14ac:dyDescent="0.2">
      <c r="A12" s="11" t="s">
        <v>10</v>
      </c>
      <c r="B12" s="4"/>
      <c r="C12" s="4"/>
      <c r="D12" s="4"/>
      <c r="E12" s="218" t="s">
        <v>38</v>
      </c>
      <c r="F12" s="47">
        <v>567419</v>
      </c>
      <c r="G12" s="47">
        <f t="shared" ref="G12:I12" si="0">G11*G10</f>
        <v>652255.01172308659</v>
      </c>
      <c r="H12" s="47">
        <f t="shared" si="0"/>
        <v>613337.89407621161</v>
      </c>
      <c r="I12" s="47">
        <f t="shared" si="0"/>
        <v>906772.39558887458</v>
      </c>
      <c r="J12" s="226">
        <f>SUM(F12:I12)</f>
        <v>2739784.3013881729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30" customHeight="1" x14ac:dyDescent="0.2">
      <c r="A13" s="15" t="s">
        <v>12</v>
      </c>
      <c r="B13" s="4"/>
      <c r="C13" s="4"/>
      <c r="D13" s="4"/>
      <c r="E13" s="49" t="s">
        <v>309</v>
      </c>
      <c r="F13" s="201">
        <v>-738362</v>
      </c>
      <c r="G13" s="201">
        <f>F13</f>
        <v>-738362</v>
      </c>
      <c r="H13" s="201">
        <f>G13</f>
        <v>-738362</v>
      </c>
      <c r="I13" s="201">
        <f>H13*(1+AVERAGE(I45,I47))</f>
        <v>-827671.76295970497</v>
      </c>
      <c r="J13" s="258">
        <f>SUM(F13:I13)</f>
        <v>-3042757.7629597047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30" customHeight="1" x14ac:dyDescent="0.2">
      <c r="A14" s="15"/>
      <c r="B14" s="4"/>
      <c r="C14" s="4"/>
      <c r="D14" s="4"/>
      <c r="E14" s="218" t="s">
        <v>49</v>
      </c>
      <c r="F14" s="47">
        <f>F12+F13</f>
        <v>-170943</v>
      </c>
      <c r="G14" s="47">
        <f t="shared" ref="G14:I14" si="1">G12+G13</f>
        <v>-86106.988276913413</v>
      </c>
      <c r="H14" s="47">
        <f t="shared" si="1"/>
        <v>-125024.10592378839</v>
      </c>
      <c r="I14" s="47">
        <f t="shared" si="1"/>
        <v>79100.632629169617</v>
      </c>
      <c r="J14" s="226">
        <f>SUM(F14:I14)</f>
        <v>-302973.46157153219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30" customHeight="1" x14ac:dyDescent="0.2">
      <c r="A15" s="15"/>
      <c r="B15" s="4"/>
      <c r="C15" s="4"/>
      <c r="D15" s="4"/>
      <c r="E15" s="222" t="s">
        <v>47</v>
      </c>
      <c r="F15" s="50">
        <f>F14/F10</f>
        <v>-0.14280666051808485</v>
      </c>
      <c r="G15" s="50">
        <f>G14/G10</f>
        <v>-6.5735240884958218E-2</v>
      </c>
      <c r="H15" s="50">
        <f>H14/H10</f>
        <v>-9.7059776931792602E-2</v>
      </c>
      <c r="I15" s="50">
        <f>I14/I10</f>
        <v>4.3966166217751942E-2</v>
      </c>
      <c r="J15" s="259">
        <f>J14/J10</f>
        <v>-5.4158790755828294E-2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30" customHeight="1" x14ac:dyDescent="0.2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30" customHeight="1" x14ac:dyDescent="0.2">
      <c r="A17" s="1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30" customHeight="1" x14ac:dyDescent="0.2">
      <c r="A18" s="1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30" customHeight="1" x14ac:dyDescent="0.2">
      <c r="A19" s="15"/>
      <c r="B19" s="4"/>
      <c r="C19" s="4"/>
      <c r="D19" s="156"/>
      <c r="E19" s="218"/>
      <c r="F19" s="47" t="s">
        <v>310</v>
      </c>
      <c r="G19" s="47" t="s">
        <v>311</v>
      </c>
      <c r="H19" s="47" t="s">
        <v>312</v>
      </c>
      <c r="I19" s="235" t="s">
        <v>313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30" customHeight="1" x14ac:dyDescent="0.2">
      <c r="A20" s="15"/>
      <c r="B20" s="4"/>
      <c r="C20" s="4"/>
      <c r="D20" s="4"/>
      <c r="E20" s="218">
        <v>2018</v>
      </c>
      <c r="F20" s="201">
        <v>998905.99294312519</v>
      </c>
      <c r="G20" s="201">
        <v>1235291.0596772251</v>
      </c>
      <c r="H20" s="201">
        <v>1214187.7664871991</v>
      </c>
      <c r="I20" s="238">
        <v>1690728.8375098002</v>
      </c>
      <c r="J20" s="4"/>
      <c r="K20" s="4"/>
      <c r="L20" s="4"/>
      <c r="M20" s="4"/>
      <c r="N20" s="23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30" customHeight="1" x14ac:dyDescent="0.2">
      <c r="A21" s="15"/>
      <c r="B21" s="4"/>
      <c r="C21" s="4"/>
      <c r="D21" s="4"/>
      <c r="E21" s="222" t="s">
        <v>314</v>
      </c>
      <c r="F21" s="84">
        <f>F20/SUM($F20:$I20)</f>
        <v>0.19437320512592476</v>
      </c>
      <c r="G21" s="240">
        <f t="shared" ref="G21:I21" si="2">G20/SUM($F20:$I20)</f>
        <v>0.24037044950088035</v>
      </c>
      <c r="H21" s="240">
        <f t="shared" si="2"/>
        <v>0.23626404232639561</v>
      </c>
      <c r="I21" s="241">
        <f t="shared" si="2"/>
        <v>0.32899230304679938</v>
      </c>
      <c r="J21" s="4"/>
      <c r="K21" s="4"/>
      <c r="L21" s="4"/>
      <c r="M21" s="4"/>
      <c r="N21" s="23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30" customHeight="1" x14ac:dyDescent="0.2">
      <c r="A22" s="15"/>
      <c r="B22" s="4"/>
      <c r="C22" s="4"/>
      <c r="D22" s="4"/>
      <c r="E22" s="218">
        <v>2019</v>
      </c>
      <c r="F22" s="201">
        <v>1035006.8549289</v>
      </c>
      <c r="G22" s="201">
        <v>1264140.61126025</v>
      </c>
      <c r="H22" s="201">
        <v>1243679.2071940501</v>
      </c>
      <c r="I22" s="238">
        <v>1742349.80913877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30" customHeight="1" x14ac:dyDescent="0.2">
      <c r="A23" s="15"/>
      <c r="B23" s="4"/>
      <c r="C23" s="4"/>
      <c r="D23" s="4"/>
      <c r="E23" s="222" t="s">
        <v>314</v>
      </c>
      <c r="F23" s="84">
        <f>F22/SUM($F22:$I22)</f>
        <v>0.1958320329229607</v>
      </c>
      <c r="G23" s="240">
        <f t="shared" ref="G23" si="3">G22/SUM($F22:$I22)</f>
        <v>0.23918607362322741</v>
      </c>
      <c r="H23" s="240">
        <f t="shared" ref="H23" si="4">H22/SUM($F22:$I22)</f>
        <v>0.23531460326951917</v>
      </c>
      <c r="I23" s="241">
        <f t="shared" ref="I23" si="5">I22/SUM($F22:$I22)</f>
        <v>0.32966729018429275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30" customHeight="1" x14ac:dyDescent="0.2">
      <c r="A24" s="15"/>
      <c r="B24" s="4"/>
      <c r="C24" s="4"/>
      <c r="D24" s="4"/>
      <c r="E24" s="218">
        <v>2020</v>
      </c>
      <c r="F24" s="201">
        <v>976850</v>
      </c>
      <c r="G24" s="201">
        <v>294492</v>
      </c>
      <c r="H24" s="201">
        <v>1067151</v>
      </c>
      <c r="I24" s="238">
        <v>1746993</v>
      </c>
      <c r="J24" s="4"/>
      <c r="K24" s="4"/>
      <c r="L24" s="4"/>
      <c r="M24" s="4"/>
      <c r="N24" s="23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30" customHeight="1" x14ac:dyDescent="0.2">
      <c r="A25" s="15"/>
      <c r="B25" s="4"/>
      <c r="C25" s="4"/>
      <c r="D25" s="4"/>
      <c r="E25" s="222" t="s">
        <v>314</v>
      </c>
      <c r="F25" s="84">
        <f>F24/SUM($F24:$I24)</f>
        <v>0.23910252048348715</v>
      </c>
      <c r="G25" s="240">
        <f t="shared" ref="G25" si="6">G24/SUM($F24:$I24)</f>
        <v>7.2082489084529966E-2</v>
      </c>
      <c r="H25" s="240">
        <f t="shared" ref="H25" si="7">H24/SUM($F24:$I24)</f>
        <v>0.26120539881913679</v>
      </c>
      <c r="I25" s="241">
        <f t="shared" ref="I25" si="8">I24/SUM($F24:$I24)</f>
        <v>0.42760959161284606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30" ht="30" customHeight="1" x14ac:dyDescent="0.2">
      <c r="A26" s="15"/>
      <c r="B26" s="4"/>
      <c r="C26" s="4"/>
      <c r="D26" s="4"/>
      <c r="E26" s="218">
        <v>2021</v>
      </c>
      <c r="F26" s="201">
        <v>776075</v>
      </c>
      <c r="G26" s="201">
        <v>1175590</v>
      </c>
      <c r="H26" s="201">
        <v>1339407</v>
      </c>
      <c r="I26" s="238">
        <v>1862133</v>
      </c>
      <c r="J26" s="37">
        <f>I26/I27</f>
        <v>5153205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30" ht="30" customHeight="1" x14ac:dyDescent="0.2">
      <c r="A27" s="15"/>
      <c r="B27" s="4"/>
      <c r="C27" s="4"/>
      <c r="D27" s="4"/>
      <c r="E27" s="222" t="s">
        <v>314</v>
      </c>
      <c r="F27" s="84">
        <f>F26/SUM($F26:$I26)</f>
        <v>0.15060045156363855</v>
      </c>
      <c r="G27" s="240">
        <f t="shared" ref="G27" si="9">G26/SUM($F26:$I26)</f>
        <v>0.22812793203452997</v>
      </c>
      <c r="H27" s="240">
        <f t="shared" ref="H27" si="10">H26/SUM($F26:$I26)</f>
        <v>0.25991727478336296</v>
      </c>
      <c r="I27" s="241">
        <f t="shared" ref="I27" si="11">I26/SUM($F26:$I26)</f>
        <v>0.36135434161846852</v>
      </c>
      <c r="J27" s="37" t="e">
        <f>J26/'Projeções - Receita'!#REF!</f>
        <v>#REF!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30" ht="30" customHeight="1" x14ac:dyDescent="0.2">
      <c r="A28" s="15"/>
      <c r="B28" s="4"/>
      <c r="C28" s="4"/>
      <c r="D28" s="4"/>
      <c r="E28" s="4"/>
      <c r="F28" s="4"/>
      <c r="G28" s="4"/>
      <c r="H28" s="4"/>
      <c r="I28" s="4"/>
      <c r="J28" s="37" t="e">
        <f>J27/'Projeções - Receita'!K31*1000</f>
        <v>#REF!</v>
      </c>
      <c r="K28" s="24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30" ht="30" customHeight="1" x14ac:dyDescent="0.2">
      <c r="A29" s="1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30" ht="30" customHeight="1" x14ac:dyDescent="0.2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30" ht="30" customHeight="1" x14ac:dyDescent="0.2">
      <c r="A31" s="15"/>
      <c r="B31" s="4"/>
      <c r="C31" s="4"/>
      <c r="D31" s="156"/>
      <c r="E31" s="218"/>
      <c r="F31" s="47" t="s">
        <v>310</v>
      </c>
      <c r="G31" s="47" t="s">
        <v>311</v>
      </c>
      <c r="H31" s="47" t="s">
        <v>312</v>
      </c>
      <c r="I31" s="235" t="s">
        <v>313</v>
      </c>
      <c r="J31" s="4"/>
      <c r="K31" s="4"/>
      <c r="L31" s="3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30" ht="30" customHeight="1" x14ac:dyDescent="0.2">
      <c r="A32" s="15"/>
      <c r="B32" s="4"/>
      <c r="C32" s="4"/>
      <c r="D32" s="4"/>
      <c r="E32" s="218">
        <v>2018</v>
      </c>
      <c r="F32" s="201">
        <v>471531</v>
      </c>
      <c r="G32" s="201">
        <v>624212</v>
      </c>
      <c r="H32" s="201">
        <v>582358</v>
      </c>
      <c r="I32" s="238">
        <v>871042</v>
      </c>
      <c r="J32" s="4"/>
      <c r="K32" s="4"/>
      <c r="L32" s="95"/>
      <c r="M32" s="37"/>
      <c r="N32" s="5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30" customHeight="1" x14ac:dyDescent="0.2">
      <c r="A33" s="15"/>
      <c r="B33" s="4"/>
      <c r="C33" s="4"/>
      <c r="D33" s="4"/>
      <c r="E33" s="222" t="s">
        <v>39</v>
      </c>
      <c r="F33" s="240">
        <f>F32/F20</f>
        <v>0.47204742321217369</v>
      </c>
      <c r="G33" s="240">
        <f t="shared" ref="G33:I33" si="12">G32/G20</f>
        <v>0.50531572709924999</v>
      </c>
      <c r="H33" s="240">
        <f t="shared" si="12"/>
        <v>0.47962762932856451</v>
      </c>
      <c r="I33" s="241">
        <f t="shared" si="12"/>
        <v>0.51518728531472813</v>
      </c>
      <c r="J33" s="4"/>
      <c r="K33" s="4"/>
      <c r="L33" s="37"/>
      <c r="M33" s="95"/>
      <c r="N33" s="5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30" customHeight="1" x14ac:dyDescent="0.2">
      <c r="A34" s="15"/>
      <c r="B34" s="4"/>
      <c r="C34" s="4"/>
      <c r="D34" s="4"/>
      <c r="E34" s="218">
        <v>2019</v>
      </c>
      <c r="F34" s="201">
        <v>501433</v>
      </c>
      <c r="G34" s="201">
        <v>620143</v>
      </c>
      <c r="H34" s="201">
        <v>587857</v>
      </c>
      <c r="I34" s="238">
        <v>858678</v>
      </c>
      <c r="J34" s="4"/>
      <c r="K34" s="4"/>
      <c r="L34" s="95"/>
      <c r="M34" s="37"/>
      <c r="N34" s="5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30" customHeight="1" x14ac:dyDescent="0.2">
      <c r="A35" s="15"/>
      <c r="B35" s="4"/>
      <c r="C35" s="4"/>
      <c r="D35" s="4"/>
      <c r="E35" s="222" t="s">
        <v>39</v>
      </c>
      <c r="F35" s="240">
        <f>F34/F22</f>
        <v>0.4844731197789468</v>
      </c>
      <c r="G35" s="240">
        <f t="shared" ref="G35" si="13">G34/G22</f>
        <v>0.49056489007323767</v>
      </c>
      <c r="H35" s="240">
        <f t="shared" ref="H35" si="14">H34/H22</f>
        <v>0.47267574837590515</v>
      </c>
      <c r="I35" s="241">
        <f t="shared" ref="I35" si="15">I34/I22</f>
        <v>0.49282755707043574</v>
      </c>
      <c r="J35" s="4"/>
      <c r="K35" s="4"/>
      <c r="L35" s="37"/>
      <c r="M35" s="95"/>
      <c r="N35" s="5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30" customHeight="1" x14ac:dyDescent="0.2">
      <c r="A36" s="15"/>
      <c r="B36" s="4"/>
      <c r="C36" s="4"/>
      <c r="D36" s="4"/>
      <c r="E36" s="218">
        <v>2020</v>
      </c>
      <c r="F36" s="201">
        <v>476331</v>
      </c>
      <c r="G36" s="201">
        <v>143255</v>
      </c>
      <c r="H36" s="201">
        <v>455025</v>
      </c>
      <c r="I36" s="238">
        <v>822015</v>
      </c>
      <c r="J36" s="4"/>
      <c r="K36" s="4"/>
      <c r="L36" s="95"/>
      <c r="M36" s="37"/>
      <c r="N36" s="5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30" customHeight="1" x14ac:dyDescent="0.2">
      <c r="A37" s="15"/>
      <c r="B37" s="4"/>
      <c r="C37" s="4"/>
      <c r="D37" s="4"/>
      <c r="E37" s="222" t="s">
        <v>39</v>
      </c>
      <c r="F37" s="240">
        <f>F36/F24</f>
        <v>0.48761938885192202</v>
      </c>
      <c r="G37" s="240">
        <f t="shared" ref="G37" si="16">G36/G24</f>
        <v>0.48644784917756678</v>
      </c>
      <c r="H37" s="240">
        <f t="shared" ref="H37" si="17">H36/H24</f>
        <v>0.42639232873323457</v>
      </c>
      <c r="I37" s="241">
        <f t="shared" ref="I37" si="18">I36/I24</f>
        <v>0.47053136446453991</v>
      </c>
      <c r="J37" s="4"/>
      <c r="K37" s="4"/>
      <c r="L37" s="37"/>
      <c r="M37" s="95"/>
      <c r="N37" s="5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30" customHeight="1" x14ac:dyDescent="0.2">
      <c r="A38" s="15"/>
      <c r="B38" s="4"/>
      <c r="C38" s="4"/>
      <c r="D38" s="4"/>
      <c r="E38" s="218">
        <v>2021</v>
      </c>
      <c r="F38" s="201">
        <v>350996</v>
      </c>
      <c r="G38" s="201">
        <v>548437</v>
      </c>
      <c r="H38" s="201">
        <v>599338</v>
      </c>
      <c r="I38" s="238">
        <v>898538</v>
      </c>
      <c r="J38" s="4"/>
      <c r="K38" s="4"/>
      <c r="L38" s="95"/>
      <c r="M38" s="37"/>
      <c r="N38" s="5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0" customHeight="1" x14ac:dyDescent="0.2">
      <c r="A39" s="15"/>
      <c r="B39" s="4"/>
      <c r="C39" s="4"/>
      <c r="D39" s="4"/>
      <c r="E39" s="222" t="s">
        <v>39</v>
      </c>
      <c r="F39" s="240">
        <f>F38/F26</f>
        <v>0.45227072125761042</v>
      </c>
      <c r="G39" s="240">
        <f t="shared" ref="G39" si="19">G38/G26</f>
        <v>0.46652064069956362</v>
      </c>
      <c r="H39" s="240">
        <f t="shared" ref="H39" si="20">H38/H26</f>
        <v>0.44746518421958376</v>
      </c>
      <c r="I39" s="241">
        <f t="shared" ref="I39" si="21">I38/I26</f>
        <v>0.4825315914599011</v>
      </c>
      <c r="J39" s="4"/>
      <c r="K39" s="4"/>
      <c r="L39" s="37"/>
      <c r="M39" s="95"/>
      <c r="N39" s="58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30" customHeight="1" x14ac:dyDescent="0.2">
      <c r="A40" s="15"/>
      <c r="B40" s="4"/>
      <c r="C40" s="4"/>
      <c r="D40" s="4"/>
      <c r="E40" s="4"/>
      <c r="F40" s="4"/>
      <c r="G40" s="4"/>
      <c r="H40" s="4"/>
      <c r="I40" s="4"/>
      <c r="J40" s="4"/>
      <c r="K40" s="4"/>
      <c r="L40" s="95"/>
      <c r="M40" s="37"/>
      <c r="N40" s="5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30" customHeight="1" x14ac:dyDescent="0.2">
      <c r="A41" s="15"/>
      <c r="B41" s="4"/>
      <c r="C41" s="4"/>
      <c r="D41" s="4"/>
      <c r="E41" s="4"/>
      <c r="F41" s="4"/>
      <c r="G41" s="4"/>
      <c r="H41" s="4"/>
      <c r="I41" s="4"/>
      <c r="J41" s="4"/>
      <c r="K41" s="4"/>
      <c r="L41" s="37"/>
      <c r="M41" s="95"/>
      <c r="N41" s="5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30" customHeight="1" x14ac:dyDescent="0.2">
      <c r="A42" s="15"/>
      <c r="B42" s="4"/>
      <c r="C42" s="4"/>
      <c r="D42" s="4"/>
      <c r="E42" s="72"/>
      <c r="F42" s="74"/>
      <c r="G42" s="74"/>
      <c r="H42" s="74"/>
      <c r="I42" s="74"/>
      <c r="J42" s="4"/>
      <c r="K42" s="4"/>
      <c r="L42" s="95"/>
      <c r="M42" s="37"/>
      <c r="N42" s="5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30" customHeight="1" x14ac:dyDescent="0.2">
      <c r="A43" s="15"/>
      <c r="B43" s="4"/>
      <c r="C43" s="4"/>
      <c r="D43" s="4"/>
      <c r="E43" s="218"/>
      <c r="F43" s="47" t="s">
        <v>310</v>
      </c>
      <c r="G43" s="47" t="s">
        <v>311</v>
      </c>
      <c r="H43" s="47" t="s">
        <v>312</v>
      </c>
      <c r="I43" s="235" t="s">
        <v>313</v>
      </c>
      <c r="J43" s="4"/>
      <c r="K43" s="4"/>
      <c r="L43" s="37"/>
      <c r="M43" s="95"/>
      <c r="N43" s="5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30" customHeight="1" x14ac:dyDescent="0.2">
      <c r="A44" s="15"/>
      <c r="B44" s="4"/>
      <c r="C44" s="4"/>
      <c r="D44" s="4"/>
      <c r="E44" s="218">
        <v>2018</v>
      </c>
      <c r="F44" s="201">
        <v>-535662</v>
      </c>
      <c r="G44" s="201">
        <v>-517007</v>
      </c>
      <c r="H44" s="201">
        <v>-520616</v>
      </c>
      <c r="I44" s="238">
        <v>-610726</v>
      </c>
      <c r="J44" s="4"/>
      <c r="K44" s="4"/>
      <c r="L44" s="4"/>
      <c r="M44" s="37"/>
      <c r="N44" s="5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30" customHeight="1" x14ac:dyDescent="0.2">
      <c r="A45" s="15"/>
      <c r="B45" s="4"/>
      <c r="C45" s="4"/>
      <c r="D45" s="4"/>
      <c r="E45" s="222" t="s">
        <v>282</v>
      </c>
      <c r="F45" s="240">
        <v>0</v>
      </c>
      <c r="G45" s="240">
        <f>G44/F44-1</f>
        <v>-3.4826065690678032E-2</v>
      </c>
      <c r="H45" s="240">
        <f t="shared" ref="H45:I45" si="22">H44/G44-1</f>
        <v>6.9805631258377243E-3</v>
      </c>
      <c r="I45" s="241">
        <f t="shared" si="22"/>
        <v>0.17308342425127154</v>
      </c>
      <c r="J45" s="4"/>
      <c r="K45" s="4"/>
      <c r="L45" s="24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30" customHeight="1" x14ac:dyDescent="0.2">
      <c r="A46" s="15"/>
      <c r="B46" s="4"/>
      <c r="C46" s="4"/>
      <c r="D46" s="4"/>
      <c r="E46" s="218">
        <v>2019</v>
      </c>
      <c r="F46" s="201">
        <f>109414-'DRE - Contas Abertas'!I58</f>
        <v>-607751</v>
      </c>
      <c r="G46" s="201">
        <v>-548015</v>
      </c>
      <c r="H46" s="201">
        <v>-529974</v>
      </c>
      <c r="I46" s="238">
        <v>-566452</v>
      </c>
      <c r="J46" s="4"/>
      <c r="K46" s="4"/>
      <c r="L46" s="4"/>
      <c r="M46" s="24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30" customHeight="1" x14ac:dyDescent="0.2">
      <c r="A47" s="15"/>
      <c r="B47" s="4"/>
      <c r="C47" s="4"/>
      <c r="D47" s="4"/>
      <c r="E47" s="222" t="s">
        <v>282</v>
      </c>
      <c r="F47" s="240">
        <v>0</v>
      </c>
      <c r="G47" s="240">
        <f>G46/F46-1</f>
        <v>-9.8290253738784417E-2</v>
      </c>
      <c r="H47" s="240">
        <f t="shared" ref="H47" si="23">H46/G46-1</f>
        <v>-3.2920631734532857E-2</v>
      </c>
      <c r="I47" s="241">
        <f t="shared" ref="I47" si="24">I46/H46-1</f>
        <v>6.8829791650156347E-2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30" customHeight="1" x14ac:dyDescent="0.2">
      <c r="A48" s="15"/>
      <c r="B48" s="4"/>
      <c r="C48" s="4"/>
      <c r="D48" s="4"/>
      <c r="E48" s="218">
        <v>2020</v>
      </c>
      <c r="F48" s="201">
        <v>-526250</v>
      </c>
      <c r="G48" s="201">
        <v>-387740</v>
      </c>
      <c r="H48" s="201">
        <v>-494227</v>
      </c>
      <c r="I48" s="238">
        <v>-652648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30" customHeight="1" x14ac:dyDescent="0.2">
      <c r="A49" s="15"/>
      <c r="B49" s="4"/>
      <c r="C49" s="4"/>
      <c r="D49" s="4"/>
      <c r="E49" s="222" t="s">
        <v>282</v>
      </c>
      <c r="F49" s="240">
        <v>0</v>
      </c>
      <c r="G49" s="240">
        <f>G48/F48-1</f>
        <v>-0.26320190023752965</v>
      </c>
      <c r="H49" s="240">
        <f t="shared" ref="H49" si="25">H48/G48-1</f>
        <v>0.27463506473410026</v>
      </c>
      <c r="I49" s="241">
        <f t="shared" ref="I49" si="26">I48/H48-1</f>
        <v>0.32054298935509395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30" customHeight="1" x14ac:dyDescent="0.2">
      <c r="A50" s="15"/>
      <c r="B50" s="4"/>
      <c r="C50" s="4"/>
      <c r="D50" s="4"/>
      <c r="E50" s="218">
        <v>2021</v>
      </c>
      <c r="F50" s="201">
        <v>-520090</v>
      </c>
      <c r="G50" s="201">
        <v>-462696</v>
      </c>
      <c r="H50" s="201">
        <v>-639956</v>
      </c>
      <c r="I50" s="238">
        <v>-681768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30" customHeight="1" x14ac:dyDescent="0.2">
      <c r="A51" s="15"/>
      <c r="B51" s="4"/>
      <c r="C51" s="4"/>
      <c r="D51" s="4"/>
      <c r="E51" s="222" t="s">
        <v>282</v>
      </c>
      <c r="F51" s="240">
        <v>0</v>
      </c>
      <c r="G51" s="240">
        <f>G50/F50-1</f>
        <v>-0.1103539771962545</v>
      </c>
      <c r="H51" s="240">
        <f t="shared" ref="H51" si="27">H50/G50-1</f>
        <v>0.3831025122326539</v>
      </c>
      <c r="I51" s="241">
        <f t="shared" ref="I51" si="28">I50/H50-1</f>
        <v>6.5335741832250882E-2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30" customHeight="1" x14ac:dyDescent="0.2">
      <c r="A52" s="15"/>
      <c r="B52" s="4"/>
      <c r="C52" s="4"/>
      <c r="D52" s="4"/>
      <c r="E52" s="72"/>
      <c r="F52" s="74"/>
      <c r="G52" s="74"/>
      <c r="H52" s="74"/>
      <c r="I52" s="74"/>
      <c r="J52" s="7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30" customHeight="1" x14ac:dyDescent="0.2">
      <c r="A53" s="15"/>
      <c r="B53" s="4"/>
      <c r="C53" s="4"/>
      <c r="D53" s="4"/>
      <c r="E53" s="4"/>
      <c r="F53" s="37"/>
      <c r="G53" s="37"/>
      <c r="H53" s="37"/>
      <c r="I53" s="37"/>
      <c r="J53" s="3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30" customHeight="1" x14ac:dyDescent="0.2">
      <c r="A54" s="15"/>
      <c r="B54" s="4"/>
      <c r="C54" s="4"/>
      <c r="D54" s="4"/>
      <c r="E54" s="4"/>
      <c r="F54" s="4"/>
      <c r="G54" s="4"/>
      <c r="H54" s="4"/>
      <c r="I54" s="4"/>
      <c r="J54" s="4"/>
      <c r="K54" s="24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30" customHeight="1" x14ac:dyDescent="0.2">
      <c r="A55" s="15"/>
      <c r="B55" s="4"/>
      <c r="C55" s="4"/>
      <c r="D55" s="4"/>
      <c r="E55" s="218"/>
      <c r="F55" s="47" t="s">
        <v>310</v>
      </c>
      <c r="G55" s="47" t="s">
        <v>311</v>
      </c>
      <c r="H55" s="47" t="s">
        <v>312</v>
      </c>
      <c r="I55" s="235" t="s">
        <v>313</v>
      </c>
      <c r="J55" s="37"/>
      <c r="K55" s="24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30" customHeight="1" x14ac:dyDescent="0.2">
      <c r="A56" s="15"/>
      <c r="B56" s="4"/>
      <c r="C56" s="4"/>
      <c r="D56" s="4"/>
      <c r="E56" s="218">
        <v>2018</v>
      </c>
      <c r="F56" s="201">
        <f>F32+F44</f>
        <v>-64131</v>
      </c>
      <c r="G56" s="201">
        <f>G32+G44</f>
        <v>107205</v>
      </c>
      <c r="H56" s="201">
        <f>H32+H44</f>
        <v>61742</v>
      </c>
      <c r="I56" s="238">
        <f>I32+I44</f>
        <v>260316</v>
      </c>
      <c r="J56" s="37"/>
      <c r="K56" s="24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30" customHeight="1" x14ac:dyDescent="0.2">
      <c r="A57" s="15"/>
      <c r="B57" s="4"/>
      <c r="C57" s="4"/>
      <c r="D57" s="4"/>
      <c r="E57" s="222" t="s">
        <v>47</v>
      </c>
      <c r="F57" s="240">
        <f>F56/F20</f>
        <v>-6.4201236605906944E-2</v>
      </c>
      <c r="G57" s="240">
        <f>G56/G20</f>
        <v>8.6785214836746324E-2</v>
      </c>
      <c r="H57" s="240">
        <f>H56/H20</f>
        <v>5.0850454685956462E-2</v>
      </c>
      <c r="I57" s="241">
        <f>I56/I20</f>
        <v>0.15396673566141331</v>
      </c>
      <c r="J57" s="37"/>
      <c r="K57" s="24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30" customHeight="1" x14ac:dyDescent="0.2">
      <c r="A58" s="15"/>
      <c r="B58" s="4"/>
      <c r="C58" s="4"/>
      <c r="D58" s="4"/>
      <c r="E58" s="218">
        <v>2019</v>
      </c>
      <c r="F58" s="201">
        <f>F34+F46</f>
        <v>-106318</v>
      </c>
      <c r="G58" s="201">
        <f>G34+G46</f>
        <v>72128</v>
      </c>
      <c r="H58" s="201">
        <f>H34+H46</f>
        <v>57883</v>
      </c>
      <c r="I58" s="238">
        <f>I34+I46</f>
        <v>292226</v>
      </c>
      <c r="J58" s="37"/>
      <c r="K58" s="24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30" customHeight="1" x14ac:dyDescent="0.2">
      <c r="A59" s="15"/>
      <c r="B59" s="4"/>
      <c r="C59" s="4"/>
      <c r="D59" s="4"/>
      <c r="E59" s="222" t="s">
        <v>47</v>
      </c>
      <c r="F59" s="240">
        <f>F58/F22</f>
        <v>-0.10272202497374139</v>
      </c>
      <c r="G59" s="240">
        <f>G58/G22</f>
        <v>5.7056943948738413E-2</v>
      </c>
      <c r="H59" s="240">
        <f>H58/H22</f>
        <v>4.6541744579451323E-2</v>
      </c>
      <c r="I59" s="241">
        <f>I58/I22</f>
        <v>0.16771947772327364</v>
      </c>
      <c r="J59" s="37"/>
      <c r="K59" s="24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30" customHeight="1" x14ac:dyDescent="0.2">
      <c r="A60" s="15"/>
      <c r="B60" s="4"/>
      <c r="C60" s="4"/>
      <c r="D60" s="4"/>
      <c r="E60" s="218">
        <v>2020</v>
      </c>
      <c r="F60" s="201">
        <f>F36+F48</f>
        <v>-49919</v>
      </c>
      <c r="G60" s="201">
        <f>G36+G48</f>
        <v>-244485</v>
      </c>
      <c r="H60" s="201">
        <f>H36+H48</f>
        <v>-39202</v>
      </c>
      <c r="I60" s="238">
        <f>I36+I48</f>
        <v>169367</v>
      </c>
      <c r="J60" s="37"/>
      <c r="K60" s="24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30" customHeight="1" x14ac:dyDescent="0.2">
      <c r="A61" s="15"/>
      <c r="B61" s="4"/>
      <c r="C61" s="4"/>
      <c r="D61" s="4"/>
      <c r="E61" s="222" t="s">
        <v>47</v>
      </c>
      <c r="F61" s="240">
        <f>F60/F24</f>
        <v>-5.1102011567794439E-2</v>
      </c>
      <c r="G61" s="240">
        <f>G60/G24</f>
        <v>-0.83019233120084757</v>
      </c>
      <c r="H61" s="240">
        <f>H60/H24</f>
        <v>-3.6735194925554118E-2</v>
      </c>
      <c r="I61" s="241">
        <f>I60/I24</f>
        <v>9.6947726751051663E-2</v>
      </c>
      <c r="J61" s="37"/>
      <c r="K61" s="24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30" customHeight="1" x14ac:dyDescent="0.2">
      <c r="A62" s="15"/>
      <c r="B62" s="4"/>
      <c r="C62" s="4"/>
      <c r="D62" s="4"/>
      <c r="E62" s="218">
        <v>2021</v>
      </c>
      <c r="F62" s="201">
        <f>F38+F50</f>
        <v>-169094</v>
      </c>
      <c r="G62" s="201">
        <f>G38+G50</f>
        <v>85741</v>
      </c>
      <c r="H62" s="201">
        <f>H38+H50</f>
        <v>-40618</v>
      </c>
      <c r="I62" s="238">
        <f>I38+I50</f>
        <v>216770</v>
      </c>
      <c r="J62" s="37"/>
      <c r="K62" s="24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30" customHeight="1" x14ac:dyDescent="0.2">
      <c r="A63" s="15"/>
      <c r="B63" s="4"/>
      <c r="C63" s="4"/>
      <c r="D63" s="4"/>
      <c r="E63" s="222" t="s">
        <v>47</v>
      </c>
      <c r="F63" s="240">
        <f>F62/F26</f>
        <v>-0.21788358083948073</v>
      </c>
      <c r="G63" s="240">
        <f>G62/G26</f>
        <v>7.2934441429409913E-2</v>
      </c>
      <c r="H63" s="240">
        <f>H62/H26</f>
        <v>-3.0325360402028659E-2</v>
      </c>
      <c r="I63" s="241">
        <f>I62/I26</f>
        <v>0.11640951532463041</v>
      </c>
      <c r="J63" s="37"/>
      <c r="K63" s="24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30" customHeight="1" x14ac:dyDescent="0.2">
      <c r="A64" s="15"/>
      <c r="B64" s="4"/>
      <c r="C64" s="4"/>
      <c r="D64" s="4"/>
      <c r="E64" s="72"/>
      <c r="F64" s="74"/>
      <c r="G64" s="74"/>
      <c r="H64" s="74"/>
      <c r="I64" s="74"/>
      <c r="J64" s="37"/>
      <c r="K64" s="24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30" customHeight="1" x14ac:dyDescent="0.2">
      <c r="A65" s="15"/>
      <c r="B65" s="4"/>
      <c r="C65" s="4"/>
      <c r="D65" s="4"/>
      <c r="E65" s="4"/>
      <c r="F65" s="37"/>
      <c r="G65" s="37"/>
      <c r="H65" s="37"/>
      <c r="I65" s="37"/>
      <c r="J65" s="37"/>
      <c r="K65" s="24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30" customHeight="1" x14ac:dyDescent="0.2">
      <c r="A66" s="15"/>
      <c r="B66" s="4"/>
      <c r="C66" s="4"/>
      <c r="D66" s="4"/>
      <c r="E66" s="4"/>
      <c r="F66" s="37"/>
      <c r="G66" s="37"/>
      <c r="H66" s="37"/>
      <c r="I66" s="37"/>
      <c r="J66" s="37"/>
      <c r="K66" s="24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30" customHeight="1" x14ac:dyDescent="0.2">
      <c r="A67" s="15"/>
      <c r="B67" s="4"/>
      <c r="C67" s="4"/>
      <c r="D67" s="4"/>
      <c r="E67" s="4"/>
      <c r="F67" s="37"/>
      <c r="G67" s="37"/>
      <c r="H67" s="37"/>
      <c r="I67" s="37"/>
      <c r="J67" s="37"/>
      <c r="K67" s="24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30" customHeight="1" x14ac:dyDescent="0.2">
      <c r="A68" s="15"/>
      <c r="B68" s="4"/>
      <c r="C68" s="4"/>
      <c r="D68" s="4"/>
      <c r="E68" s="4"/>
      <c r="F68" s="37"/>
      <c r="G68" s="37"/>
      <c r="H68" s="37"/>
      <c r="I68" s="37"/>
      <c r="J68" s="37"/>
      <c r="K68" s="24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30" customHeight="1" x14ac:dyDescent="0.2">
      <c r="A69" s="15"/>
      <c r="B69" s="4"/>
      <c r="C69" s="4"/>
      <c r="D69" s="4"/>
      <c r="E69" s="4"/>
      <c r="F69" s="37"/>
      <c r="G69" s="37"/>
      <c r="H69" s="37"/>
      <c r="I69" s="37"/>
      <c r="J69" s="37"/>
      <c r="K69" s="24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30" customHeight="1" x14ac:dyDescent="0.2">
      <c r="A70" s="15"/>
      <c r="B70" s="4"/>
      <c r="C70" s="4"/>
      <c r="D70" s="4"/>
      <c r="E70" s="4"/>
      <c r="F70" s="37"/>
      <c r="G70" s="37"/>
      <c r="H70" s="37"/>
      <c r="I70" s="37"/>
      <c r="J70" s="37"/>
      <c r="K70" s="24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30" customHeight="1" x14ac:dyDescent="0.2">
      <c r="A71" s="15"/>
      <c r="B71" s="4"/>
      <c r="C71" s="4"/>
      <c r="D71" s="4"/>
      <c r="E71" s="4"/>
      <c r="F71" s="37"/>
      <c r="G71" s="37"/>
      <c r="H71" s="37"/>
      <c r="I71" s="37"/>
      <c r="J71" s="37"/>
      <c r="K71" s="24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30" customHeight="1" x14ac:dyDescent="0.2">
      <c r="A72" s="15"/>
      <c r="B72" s="4"/>
      <c r="C72" s="4"/>
      <c r="D72" s="4"/>
      <c r="E72" s="4"/>
      <c r="F72" s="4"/>
      <c r="G72" s="4"/>
      <c r="H72" s="4"/>
      <c r="I72" s="4"/>
      <c r="J72" s="4"/>
      <c r="K72" s="24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30" customHeight="1" x14ac:dyDescent="0.2">
      <c r="A73" s="15"/>
      <c r="B73" s="4"/>
      <c r="C73" s="4"/>
      <c r="D73" s="4"/>
      <c r="E73" s="4"/>
      <c r="F73" s="37"/>
      <c r="G73" s="37"/>
      <c r="H73" s="37"/>
      <c r="I73" s="37"/>
      <c r="J73" s="37"/>
      <c r="K73" s="24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30" customHeight="1" x14ac:dyDescent="0.2">
      <c r="A74" s="15"/>
      <c r="B74" s="4"/>
      <c r="C74" s="4"/>
      <c r="D74" s="4"/>
      <c r="E74" s="4"/>
      <c r="F74" s="4"/>
      <c r="G74" s="4"/>
      <c r="H74" s="4"/>
      <c r="I74" s="4"/>
      <c r="J74" s="4"/>
      <c r="K74" s="24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30" customHeight="1" x14ac:dyDescent="0.2">
      <c r="A75" s="15"/>
      <c r="B75" s="4"/>
      <c r="C75" s="4"/>
      <c r="D75" s="4"/>
      <c r="E75" s="4"/>
      <c r="F75" s="37"/>
      <c r="G75" s="37"/>
      <c r="H75" s="37"/>
      <c r="I75" s="37"/>
      <c r="J75" s="37"/>
      <c r="K75" s="24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30" customHeight="1" x14ac:dyDescent="0.2">
      <c r="A76" s="15"/>
      <c r="B76" s="4"/>
      <c r="C76" s="4"/>
      <c r="D76" s="4"/>
      <c r="E76" s="4"/>
      <c r="F76" s="4"/>
      <c r="G76" s="4"/>
      <c r="H76" s="4"/>
      <c r="I76" s="4"/>
      <c r="J76" s="4"/>
      <c r="K76" s="24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30" customHeight="1" x14ac:dyDescent="0.2">
      <c r="A77" s="15"/>
      <c r="B77" s="4"/>
      <c r="C77" s="4"/>
      <c r="D77" s="4"/>
      <c r="E77" s="4"/>
      <c r="F77" s="4"/>
      <c r="G77" s="4"/>
      <c r="H77" s="4"/>
      <c r="I77" s="4"/>
      <c r="J77" s="4"/>
      <c r="K77" s="24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30" customHeight="1" x14ac:dyDescent="0.2">
      <c r="B78" s="4"/>
      <c r="C78" s="4"/>
      <c r="D78" s="4"/>
      <c r="E78" s="4"/>
      <c r="F78" s="37"/>
      <c r="G78" s="37"/>
      <c r="H78" s="37"/>
      <c r="I78" s="37"/>
      <c r="J78" s="37"/>
      <c r="K78" s="24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0" hidden="1" customHeight="1" x14ac:dyDescent="0.2">
      <c r="C79" s="4"/>
      <c r="K79" s="242"/>
      <c r="L79" s="4"/>
      <c r="M79" s="4"/>
      <c r="N79" s="4"/>
    </row>
    <row r="80" spans="1:25" ht="0" hidden="1" customHeight="1" x14ac:dyDescent="0.2">
      <c r="K80" s="242"/>
      <c r="L80" s="4"/>
      <c r="M80" s="4"/>
      <c r="N80" s="4"/>
    </row>
    <row r="81" spans="11:14" ht="0" hidden="1" customHeight="1" x14ac:dyDescent="0.2">
      <c r="K81" s="242"/>
      <c r="L81" s="4"/>
      <c r="M81" s="4"/>
      <c r="N81" s="4"/>
    </row>
    <row r="82" spans="11:14" ht="0" hidden="1" customHeight="1" x14ac:dyDescent="0.2">
      <c r="K82" s="4"/>
      <c r="L82" s="4"/>
      <c r="M82" s="4"/>
      <c r="N82" s="4"/>
    </row>
    <row r="83" spans="11:14" ht="0" hidden="1" customHeight="1" x14ac:dyDescent="0.2">
      <c r="K83" s="4"/>
      <c r="L83" s="4"/>
      <c r="M83" s="4"/>
      <c r="N83" s="4"/>
    </row>
    <row r="84" spans="11:14" ht="0" hidden="1" customHeight="1" x14ac:dyDescent="0.2">
      <c r="K84" s="4"/>
      <c r="M84" s="4"/>
      <c r="N84" s="4"/>
    </row>
  </sheetData>
  <mergeCells count="1">
    <mergeCell ref="E3:J5"/>
  </mergeCells>
  <conditionalFormatting sqref="A1:A6 B1:B24 C3:D5 K3:XFD5 C1:XFD2 C6:XFD6 C8:XFD8 C7:E7 I7:XFD7 O33:XFD78 D44:J54 D65:J78 D55:D64 J55:J64 E56:I64 F10:J14 C9:D16 C17:C24 D18:J30 J17:J19 K9:XFD16 M17:XFD32 M33:N84 D17:I18 J30:J40 J42:J43 D31:D40 D42:D43 E32:J40 E42:J42 C42:C79 K17:L40 L41:L83 K42:K84 C41:K41 B25:C40 B41:B78 A20:A77">
    <cfRule type="cellIs" dxfId="53" priority="109" operator="equal">
      <formula>0</formula>
    </cfRule>
  </conditionalFormatting>
  <conditionalFormatting sqref="F14:J14">
    <cfRule type="cellIs" dxfId="52" priority="108" operator="equal">
      <formula>0</formula>
    </cfRule>
  </conditionalFormatting>
  <conditionalFormatting sqref="G9">
    <cfRule type="cellIs" dxfId="51" priority="105" operator="equal">
      <formula>0</formula>
    </cfRule>
  </conditionalFormatting>
  <conditionalFormatting sqref="F9">
    <cfRule type="cellIs" dxfId="50" priority="104" operator="equal">
      <formula>0</formula>
    </cfRule>
  </conditionalFormatting>
  <conditionalFormatting sqref="I9:J9">
    <cfRule type="cellIs" dxfId="49" priority="107" operator="equal">
      <formula>0</formula>
    </cfRule>
  </conditionalFormatting>
  <conditionalFormatting sqref="H9">
    <cfRule type="cellIs" dxfId="48" priority="106" operator="equal">
      <formula>0</formula>
    </cfRule>
  </conditionalFormatting>
  <conditionalFormatting sqref="E9">
    <cfRule type="cellIs" dxfId="47" priority="103" operator="equal">
      <formula>0</formula>
    </cfRule>
  </conditionalFormatting>
  <conditionalFormatting sqref="F15:I15">
    <cfRule type="cellIs" dxfId="46" priority="92" operator="equal">
      <formula>0</formula>
    </cfRule>
  </conditionalFormatting>
  <conditionalFormatting sqref="F15:I15">
    <cfRule type="colorScale" priority="93">
      <colorScale>
        <cfvo type="min"/>
        <cfvo type="max"/>
        <color rgb="FFD9FBE2"/>
        <color rgb="FF00C556"/>
      </colorScale>
    </cfRule>
    <cfRule type="colorScale" priority="94">
      <colorScale>
        <cfvo type="min"/>
        <cfvo type="max"/>
        <color rgb="FFFCFCFF"/>
        <color rgb="FF63BE7B"/>
      </colorScale>
    </cfRule>
  </conditionalFormatting>
  <conditionalFormatting sqref="J15">
    <cfRule type="cellIs" dxfId="45" priority="89" operator="equal">
      <formula>0</formula>
    </cfRule>
  </conditionalFormatting>
  <conditionalFormatting sqref="J15">
    <cfRule type="colorScale" priority="90">
      <colorScale>
        <cfvo type="min"/>
        <cfvo type="max"/>
        <color rgb="FFD9FBE2"/>
        <color rgb="FF00C556"/>
      </colorScale>
    </cfRule>
    <cfRule type="colorScale" priority="91">
      <colorScale>
        <cfvo type="min"/>
        <cfvo type="max"/>
        <color rgb="FFFCFCFF"/>
        <color rgb="FF63BE7B"/>
      </colorScale>
    </cfRule>
  </conditionalFormatting>
  <conditionalFormatting sqref="J20:J21">
    <cfRule type="cellIs" dxfId="44" priority="74" operator="equal">
      <formula>0</formula>
    </cfRule>
  </conditionalFormatting>
  <conditionalFormatting sqref="J20:J21">
    <cfRule type="cellIs" dxfId="43" priority="73" operator="equal">
      <formula>0</formula>
    </cfRule>
  </conditionalFormatting>
  <conditionalFormatting sqref="J22:J23">
    <cfRule type="cellIs" dxfId="42" priority="72" operator="equal">
      <formula>0</formula>
    </cfRule>
  </conditionalFormatting>
  <conditionalFormatting sqref="J22:J23">
    <cfRule type="cellIs" dxfId="41" priority="71" operator="equal">
      <formula>0</formula>
    </cfRule>
  </conditionalFormatting>
  <conditionalFormatting sqref="J24:J25">
    <cfRule type="cellIs" dxfId="40" priority="70" operator="equal">
      <formula>0</formula>
    </cfRule>
  </conditionalFormatting>
  <conditionalFormatting sqref="J24:J25">
    <cfRule type="cellIs" dxfId="39" priority="69" operator="equal">
      <formula>0</formula>
    </cfRule>
  </conditionalFormatting>
  <conditionalFormatting sqref="J26:J27">
    <cfRule type="cellIs" dxfId="38" priority="68" operator="equal">
      <formula>0</formula>
    </cfRule>
  </conditionalFormatting>
  <conditionalFormatting sqref="J26:J27">
    <cfRule type="cellIs" dxfId="37" priority="67" operator="equal">
      <formula>0</formula>
    </cfRule>
  </conditionalFormatting>
  <conditionalFormatting sqref="F28:J28 F39:J40">
    <cfRule type="cellIs" dxfId="36" priority="66" operator="equal">
      <formula>0</formula>
    </cfRule>
  </conditionalFormatting>
  <conditionalFormatting sqref="F28:J28 F39:J40">
    <cfRule type="cellIs" dxfId="35" priority="65" operator="equal">
      <formula>0</formula>
    </cfRule>
  </conditionalFormatting>
  <conditionalFormatting sqref="F19:I19">
    <cfRule type="cellIs" dxfId="34" priority="61" operator="equal">
      <formula>0</formula>
    </cfRule>
  </conditionalFormatting>
  <conditionalFormatting sqref="F19:I19">
    <cfRule type="cellIs" dxfId="33" priority="60" operator="equal">
      <formula>0</formula>
    </cfRule>
  </conditionalFormatting>
  <conditionalFormatting sqref="J44:J45">
    <cfRule type="cellIs" dxfId="32" priority="43" operator="equal">
      <formula>0</formula>
    </cfRule>
  </conditionalFormatting>
  <conditionalFormatting sqref="J44:J45">
    <cfRule type="cellIs" dxfId="31" priority="42" operator="equal">
      <formula>0</formula>
    </cfRule>
  </conditionalFormatting>
  <conditionalFormatting sqref="J46:J47">
    <cfRule type="cellIs" dxfId="30" priority="41" operator="equal">
      <formula>0</formula>
    </cfRule>
  </conditionalFormatting>
  <conditionalFormatting sqref="J46:J47">
    <cfRule type="cellIs" dxfId="29" priority="40" operator="equal">
      <formula>0</formula>
    </cfRule>
  </conditionalFormatting>
  <conditionalFormatting sqref="J48:J50">
    <cfRule type="cellIs" dxfId="28" priority="39" operator="equal">
      <formula>0</formula>
    </cfRule>
  </conditionalFormatting>
  <conditionalFormatting sqref="J48:J50">
    <cfRule type="cellIs" dxfId="27" priority="38" operator="equal">
      <formula>0</formula>
    </cfRule>
  </conditionalFormatting>
  <conditionalFormatting sqref="J50:J51">
    <cfRule type="cellIs" dxfId="26" priority="37" operator="equal">
      <formula>0</formula>
    </cfRule>
  </conditionalFormatting>
  <conditionalFormatting sqref="J50:J51">
    <cfRule type="cellIs" dxfId="25" priority="36" operator="equal">
      <formula>0</formula>
    </cfRule>
  </conditionalFormatting>
  <conditionalFormatting sqref="J43">
    <cfRule type="cellIs" dxfId="24" priority="33" operator="equal">
      <formula>0</formula>
    </cfRule>
  </conditionalFormatting>
  <conditionalFormatting sqref="F43:I43">
    <cfRule type="cellIs" dxfId="23" priority="32" operator="equal">
      <formula>0</formula>
    </cfRule>
  </conditionalFormatting>
  <conditionalFormatting sqref="F43:I43">
    <cfRule type="cellIs" dxfId="22" priority="31" operator="equal">
      <formula>0</formula>
    </cfRule>
  </conditionalFormatting>
  <conditionalFormatting sqref="J32:J33">
    <cfRule type="cellIs" dxfId="21" priority="20" operator="equal">
      <formula>0</formula>
    </cfRule>
  </conditionalFormatting>
  <conditionalFormatting sqref="J32:J33">
    <cfRule type="cellIs" dxfId="20" priority="19" operator="equal">
      <formula>0</formula>
    </cfRule>
  </conditionalFormatting>
  <conditionalFormatting sqref="J34:J35">
    <cfRule type="cellIs" dxfId="19" priority="18" operator="equal">
      <formula>0</formula>
    </cfRule>
  </conditionalFormatting>
  <conditionalFormatting sqref="J34:J35">
    <cfRule type="cellIs" dxfId="18" priority="17" operator="equal">
      <formula>0</formula>
    </cfRule>
  </conditionalFormatting>
  <conditionalFormatting sqref="J36:J37">
    <cfRule type="cellIs" dxfId="17" priority="16" operator="equal">
      <formula>0</formula>
    </cfRule>
  </conditionalFormatting>
  <conditionalFormatting sqref="J36:J37">
    <cfRule type="cellIs" dxfId="16" priority="15" operator="equal">
      <formula>0</formula>
    </cfRule>
  </conditionalFormatting>
  <conditionalFormatting sqref="J38">
    <cfRule type="cellIs" dxfId="15" priority="14" operator="equal">
      <formula>0</formula>
    </cfRule>
  </conditionalFormatting>
  <conditionalFormatting sqref="J38">
    <cfRule type="cellIs" dxfId="14" priority="13" operator="equal">
      <formula>0</formula>
    </cfRule>
  </conditionalFormatting>
  <conditionalFormatting sqref="J31">
    <cfRule type="cellIs" dxfId="13" priority="12" operator="equal">
      <formula>0</formula>
    </cfRule>
  </conditionalFormatting>
  <conditionalFormatting sqref="F31:I31">
    <cfRule type="cellIs" dxfId="12" priority="11" operator="equal">
      <formula>0</formula>
    </cfRule>
  </conditionalFormatting>
  <conditionalFormatting sqref="F31:I31">
    <cfRule type="cellIs" dxfId="11" priority="10" operator="equal">
      <formula>0</formula>
    </cfRule>
  </conditionalFormatting>
  <conditionalFormatting sqref="E16:J16">
    <cfRule type="cellIs" dxfId="10" priority="7" operator="equal">
      <formula>0</formula>
    </cfRule>
  </conditionalFormatting>
  <conditionalFormatting sqref="L45">
    <cfRule type="cellIs" dxfId="9" priority="6" operator="equal">
      <formula>0</formula>
    </cfRule>
  </conditionalFormatting>
  <conditionalFormatting sqref="L45">
    <cfRule type="cellIs" dxfId="8" priority="5" operator="equal">
      <formula>0</formula>
    </cfRule>
  </conditionalFormatting>
  <conditionalFormatting sqref="M44">
    <cfRule type="cellIs" dxfId="7" priority="4" operator="equal">
      <formula>0</formula>
    </cfRule>
  </conditionalFormatting>
  <conditionalFormatting sqref="M44">
    <cfRule type="cellIs" dxfId="6" priority="3" operator="equal">
      <formula>0</formula>
    </cfRule>
  </conditionalFormatting>
  <conditionalFormatting sqref="F55:I55">
    <cfRule type="cellIs" dxfId="5" priority="2" operator="equal">
      <formula>0</formula>
    </cfRule>
  </conditionalFormatting>
  <conditionalFormatting sqref="F55:I55">
    <cfRule type="cellIs" dxfId="4" priority="1" operator="equal">
      <formula>0</formula>
    </cfRule>
  </conditionalFormatting>
  <hyperlinks>
    <hyperlink ref="A10" location="'DRE + DCF'!A1" display="DRE + DCF" xr:uid="{B90146B5-3579-4BB1-B315-3E0CADAAC621}"/>
    <hyperlink ref="A9" location="WACC!A1" display="WACC" xr:uid="{F5629B6E-378F-4C76-BED2-A97CF44F65D2}"/>
    <hyperlink ref="A8" location="Dashboard!A1" display="Dashboard" xr:uid="{CDDF90BC-76E8-422F-8552-CD699D771C67}"/>
    <hyperlink ref="A11" location="'Balanço Patrimonial'!A1" display="Balanço Patrimonial" xr:uid="{D3704264-F808-48E7-B097-E56A26C30F64}"/>
    <hyperlink ref="A13" location="Lojas!A1" display="Lojas" xr:uid="{304D42FD-4BD6-4BF4-9893-AF29DF5A2F3A}"/>
    <hyperlink ref="A12" location="'Projeções - Receita'!A1" display="Projeções - Receita" xr:uid="{059183AB-8382-443E-A3CC-203757976D7E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0D3F-36C3-4A44-AD3B-4E26C7298C41}">
  <sheetPr codeName="Planilha21"/>
  <dimension ref="A1:BE404"/>
  <sheetViews>
    <sheetView showGridLines="0" zoomScale="80" zoomScaleNormal="80" workbookViewId="0"/>
  </sheetViews>
  <sheetFormatPr baseColWidth="10" defaultColWidth="0" defaultRowHeight="0" customHeight="1" zeroHeight="1" x14ac:dyDescent="0.2"/>
  <cols>
    <col min="1" max="1" width="39.1640625" style="3" customWidth="1"/>
    <col min="2" max="4" width="9.1640625" style="1" customWidth="1"/>
    <col min="5" max="11" width="36" style="1" customWidth="1"/>
    <col min="12" max="12" width="169.83203125" style="1" customWidth="1"/>
    <col min="13" max="27" width="9.1640625" style="1" customWidth="1"/>
    <col min="28" max="28" width="9.1640625" style="1" hidden="1" customWidth="1"/>
    <col min="29" max="32" width="0" style="1" hidden="1" customWidth="1"/>
    <col min="33" max="34" width="9.1640625" style="1" hidden="1" customWidth="1"/>
    <col min="35" max="38" width="0" style="1" hidden="1" customWidth="1"/>
    <col min="39" max="57" width="9.1640625" style="1" hidden="1" customWidth="1"/>
    <col min="58" max="16384" width="0" style="1" hidden="1"/>
  </cols>
  <sheetData>
    <row r="1" spans="1:27" ht="1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6" x14ac:dyDescent="0.2">
      <c r="B4" s="4"/>
      <c r="C4" s="4"/>
      <c r="D4" s="4"/>
      <c r="E4" s="315" t="s">
        <v>0</v>
      </c>
      <c r="F4" s="315"/>
      <c r="G4" s="315"/>
      <c r="H4" s="315"/>
      <c r="I4" s="315"/>
      <c r="J4" s="315"/>
      <c r="K4" s="31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 x14ac:dyDescent="0.2">
      <c r="B5" s="4"/>
      <c r="C5" s="4"/>
      <c r="D5" s="4"/>
      <c r="E5" s="4"/>
      <c r="F5" s="4"/>
      <c r="G5" s="243"/>
      <c r="H5" s="243"/>
      <c r="I5" s="24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hidden="1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s="10" customFormat="1" ht="24.75" customHeight="1" x14ac:dyDescent="0.2">
      <c r="A7" s="8" t="s">
        <v>1</v>
      </c>
      <c r="B7" s="9"/>
      <c r="C7" s="9"/>
      <c r="D7" s="9"/>
      <c r="E7" s="9"/>
      <c r="F7" s="9"/>
      <c r="G7" s="4"/>
      <c r="H7" s="4"/>
      <c r="I7" s="4"/>
      <c r="J7" s="4"/>
      <c r="K7" s="4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30" customHeight="1" x14ac:dyDescent="0.2">
      <c r="A8" s="15" t="s">
        <v>2</v>
      </c>
      <c r="B8" s="4"/>
      <c r="C8" s="4"/>
      <c r="D8" s="9"/>
      <c r="E8" s="34"/>
      <c r="F8" s="35"/>
      <c r="G8" s="35"/>
      <c r="H8" s="35"/>
      <c r="I8" s="35"/>
      <c r="J8" s="35"/>
      <c r="K8" s="3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0" customHeight="1" x14ac:dyDescent="0.2">
      <c r="A9" s="15" t="s">
        <v>3</v>
      </c>
      <c r="B9" s="4"/>
      <c r="C9" s="4"/>
      <c r="D9" s="4"/>
      <c r="E9" s="137" t="s">
        <v>315</v>
      </c>
      <c r="F9" s="42" t="s">
        <v>316</v>
      </c>
      <c r="G9" s="42" t="s">
        <v>317</v>
      </c>
      <c r="H9" s="42" t="s">
        <v>318</v>
      </c>
      <c r="I9" s="42" t="s">
        <v>319</v>
      </c>
      <c r="J9" s="42" t="s">
        <v>320</v>
      </c>
      <c r="K9" s="244" t="s">
        <v>321</v>
      </c>
      <c r="L9" s="19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0" customHeight="1" x14ac:dyDescent="0.2">
      <c r="A10" s="15" t="s">
        <v>6</v>
      </c>
      <c r="B10" s="4"/>
      <c r="C10" s="4"/>
      <c r="D10" s="4"/>
      <c r="E10" s="245">
        <v>1976</v>
      </c>
      <c r="F10" s="246" t="s">
        <v>322</v>
      </c>
      <c r="G10" s="246">
        <v>2705.09</v>
      </c>
      <c r="H10" s="246" t="s">
        <v>323</v>
      </c>
      <c r="I10" s="246" t="s">
        <v>324</v>
      </c>
      <c r="J10" s="246" t="s">
        <v>325</v>
      </c>
      <c r="K10" s="247" t="s">
        <v>326</v>
      </c>
      <c r="L10" s="19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0" customHeight="1" x14ac:dyDescent="0.2">
      <c r="A11" s="15" t="s">
        <v>8</v>
      </c>
      <c r="B11" s="4"/>
      <c r="C11" s="4"/>
      <c r="D11" s="4"/>
      <c r="E11" s="245">
        <v>1977</v>
      </c>
      <c r="F11" s="246" t="s">
        <v>327</v>
      </c>
      <c r="G11" s="246">
        <v>2256.38</v>
      </c>
      <c r="H11" s="246" t="s">
        <v>328</v>
      </c>
      <c r="I11" s="246" t="s">
        <v>329</v>
      </c>
      <c r="J11" s="246" t="s">
        <v>325</v>
      </c>
      <c r="K11" s="247" t="s">
        <v>326</v>
      </c>
      <c r="L11" s="19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0" customHeight="1" x14ac:dyDescent="0.2">
      <c r="A12" s="15" t="s">
        <v>10</v>
      </c>
      <c r="B12" s="4"/>
      <c r="C12" s="4"/>
      <c r="D12" s="4"/>
      <c r="E12" s="245">
        <v>1977</v>
      </c>
      <c r="F12" s="246" t="s">
        <v>327</v>
      </c>
      <c r="G12" s="246">
        <v>3651.86</v>
      </c>
      <c r="H12" s="246" t="s">
        <v>330</v>
      </c>
      <c r="I12" s="246" t="s">
        <v>331</v>
      </c>
      <c r="J12" s="246" t="s">
        <v>332</v>
      </c>
      <c r="K12" s="247" t="s">
        <v>333</v>
      </c>
      <c r="L12" s="24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0" customHeight="1" x14ac:dyDescent="0.2">
      <c r="A13" s="11" t="s">
        <v>12</v>
      </c>
      <c r="B13" s="4"/>
      <c r="C13" s="4"/>
      <c r="D13" s="4"/>
      <c r="E13" s="245">
        <v>1978</v>
      </c>
      <c r="F13" s="246" t="s">
        <v>327</v>
      </c>
      <c r="G13" s="246">
        <v>3366.36</v>
      </c>
      <c r="H13" s="246" t="s">
        <v>334</v>
      </c>
      <c r="I13" s="246" t="s">
        <v>334</v>
      </c>
      <c r="J13" s="246" t="s">
        <v>335</v>
      </c>
      <c r="K13" s="247" t="s">
        <v>333</v>
      </c>
      <c r="L13" s="24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0" customHeight="1" x14ac:dyDescent="0.2">
      <c r="A14" s="15"/>
      <c r="B14" s="4"/>
      <c r="C14" s="4"/>
      <c r="D14" s="4"/>
      <c r="E14" s="245">
        <v>1979</v>
      </c>
      <c r="F14" s="246" t="s">
        <v>327</v>
      </c>
      <c r="G14" s="246">
        <v>2172.77</v>
      </c>
      <c r="H14" s="246" t="s">
        <v>336</v>
      </c>
      <c r="I14" s="246" t="s">
        <v>337</v>
      </c>
      <c r="J14" s="246" t="s">
        <v>338</v>
      </c>
      <c r="K14" s="247" t="s">
        <v>326</v>
      </c>
      <c r="L14" s="24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0" customHeight="1" x14ac:dyDescent="0.2">
      <c r="A15" s="11"/>
      <c r="B15" s="4"/>
      <c r="C15" s="4"/>
      <c r="D15" s="4"/>
      <c r="E15" s="245">
        <v>1979</v>
      </c>
      <c r="F15" s="246" t="s">
        <v>322</v>
      </c>
      <c r="G15" s="246">
        <v>2029.82</v>
      </c>
      <c r="H15" s="246" t="s">
        <v>339</v>
      </c>
      <c r="I15" s="246" t="s">
        <v>340</v>
      </c>
      <c r="J15" s="246" t="s">
        <v>341</v>
      </c>
      <c r="K15" s="247" t="s">
        <v>326</v>
      </c>
      <c r="L15" s="24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0" customHeight="1" x14ac:dyDescent="0.2">
      <c r="A16" s="15"/>
      <c r="B16" s="4"/>
      <c r="C16" s="4"/>
      <c r="D16" s="4"/>
      <c r="E16" s="245">
        <v>1980</v>
      </c>
      <c r="F16" s="246" t="s">
        <v>327</v>
      </c>
      <c r="G16" s="246">
        <v>1882.06</v>
      </c>
      <c r="H16" s="246" t="s">
        <v>342</v>
      </c>
      <c r="I16" s="246" t="s">
        <v>343</v>
      </c>
      <c r="J16" s="246" t="s">
        <v>325</v>
      </c>
      <c r="K16" s="247" t="s">
        <v>326</v>
      </c>
      <c r="L16" s="24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0" customHeight="1" x14ac:dyDescent="0.2">
      <c r="A17" s="15"/>
      <c r="B17" s="4"/>
      <c r="C17" s="4"/>
      <c r="D17" s="4"/>
      <c r="E17" s="245">
        <v>1980</v>
      </c>
      <c r="F17" s="246" t="s">
        <v>322</v>
      </c>
      <c r="G17" s="246">
        <v>2034.47</v>
      </c>
      <c r="H17" s="246" t="s">
        <v>328</v>
      </c>
      <c r="I17" s="246" t="s">
        <v>344</v>
      </c>
      <c r="J17" s="246" t="s">
        <v>325</v>
      </c>
      <c r="K17" s="247" t="s">
        <v>326</v>
      </c>
      <c r="L17" s="24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0" customHeight="1" x14ac:dyDescent="0.2">
      <c r="A18" s="15"/>
      <c r="B18" s="4"/>
      <c r="C18" s="4"/>
      <c r="D18" s="4"/>
      <c r="E18" s="245">
        <v>1981</v>
      </c>
      <c r="F18" s="246" t="s">
        <v>322</v>
      </c>
      <c r="G18" s="246">
        <v>2118.11</v>
      </c>
      <c r="H18" s="246" t="s">
        <v>345</v>
      </c>
      <c r="I18" s="246" t="s">
        <v>346</v>
      </c>
      <c r="J18" s="246" t="s">
        <v>325</v>
      </c>
      <c r="K18" s="247" t="s">
        <v>326</v>
      </c>
      <c r="L18" s="24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0" customHeight="1" x14ac:dyDescent="0.2">
      <c r="A19" s="15"/>
      <c r="B19" s="4"/>
      <c r="C19" s="4"/>
      <c r="D19" s="4"/>
      <c r="E19" s="245">
        <v>1981</v>
      </c>
      <c r="F19" s="246" t="s">
        <v>327</v>
      </c>
      <c r="G19" s="246">
        <v>2737</v>
      </c>
      <c r="H19" s="246" t="s">
        <v>336</v>
      </c>
      <c r="I19" s="246" t="s">
        <v>347</v>
      </c>
      <c r="J19" s="246" t="s">
        <v>338</v>
      </c>
      <c r="K19" s="247" t="s">
        <v>326</v>
      </c>
      <c r="L19" s="24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0" customHeight="1" x14ac:dyDescent="0.2">
      <c r="A20" s="15"/>
      <c r="B20" s="4"/>
      <c r="C20" s="4"/>
      <c r="D20" s="4"/>
      <c r="E20" s="245">
        <v>1981</v>
      </c>
      <c r="F20" s="246" t="s">
        <v>322</v>
      </c>
      <c r="G20" s="246">
        <v>1930.23</v>
      </c>
      <c r="H20" s="246" t="s">
        <v>348</v>
      </c>
      <c r="I20" s="246" t="s">
        <v>349</v>
      </c>
      <c r="J20" s="246" t="s">
        <v>350</v>
      </c>
      <c r="K20" s="247" t="s">
        <v>351</v>
      </c>
      <c r="L20" s="24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0" customHeight="1" x14ac:dyDescent="0.2">
      <c r="A21" s="15"/>
      <c r="B21" s="4"/>
      <c r="C21" s="4"/>
      <c r="D21" s="4"/>
      <c r="E21" s="245">
        <v>1981</v>
      </c>
      <c r="F21" s="246" t="s">
        <v>322</v>
      </c>
      <c r="G21" s="246">
        <v>3490.3599999999997</v>
      </c>
      <c r="H21" s="246" t="s">
        <v>336</v>
      </c>
      <c r="I21" s="246" t="s">
        <v>352</v>
      </c>
      <c r="J21" s="246" t="s">
        <v>338</v>
      </c>
      <c r="K21" s="247" t="s">
        <v>326</v>
      </c>
      <c r="L21" s="24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0" customHeight="1" x14ac:dyDescent="0.2">
      <c r="A22" s="15"/>
      <c r="B22" s="4"/>
      <c r="C22" s="4"/>
      <c r="D22" s="4"/>
      <c r="E22" s="245">
        <v>1982</v>
      </c>
      <c r="F22" s="246" t="s">
        <v>322</v>
      </c>
      <c r="G22" s="246">
        <v>3163.96</v>
      </c>
      <c r="H22" s="246" t="s">
        <v>323</v>
      </c>
      <c r="I22" s="246" t="s">
        <v>353</v>
      </c>
      <c r="J22" s="246" t="s">
        <v>325</v>
      </c>
      <c r="K22" s="247" t="s">
        <v>326</v>
      </c>
      <c r="L22" s="24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0" customHeight="1" x14ac:dyDescent="0.2">
      <c r="A23" s="15"/>
      <c r="B23" s="4"/>
      <c r="C23" s="4"/>
      <c r="D23" s="4"/>
      <c r="E23" s="245">
        <v>1982</v>
      </c>
      <c r="F23" s="246" t="s">
        <v>327</v>
      </c>
      <c r="G23" s="246">
        <v>3348.4800000000005</v>
      </c>
      <c r="H23" s="246" t="s">
        <v>339</v>
      </c>
      <c r="I23" s="246" t="s">
        <v>339</v>
      </c>
      <c r="J23" s="246" t="s">
        <v>341</v>
      </c>
      <c r="K23" s="247" t="s">
        <v>326</v>
      </c>
      <c r="L23" s="24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0" customHeight="1" x14ac:dyDescent="0.2">
      <c r="A24" s="15"/>
      <c r="B24" s="4"/>
      <c r="C24" s="4"/>
      <c r="D24" s="4"/>
      <c r="E24" s="245">
        <v>1982</v>
      </c>
      <c r="F24" s="246" t="s">
        <v>327</v>
      </c>
      <c r="G24" s="246">
        <v>2678.02</v>
      </c>
      <c r="H24" s="246" t="s">
        <v>354</v>
      </c>
      <c r="I24" s="246" t="s">
        <v>355</v>
      </c>
      <c r="J24" s="246" t="s">
        <v>325</v>
      </c>
      <c r="K24" s="247" t="s">
        <v>326</v>
      </c>
      <c r="L24" s="24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0" customHeight="1" x14ac:dyDescent="0.2">
      <c r="A25" s="15"/>
      <c r="B25" s="4"/>
      <c r="C25" s="4"/>
      <c r="D25" s="4"/>
      <c r="E25" s="245">
        <v>1983</v>
      </c>
      <c r="F25" s="246" t="s">
        <v>322</v>
      </c>
      <c r="G25" s="246">
        <v>2641.58</v>
      </c>
      <c r="H25" s="246" t="s">
        <v>356</v>
      </c>
      <c r="I25" s="246" t="s">
        <v>357</v>
      </c>
      <c r="J25" s="246" t="s">
        <v>335</v>
      </c>
      <c r="K25" s="247" t="s">
        <v>333</v>
      </c>
      <c r="L25" s="24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0" customHeight="1" x14ac:dyDescent="0.2">
      <c r="A26" s="15"/>
      <c r="B26" s="4"/>
      <c r="C26" s="4"/>
      <c r="D26" s="4"/>
      <c r="E26" s="245">
        <v>1983</v>
      </c>
      <c r="F26" s="246" t="s">
        <v>322</v>
      </c>
      <c r="G26" s="246">
        <v>2014.04</v>
      </c>
      <c r="H26" s="246" t="s">
        <v>358</v>
      </c>
      <c r="I26" s="246" t="s">
        <v>359</v>
      </c>
      <c r="J26" s="246" t="s">
        <v>360</v>
      </c>
      <c r="K26" s="247" t="s">
        <v>351</v>
      </c>
      <c r="L26" s="24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0" customHeight="1" x14ac:dyDescent="0.2">
      <c r="A27" s="15"/>
      <c r="B27" s="4"/>
      <c r="C27" s="4"/>
      <c r="D27" s="4"/>
      <c r="E27" s="245">
        <v>1983</v>
      </c>
      <c r="F27" s="246" t="s">
        <v>322</v>
      </c>
      <c r="G27" s="246">
        <v>2994.8599999999997</v>
      </c>
      <c r="H27" s="246" t="s">
        <v>358</v>
      </c>
      <c r="I27" s="246" t="s">
        <v>361</v>
      </c>
      <c r="J27" s="246" t="s">
        <v>360</v>
      </c>
      <c r="K27" s="247" t="s">
        <v>351</v>
      </c>
      <c r="L27" s="24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0" customHeight="1" x14ac:dyDescent="0.2">
      <c r="A28" s="15"/>
      <c r="B28" s="4"/>
      <c r="C28" s="4"/>
      <c r="D28" s="4"/>
      <c r="E28" s="245">
        <v>1984</v>
      </c>
      <c r="F28" s="246" t="s">
        <v>322</v>
      </c>
      <c r="G28" s="246">
        <v>3469.0099999999998</v>
      </c>
      <c r="H28" s="246" t="s">
        <v>323</v>
      </c>
      <c r="I28" s="246" t="s">
        <v>362</v>
      </c>
      <c r="J28" s="246" t="s">
        <v>325</v>
      </c>
      <c r="K28" s="247" t="s">
        <v>326</v>
      </c>
      <c r="L28" s="24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0" customHeight="1" x14ac:dyDescent="0.2">
      <c r="A29" s="15"/>
      <c r="B29" s="4"/>
      <c r="C29" s="4"/>
      <c r="D29" s="4"/>
      <c r="E29" s="245">
        <v>1985</v>
      </c>
      <c r="F29" s="246" t="s">
        <v>322</v>
      </c>
      <c r="G29" s="246">
        <v>4877.2299999999996</v>
      </c>
      <c r="H29" s="246" t="s">
        <v>363</v>
      </c>
      <c r="I29" s="246" t="s">
        <v>364</v>
      </c>
      <c r="J29" s="246" t="s">
        <v>365</v>
      </c>
      <c r="K29" s="247" t="s">
        <v>366</v>
      </c>
      <c r="L29" s="24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0" customHeight="1" x14ac:dyDescent="0.2">
      <c r="A30" s="15"/>
      <c r="B30" s="4"/>
      <c r="C30" s="4"/>
      <c r="D30" s="4"/>
      <c r="E30" s="245">
        <v>1985</v>
      </c>
      <c r="F30" s="246" t="s">
        <v>327</v>
      </c>
      <c r="G30" s="246">
        <v>3095</v>
      </c>
      <c r="H30" s="246" t="s">
        <v>336</v>
      </c>
      <c r="I30" s="246" t="s">
        <v>367</v>
      </c>
      <c r="J30" s="246" t="s">
        <v>338</v>
      </c>
      <c r="K30" s="247" t="s">
        <v>326</v>
      </c>
      <c r="L30" s="24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0" customHeight="1" x14ac:dyDescent="0.2">
      <c r="A31" s="15"/>
      <c r="B31" s="4"/>
      <c r="C31" s="4"/>
      <c r="D31" s="4"/>
      <c r="E31" s="245">
        <v>1985</v>
      </c>
      <c r="F31" s="246" t="s">
        <v>327</v>
      </c>
      <c r="G31" s="246">
        <v>3356.9300000000003</v>
      </c>
      <c r="H31" s="246" t="s">
        <v>336</v>
      </c>
      <c r="I31" s="246" t="s">
        <v>368</v>
      </c>
      <c r="J31" s="246" t="s">
        <v>338</v>
      </c>
      <c r="K31" s="247" t="s">
        <v>326</v>
      </c>
      <c r="L31" s="24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0" customHeight="1" x14ac:dyDescent="0.2">
      <c r="A32" s="15"/>
      <c r="B32" s="4"/>
      <c r="C32" s="4"/>
      <c r="D32" s="4"/>
      <c r="E32" s="245">
        <v>1985</v>
      </c>
      <c r="F32" s="246" t="s">
        <v>322</v>
      </c>
      <c r="G32" s="246">
        <v>4305.25</v>
      </c>
      <c r="H32" s="246" t="s">
        <v>363</v>
      </c>
      <c r="I32" s="246" t="s">
        <v>369</v>
      </c>
      <c r="J32" s="246" t="s">
        <v>365</v>
      </c>
      <c r="K32" s="247" t="s">
        <v>366</v>
      </c>
      <c r="L32" s="24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0" customHeight="1" x14ac:dyDescent="0.2">
      <c r="A33" s="15"/>
      <c r="B33" s="4"/>
      <c r="C33" s="4"/>
      <c r="D33" s="4"/>
      <c r="E33" s="245">
        <v>1986</v>
      </c>
      <c r="F33" s="246" t="s">
        <v>322</v>
      </c>
      <c r="G33" s="246">
        <v>3142.94</v>
      </c>
      <c r="H33" s="246" t="s">
        <v>370</v>
      </c>
      <c r="I33" s="246" t="s">
        <v>371</v>
      </c>
      <c r="J33" s="246" t="s">
        <v>372</v>
      </c>
      <c r="K33" s="247" t="s">
        <v>366</v>
      </c>
      <c r="L33" s="24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0" customHeight="1" x14ac:dyDescent="0.2">
      <c r="A34" s="15"/>
      <c r="B34" s="4"/>
      <c r="C34" s="4"/>
      <c r="D34" s="4"/>
      <c r="E34" s="245">
        <v>1986</v>
      </c>
      <c r="F34" s="246" t="s">
        <v>322</v>
      </c>
      <c r="G34" s="246">
        <v>2953</v>
      </c>
      <c r="H34" s="246" t="s">
        <v>373</v>
      </c>
      <c r="I34" s="246" t="s">
        <v>374</v>
      </c>
      <c r="J34" s="246" t="s">
        <v>338</v>
      </c>
      <c r="K34" s="247" t="s">
        <v>326</v>
      </c>
      <c r="L34" s="24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0" customHeight="1" x14ac:dyDescent="0.2">
      <c r="A35" s="15"/>
      <c r="B35" s="4"/>
      <c r="C35" s="4"/>
      <c r="D35" s="4"/>
      <c r="E35" s="245">
        <v>1987</v>
      </c>
      <c r="F35" s="246" t="s">
        <v>322</v>
      </c>
      <c r="G35" s="246">
        <v>2013.66</v>
      </c>
      <c r="H35" s="246" t="s">
        <v>375</v>
      </c>
      <c r="I35" s="246" t="s">
        <v>376</v>
      </c>
      <c r="J35" s="246" t="s">
        <v>325</v>
      </c>
      <c r="K35" s="247" t="s">
        <v>326</v>
      </c>
      <c r="L35" s="24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0" customHeight="1" x14ac:dyDescent="0.2">
      <c r="A36" s="15"/>
      <c r="B36" s="4"/>
      <c r="C36" s="4"/>
      <c r="D36" s="4"/>
      <c r="E36" s="245">
        <v>1987</v>
      </c>
      <c r="F36" s="246" t="s">
        <v>327</v>
      </c>
      <c r="G36" s="246">
        <v>3379.15</v>
      </c>
      <c r="H36" s="246" t="s">
        <v>370</v>
      </c>
      <c r="I36" s="246" t="s">
        <v>377</v>
      </c>
      <c r="J36" s="246" t="s">
        <v>372</v>
      </c>
      <c r="K36" s="247" t="s">
        <v>366</v>
      </c>
      <c r="L36" s="248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0" customHeight="1" x14ac:dyDescent="0.2">
      <c r="A37" s="15"/>
      <c r="B37" s="4"/>
      <c r="C37" s="4"/>
      <c r="D37" s="4"/>
      <c r="E37" s="245">
        <v>1987</v>
      </c>
      <c r="F37" s="246" t="s">
        <v>322</v>
      </c>
      <c r="G37" s="246">
        <v>1786.98</v>
      </c>
      <c r="H37" s="246" t="s">
        <v>363</v>
      </c>
      <c r="I37" s="246" t="s">
        <v>378</v>
      </c>
      <c r="J37" s="246" t="s">
        <v>365</v>
      </c>
      <c r="K37" s="247" t="s">
        <v>366</v>
      </c>
      <c r="L37" s="248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0" customHeight="1" x14ac:dyDescent="0.2">
      <c r="A38" s="15"/>
      <c r="B38" s="4"/>
      <c r="C38" s="4"/>
      <c r="D38" s="4"/>
      <c r="E38" s="245">
        <v>1988</v>
      </c>
      <c r="F38" s="246" t="s">
        <v>322</v>
      </c>
      <c r="G38" s="246">
        <v>1638.87</v>
      </c>
      <c r="H38" s="246" t="s">
        <v>323</v>
      </c>
      <c r="I38" s="246" t="s">
        <v>379</v>
      </c>
      <c r="J38" s="246" t="s">
        <v>325</v>
      </c>
      <c r="K38" s="247" t="s">
        <v>326</v>
      </c>
      <c r="L38" s="24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0" customHeight="1" x14ac:dyDescent="0.2">
      <c r="A39" s="15"/>
      <c r="B39" s="4"/>
      <c r="C39" s="4"/>
      <c r="D39" s="4"/>
      <c r="E39" s="245">
        <v>1988</v>
      </c>
      <c r="F39" s="246" t="s">
        <v>327</v>
      </c>
      <c r="G39" s="246">
        <v>2423.5500000000002</v>
      </c>
      <c r="H39" s="246" t="s">
        <v>380</v>
      </c>
      <c r="I39" s="246" t="s">
        <v>381</v>
      </c>
      <c r="J39" s="246" t="s">
        <v>325</v>
      </c>
      <c r="K39" s="247" t="s">
        <v>326</v>
      </c>
      <c r="L39" s="248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0" customHeight="1" x14ac:dyDescent="0.2">
      <c r="A40" s="15"/>
      <c r="B40" s="4"/>
      <c r="C40" s="4"/>
      <c r="D40" s="4"/>
      <c r="E40" s="245">
        <v>1988</v>
      </c>
      <c r="F40" s="246" t="s">
        <v>322</v>
      </c>
      <c r="G40" s="246">
        <v>2908.11</v>
      </c>
      <c r="H40" s="246" t="s">
        <v>323</v>
      </c>
      <c r="I40" s="246" t="s">
        <v>382</v>
      </c>
      <c r="J40" s="246" t="s">
        <v>325</v>
      </c>
      <c r="K40" s="247" t="s">
        <v>326</v>
      </c>
      <c r="L40" s="248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0" customHeight="1" x14ac:dyDescent="0.2">
      <c r="A41" s="15"/>
      <c r="B41" s="4"/>
      <c r="C41" s="4"/>
      <c r="D41" s="4"/>
      <c r="E41" s="245">
        <v>1989</v>
      </c>
      <c r="F41" s="246" t="s">
        <v>322</v>
      </c>
      <c r="G41" s="246">
        <v>3219.17</v>
      </c>
      <c r="H41" s="246" t="s">
        <v>336</v>
      </c>
      <c r="I41" s="246" t="s">
        <v>383</v>
      </c>
      <c r="J41" s="246" t="s">
        <v>338</v>
      </c>
      <c r="K41" s="247" t="s">
        <v>326</v>
      </c>
      <c r="L41" s="248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0" customHeight="1" x14ac:dyDescent="0.2">
      <c r="A42" s="15"/>
      <c r="B42" s="4"/>
      <c r="C42" s="4"/>
      <c r="D42" s="4"/>
      <c r="E42" s="245">
        <v>1989</v>
      </c>
      <c r="F42" s="246" t="s">
        <v>322</v>
      </c>
      <c r="G42" s="246">
        <v>2830.71</v>
      </c>
      <c r="H42" s="246" t="s">
        <v>384</v>
      </c>
      <c r="I42" s="246" t="s">
        <v>385</v>
      </c>
      <c r="J42" s="246" t="s">
        <v>386</v>
      </c>
      <c r="K42" s="247" t="s">
        <v>366</v>
      </c>
      <c r="L42" s="24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0" customHeight="1" x14ac:dyDescent="0.2">
      <c r="A43" s="15"/>
      <c r="B43" s="4"/>
      <c r="C43" s="4"/>
      <c r="D43" s="4"/>
      <c r="E43" s="245">
        <v>1989</v>
      </c>
      <c r="F43" s="246" t="s">
        <v>322</v>
      </c>
      <c r="G43" s="246">
        <v>1777.71</v>
      </c>
      <c r="H43" s="246" t="s">
        <v>387</v>
      </c>
      <c r="I43" s="246" t="s">
        <v>388</v>
      </c>
      <c r="J43" s="246" t="s">
        <v>325</v>
      </c>
      <c r="K43" s="247" t="s">
        <v>326</v>
      </c>
      <c r="L43" s="248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0" customHeight="1" x14ac:dyDescent="0.2">
      <c r="A44" s="15"/>
      <c r="B44" s="4"/>
      <c r="C44" s="4"/>
      <c r="D44" s="4"/>
      <c r="E44" s="245">
        <v>1991</v>
      </c>
      <c r="F44" s="246" t="s">
        <v>322</v>
      </c>
      <c r="G44" s="246">
        <v>2014.56</v>
      </c>
      <c r="H44" s="246" t="s">
        <v>336</v>
      </c>
      <c r="I44" s="246" t="s">
        <v>389</v>
      </c>
      <c r="J44" s="246" t="s">
        <v>338</v>
      </c>
      <c r="K44" s="247" t="s">
        <v>326</v>
      </c>
      <c r="L44" s="248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0" customHeight="1" x14ac:dyDescent="0.2">
      <c r="A45" s="15"/>
      <c r="B45" s="4"/>
      <c r="C45" s="4"/>
      <c r="D45" s="4"/>
      <c r="E45" s="245">
        <v>1991</v>
      </c>
      <c r="F45" s="246" t="s">
        <v>322</v>
      </c>
      <c r="G45" s="246">
        <v>2006.15</v>
      </c>
      <c r="H45" s="246" t="s">
        <v>323</v>
      </c>
      <c r="I45" s="246" t="s">
        <v>390</v>
      </c>
      <c r="J45" s="246" t="s">
        <v>325</v>
      </c>
      <c r="K45" s="247" t="s">
        <v>326</v>
      </c>
      <c r="L45" s="248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0" customHeight="1" x14ac:dyDescent="0.2">
      <c r="A46" s="15"/>
      <c r="B46" s="4"/>
      <c r="C46" s="4"/>
      <c r="D46" s="4"/>
      <c r="E46" s="245">
        <v>1991</v>
      </c>
      <c r="F46" s="246" t="s">
        <v>322</v>
      </c>
      <c r="G46" s="246">
        <v>2603.0300000000002</v>
      </c>
      <c r="H46" s="246" t="s">
        <v>323</v>
      </c>
      <c r="I46" s="246" t="s">
        <v>391</v>
      </c>
      <c r="J46" s="246" t="s">
        <v>325</v>
      </c>
      <c r="K46" s="247" t="s">
        <v>326</v>
      </c>
      <c r="L46" s="24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0" customHeight="1" x14ac:dyDescent="0.2">
      <c r="A47" s="15"/>
      <c r="B47" s="4"/>
      <c r="C47" s="4"/>
      <c r="D47" s="4"/>
      <c r="E47" s="245">
        <v>1991</v>
      </c>
      <c r="F47" s="246" t="s">
        <v>322</v>
      </c>
      <c r="G47" s="246">
        <v>3077.2</v>
      </c>
      <c r="H47" s="246" t="s">
        <v>339</v>
      </c>
      <c r="I47" s="246" t="s">
        <v>392</v>
      </c>
      <c r="J47" s="246" t="s">
        <v>341</v>
      </c>
      <c r="K47" s="247" t="s">
        <v>326</v>
      </c>
      <c r="L47" s="248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0" customHeight="1" x14ac:dyDescent="0.2">
      <c r="A48" s="15"/>
      <c r="B48" s="4"/>
      <c r="C48" s="4"/>
      <c r="D48" s="4"/>
      <c r="E48" s="245">
        <v>1991</v>
      </c>
      <c r="F48" s="246" t="s">
        <v>322</v>
      </c>
      <c r="G48" s="246">
        <v>1685.49</v>
      </c>
      <c r="H48" s="246" t="s">
        <v>339</v>
      </c>
      <c r="I48" s="246" t="s">
        <v>393</v>
      </c>
      <c r="J48" s="246" t="s">
        <v>341</v>
      </c>
      <c r="K48" s="247" t="s">
        <v>326</v>
      </c>
      <c r="L48" s="24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0" customHeight="1" x14ac:dyDescent="0.2">
      <c r="A49" s="15"/>
      <c r="B49" s="4"/>
      <c r="C49" s="4"/>
      <c r="D49" s="4"/>
      <c r="E49" s="245">
        <v>1993</v>
      </c>
      <c r="F49" s="246" t="s">
        <v>322</v>
      </c>
      <c r="G49" s="246">
        <v>2330.62</v>
      </c>
      <c r="H49" s="246" t="s">
        <v>394</v>
      </c>
      <c r="I49" s="246" t="s">
        <v>395</v>
      </c>
      <c r="J49" s="246" t="s">
        <v>396</v>
      </c>
      <c r="K49" s="247" t="s">
        <v>326</v>
      </c>
      <c r="L49" s="24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0" customHeight="1" x14ac:dyDescent="0.2">
      <c r="A50" s="15"/>
      <c r="B50" s="4"/>
      <c r="C50" s="4"/>
      <c r="D50" s="4"/>
      <c r="E50" s="245">
        <v>1993</v>
      </c>
      <c r="F50" s="246" t="s">
        <v>322</v>
      </c>
      <c r="G50" s="246">
        <v>3603.89</v>
      </c>
      <c r="H50" s="246" t="s">
        <v>397</v>
      </c>
      <c r="I50" s="246" t="s">
        <v>398</v>
      </c>
      <c r="J50" s="246" t="s">
        <v>399</v>
      </c>
      <c r="K50" s="247" t="s">
        <v>400</v>
      </c>
      <c r="L50" s="24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0" customHeight="1" x14ac:dyDescent="0.2">
      <c r="A51" s="15"/>
      <c r="B51" s="4"/>
      <c r="C51" s="4"/>
      <c r="D51" s="4"/>
      <c r="E51" s="245">
        <v>1993</v>
      </c>
      <c r="F51" s="246" t="s">
        <v>322</v>
      </c>
      <c r="G51" s="246">
        <v>2050.02</v>
      </c>
      <c r="H51" s="246" t="s">
        <v>334</v>
      </c>
      <c r="I51" s="246" t="s">
        <v>401</v>
      </c>
      <c r="J51" s="246" t="s">
        <v>335</v>
      </c>
      <c r="K51" s="247" t="s">
        <v>333</v>
      </c>
      <c r="L51" s="24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0" customHeight="1" x14ac:dyDescent="0.2">
      <c r="A52" s="15"/>
      <c r="B52" s="4"/>
      <c r="C52" s="4"/>
      <c r="D52" s="4"/>
      <c r="E52" s="245">
        <v>1994</v>
      </c>
      <c r="F52" s="246" t="s">
        <v>322</v>
      </c>
      <c r="G52" s="246">
        <v>2226.27</v>
      </c>
      <c r="H52" s="246" t="s">
        <v>323</v>
      </c>
      <c r="I52" s="246" t="s">
        <v>402</v>
      </c>
      <c r="J52" s="246" t="s">
        <v>325</v>
      </c>
      <c r="K52" s="247" t="s">
        <v>326</v>
      </c>
      <c r="L52" s="24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0" customHeight="1" x14ac:dyDescent="0.2">
      <c r="A53" s="15"/>
      <c r="B53" s="4"/>
      <c r="C53" s="4"/>
      <c r="D53" s="4"/>
      <c r="E53" s="245">
        <v>1994</v>
      </c>
      <c r="F53" s="246" t="s">
        <v>327</v>
      </c>
      <c r="G53" s="246">
        <v>2393.83</v>
      </c>
      <c r="H53" s="246" t="s">
        <v>403</v>
      </c>
      <c r="I53" s="246" t="s">
        <v>404</v>
      </c>
      <c r="J53" s="246" t="s">
        <v>338</v>
      </c>
      <c r="K53" s="247" t="s">
        <v>326</v>
      </c>
      <c r="L53" s="24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0" customHeight="1" x14ac:dyDescent="0.2">
      <c r="A54" s="15"/>
      <c r="B54" s="4"/>
      <c r="C54" s="4"/>
      <c r="D54" s="4"/>
      <c r="E54" s="245">
        <v>1995</v>
      </c>
      <c r="F54" s="246" t="s">
        <v>327</v>
      </c>
      <c r="G54" s="246">
        <v>2006.53</v>
      </c>
      <c r="H54" s="246" t="s">
        <v>323</v>
      </c>
      <c r="I54" s="246" t="s">
        <v>405</v>
      </c>
      <c r="J54" s="246" t="s">
        <v>325</v>
      </c>
      <c r="K54" s="247" t="s">
        <v>326</v>
      </c>
      <c r="L54" s="24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0" customHeight="1" x14ac:dyDescent="0.2">
      <c r="A55" s="15"/>
      <c r="B55" s="4"/>
      <c r="C55" s="4"/>
      <c r="D55" s="4"/>
      <c r="E55" s="245">
        <v>1995</v>
      </c>
      <c r="F55" s="246" t="s">
        <v>327</v>
      </c>
      <c r="G55" s="246">
        <v>2050.5100000000002</v>
      </c>
      <c r="H55" s="246" t="s">
        <v>406</v>
      </c>
      <c r="I55" s="246" t="s">
        <v>407</v>
      </c>
      <c r="J55" s="246" t="s">
        <v>408</v>
      </c>
      <c r="K55" s="247" t="s">
        <v>366</v>
      </c>
      <c r="L55" s="24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0" customHeight="1" x14ac:dyDescent="0.2">
      <c r="A56" s="15"/>
      <c r="B56" s="4"/>
      <c r="C56" s="4"/>
      <c r="D56" s="4"/>
      <c r="E56" s="245">
        <v>1995</v>
      </c>
      <c r="F56" s="246" t="s">
        <v>327</v>
      </c>
      <c r="G56" s="246">
        <v>2616.4299999999998</v>
      </c>
      <c r="H56" s="246" t="s">
        <v>409</v>
      </c>
      <c r="I56" s="246" t="s">
        <v>409</v>
      </c>
      <c r="J56" s="246" t="s">
        <v>338</v>
      </c>
      <c r="K56" s="247" t="s">
        <v>326</v>
      </c>
      <c r="L56" s="24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0" customHeight="1" x14ac:dyDescent="0.2">
      <c r="A57" s="15"/>
      <c r="B57" s="4"/>
      <c r="C57" s="4"/>
      <c r="D57" s="4"/>
      <c r="E57" s="245">
        <v>1995</v>
      </c>
      <c r="F57" s="246" t="s">
        <v>322</v>
      </c>
      <c r="G57" s="246">
        <v>2855.02</v>
      </c>
      <c r="H57" s="246" t="s">
        <v>406</v>
      </c>
      <c r="I57" s="246" t="s">
        <v>410</v>
      </c>
      <c r="J57" s="246" t="s">
        <v>408</v>
      </c>
      <c r="K57" s="247" t="s">
        <v>366</v>
      </c>
      <c r="L57" s="248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0" customHeight="1" x14ac:dyDescent="0.2">
      <c r="A58" s="15"/>
      <c r="B58" s="4"/>
      <c r="C58" s="4"/>
      <c r="D58" s="4"/>
      <c r="E58" s="245">
        <v>1996</v>
      </c>
      <c r="F58" s="246" t="s">
        <v>322</v>
      </c>
      <c r="G58" s="246">
        <v>2250.3000000000002</v>
      </c>
      <c r="H58" s="246" t="s">
        <v>330</v>
      </c>
      <c r="I58" s="246" t="s">
        <v>411</v>
      </c>
      <c r="J58" s="246" t="s">
        <v>332</v>
      </c>
      <c r="K58" s="247" t="s">
        <v>333</v>
      </c>
      <c r="L58" s="24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0" customHeight="1" x14ac:dyDescent="0.2">
      <c r="A59" s="15"/>
      <c r="B59" s="4"/>
      <c r="C59" s="4"/>
      <c r="D59" s="4"/>
      <c r="E59" s="245">
        <v>1997</v>
      </c>
      <c r="F59" s="246" t="s">
        <v>322</v>
      </c>
      <c r="G59" s="246">
        <v>2039.78</v>
      </c>
      <c r="H59" s="246" t="s">
        <v>370</v>
      </c>
      <c r="I59" s="246" t="s">
        <v>412</v>
      </c>
      <c r="J59" s="246" t="s">
        <v>372</v>
      </c>
      <c r="K59" s="247" t="s">
        <v>366</v>
      </c>
      <c r="L59" s="248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0" customHeight="1" x14ac:dyDescent="0.2">
      <c r="A60" s="15"/>
      <c r="B60" s="4"/>
      <c r="C60" s="4"/>
      <c r="D60" s="4"/>
      <c r="E60" s="245">
        <v>1997</v>
      </c>
      <c r="F60" s="246" t="s">
        <v>322</v>
      </c>
      <c r="G60" s="246">
        <v>1687.3</v>
      </c>
      <c r="H60" s="246" t="s">
        <v>342</v>
      </c>
      <c r="I60" s="246" t="s">
        <v>413</v>
      </c>
      <c r="J60" s="246" t="s">
        <v>325</v>
      </c>
      <c r="K60" s="247" t="s">
        <v>326</v>
      </c>
      <c r="L60" s="248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0" customHeight="1" x14ac:dyDescent="0.2">
      <c r="A61" s="15"/>
      <c r="B61" s="4"/>
      <c r="C61" s="4"/>
      <c r="D61" s="4"/>
      <c r="E61" s="245">
        <v>1997</v>
      </c>
      <c r="F61" s="246" t="s">
        <v>327</v>
      </c>
      <c r="G61" s="246">
        <v>1642.8</v>
      </c>
      <c r="H61" s="246" t="s">
        <v>414</v>
      </c>
      <c r="I61" s="246" t="s">
        <v>415</v>
      </c>
      <c r="J61" s="246" t="s">
        <v>335</v>
      </c>
      <c r="K61" s="247" t="s">
        <v>333</v>
      </c>
      <c r="L61" s="248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0" customHeight="1" x14ac:dyDescent="0.2">
      <c r="A62" s="15"/>
      <c r="B62" s="4"/>
      <c r="C62" s="4"/>
      <c r="D62" s="4"/>
      <c r="E62" s="245">
        <v>1997</v>
      </c>
      <c r="F62" s="246" t="s">
        <v>322</v>
      </c>
      <c r="G62" s="246">
        <v>2368.1400000000003</v>
      </c>
      <c r="H62" s="246" t="s">
        <v>323</v>
      </c>
      <c r="I62" s="246" t="s">
        <v>416</v>
      </c>
      <c r="J62" s="246" t="s">
        <v>325</v>
      </c>
      <c r="K62" s="247" t="s">
        <v>326</v>
      </c>
      <c r="L62" s="24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0" customHeight="1" x14ac:dyDescent="0.2">
      <c r="A63" s="15"/>
      <c r="B63" s="4"/>
      <c r="C63" s="4"/>
      <c r="D63" s="4"/>
      <c r="E63" s="245">
        <v>1997</v>
      </c>
      <c r="F63" s="246" t="s">
        <v>322</v>
      </c>
      <c r="G63" s="246">
        <v>2044.1</v>
      </c>
      <c r="H63" s="246" t="s">
        <v>358</v>
      </c>
      <c r="I63" s="246" t="s">
        <v>417</v>
      </c>
      <c r="J63" s="246" t="s">
        <v>360</v>
      </c>
      <c r="K63" s="247" t="s">
        <v>351</v>
      </c>
      <c r="L63" s="248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0" customHeight="1" x14ac:dyDescent="0.2">
      <c r="A64" s="15"/>
      <c r="B64" s="4"/>
      <c r="C64" s="4"/>
      <c r="D64" s="4"/>
      <c r="E64" s="245">
        <v>1998</v>
      </c>
      <c r="F64" s="246" t="s">
        <v>322</v>
      </c>
      <c r="G64" s="246">
        <v>1996.92</v>
      </c>
      <c r="H64" s="246" t="s">
        <v>418</v>
      </c>
      <c r="I64" s="246" t="s">
        <v>419</v>
      </c>
      <c r="J64" s="246" t="s">
        <v>335</v>
      </c>
      <c r="K64" s="247" t="s">
        <v>333</v>
      </c>
      <c r="L64" s="248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0" customHeight="1" x14ac:dyDescent="0.2">
      <c r="A65" s="15"/>
      <c r="B65" s="4"/>
      <c r="C65" s="4"/>
      <c r="D65" s="4"/>
      <c r="E65" s="245">
        <v>1998</v>
      </c>
      <c r="F65" s="246" t="s">
        <v>327</v>
      </c>
      <c r="G65" s="246">
        <v>2297.79</v>
      </c>
      <c r="H65" s="246" t="s">
        <v>420</v>
      </c>
      <c r="I65" s="246" t="s">
        <v>421</v>
      </c>
      <c r="J65" s="246" t="s">
        <v>422</v>
      </c>
      <c r="K65" s="247" t="s">
        <v>366</v>
      </c>
      <c r="L65" s="248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0" customHeight="1" x14ac:dyDescent="0.2">
      <c r="A66" s="15"/>
      <c r="B66" s="4"/>
      <c r="C66" s="4"/>
      <c r="D66" s="4"/>
      <c r="E66" s="245">
        <v>1998</v>
      </c>
      <c r="F66" s="246" t="s">
        <v>322</v>
      </c>
      <c r="G66" s="246">
        <v>1997.91</v>
      </c>
      <c r="H66" s="246" t="s">
        <v>342</v>
      </c>
      <c r="I66" s="246" t="s">
        <v>423</v>
      </c>
      <c r="J66" s="246" t="s">
        <v>325</v>
      </c>
      <c r="K66" s="247" t="s">
        <v>326</v>
      </c>
      <c r="L66" s="248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0" customHeight="1" x14ac:dyDescent="0.2">
      <c r="A67" s="15"/>
      <c r="B67" s="4"/>
      <c r="C67" s="4"/>
      <c r="D67" s="4"/>
      <c r="E67" s="245">
        <v>1998</v>
      </c>
      <c r="F67" s="246" t="s">
        <v>322</v>
      </c>
      <c r="G67" s="246">
        <v>1843.66</v>
      </c>
      <c r="H67" s="246" t="s">
        <v>424</v>
      </c>
      <c r="I67" s="246" t="s">
        <v>425</v>
      </c>
      <c r="J67" s="246" t="s">
        <v>426</v>
      </c>
      <c r="K67" s="247" t="s">
        <v>366</v>
      </c>
      <c r="L67" s="248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0" customHeight="1" x14ac:dyDescent="0.2">
      <c r="A68" s="15"/>
      <c r="B68" s="4"/>
      <c r="C68" s="4"/>
      <c r="D68" s="4"/>
      <c r="E68" s="245">
        <v>1998</v>
      </c>
      <c r="F68" s="246" t="s">
        <v>322</v>
      </c>
      <c r="G68" s="246">
        <v>1979.0700000000002</v>
      </c>
      <c r="H68" s="246" t="s">
        <v>427</v>
      </c>
      <c r="I68" s="246" t="s">
        <v>428</v>
      </c>
      <c r="J68" s="246" t="s">
        <v>325</v>
      </c>
      <c r="K68" s="247" t="s">
        <v>326</v>
      </c>
      <c r="L68" s="248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0" customHeight="1" x14ac:dyDescent="0.2">
      <c r="A69" s="15"/>
      <c r="B69" s="4"/>
      <c r="C69" s="4"/>
      <c r="D69" s="4"/>
      <c r="E69" s="245">
        <v>1999</v>
      </c>
      <c r="F69" s="246" t="s">
        <v>322</v>
      </c>
      <c r="G69" s="246">
        <v>1654.69</v>
      </c>
      <c r="H69" s="246" t="s">
        <v>323</v>
      </c>
      <c r="I69" s="246" t="s">
        <v>429</v>
      </c>
      <c r="J69" s="246" t="s">
        <v>325</v>
      </c>
      <c r="K69" s="247" t="s">
        <v>326</v>
      </c>
      <c r="L69" s="248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0" customHeight="1" x14ac:dyDescent="0.2">
      <c r="A70" s="15"/>
      <c r="B70" s="4"/>
      <c r="C70" s="4"/>
      <c r="D70" s="4"/>
      <c r="E70" s="245">
        <v>2000</v>
      </c>
      <c r="F70" s="246" t="s">
        <v>322</v>
      </c>
      <c r="G70" s="246">
        <v>1992.6</v>
      </c>
      <c r="H70" s="246" t="s">
        <v>348</v>
      </c>
      <c r="I70" s="246" t="s">
        <v>430</v>
      </c>
      <c r="J70" s="246" t="s">
        <v>350</v>
      </c>
      <c r="K70" s="247" t="s">
        <v>351</v>
      </c>
      <c r="L70" s="248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0" customHeight="1" x14ac:dyDescent="0.2">
      <c r="A71" s="15"/>
      <c r="B71" s="4"/>
      <c r="C71" s="4"/>
      <c r="D71" s="4"/>
      <c r="E71" s="245">
        <v>2000</v>
      </c>
      <c r="F71" s="246" t="s">
        <v>327</v>
      </c>
      <c r="G71" s="246">
        <v>2693.6899999999996</v>
      </c>
      <c r="H71" s="246" t="s">
        <v>431</v>
      </c>
      <c r="I71" s="246" t="s">
        <v>432</v>
      </c>
      <c r="J71" s="246" t="s">
        <v>433</v>
      </c>
      <c r="K71" s="247" t="s">
        <v>366</v>
      </c>
      <c r="L71" s="248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0" customHeight="1" x14ac:dyDescent="0.2">
      <c r="A72" s="15"/>
      <c r="B72" s="4"/>
      <c r="C72" s="4"/>
      <c r="D72" s="4"/>
      <c r="E72" s="245">
        <v>2000</v>
      </c>
      <c r="F72" s="246" t="s">
        <v>322</v>
      </c>
      <c r="G72" s="246">
        <v>2040.23</v>
      </c>
      <c r="H72" s="246" t="s">
        <v>434</v>
      </c>
      <c r="I72" s="246" t="s">
        <v>435</v>
      </c>
      <c r="J72" s="246" t="s">
        <v>365</v>
      </c>
      <c r="K72" s="247" t="s">
        <v>366</v>
      </c>
      <c r="L72" s="248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0" customHeight="1" x14ac:dyDescent="0.2">
      <c r="A73" s="15"/>
      <c r="B73" s="4"/>
      <c r="C73" s="4"/>
      <c r="D73" s="4"/>
      <c r="E73" s="245">
        <v>2000</v>
      </c>
      <c r="F73" s="246" t="s">
        <v>322</v>
      </c>
      <c r="G73" s="246">
        <v>1221</v>
      </c>
      <c r="H73" s="246" t="s">
        <v>330</v>
      </c>
      <c r="I73" s="246" t="s">
        <v>436</v>
      </c>
      <c r="J73" s="246" t="s">
        <v>332</v>
      </c>
      <c r="K73" s="247" t="s">
        <v>333</v>
      </c>
      <c r="L73" s="248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0" customHeight="1" x14ac:dyDescent="0.2">
      <c r="A74" s="15"/>
      <c r="B74" s="4"/>
      <c r="C74" s="4"/>
      <c r="D74" s="4"/>
      <c r="E74" s="245">
        <v>2000</v>
      </c>
      <c r="F74" s="246" t="s">
        <v>322</v>
      </c>
      <c r="G74" s="246">
        <v>1828.13</v>
      </c>
      <c r="H74" s="246" t="s">
        <v>358</v>
      </c>
      <c r="I74" s="246" t="s">
        <v>437</v>
      </c>
      <c r="J74" s="246" t="s">
        <v>360</v>
      </c>
      <c r="K74" s="247" t="s">
        <v>351</v>
      </c>
      <c r="L74" s="24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0" customHeight="1" x14ac:dyDescent="0.2">
      <c r="A75" s="15"/>
      <c r="B75" s="4"/>
      <c r="C75" s="4"/>
      <c r="D75" s="4"/>
      <c r="E75" s="245">
        <v>2000</v>
      </c>
      <c r="F75" s="246" t="s">
        <v>322</v>
      </c>
      <c r="G75" s="246">
        <v>1819</v>
      </c>
      <c r="H75" s="246" t="s">
        <v>336</v>
      </c>
      <c r="I75" s="246" t="s">
        <v>438</v>
      </c>
      <c r="J75" s="246" t="s">
        <v>338</v>
      </c>
      <c r="K75" s="247" t="s">
        <v>326</v>
      </c>
      <c r="L75" s="248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0" customHeight="1" x14ac:dyDescent="0.2">
      <c r="A76" s="15"/>
      <c r="B76" s="4"/>
      <c r="C76" s="4"/>
      <c r="D76" s="4"/>
      <c r="E76" s="245">
        <v>2000</v>
      </c>
      <c r="F76" s="246" t="s">
        <v>322</v>
      </c>
      <c r="G76" s="246">
        <v>2178.1899999999996</v>
      </c>
      <c r="H76" s="246" t="s">
        <v>439</v>
      </c>
      <c r="I76" s="246" t="s">
        <v>440</v>
      </c>
      <c r="J76" s="246" t="s">
        <v>441</v>
      </c>
      <c r="K76" s="247" t="s">
        <v>400</v>
      </c>
      <c r="L76" s="24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0" customHeight="1" x14ac:dyDescent="0.2">
      <c r="A77" s="15"/>
      <c r="B77" s="4"/>
      <c r="C77" s="4"/>
      <c r="D77" s="4"/>
      <c r="E77" s="245">
        <v>2001</v>
      </c>
      <c r="F77" s="246" t="s">
        <v>322</v>
      </c>
      <c r="G77" s="246">
        <v>1726.02</v>
      </c>
      <c r="H77" s="246" t="s">
        <v>336</v>
      </c>
      <c r="I77" s="246" t="s">
        <v>442</v>
      </c>
      <c r="J77" s="246" t="s">
        <v>338</v>
      </c>
      <c r="K77" s="247" t="s">
        <v>326</v>
      </c>
      <c r="L77" s="24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0" customHeight="1" x14ac:dyDescent="0.2">
      <c r="A78" s="15"/>
      <c r="B78" s="4"/>
      <c r="C78" s="4"/>
      <c r="D78" s="4"/>
      <c r="E78" s="245">
        <v>2001</v>
      </c>
      <c r="F78" s="246" t="s">
        <v>322</v>
      </c>
      <c r="G78" s="246">
        <v>2364.91</v>
      </c>
      <c r="H78" s="246" t="s">
        <v>443</v>
      </c>
      <c r="I78" s="246" t="s">
        <v>444</v>
      </c>
      <c r="J78" s="246" t="s">
        <v>372</v>
      </c>
      <c r="K78" s="247" t="s">
        <v>366</v>
      </c>
      <c r="L78" s="248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0" customHeight="1" x14ac:dyDescent="0.2">
      <c r="A79" s="15"/>
      <c r="B79" s="4"/>
      <c r="C79" s="4"/>
      <c r="D79" s="4"/>
      <c r="E79" s="245">
        <v>2001</v>
      </c>
      <c r="F79" s="246" t="s">
        <v>327</v>
      </c>
      <c r="G79" s="246">
        <v>3306.2699999999995</v>
      </c>
      <c r="H79" s="246" t="s">
        <v>439</v>
      </c>
      <c r="I79" s="246" t="s">
        <v>439</v>
      </c>
      <c r="J79" s="246" t="s">
        <v>441</v>
      </c>
      <c r="K79" s="247" t="s">
        <v>400</v>
      </c>
      <c r="L79" s="248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0" customHeight="1" x14ac:dyDescent="0.2">
      <c r="A80" s="15"/>
      <c r="B80" s="4"/>
      <c r="C80" s="4"/>
      <c r="D80" s="4"/>
      <c r="E80" s="245">
        <v>2002</v>
      </c>
      <c r="F80" s="246" t="s">
        <v>322</v>
      </c>
      <c r="G80" s="246">
        <v>2319.6</v>
      </c>
      <c r="H80" s="246" t="s">
        <v>328</v>
      </c>
      <c r="I80" s="246" t="s">
        <v>445</v>
      </c>
      <c r="J80" s="246" t="s">
        <v>325</v>
      </c>
      <c r="K80" s="247" t="s">
        <v>326</v>
      </c>
      <c r="L80" s="24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0" customHeight="1" x14ac:dyDescent="0.2">
      <c r="A81" s="15"/>
      <c r="B81" s="4"/>
      <c r="C81" s="4"/>
      <c r="D81" s="4"/>
      <c r="E81" s="245">
        <v>2002</v>
      </c>
      <c r="F81" s="246" t="s">
        <v>322</v>
      </c>
      <c r="G81" s="246">
        <v>2306.35</v>
      </c>
      <c r="H81" s="246" t="s">
        <v>336</v>
      </c>
      <c r="I81" s="246" t="s">
        <v>446</v>
      </c>
      <c r="J81" s="246" t="s">
        <v>338</v>
      </c>
      <c r="K81" s="247" t="s">
        <v>326</v>
      </c>
      <c r="L81" s="248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0" customHeight="1" x14ac:dyDescent="0.2">
      <c r="A82" s="15"/>
      <c r="B82" s="4"/>
      <c r="C82" s="4"/>
      <c r="D82" s="4"/>
      <c r="E82" s="245">
        <v>2002</v>
      </c>
      <c r="F82" s="246" t="s">
        <v>322</v>
      </c>
      <c r="G82" s="246">
        <v>2311.36</v>
      </c>
      <c r="H82" s="246" t="s">
        <v>447</v>
      </c>
      <c r="I82" s="246" t="s">
        <v>448</v>
      </c>
      <c r="J82" s="246" t="s">
        <v>325</v>
      </c>
      <c r="K82" s="247" t="s">
        <v>326</v>
      </c>
      <c r="L82" s="248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0" customHeight="1" x14ac:dyDescent="0.2">
      <c r="A83" s="15"/>
      <c r="B83" s="4"/>
      <c r="C83" s="4"/>
      <c r="D83" s="4"/>
      <c r="E83" s="245">
        <v>2002</v>
      </c>
      <c r="F83" s="246" t="s">
        <v>322</v>
      </c>
      <c r="G83" s="246">
        <v>2048.0300000000002</v>
      </c>
      <c r="H83" s="246" t="s">
        <v>449</v>
      </c>
      <c r="I83" s="246" t="s">
        <v>450</v>
      </c>
      <c r="J83" s="246" t="s">
        <v>396</v>
      </c>
      <c r="K83" s="247" t="s">
        <v>326</v>
      </c>
      <c r="L83" s="248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0" customHeight="1" x14ac:dyDescent="0.2">
      <c r="A84" s="15"/>
      <c r="B84" s="4"/>
      <c r="C84" s="4"/>
      <c r="D84" s="4"/>
      <c r="E84" s="245">
        <v>2002</v>
      </c>
      <c r="F84" s="246" t="s">
        <v>322</v>
      </c>
      <c r="G84" s="246">
        <v>1611.62</v>
      </c>
      <c r="H84" s="246" t="s">
        <v>451</v>
      </c>
      <c r="I84" s="246" t="s">
        <v>452</v>
      </c>
      <c r="J84" s="246" t="s">
        <v>325</v>
      </c>
      <c r="K84" s="247" t="s">
        <v>326</v>
      </c>
      <c r="L84" s="248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0" customHeight="1" x14ac:dyDescent="0.2">
      <c r="A85" s="15"/>
      <c r="B85" s="4"/>
      <c r="C85" s="4"/>
      <c r="D85" s="4"/>
      <c r="E85" s="245">
        <v>2002</v>
      </c>
      <c r="F85" s="246" t="s">
        <v>322</v>
      </c>
      <c r="G85" s="246">
        <v>2347.0100000000002</v>
      </c>
      <c r="H85" s="246" t="s">
        <v>453</v>
      </c>
      <c r="I85" s="246" t="s">
        <v>454</v>
      </c>
      <c r="J85" s="246" t="s">
        <v>422</v>
      </c>
      <c r="K85" s="247" t="s">
        <v>366</v>
      </c>
      <c r="L85" s="248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0" customHeight="1" x14ac:dyDescent="0.2">
      <c r="A86" s="15"/>
      <c r="B86" s="4"/>
      <c r="C86" s="4"/>
      <c r="D86" s="4"/>
      <c r="E86" s="245">
        <v>2003</v>
      </c>
      <c r="F86" s="246" t="s">
        <v>322</v>
      </c>
      <c r="G86" s="246">
        <v>1202.97</v>
      </c>
      <c r="H86" s="246" t="s">
        <v>455</v>
      </c>
      <c r="I86" s="246" t="s">
        <v>456</v>
      </c>
      <c r="J86" s="246" t="s">
        <v>338</v>
      </c>
      <c r="K86" s="247" t="s">
        <v>326</v>
      </c>
      <c r="L86" s="248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0" customHeight="1" x14ac:dyDescent="0.2">
      <c r="A87" s="15"/>
      <c r="B87" s="4"/>
      <c r="C87" s="4"/>
      <c r="D87" s="4"/>
      <c r="E87" s="245">
        <v>2003</v>
      </c>
      <c r="F87" s="246" t="s">
        <v>322</v>
      </c>
      <c r="G87" s="246">
        <v>1709.07</v>
      </c>
      <c r="H87" s="246" t="s">
        <v>336</v>
      </c>
      <c r="I87" s="246" t="s">
        <v>457</v>
      </c>
      <c r="J87" s="246" t="s">
        <v>338</v>
      </c>
      <c r="K87" s="247" t="s">
        <v>326</v>
      </c>
      <c r="L87" s="248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0" customHeight="1" x14ac:dyDescent="0.2">
      <c r="A88" s="15"/>
      <c r="B88" s="4"/>
      <c r="C88" s="4"/>
      <c r="D88" s="4"/>
      <c r="E88" s="245">
        <v>2003</v>
      </c>
      <c r="F88" s="246" t="s">
        <v>327</v>
      </c>
      <c r="G88" s="246">
        <v>2897.73</v>
      </c>
      <c r="H88" s="246" t="s">
        <v>339</v>
      </c>
      <c r="I88" s="246" t="s">
        <v>458</v>
      </c>
      <c r="J88" s="246" t="s">
        <v>341</v>
      </c>
      <c r="K88" s="247" t="s">
        <v>326</v>
      </c>
      <c r="L88" s="24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0" customHeight="1" x14ac:dyDescent="0.2">
      <c r="A89" s="15"/>
      <c r="B89" s="4"/>
      <c r="C89" s="4"/>
      <c r="D89" s="4"/>
      <c r="E89" s="245">
        <v>2003</v>
      </c>
      <c r="F89" s="246" t="s">
        <v>322</v>
      </c>
      <c r="G89" s="246">
        <v>2170.5300000000002</v>
      </c>
      <c r="H89" s="246" t="s">
        <v>459</v>
      </c>
      <c r="I89" s="246" t="s">
        <v>460</v>
      </c>
      <c r="J89" s="246" t="s">
        <v>461</v>
      </c>
      <c r="K89" s="247" t="s">
        <v>351</v>
      </c>
      <c r="L89" s="248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0" customHeight="1" x14ac:dyDescent="0.2">
      <c r="A90" s="15"/>
      <c r="B90" s="4"/>
      <c r="C90" s="4"/>
      <c r="D90" s="4"/>
      <c r="E90" s="245">
        <v>2003</v>
      </c>
      <c r="F90" s="246" t="s">
        <v>327</v>
      </c>
      <c r="G90" s="246">
        <v>2044</v>
      </c>
      <c r="H90" s="246" t="s">
        <v>427</v>
      </c>
      <c r="I90" s="246" t="s">
        <v>462</v>
      </c>
      <c r="J90" s="246" t="s">
        <v>325</v>
      </c>
      <c r="K90" s="247" t="s">
        <v>326</v>
      </c>
      <c r="L90" s="248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0" customHeight="1" x14ac:dyDescent="0.2">
      <c r="A91" s="15"/>
      <c r="B91" s="4"/>
      <c r="C91" s="4"/>
      <c r="D91" s="4"/>
      <c r="E91" s="245">
        <v>2003</v>
      </c>
      <c r="F91" s="246" t="s">
        <v>322</v>
      </c>
      <c r="G91" s="246">
        <v>3219.0299999999997</v>
      </c>
      <c r="H91" s="246" t="s">
        <v>397</v>
      </c>
      <c r="I91" s="246" t="s">
        <v>463</v>
      </c>
      <c r="J91" s="246" t="s">
        <v>399</v>
      </c>
      <c r="K91" s="247" t="s">
        <v>400</v>
      </c>
      <c r="L91" s="248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0" customHeight="1" x14ac:dyDescent="0.2">
      <c r="A92" s="15"/>
      <c r="B92" s="4"/>
      <c r="C92" s="4"/>
      <c r="D92" s="4"/>
      <c r="E92" s="245">
        <v>2003</v>
      </c>
      <c r="F92" s="246" t="s">
        <v>322</v>
      </c>
      <c r="G92" s="246">
        <v>2179.5699999999997</v>
      </c>
      <c r="H92" s="246" t="s">
        <v>464</v>
      </c>
      <c r="I92" s="246" t="s">
        <v>465</v>
      </c>
      <c r="J92" s="246" t="s">
        <v>325</v>
      </c>
      <c r="K92" s="247" t="s">
        <v>326</v>
      </c>
      <c r="L92" s="24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0" customHeight="1" x14ac:dyDescent="0.2">
      <c r="A93" s="15"/>
      <c r="B93" s="4"/>
      <c r="C93" s="4"/>
      <c r="D93" s="4"/>
      <c r="E93" s="245">
        <v>2003</v>
      </c>
      <c r="F93" s="246" t="s">
        <v>322</v>
      </c>
      <c r="G93" s="246">
        <v>2387.04</v>
      </c>
      <c r="H93" s="246" t="s">
        <v>330</v>
      </c>
      <c r="I93" s="246" t="s">
        <v>466</v>
      </c>
      <c r="J93" s="246" t="s">
        <v>332</v>
      </c>
      <c r="K93" s="247" t="s">
        <v>333</v>
      </c>
      <c r="L93" s="248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0" customHeight="1" x14ac:dyDescent="0.2">
      <c r="A94" s="15"/>
      <c r="B94" s="4"/>
      <c r="C94" s="4"/>
      <c r="D94" s="4"/>
      <c r="E94" s="245">
        <v>2003</v>
      </c>
      <c r="F94" s="246" t="s">
        <v>327</v>
      </c>
      <c r="G94" s="246">
        <v>1944.8000000000002</v>
      </c>
      <c r="H94" s="246" t="s">
        <v>467</v>
      </c>
      <c r="I94" s="246" t="s">
        <v>468</v>
      </c>
      <c r="J94" s="246" t="s">
        <v>325</v>
      </c>
      <c r="K94" s="247" t="s">
        <v>326</v>
      </c>
      <c r="L94" s="248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0" customHeight="1" x14ac:dyDescent="0.2">
      <c r="A95" s="15"/>
      <c r="B95" s="4"/>
      <c r="C95" s="4"/>
      <c r="D95" s="4"/>
      <c r="E95" s="245">
        <v>2003</v>
      </c>
      <c r="F95" s="246" t="s">
        <v>322</v>
      </c>
      <c r="G95" s="246">
        <v>1974.24</v>
      </c>
      <c r="H95" s="246" t="s">
        <v>469</v>
      </c>
      <c r="I95" s="246" t="s">
        <v>470</v>
      </c>
      <c r="J95" s="246" t="s">
        <v>341</v>
      </c>
      <c r="K95" s="247" t="s">
        <v>326</v>
      </c>
      <c r="L95" s="248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0" customHeight="1" x14ac:dyDescent="0.2">
      <c r="A96" s="15"/>
      <c r="B96" s="4"/>
      <c r="C96" s="4"/>
      <c r="D96" s="4"/>
      <c r="E96" s="245">
        <v>2004</v>
      </c>
      <c r="F96" s="246" t="s">
        <v>322</v>
      </c>
      <c r="G96" s="246">
        <v>1684.18</v>
      </c>
      <c r="H96" s="246" t="s">
        <v>471</v>
      </c>
      <c r="I96" s="246" t="s">
        <v>472</v>
      </c>
      <c r="J96" s="246" t="s">
        <v>338</v>
      </c>
      <c r="K96" s="247" t="s">
        <v>326</v>
      </c>
      <c r="L96" s="248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0" customHeight="1" x14ac:dyDescent="0.2">
      <c r="A97" s="15"/>
      <c r="B97" s="4"/>
      <c r="C97" s="4"/>
      <c r="D97" s="4"/>
      <c r="E97" s="245">
        <v>2004</v>
      </c>
      <c r="F97" s="246" t="s">
        <v>322</v>
      </c>
      <c r="G97" s="246">
        <v>1917.54</v>
      </c>
      <c r="H97" s="246" t="s">
        <v>473</v>
      </c>
      <c r="I97" s="246" t="s">
        <v>474</v>
      </c>
      <c r="J97" s="246" t="s">
        <v>338</v>
      </c>
      <c r="K97" s="247" t="s">
        <v>326</v>
      </c>
      <c r="L97" s="248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0" customHeight="1" x14ac:dyDescent="0.2">
      <c r="A98" s="15"/>
      <c r="B98" s="4"/>
      <c r="C98" s="4"/>
      <c r="D98" s="4"/>
      <c r="E98" s="245">
        <v>2004</v>
      </c>
      <c r="F98" s="246" t="s">
        <v>322</v>
      </c>
      <c r="G98" s="246">
        <v>1905.87</v>
      </c>
      <c r="H98" s="246" t="s">
        <v>475</v>
      </c>
      <c r="I98" s="246" t="s">
        <v>476</v>
      </c>
      <c r="J98" s="246" t="s">
        <v>350</v>
      </c>
      <c r="K98" s="247" t="s">
        <v>351</v>
      </c>
      <c r="L98" s="248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0" customHeight="1" x14ac:dyDescent="0.2">
      <c r="A99" s="15"/>
      <c r="B99" s="4"/>
      <c r="C99" s="4"/>
      <c r="D99" s="4"/>
      <c r="E99" s="245">
        <v>2004</v>
      </c>
      <c r="F99" s="246" t="s">
        <v>322</v>
      </c>
      <c r="G99" s="246">
        <v>1799.52</v>
      </c>
      <c r="H99" s="246" t="s">
        <v>323</v>
      </c>
      <c r="I99" s="246" t="s">
        <v>477</v>
      </c>
      <c r="J99" s="246" t="s">
        <v>325</v>
      </c>
      <c r="K99" s="247" t="s">
        <v>326</v>
      </c>
      <c r="L99" s="248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0" customHeight="1" x14ac:dyDescent="0.2">
      <c r="A100" s="15"/>
      <c r="B100" s="4"/>
      <c r="C100" s="4"/>
      <c r="D100" s="4"/>
      <c r="E100" s="245">
        <v>2004</v>
      </c>
      <c r="F100" s="246" t="s">
        <v>322</v>
      </c>
      <c r="G100" s="246">
        <v>2033.78</v>
      </c>
      <c r="H100" s="246" t="s">
        <v>323</v>
      </c>
      <c r="I100" s="246" t="s">
        <v>478</v>
      </c>
      <c r="J100" s="246" t="s">
        <v>325</v>
      </c>
      <c r="K100" s="247" t="s">
        <v>326</v>
      </c>
      <c r="L100" s="24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0" customHeight="1" x14ac:dyDescent="0.2">
      <c r="A101" s="15"/>
      <c r="B101" s="4"/>
      <c r="C101" s="4"/>
      <c r="D101" s="4"/>
      <c r="E101" s="245">
        <v>2004</v>
      </c>
      <c r="F101" s="246" t="s">
        <v>322</v>
      </c>
      <c r="G101" s="246">
        <v>1718</v>
      </c>
      <c r="H101" s="246" t="s">
        <v>479</v>
      </c>
      <c r="I101" s="246" t="s">
        <v>480</v>
      </c>
      <c r="J101" s="246" t="s">
        <v>341</v>
      </c>
      <c r="K101" s="247" t="s">
        <v>326</v>
      </c>
      <c r="L101" s="24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0" customHeight="1" x14ac:dyDescent="0.2">
      <c r="A102" s="15"/>
      <c r="B102" s="4"/>
      <c r="C102" s="4"/>
      <c r="D102" s="4"/>
      <c r="E102" s="245">
        <v>2004</v>
      </c>
      <c r="F102" s="246" t="s">
        <v>322</v>
      </c>
      <c r="G102" s="246">
        <v>1523.56</v>
      </c>
      <c r="H102" s="246" t="s">
        <v>481</v>
      </c>
      <c r="I102" s="246" t="s">
        <v>482</v>
      </c>
      <c r="J102" s="246" t="s">
        <v>483</v>
      </c>
      <c r="K102" s="247" t="s">
        <v>333</v>
      </c>
      <c r="L102" s="24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0" customHeight="1" x14ac:dyDescent="0.2">
      <c r="A103" s="15"/>
      <c r="B103" s="4"/>
      <c r="C103" s="4"/>
      <c r="D103" s="4"/>
      <c r="E103" s="245">
        <v>2004</v>
      </c>
      <c r="F103" s="246" t="s">
        <v>322</v>
      </c>
      <c r="G103" s="246">
        <v>1314.16</v>
      </c>
      <c r="H103" s="246" t="s">
        <v>336</v>
      </c>
      <c r="I103" s="246" t="s">
        <v>484</v>
      </c>
      <c r="J103" s="246" t="s">
        <v>338</v>
      </c>
      <c r="K103" s="247" t="s">
        <v>326</v>
      </c>
      <c r="L103" s="248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0" customHeight="1" x14ac:dyDescent="0.2">
      <c r="A104" s="15"/>
      <c r="B104" s="4"/>
      <c r="C104" s="4"/>
      <c r="D104" s="4"/>
      <c r="E104" s="245">
        <v>2005</v>
      </c>
      <c r="F104" s="246" t="s">
        <v>322</v>
      </c>
      <c r="G104" s="246">
        <v>2608.0299999999997</v>
      </c>
      <c r="H104" s="246" t="s">
        <v>485</v>
      </c>
      <c r="I104" s="246" t="s">
        <v>486</v>
      </c>
      <c r="J104" s="246" t="s">
        <v>487</v>
      </c>
      <c r="K104" s="247" t="s">
        <v>366</v>
      </c>
      <c r="L104" s="248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0" customHeight="1" x14ac:dyDescent="0.2">
      <c r="A105" s="15"/>
      <c r="B105" s="4"/>
      <c r="C105" s="4"/>
      <c r="D105" s="4"/>
      <c r="E105" s="245">
        <v>2005</v>
      </c>
      <c r="F105" s="246" t="s">
        <v>322</v>
      </c>
      <c r="G105" s="246">
        <v>1121.28</v>
      </c>
      <c r="H105" s="246" t="s">
        <v>488</v>
      </c>
      <c r="I105" s="246" t="s">
        <v>489</v>
      </c>
      <c r="J105" s="246" t="s">
        <v>325</v>
      </c>
      <c r="K105" s="247" t="s">
        <v>326</v>
      </c>
      <c r="L105" s="248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0" customHeight="1" x14ac:dyDescent="0.2">
      <c r="A106" s="15"/>
      <c r="B106" s="4"/>
      <c r="C106" s="4"/>
      <c r="D106" s="4"/>
      <c r="E106" s="245">
        <v>2005</v>
      </c>
      <c r="F106" s="246" t="s">
        <v>327</v>
      </c>
      <c r="G106" s="246">
        <v>2512.46</v>
      </c>
      <c r="H106" s="246" t="s">
        <v>424</v>
      </c>
      <c r="I106" s="246" t="s">
        <v>490</v>
      </c>
      <c r="J106" s="246" t="s">
        <v>426</v>
      </c>
      <c r="K106" s="247" t="s">
        <v>366</v>
      </c>
      <c r="L106" s="248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0" customHeight="1" x14ac:dyDescent="0.2">
      <c r="A107" s="15"/>
      <c r="B107" s="4"/>
      <c r="C107" s="4"/>
      <c r="D107" s="4"/>
      <c r="E107" s="245">
        <v>2005</v>
      </c>
      <c r="F107" s="246" t="s">
        <v>322</v>
      </c>
      <c r="G107" s="246">
        <v>1751.52</v>
      </c>
      <c r="H107" s="246" t="s">
        <v>485</v>
      </c>
      <c r="I107" s="246" t="s">
        <v>491</v>
      </c>
      <c r="J107" s="246" t="s">
        <v>487</v>
      </c>
      <c r="K107" s="247" t="s">
        <v>366</v>
      </c>
      <c r="L107" s="248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0" customHeight="1" x14ac:dyDescent="0.2">
      <c r="A108" s="15"/>
      <c r="B108" s="4"/>
      <c r="C108" s="4"/>
      <c r="D108" s="4"/>
      <c r="E108" s="245">
        <v>2005</v>
      </c>
      <c r="F108" s="246" t="s">
        <v>322</v>
      </c>
      <c r="G108" s="246">
        <v>1564.03</v>
      </c>
      <c r="H108" s="246" t="s">
        <v>406</v>
      </c>
      <c r="I108" s="246" t="s">
        <v>492</v>
      </c>
      <c r="J108" s="246" t="s">
        <v>408</v>
      </c>
      <c r="K108" s="247" t="s">
        <v>366</v>
      </c>
      <c r="L108" s="24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0" customHeight="1" x14ac:dyDescent="0.2">
      <c r="A109" s="15"/>
      <c r="B109" s="4"/>
      <c r="C109" s="4"/>
      <c r="D109" s="4"/>
      <c r="E109" s="245">
        <v>2005</v>
      </c>
      <c r="F109" s="246" t="s">
        <v>322</v>
      </c>
      <c r="G109" s="246">
        <v>1508.78</v>
      </c>
      <c r="H109" s="246" t="s">
        <v>358</v>
      </c>
      <c r="I109" s="246" t="s">
        <v>493</v>
      </c>
      <c r="J109" s="246" t="s">
        <v>360</v>
      </c>
      <c r="K109" s="247" t="s">
        <v>351</v>
      </c>
      <c r="L109" s="248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0" customHeight="1" x14ac:dyDescent="0.2">
      <c r="A110" s="15"/>
      <c r="B110" s="4"/>
      <c r="C110" s="4"/>
      <c r="D110" s="4"/>
      <c r="E110" s="245">
        <v>2005</v>
      </c>
      <c r="F110" s="246" t="s">
        <v>322</v>
      </c>
      <c r="G110" s="246">
        <v>1628.74</v>
      </c>
      <c r="H110" s="246" t="s">
        <v>494</v>
      </c>
      <c r="I110" s="246" t="s">
        <v>495</v>
      </c>
      <c r="J110" s="246" t="s">
        <v>325</v>
      </c>
      <c r="K110" s="247" t="s">
        <v>326</v>
      </c>
      <c r="L110" s="248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0" customHeight="1" x14ac:dyDescent="0.2">
      <c r="A111" s="15"/>
      <c r="B111" s="4"/>
      <c r="C111" s="4"/>
      <c r="D111" s="4"/>
      <c r="E111" s="245">
        <v>2005</v>
      </c>
      <c r="F111" s="246" t="s">
        <v>322</v>
      </c>
      <c r="G111" s="246">
        <v>1745.3</v>
      </c>
      <c r="H111" s="246" t="s">
        <v>496</v>
      </c>
      <c r="I111" s="246" t="s">
        <v>497</v>
      </c>
      <c r="J111" s="246" t="s">
        <v>325</v>
      </c>
      <c r="K111" s="247" t="s">
        <v>326</v>
      </c>
      <c r="L111" s="248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0" customHeight="1" x14ac:dyDescent="0.2">
      <c r="A112" s="15"/>
      <c r="B112" s="4"/>
      <c r="C112" s="4"/>
      <c r="D112" s="4"/>
      <c r="E112" s="245">
        <v>2005</v>
      </c>
      <c r="F112" s="246" t="s">
        <v>322</v>
      </c>
      <c r="G112" s="246">
        <v>1344.34</v>
      </c>
      <c r="H112" s="246" t="s">
        <v>498</v>
      </c>
      <c r="I112" s="246" t="s">
        <v>499</v>
      </c>
      <c r="J112" s="246" t="s">
        <v>332</v>
      </c>
      <c r="K112" s="247" t="s">
        <v>333</v>
      </c>
      <c r="L112" s="24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0" customHeight="1" x14ac:dyDescent="0.2">
      <c r="A113" s="15"/>
      <c r="B113" s="4"/>
      <c r="C113" s="4"/>
      <c r="D113" s="4"/>
      <c r="E113" s="245">
        <v>2005</v>
      </c>
      <c r="F113" s="246" t="s">
        <v>322</v>
      </c>
      <c r="G113" s="246">
        <v>1473.93</v>
      </c>
      <c r="H113" s="246" t="s">
        <v>500</v>
      </c>
      <c r="I113" s="246" t="s">
        <v>501</v>
      </c>
      <c r="J113" s="246" t="s">
        <v>372</v>
      </c>
      <c r="K113" s="247" t="s">
        <v>366</v>
      </c>
      <c r="L113" s="248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0" customHeight="1" x14ac:dyDescent="0.2">
      <c r="A114" s="15"/>
      <c r="B114" s="4"/>
      <c r="C114" s="4"/>
      <c r="D114" s="4"/>
      <c r="E114" s="245">
        <v>2005</v>
      </c>
      <c r="F114" s="246" t="s">
        <v>327</v>
      </c>
      <c r="G114" s="246">
        <v>2475.2199999999998</v>
      </c>
      <c r="H114" s="246" t="s">
        <v>502</v>
      </c>
      <c r="I114" s="246" t="s">
        <v>503</v>
      </c>
      <c r="J114" s="246" t="s">
        <v>504</v>
      </c>
      <c r="K114" s="247" t="s">
        <v>366</v>
      </c>
      <c r="L114" s="248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0" customHeight="1" x14ac:dyDescent="0.2">
      <c r="A115" s="15"/>
      <c r="B115" s="4"/>
      <c r="C115" s="4"/>
      <c r="D115" s="4"/>
      <c r="E115" s="245">
        <v>2006</v>
      </c>
      <c r="F115" s="246" t="s">
        <v>322</v>
      </c>
      <c r="G115" s="246">
        <v>989.59</v>
      </c>
      <c r="H115" s="246" t="s">
        <v>323</v>
      </c>
      <c r="I115" s="246" t="s">
        <v>505</v>
      </c>
      <c r="J115" s="246" t="s">
        <v>325</v>
      </c>
      <c r="K115" s="247" t="s">
        <v>326</v>
      </c>
      <c r="L115" s="248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0" customHeight="1" x14ac:dyDescent="0.2">
      <c r="A116" s="15"/>
      <c r="B116" s="4"/>
      <c r="C116" s="4"/>
      <c r="D116" s="4"/>
      <c r="E116" s="245">
        <v>2006</v>
      </c>
      <c r="F116" s="246" t="s">
        <v>327</v>
      </c>
      <c r="G116" s="246">
        <v>2576.54</v>
      </c>
      <c r="H116" s="246" t="s">
        <v>384</v>
      </c>
      <c r="I116" s="246" t="s">
        <v>506</v>
      </c>
      <c r="J116" s="246" t="s">
        <v>386</v>
      </c>
      <c r="K116" s="247" t="s">
        <v>366</v>
      </c>
      <c r="L116" s="248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0" customHeight="1" x14ac:dyDescent="0.2">
      <c r="A117" s="15"/>
      <c r="B117" s="4"/>
      <c r="C117" s="4"/>
      <c r="D117" s="4"/>
      <c r="E117" s="245">
        <v>2006</v>
      </c>
      <c r="F117" s="246" t="s">
        <v>322</v>
      </c>
      <c r="G117" s="246">
        <v>1670.72</v>
      </c>
      <c r="H117" s="246" t="s">
        <v>323</v>
      </c>
      <c r="I117" s="246" t="s">
        <v>507</v>
      </c>
      <c r="J117" s="246" t="s">
        <v>325</v>
      </c>
      <c r="K117" s="247" t="s">
        <v>326</v>
      </c>
      <c r="L117" s="248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0" customHeight="1" x14ac:dyDescent="0.2">
      <c r="A118" s="15"/>
      <c r="B118" s="4"/>
      <c r="C118" s="4"/>
      <c r="D118" s="4"/>
      <c r="E118" s="245">
        <v>2006</v>
      </c>
      <c r="F118" s="246" t="s">
        <v>322</v>
      </c>
      <c r="G118" s="246">
        <v>1158.69</v>
      </c>
      <c r="H118" s="246" t="s">
        <v>508</v>
      </c>
      <c r="I118" s="246" t="s">
        <v>509</v>
      </c>
      <c r="J118" s="246" t="s">
        <v>325</v>
      </c>
      <c r="K118" s="247" t="s">
        <v>326</v>
      </c>
      <c r="L118" s="248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0" customHeight="1" x14ac:dyDescent="0.2">
      <c r="A119" s="15"/>
      <c r="B119" s="4"/>
      <c r="C119" s="4"/>
      <c r="D119" s="4"/>
      <c r="E119" s="245">
        <v>2006</v>
      </c>
      <c r="F119" s="246" t="s">
        <v>322</v>
      </c>
      <c r="G119" s="246">
        <v>1040.25</v>
      </c>
      <c r="H119" s="246" t="s">
        <v>510</v>
      </c>
      <c r="I119" s="246" t="s">
        <v>511</v>
      </c>
      <c r="J119" s="246" t="s">
        <v>325</v>
      </c>
      <c r="K119" s="247" t="s">
        <v>326</v>
      </c>
      <c r="L119" s="248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0" customHeight="1" x14ac:dyDescent="0.2">
      <c r="A120" s="15"/>
      <c r="B120" s="4"/>
      <c r="C120" s="4"/>
      <c r="D120" s="4"/>
      <c r="E120" s="245">
        <v>2006</v>
      </c>
      <c r="F120" s="246" t="s">
        <v>322</v>
      </c>
      <c r="G120" s="246">
        <v>1016.78</v>
      </c>
      <c r="H120" s="246" t="s">
        <v>512</v>
      </c>
      <c r="I120" s="246" t="s">
        <v>513</v>
      </c>
      <c r="J120" s="246" t="s">
        <v>325</v>
      </c>
      <c r="K120" s="247" t="s">
        <v>326</v>
      </c>
      <c r="L120" s="248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0" customHeight="1" x14ac:dyDescent="0.2">
      <c r="A121" s="15"/>
      <c r="B121" s="4"/>
      <c r="C121" s="4"/>
      <c r="D121" s="4"/>
      <c r="E121" s="245">
        <v>2006</v>
      </c>
      <c r="F121" s="246" t="s">
        <v>322</v>
      </c>
      <c r="G121" s="246">
        <v>1474.48</v>
      </c>
      <c r="H121" s="246" t="s">
        <v>345</v>
      </c>
      <c r="I121" s="246" t="s">
        <v>514</v>
      </c>
      <c r="J121" s="246" t="s">
        <v>325</v>
      </c>
      <c r="K121" s="247" t="s">
        <v>326</v>
      </c>
      <c r="L121" s="248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0" customHeight="1" x14ac:dyDescent="0.2">
      <c r="A122" s="15"/>
      <c r="B122" s="4"/>
      <c r="C122" s="4"/>
      <c r="D122" s="4"/>
      <c r="E122" s="245">
        <v>2006</v>
      </c>
      <c r="F122" s="246" t="s">
        <v>322</v>
      </c>
      <c r="G122" s="246">
        <v>1092.4100000000001</v>
      </c>
      <c r="H122" s="246" t="s">
        <v>336</v>
      </c>
      <c r="I122" s="246" t="s">
        <v>515</v>
      </c>
      <c r="J122" s="246" t="s">
        <v>338</v>
      </c>
      <c r="K122" s="247" t="s">
        <v>326</v>
      </c>
      <c r="L122" s="248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0" customHeight="1" x14ac:dyDescent="0.2">
      <c r="A123" s="15"/>
      <c r="B123" s="4"/>
      <c r="C123" s="4"/>
      <c r="D123" s="4"/>
      <c r="E123" s="245">
        <v>2006</v>
      </c>
      <c r="F123" s="246" t="s">
        <v>322</v>
      </c>
      <c r="G123" s="246">
        <v>1083.05</v>
      </c>
      <c r="H123" s="246" t="s">
        <v>516</v>
      </c>
      <c r="I123" s="246" t="s">
        <v>517</v>
      </c>
      <c r="J123" s="246" t="s">
        <v>325</v>
      </c>
      <c r="K123" s="247" t="s">
        <v>326</v>
      </c>
      <c r="L123" s="248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0" customHeight="1" x14ac:dyDescent="0.2">
      <c r="A124" s="15"/>
      <c r="B124" s="4"/>
      <c r="C124" s="4"/>
      <c r="D124" s="4"/>
      <c r="E124" s="245">
        <v>2006</v>
      </c>
      <c r="F124" s="246" t="s">
        <v>327</v>
      </c>
      <c r="G124" s="246">
        <v>1897.89</v>
      </c>
      <c r="H124" s="246" t="s">
        <v>518</v>
      </c>
      <c r="I124" s="246" t="s">
        <v>518</v>
      </c>
      <c r="J124" s="246" t="s">
        <v>341</v>
      </c>
      <c r="K124" s="247" t="s">
        <v>326</v>
      </c>
      <c r="L124" s="248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0" customHeight="1" x14ac:dyDescent="0.2">
      <c r="A125" s="15"/>
      <c r="B125" s="4"/>
      <c r="C125" s="4"/>
      <c r="D125" s="4"/>
      <c r="E125" s="245">
        <v>2006</v>
      </c>
      <c r="F125" s="246" t="s">
        <v>322</v>
      </c>
      <c r="G125" s="246">
        <v>1862.34</v>
      </c>
      <c r="H125" s="246" t="s">
        <v>323</v>
      </c>
      <c r="I125" s="246" t="s">
        <v>519</v>
      </c>
      <c r="J125" s="246" t="s">
        <v>325</v>
      </c>
      <c r="K125" s="247" t="s">
        <v>326</v>
      </c>
      <c r="L125" s="248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0" customHeight="1" x14ac:dyDescent="0.2">
      <c r="A126" s="15"/>
      <c r="B126" s="4"/>
      <c r="C126" s="4"/>
      <c r="D126" s="4"/>
      <c r="E126" s="245">
        <v>2006</v>
      </c>
      <c r="F126" s="246" t="s">
        <v>327</v>
      </c>
      <c r="G126" s="246">
        <v>1961.9899999999998</v>
      </c>
      <c r="H126" s="246" t="s">
        <v>431</v>
      </c>
      <c r="I126" s="246" t="s">
        <v>520</v>
      </c>
      <c r="J126" s="246" t="s">
        <v>433</v>
      </c>
      <c r="K126" s="247" t="s">
        <v>366</v>
      </c>
      <c r="L126" s="248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0" customHeight="1" x14ac:dyDescent="0.2">
      <c r="A127" s="15"/>
      <c r="B127" s="4"/>
      <c r="C127" s="4"/>
      <c r="D127" s="4"/>
      <c r="E127" s="245">
        <v>2006</v>
      </c>
      <c r="F127" s="246" t="s">
        <v>327</v>
      </c>
      <c r="G127" s="246">
        <v>1801.37</v>
      </c>
      <c r="H127" s="246" t="s">
        <v>521</v>
      </c>
      <c r="I127" s="246" t="s">
        <v>521</v>
      </c>
      <c r="J127" s="246" t="s">
        <v>422</v>
      </c>
      <c r="K127" s="247" t="s">
        <v>366</v>
      </c>
      <c r="L127" s="248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0" customHeight="1" x14ac:dyDescent="0.2">
      <c r="A128" s="15"/>
      <c r="B128" s="4"/>
      <c r="C128" s="4"/>
      <c r="D128" s="4"/>
      <c r="E128" s="245">
        <v>2006</v>
      </c>
      <c r="F128" s="246" t="s">
        <v>322</v>
      </c>
      <c r="G128" s="246">
        <v>1021.77</v>
      </c>
      <c r="H128" s="246" t="s">
        <v>323</v>
      </c>
      <c r="I128" s="246" t="s">
        <v>522</v>
      </c>
      <c r="J128" s="246" t="s">
        <v>325</v>
      </c>
      <c r="K128" s="247" t="s">
        <v>326</v>
      </c>
      <c r="L128" s="248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0" customHeight="1" x14ac:dyDescent="0.2">
      <c r="A129" s="15"/>
      <c r="B129" s="4"/>
      <c r="C129" s="4"/>
      <c r="D129" s="4"/>
      <c r="E129" s="245">
        <v>2007</v>
      </c>
      <c r="F129" s="246" t="s">
        <v>322</v>
      </c>
      <c r="G129" s="246">
        <v>1509.81</v>
      </c>
      <c r="H129" s="246" t="s">
        <v>523</v>
      </c>
      <c r="I129" s="246" t="s">
        <v>524</v>
      </c>
      <c r="J129" s="246" t="s">
        <v>483</v>
      </c>
      <c r="K129" s="247" t="s">
        <v>333</v>
      </c>
      <c r="L129" s="248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0" customHeight="1" x14ac:dyDescent="0.2">
      <c r="A130" s="15"/>
      <c r="B130" s="4"/>
      <c r="C130" s="4"/>
      <c r="D130" s="4"/>
      <c r="E130" s="245">
        <v>2007</v>
      </c>
      <c r="F130" s="246" t="s">
        <v>322</v>
      </c>
      <c r="G130" s="246">
        <v>1040.49</v>
      </c>
      <c r="H130" s="246" t="s">
        <v>323</v>
      </c>
      <c r="I130" s="246" t="s">
        <v>525</v>
      </c>
      <c r="J130" s="246" t="s">
        <v>325</v>
      </c>
      <c r="K130" s="247" t="s">
        <v>326</v>
      </c>
      <c r="L130" s="248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0" customHeight="1" x14ac:dyDescent="0.2">
      <c r="A131" s="15"/>
      <c r="B131" s="4"/>
      <c r="C131" s="4"/>
      <c r="D131" s="4"/>
      <c r="E131" s="245">
        <v>2007</v>
      </c>
      <c r="F131" s="246" t="s">
        <v>322</v>
      </c>
      <c r="G131" s="246">
        <v>1278.28</v>
      </c>
      <c r="H131" s="246" t="s">
        <v>526</v>
      </c>
      <c r="I131" s="246" t="s">
        <v>527</v>
      </c>
      <c r="J131" s="246" t="s">
        <v>325</v>
      </c>
      <c r="K131" s="247" t="s">
        <v>326</v>
      </c>
      <c r="L131" s="248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0" customHeight="1" x14ac:dyDescent="0.2">
      <c r="A132" s="15"/>
      <c r="B132" s="4"/>
      <c r="C132" s="4"/>
      <c r="D132" s="4"/>
      <c r="E132" s="245">
        <v>2007</v>
      </c>
      <c r="F132" s="246" t="s">
        <v>322</v>
      </c>
      <c r="G132" s="246">
        <v>1011.99</v>
      </c>
      <c r="H132" s="246" t="s">
        <v>528</v>
      </c>
      <c r="I132" s="246" t="s">
        <v>529</v>
      </c>
      <c r="J132" s="246" t="s">
        <v>325</v>
      </c>
      <c r="K132" s="247" t="s">
        <v>326</v>
      </c>
      <c r="L132" s="248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0" customHeight="1" x14ac:dyDescent="0.2">
      <c r="A133" s="15"/>
      <c r="B133" s="4"/>
      <c r="C133" s="4"/>
      <c r="D133" s="4"/>
      <c r="E133" s="245">
        <v>2007</v>
      </c>
      <c r="F133" s="246" t="s">
        <v>322</v>
      </c>
      <c r="G133" s="246">
        <v>2466.58</v>
      </c>
      <c r="H133" s="246" t="s">
        <v>363</v>
      </c>
      <c r="I133" s="246" t="s">
        <v>530</v>
      </c>
      <c r="J133" s="246" t="s">
        <v>365</v>
      </c>
      <c r="K133" s="247" t="s">
        <v>366</v>
      </c>
      <c r="L133" s="248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0" customHeight="1" x14ac:dyDescent="0.2">
      <c r="A134" s="15"/>
      <c r="B134" s="4"/>
      <c r="C134" s="4"/>
      <c r="D134" s="4"/>
      <c r="E134" s="245">
        <v>2007</v>
      </c>
      <c r="F134" s="246" t="s">
        <v>322</v>
      </c>
      <c r="G134" s="246">
        <v>1478.89</v>
      </c>
      <c r="H134" s="246" t="s">
        <v>406</v>
      </c>
      <c r="I134" s="246" t="s">
        <v>531</v>
      </c>
      <c r="J134" s="246" t="s">
        <v>408</v>
      </c>
      <c r="K134" s="247" t="s">
        <v>366</v>
      </c>
      <c r="L134" s="248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0" customHeight="1" x14ac:dyDescent="0.2">
      <c r="A135" s="15"/>
      <c r="B135" s="4"/>
      <c r="C135" s="4"/>
      <c r="D135" s="4"/>
      <c r="E135" s="245">
        <v>2007</v>
      </c>
      <c r="F135" s="246" t="s">
        <v>327</v>
      </c>
      <c r="G135" s="246">
        <v>1950.99</v>
      </c>
      <c r="H135" s="246" t="s">
        <v>434</v>
      </c>
      <c r="I135" s="246" t="s">
        <v>532</v>
      </c>
      <c r="J135" s="246" t="s">
        <v>365</v>
      </c>
      <c r="K135" s="247" t="s">
        <v>366</v>
      </c>
      <c r="L135" s="248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0" customHeight="1" x14ac:dyDescent="0.2">
      <c r="A136" s="15"/>
      <c r="B136" s="4"/>
      <c r="C136" s="4"/>
      <c r="D136" s="4"/>
      <c r="E136" s="245">
        <v>2007</v>
      </c>
      <c r="F136" s="246" t="s">
        <v>322</v>
      </c>
      <c r="G136" s="246">
        <v>1053.69</v>
      </c>
      <c r="H136" s="246" t="s">
        <v>533</v>
      </c>
      <c r="I136" s="246" t="s">
        <v>534</v>
      </c>
      <c r="J136" s="246" t="s">
        <v>325</v>
      </c>
      <c r="K136" s="247" t="s">
        <v>326</v>
      </c>
      <c r="L136" s="248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0" customHeight="1" x14ac:dyDescent="0.2">
      <c r="A137" s="15"/>
      <c r="B137" s="4"/>
      <c r="C137" s="4"/>
      <c r="D137" s="4"/>
      <c r="E137" s="245">
        <v>2007</v>
      </c>
      <c r="F137" s="246" t="s">
        <v>322</v>
      </c>
      <c r="G137" s="246">
        <v>1677.32</v>
      </c>
      <c r="H137" s="246" t="s">
        <v>370</v>
      </c>
      <c r="I137" s="246" t="s">
        <v>535</v>
      </c>
      <c r="J137" s="246" t="s">
        <v>372</v>
      </c>
      <c r="K137" s="247" t="s">
        <v>366</v>
      </c>
      <c r="L137" s="248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0" customHeight="1" x14ac:dyDescent="0.2">
      <c r="A138" s="15"/>
      <c r="B138" s="4"/>
      <c r="C138" s="4"/>
      <c r="D138" s="4"/>
      <c r="E138" s="245">
        <v>2007</v>
      </c>
      <c r="F138" s="246" t="s">
        <v>322</v>
      </c>
      <c r="G138" s="246">
        <v>1207.6300000000001</v>
      </c>
      <c r="H138" s="246" t="s">
        <v>375</v>
      </c>
      <c r="I138" s="246" t="s">
        <v>536</v>
      </c>
      <c r="J138" s="246" t="s">
        <v>325</v>
      </c>
      <c r="K138" s="247" t="s">
        <v>326</v>
      </c>
      <c r="L138" s="248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0" customHeight="1" x14ac:dyDescent="0.2">
      <c r="A139" s="15"/>
      <c r="B139" s="4"/>
      <c r="C139" s="4"/>
      <c r="D139" s="4"/>
      <c r="E139" s="245">
        <v>2007</v>
      </c>
      <c r="F139" s="246" t="s">
        <v>322</v>
      </c>
      <c r="G139" s="246">
        <v>1634.68</v>
      </c>
      <c r="H139" s="246" t="s">
        <v>323</v>
      </c>
      <c r="I139" s="246" t="s">
        <v>537</v>
      </c>
      <c r="J139" s="246" t="s">
        <v>325</v>
      </c>
      <c r="K139" s="247" t="s">
        <v>326</v>
      </c>
      <c r="L139" s="248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0" customHeight="1" x14ac:dyDescent="0.2">
      <c r="A140" s="15"/>
      <c r="B140" s="4"/>
      <c r="C140" s="4"/>
      <c r="D140" s="4"/>
      <c r="E140" s="245">
        <v>2007</v>
      </c>
      <c r="F140" s="246" t="s">
        <v>322</v>
      </c>
      <c r="G140" s="246">
        <v>1646.1</v>
      </c>
      <c r="H140" s="246" t="s">
        <v>538</v>
      </c>
      <c r="I140" s="246" t="s">
        <v>539</v>
      </c>
      <c r="J140" s="246" t="s">
        <v>483</v>
      </c>
      <c r="K140" s="247" t="s">
        <v>333</v>
      </c>
      <c r="L140" s="248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0" customHeight="1" x14ac:dyDescent="0.2">
      <c r="A141" s="15"/>
      <c r="B141" s="4"/>
      <c r="C141" s="4"/>
      <c r="D141" s="4"/>
      <c r="E141" s="245">
        <v>2007</v>
      </c>
      <c r="F141" s="246" t="s">
        <v>327</v>
      </c>
      <c r="G141" s="246">
        <v>1890.1100000000001</v>
      </c>
      <c r="H141" s="246" t="s">
        <v>471</v>
      </c>
      <c r="I141" s="246" t="s">
        <v>540</v>
      </c>
      <c r="J141" s="246" t="s">
        <v>338</v>
      </c>
      <c r="K141" s="247" t="s">
        <v>326</v>
      </c>
      <c r="L141" s="248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0" customHeight="1" x14ac:dyDescent="0.2">
      <c r="A142" s="15"/>
      <c r="B142" s="4"/>
      <c r="C142" s="4"/>
      <c r="D142" s="4"/>
      <c r="E142" s="245">
        <v>2007</v>
      </c>
      <c r="F142" s="246" t="s">
        <v>322</v>
      </c>
      <c r="G142" s="246">
        <v>2069.7800000000002</v>
      </c>
      <c r="H142" s="246" t="s">
        <v>336</v>
      </c>
      <c r="I142" s="246" t="s">
        <v>541</v>
      </c>
      <c r="J142" s="246" t="s">
        <v>338</v>
      </c>
      <c r="K142" s="247" t="s">
        <v>326</v>
      </c>
      <c r="L142" s="248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0" customHeight="1" x14ac:dyDescent="0.2">
      <c r="A143" s="15"/>
      <c r="B143" s="4"/>
      <c r="C143" s="4"/>
      <c r="D143" s="4"/>
      <c r="E143" s="245">
        <v>2007</v>
      </c>
      <c r="F143" s="246" t="s">
        <v>322</v>
      </c>
      <c r="G143" s="246">
        <v>2083.96</v>
      </c>
      <c r="H143" s="246" t="s">
        <v>323</v>
      </c>
      <c r="I143" s="246" t="s">
        <v>542</v>
      </c>
      <c r="J143" s="246" t="s">
        <v>325</v>
      </c>
      <c r="K143" s="247" t="s">
        <v>326</v>
      </c>
      <c r="L143" s="248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0" customHeight="1" x14ac:dyDescent="0.2">
      <c r="A144" s="15"/>
      <c r="B144" s="4"/>
      <c r="C144" s="4"/>
      <c r="D144" s="4"/>
      <c r="E144" s="245">
        <v>2007</v>
      </c>
      <c r="F144" s="246" t="s">
        <v>322</v>
      </c>
      <c r="G144" s="246">
        <v>1893.44</v>
      </c>
      <c r="H144" s="246" t="s">
        <v>543</v>
      </c>
      <c r="I144" s="246" t="s">
        <v>544</v>
      </c>
      <c r="J144" s="246" t="s">
        <v>545</v>
      </c>
      <c r="K144" s="247" t="s">
        <v>351</v>
      </c>
      <c r="L144" s="248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0" customHeight="1" x14ac:dyDescent="0.2">
      <c r="A145" s="15"/>
      <c r="B145" s="4"/>
      <c r="C145" s="4"/>
      <c r="D145" s="4"/>
      <c r="E145" s="245">
        <v>2007</v>
      </c>
      <c r="F145" s="246" t="s">
        <v>327</v>
      </c>
      <c r="G145" s="246">
        <v>1789.74</v>
      </c>
      <c r="H145" s="246" t="s">
        <v>336</v>
      </c>
      <c r="I145" s="246" t="s">
        <v>546</v>
      </c>
      <c r="J145" s="246" t="s">
        <v>338</v>
      </c>
      <c r="K145" s="247" t="s">
        <v>326</v>
      </c>
      <c r="L145" s="248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0" customHeight="1" x14ac:dyDescent="0.2">
      <c r="A146" s="15"/>
      <c r="B146" s="4"/>
      <c r="C146" s="4"/>
      <c r="D146" s="4"/>
      <c r="E146" s="245">
        <v>2007</v>
      </c>
      <c r="F146" s="246" t="s">
        <v>322</v>
      </c>
      <c r="G146" s="246">
        <v>1026.2</v>
      </c>
      <c r="H146" s="246" t="s">
        <v>547</v>
      </c>
      <c r="I146" s="246" t="s">
        <v>548</v>
      </c>
      <c r="J146" s="246" t="s">
        <v>325</v>
      </c>
      <c r="K146" s="247" t="s">
        <v>326</v>
      </c>
      <c r="L146" s="248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0" customHeight="1" x14ac:dyDescent="0.2">
      <c r="A147" s="15"/>
      <c r="B147" s="4"/>
      <c r="C147" s="4"/>
      <c r="D147" s="4"/>
      <c r="E147" s="245">
        <v>2007</v>
      </c>
      <c r="F147" s="246" t="s">
        <v>322</v>
      </c>
      <c r="G147" s="246">
        <v>1447.37</v>
      </c>
      <c r="H147" s="246" t="s">
        <v>336</v>
      </c>
      <c r="I147" s="246" t="s">
        <v>549</v>
      </c>
      <c r="J147" s="246" t="s">
        <v>338</v>
      </c>
      <c r="K147" s="247" t="s">
        <v>326</v>
      </c>
      <c r="L147" s="248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0" customHeight="1" x14ac:dyDescent="0.2">
      <c r="A148" s="15"/>
      <c r="B148" s="4"/>
      <c r="C148" s="4"/>
      <c r="D148" s="4"/>
      <c r="E148" s="245">
        <v>2007</v>
      </c>
      <c r="F148" s="246" t="s">
        <v>322</v>
      </c>
      <c r="G148" s="246">
        <v>1148.49</v>
      </c>
      <c r="H148" s="246" t="s">
        <v>550</v>
      </c>
      <c r="I148" s="246" t="s">
        <v>551</v>
      </c>
      <c r="J148" s="246" t="s">
        <v>325</v>
      </c>
      <c r="K148" s="247" t="s">
        <v>326</v>
      </c>
      <c r="L148" s="248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0" customHeight="1" x14ac:dyDescent="0.2">
      <c r="A149" s="15"/>
      <c r="B149" s="4"/>
      <c r="C149" s="4"/>
      <c r="D149" s="4"/>
      <c r="E149" s="245">
        <v>2007</v>
      </c>
      <c r="F149" s="246" t="s">
        <v>322</v>
      </c>
      <c r="G149" s="246">
        <v>1685.41</v>
      </c>
      <c r="H149" s="246" t="s">
        <v>485</v>
      </c>
      <c r="I149" s="246" t="s">
        <v>383</v>
      </c>
      <c r="J149" s="246" t="s">
        <v>487</v>
      </c>
      <c r="K149" s="247" t="s">
        <v>366</v>
      </c>
      <c r="L149" s="248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0" customHeight="1" x14ac:dyDescent="0.2">
      <c r="A150" s="15"/>
      <c r="B150" s="4"/>
      <c r="C150" s="4"/>
      <c r="D150" s="4"/>
      <c r="E150" s="245">
        <v>2007</v>
      </c>
      <c r="F150" s="246" t="s">
        <v>327</v>
      </c>
      <c r="G150" s="246">
        <v>2886.57</v>
      </c>
      <c r="H150" s="246" t="s">
        <v>397</v>
      </c>
      <c r="I150" s="246" t="s">
        <v>552</v>
      </c>
      <c r="J150" s="246" t="s">
        <v>399</v>
      </c>
      <c r="K150" s="247" t="s">
        <v>400</v>
      </c>
      <c r="L150" s="24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0" customHeight="1" x14ac:dyDescent="0.2">
      <c r="A151" s="15"/>
      <c r="B151" s="4"/>
      <c r="C151" s="4"/>
      <c r="D151" s="4"/>
      <c r="E151" s="245">
        <v>2008</v>
      </c>
      <c r="F151" s="246" t="s">
        <v>322</v>
      </c>
      <c r="G151" s="246">
        <v>1089.3900000000001</v>
      </c>
      <c r="H151" s="246" t="s">
        <v>553</v>
      </c>
      <c r="I151" s="246" t="s">
        <v>554</v>
      </c>
      <c r="J151" s="246" t="s">
        <v>325</v>
      </c>
      <c r="K151" s="247" t="s">
        <v>326</v>
      </c>
      <c r="L151" s="248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0" customHeight="1" x14ac:dyDescent="0.2">
      <c r="A152" s="15"/>
      <c r="B152" s="4"/>
      <c r="C152" s="4"/>
      <c r="D152" s="4"/>
      <c r="E152" s="245">
        <v>2008</v>
      </c>
      <c r="F152" s="246" t="s">
        <v>322</v>
      </c>
      <c r="G152" s="246">
        <v>1702.13</v>
      </c>
      <c r="H152" s="246" t="s">
        <v>323</v>
      </c>
      <c r="I152" s="246" t="s">
        <v>555</v>
      </c>
      <c r="J152" s="246" t="s">
        <v>325</v>
      </c>
      <c r="K152" s="247" t="s">
        <v>326</v>
      </c>
      <c r="L152" s="24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0" customHeight="1" x14ac:dyDescent="0.2">
      <c r="A153" s="15"/>
      <c r="B153" s="4"/>
      <c r="C153" s="4"/>
      <c r="D153" s="4"/>
      <c r="E153" s="245">
        <v>2008</v>
      </c>
      <c r="F153" s="246" t="s">
        <v>322</v>
      </c>
      <c r="G153" s="246">
        <v>1802.64</v>
      </c>
      <c r="H153" s="246" t="s">
        <v>518</v>
      </c>
      <c r="I153" s="246" t="s">
        <v>556</v>
      </c>
      <c r="J153" s="246" t="s">
        <v>341</v>
      </c>
      <c r="K153" s="247" t="s">
        <v>326</v>
      </c>
      <c r="L153" s="248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0" customHeight="1" x14ac:dyDescent="0.2">
      <c r="A154" s="15"/>
      <c r="B154" s="4"/>
      <c r="C154" s="4"/>
      <c r="D154" s="4"/>
      <c r="E154" s="245">
        <v>2008</v>
      </c>
      <c r="F154" s="246" t="s">
        <v>322</v>
      </c>
      <c r="G154" s="246">
        <v>1907.94</v>
      </c>
      <c r="H154" s="246" t="s">
        <v>330</v>
      </c>
      <c r="I154" s="246" t="s">
        <v>557</v>
      </c>
      <c r="J154" s="246" t="s">
        <v>332</v>
      </c>
      <c r="K154" s="247" t="s">
        <v>333</v>
      </c>
      <c r="L154" s="24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0" customHeight="1" x14ac:dyDescent="0.2">
      <c r="A155" s="15"/>
      <c r="B155" s="4"/>
      <c r="C155" s="4"/>
      <c r="D155" s="4"/>
      <c r="E155" s="245">
        <v>2008</v>
      </c>
      <c r="F155" s="246" t="s">
        <v>322</v>
      </c>
      <c r="G155" s="246">
        <v>1005.36</v>
      </c>
      <c r="H155" s="246" t="s">
        <v>558</v>
      </c>
      <c r="I155" s="246" t="s">
        <v>559</v>
      </c>
      <c r="J155" s="246" t="s">
        <v>325</v>
      </c>
      <c r="K155" s="247" t="s">
        <v>326</v>
      </c>
      <c r="L155" s="248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0" customHeight="1" x14ac:dyDescent="0.2">
      <c r="A156" s="15"/>
      <c r="B156" s="4"/>
      <c r="C156" s="4"/>
      <c r="D156" s="4"/>
      <c r="E156" s="245">
        <v>2008</v>
      </c>
      <c r="F156" s="246" t="s">
        <v>322</v>
      </c>
      <c r="G156" s="246">
        <v>1070</v>
      </c>
      <c r="H156" s="246" t="s">
        <v>560</v>
      </c>
      <c r="I156" s="246" t="s">
        <v>561</v>
      </c>
      <c r="J156" s="246" t="s">
        <v>341</v>
      </c>
      <c r="K156" s="247" t="s">
        <v>326</v>
      </c>
      <c r="L156" s="248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0" customHeight="1" x14ac:dyDescent="0.2">
      <c r="A157" s="15"/>
      <c r="B157" s="4"/>
      <c r="C157" s="4"/>
      <c r="D157" s="4"/>
      <c r="E157" s="245">
        <v>2008</v>
      </c>
      <c r="F157" s="246" t="s">
        <v>322</v>
      </c>
      <c r="G157" s="246">
        <v>1668.63</v>
      </c>
      <c r="H157" s="246" t="s">
        <v>562</v>
      </c>
      <c r="I157" s="246" t="s">
        <v>563</v>
      </c>
      <c r="J157" s="246" t="s">
        <v>338</v>
      </c>
      <c r="K157" s="247" t="s">
        <v>326</v>
      </c>
      <c r="L157" s="248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0" customHeight="1" x14ac:dyDescent="0.2">
      <c r="A158" s="15"/>
      <c r="B158" s="4"/>
      <c r="C158" s="4"/>
      <c r="D158" s="4"/>
      <c r="E158" s="245">
        <v>2008</v>
      </c>
      <c r="F158" s="246" t="s">
        <v>322</v>
      </c>
      <c r="G158" s="246">
        <v>1589.77</v>
      </c>
      <c r="H158" s="246" t="s">
        <v>373</v>
      </c>
      <c r="I158" s="246" t="s">
        <v>564</v>
      </c>
      <c r="J158" s="246" t="s">
        <v>338</v>
      </c>
      <c r="K158" s="247" t="s">
        <v>326</v>
      </c>
      <c r="L158" s="248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0" customHeight="1" x14ac:dyDescent="0.2">
      <c r="A159" s="15"/>
      <c r="B159" s="4"/>
      <c r="C159" s="4"/>
      <c r="D159" s="4"/>
      <c r="E159" s="245">
        <v>2008</v>
      </c>
      <c r="F159" s="246" t="s">
        <v>322</v>
      </c>
      <c r="G159" s="246">
        <v>1494.62</v>
      </c>
      <c r="H159" s="246" t="s">
        <v>565</v>
      </c>
      <c r="I159" s="246" t="s">
        <v>566</v>
      </c>
      <c r="J159" s="246" t="s">
        <v>325</v>
      </c>
      <c r="K159" s="247" t="s">
        <v>326</v>
      </c>
      <c r="L159" s="248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0" customHeight="1" x14ac:dyDescent="0.2">
      <c r="A160" s="15"/>
      <c r="B160" s="4"/>
      <c r="C160" s="4"/>
      <c r="D160" s="4"/>
      <c r="E160" s="245">
        <v>2008</v>
      </c>
      <c r="F160" s="246" t="s">
        <v>322</v>
      </c>
      <c r="G160" s="246">
        <v>1907.44</v>
      </c>
      <c r="H160" s="246" t="s">
        <v>567</v>
      </c>
      <c r="I160" s="246" t="s">
        <v>568</v>
      </c>
      <c r="J160" s="246" t="s">
        <v>569</v>
      </c>
      <c r="K160" s="247" t="s">
        <v>400</v>
      </c>
      <c r="L160" s="248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0" customHeight="1" x14ac:dyDescent="0.2">
      <c r="A161" s="15"/>
      <c r="B161" s="4"/>
      <c r="C161" s="4"/>
      <c r="D161" s="4"/>
      <c r="E161" s="245">
        <v>2008</v>
      </c>
      <c r="F161" s="246" t="s">
        <v>322</v>
      </c>
      <c r="G161" s="246">
        <v>1828.91</v>
      </c>
      <c r="H161" s="246" t="s">
        <v>570</v>
      </c>
      <c r="I161" s="246" t="s">
        <v>571</v>
      </c>
      <c r="J161" s="246" t="s">
        <v>372</v>
      </c>
      <c r="K161" s="247" t="s">
        <v>366</v>
      </c>
      <c r="L161" s="248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0" customHeight="1" x14ac:dyDescent="0.2">
      <c r="A162" s="15"/>
      <c r="B162" s="4"/>
      <c r="C162" s="4"/>
      <c r="D162" s="4"/>
      <c r="E162" s="245">
        <v>2008</v>
      </c>
      <c r="F162" s="246" t="s">
        <v>322</v>
      </c>
      <c r="G162" s="246">
        <v>1761.23</v>
      </c>
      <c r="H162" s="246" t="s">
        <v>409</v>
      </c>
      <c r="I162" s="246" t="s">
        <v>572</v>
      </c>
      <c r="J162" s="246" t="s">
        <v>338</v>
      </c>
      <c r="K162" s="247" t="s">
        <v>326</v>
      </c>
      <c r="L162" s="248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0" customHeight="1" x14ac:dyDescent="0.2">
      <c r="A163" s="15"/>
      <c r="B163" s="4"/>
      <c r="C163" s="4"/>
      <c r="D163" s="4"/>
      <c r="E163" s="245">
        <v>2008</v>
      </c>
      <c r="F163" s="246" t="s">
        <v>322</v>
      </c>
      <c r="G163" s="246">
        <v>977.46</v>
      </c>
      <c r="H163" s="246" t="s">
        <v>573</v>
      </c>
      <c r="I163" s="246" t="s">
        <v>574</v>
      </c>
      <c r="J163" s="246" t="s">
        <v>325</v>
      </c>
      <c r="K163" s="247" t="s">
        <v>326</v>
      </c>
      <c r="L163" s="248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0" customHeight="1" x14ac:dyDescent="0.2">
      <c r="A164" s="15"/>
      <c r="B164" s="4"/>
      <c r="C164" s="4"/>
      <c r="D164" s="4"/>
      <c r="E164" s="245">
        <v>2008</v>
      </c>
      <c r="F164" s="246" t="s">
        <v>322</v>
      </c>
      <c r="G164" s="246">
        <v>1239.8699999999999</v>
      </c>
      <c r="H164" s="246" t="s">
        <v>575</v>
      </c>
      <c r="I164" s="246" t="s">
        <v>576</v>
      </c>
      <c r="J164" s="246" t="s">
        <v>325</v>
      </c>
      <c r="K164" s="247" t="s">
        <v>326</v>
      </c>
      <c r="L164" s="248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0" customHeight="1" x14ac:dyDescent="0.2">
      <c r="A165" s="15"/>
      <c r="B165" s="4"/>
      <c r="C165" s="4"/>
      <c r="D165" s="4"/>
      <c r="E165" s="245">
        <v>2008</v>
      </c>
      <c r="F165" s="246" t="s">
        <v>322</v>
      </c>
      <c r="G165" s="246">
        <v>1772.44</v>
      </c>
      <c r="H165" s="246" t="s">
        <v>406</v>
      </c>
      <c r="I165" s="246" t="s">
        <v>577</v>
      </c>
      <c r="J165" s="246" t="s">
        <v>408</v>
      </c>
      <c r="K165" s="247" t="s">
        <v>366</v>
      </c>
      <c r="L165" s="248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0" customHeight="1" x14ac:dyDescent="0.2">
      <c r="A166" s="15"/>
      <c r="B166" s="4"/>
      <c r="C166" s="4"/>
      <c r="D166" s="4"/>
      <c r="E166" s="245">
        <v>2009</v>
      </c>
      <c r="F166" s="246" t="s">
        <v>322</v>
      </c>
      <c r="G166" s="246">
        <v>1069.72</v>
      </c>
      <c r="H166" s="246" t="s">
        <v>578</v>
      </c>
      <c r="I166" s="246" t="s">
        <v>579</v>
      </c>
      <c r="J166" s="246" t="s">
        <v>325</v>
      </c>
      <c r="K166" s="247" t="s">
        <v>326</v>
      </c>
      <c r="L166" s="248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0" customHeight="1" x14ac:dyDescent="0.2">
      <c r="A167" s="15"/>
      <c r="B167" s="4"/>
      <c r="C167" s="4"/>
      <c r="D167" s="4"/>
      <c r="E167" s="245">
        <v>2009</v>
      </c>
      <c r="F167" s="246" t="s">
        <v>322</v>
      </c>
      <c r="G167" s="246">
        <v>1978.41</v>
      </c>
      <c r="H167" s="246" t="s">
        <v>363</v>
      </c>
      <c r="I167" s="246" t="s">
        <v>580</v>
      </c>
      <c r="J167" s="246" t="s">
        <v>365</v>
      </c>
      <c r="K167" s="247" t="s">
        <v>366</v>
      </c>
      <c r="L167" s="248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0" customHeight="1" x14ac:dyDescent="0.2">
      <c r="A168" s="15"/>
      <c r="B168" s="4"/>
      <c r="C168" s="4"/>
      <c r="D168" s="4"/>
      <c r="E168" s="245">
        <v>2009</v>
      </c>
      <c r="F168" s="246" t="s">
        <v>322</v>
      </c>
      <c r="G168" s="246">
        <v>1029.8599999999999</v>
      </c>
      <c r="H168" s="246" t="s">
        <v>427</v>
      </c>
      <c r="I168" s="246" t="s">
        <v>581</v>
      </c>
      <c r="J168" s="246" t="s">
        <v>325</v>
      </c>
      <c r="K168" s="247" t="s">
        <v>326</v>
      </c>
      <c r="L168" s="24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0" customHeight="1" x14ac:dyDescent="0.2">
      <c r="A169" s="15"/>
      <c r="B169" s="4"/>
      <c r="C169" s="4"/>
      <c r="D169" s="4"/>
      <c r="E169" s="245">
        <v>2009</v>
      </c>
      <c r="F169" s="246" t="s">
        <v>322</v>
      </c>
      <c r="G169" s="246">
        <v>1599.97</v>
      </c>
      <c r="H169" s="246" t="s">
        <v>334</v>
      </c>
      <c r="I169" s="246" t="s">
        <v>379</v>
      </c>
      <c r="J169" s="246" t="s">
        <v>335</v>
      </c>
      <c r="K169" s="247" t="s">
        <v>333</v>
      </c>
      <c r="L169" s="248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0" customHeight="1" x14ac:dyDescent="0.2">
      <c r="A170" s="15"/>
      <c r="B170" s="4"/>
      <c r="C170" s="4"/>
      <c r="D170" s="4"/>
      <c r="E170" s="245">
        <v>2009</v>
      </c>
      <c r="F170" s="246" t="s">
        <v>322</v>
      </c>
      <c r="G170" s="246">
        <v>1633.65</v>
      </c>
      <c r="H170" s="246" t="s">
        <v>439</v>
      </c>
      <c r="I170" s="246" t="s">
        <v>582</v>
      </c>
      <c r="J170" s="246" t="s">
        <v>441</v>
      </c>
      <c r="K170" s="247" t="s">
        <v>400</v>
      </c>
      <c r="L170" s="24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0" customHeight="1" x14ac:dyDescent="0.2">
      <c r="A171" s="15"/>
      <c r="B171" s="4"/>
      <c r="C171" s="4"/>
      <c r="D171" s="4"/>
      <c r="E171" s="245">
        <v>2009</v>
      </c>
      <c r="F171" s="246" t="s">
        <v>322</v>
      </c>
      <c r="G171" s="246">
        <v>2264</v>
      </c>
      <c r="H171" s="246" t="s">
        <v>467</v>
      </c>
      <c r="I171" s="246" t="s">
        <v>583</v>
      </c>
      <c r="J171" s="246" t="s">
        <v>325</v>
      </c>
      <c r="K171" s="247" t="s">
        <v>326</v>
      </c>
      <c r="L171" s="248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0" customHeight="1" x14ac:dyDescent="0.2">
      <c r="A172" s="15"/>
      <c r="B172" s="4"/>
      <c r="C172" s="4"/>
      <c r="D172" s="4"/>
      <c r="E172" s="245">
        <v>2009</v>
      </c>
      <c r="F172" s="246" t="s">
        <v>322</v>
      </c>
      <c r="G172" s="246">
        <v>1827.11</v>
      </c>
      <c r="H172" s="246" t="s">
        <v>358</v>
      </c>
      <c r="I172" s="246" t="s">
        <v>584</v>
      </c>
      <c r="J172" s="246" t="s">
        <v>360</v>
      </c>
      <c r="K172" s="247" t="s">
        <v>351</v>
      </c>
      <c r="L172" s="24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0" customHeight="1" x14ac:dyDescent="0.2">
      <c r="A173" s="15"/>
      <c r="B173" s="4"/>
      <c r="C173" s="4"/>
      <c r="D173" s="4"/>
      <c r="E173" s="245">
        <v>2009</v>
      </c>
      <c r="F173" s="246" t="s">
        <v>322</v>
      </c>
      <c r="G173" s="246">
        <v>1580.14</v>
      </c>
      <c r="H173" s="246" t="s">
        <v>339</v>
      </c>
      <c r="I173" s="246" t="s">
        <v>585</v>
      </c>
      <c r="J173" s="246" t="s">
        <v>341</v>
      </c>
      <c r="K173" s="247" t="s">
        <v>326</v>
      </c>
      <c r="L173" s="248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0" customHeight="1" x14ac:dyDescent="0.2">
      <c r="A174" s="15"/>
      <c r="B174" s="4"/>
      <c r="C174" s="4"/>
      <c r="D174" s="4"/>
      <c r="E174" s="245">
        <v>2009</v>
      </c>
      <c r="F174" s="246" t="s">
        <v>322</v>
      </c>
      <c r="G174" s="246">
        <v>1734.55</v>
      </c>
      <c r="H174" s="246" t="s">
        <v>586</v>
      </c>
      <c r="I174" s="246" t="s">
        <v>587</v>
      </c>
      <c r="J174" s="246" t="s">
        <v>325</v>
      </c>
      <c r="K174" s="247" t="s">
        <v>326</v>
      </c>
      <c r="L174" s="24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0" customHeight="1" x14ac:dyDescent="0.2">
      <c r="A175" s="15"/>
      <c r="B175" s="4"/>
      <c r="C175" s="4"/>
      <c r="D175" s="4"/>
      <c r="E175" s="245">
        <v>2009</v>
      </c>
      <c r="F175" s="246" t="s">
        <v>322</v>
      </c>
      <c r="G175" s="246">
        <v>2017.21</v>
      </c>
      <c r="H175" s="246" t="s">
        <v>384</v>
      </c>
      <c r="I175" s="246" t="s">
        <v>588</v>
      </c>
      <c r="J175" s="246" t="s">
        <v>386</v>
      </c>
      <c r="K175" s="247" t="s">
        <v>366</v>
      </c>
      <c r="L175" s="248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0" customHeight="1" x14ac:dyDescent="0.2">
      <c r="A176" s="15"/>
      <c r="B176" s="4"/>
      <c r="C176" s="4"/>
      <c r="D176" s="4"/>
      <c r="E176" s="245">
        <v>2009</v>
      </c>
      <c r="F176" s="246" t="s">
        <v>322</v>
      </c>
      <c r="G176" s="246">
        <v>1813.3600000000001</v>
      </c>
      <c r="H176" s="246" t="s">
        <v>397</v>
      </c>
      <c r="I176" s="246" t="s">
        <v>589</v>
      </c>
      <c r="J176" s="246" t="s">
        <v>399</v>
      </c>
      <c r="K176" s="247" t="s">
        <v>400</v>
      </c>
      <c r="L176" s="24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0" customHeight="1" x14ac:dyDescent="0.2">
      <c r="A177" s="15"/>
      <c r="B177" s="4"/>
      <c r="C177" s="4"/>
      <c r="D177" s="4"/>
      <c r="E177" s="245">
        <v>2009</v>
      </c>
      <c r="F177" s="246" t="s">
        <v>327</v>
      </c>
      <c r="G177" s="246">
        <v>1063.03</v>
      </c>
      <c r="H177" s="246" t="s">
        <v>590</v>
      </c>
      <c r="I177" s="246" t="s">
        <v>590</v>
      </c>
      <c r="J177" s="246" t="s">
        <v>338</v>
      </c>
      <c r="K177" s="247" t="s">
        <v>326</v>
      </c>
      <c r="L177" s="248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0" customHeight="1" x14ac:dyDescent="0.2">
      <c r="A178" s="15"/>
      <c r="B178" s="4"/>
      <c r="C178" s="4"/>
      <c r="D178" s="4"/>
      <c r="E178" s="245">
        <v>2010</v>
      </c>
      <c r="F178" s="246" t="s">
        <v>322</v>
      </c>
      <c r="G178" s="246">
        <v>2013</v>
      </c>
      <c r="H178" s="246" t="s">
        <v>431</v>
      </c>
      <c r="I178" s="246" t="s">
        <v>591</v>
      </c>
      <c r="J178" s="246" t="s">
        <v>433</v>
      </c>
      <c r="K178" s="247" t="s">
        <v>366</v>
      </c>
      <c r="L178" s="24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0" customHeight="1" x14ac:dyDescent="0.2">
      <c r="A179" s="15"/>
      <c r="B179" s="4"/>
      <c r="C179" s="4"/>
      <c r="D179" s="4"/>
      <c r="E179" s="245">
        <v>2010</v>
      </c>
      <c r="F179" s="246" t="s">
        <v>322</v>
      </c>
      <c r="G179" s="246">
        <v>1746.72</v>
      </c>
      <c r="H179" s="246" t="s">
        <v>592</v>
      </c>
      <c r="I179" s="246" t="s">
        <v>593</v>
      </c>
      <c r="J179" s="246" t="s">
        <v>483</v>
      </c>
      <c r="K179" s="247" t="s">
        <v>333</v>
      </c>
      <c r="L179" s="248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0" customHeight="1" x14ac:dyDescent="0.2">
      <c r="A180" s="15"/>
      <c r="B180" s="4"/>
      <c r="C180" s="4"/>
      <c r="D180" s="4"/>
      <c r="E180" s="245">
        <v>2010</v>
      </c>
      <c r="F180" s="246" t="s">
        <v>322</v>
      </c>
      <c r="G180" s="246">
        <v>1026.8699999999999</v>
      </c>
      <c r="H180" s="246" t="s">
        <v>323</v>
      </c>
      <c r="I180" s="246" t="s">
        <v>594</v>
      </c>
      <c r="J180" s="246" t="s">
        <v>325</v>
      </c>
      <c r="K180" s="247" t="s">
        <v>326</v>
      </c>
      <c r="L180" s="24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0" customHeight="1" x14ac:dyDescent="0.2">
      <c r="A181" s="15"/>
      <c r="B181" s="4"/>
      <c r="C181" s="4"/>
      <c r="D181" s="4"/>
      <c r="E181" s="245">
        <v>2010</v>
      </c>
      <c r="F181" s="246" t="s">
        <v>322</v>
      </c>
      <c r="G181" s="246">
        <v>1001.9</v>
      </c>
      <c r="H181" s="246" t="s">
        <v>595</v>
      </c>
      <c r="I181" s="246" t="s">
        <v>596</v>
      </c>
      <c r="J181" s="246" t="s">
        <v>341</v>
      </c>
      <c r="K181" s="247" t="s">
        <v>326</v>
      </c>
      <c r="L181" s="248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0" customHeight="1" x14ac:dyDescent="0.2">
      <c r="A182" s="15"/>
      <c r="B182" s="4"/>
      <c r="C182" s="4"/>
      <c r="D182" s="4"/>
      <c r="E182" s="245">
        <v>2010</v>
      </c>
      <c r="F182" s="246" t="s">
        <v>322</v>
      </c>
      <c r="G182" s="246">
        <v>1807.4499999999998</v>
      </c>
      <c r="H182" s="246" t="s">
        <v>339</v>
      </c>
      <c r="I182" s="246" t="s">
        <v>597</v>
      </c>
      <c r="J182" s="246" t="s">
        <v>341</v>
      </c>
      <c r="K182" s="247" t="s">
        <v>326</v>
      </c>
      <c r="L182" s="24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0" customHeight="1" x14ac:dyDescent="0.2">
      <c r="A183" s="15"/>
      <c r="B183" s="4"/>
      <c r="C183" s="4"/>
      <c r="D183" s="4"/>
      <c r="E183" s="245">
        <v>2010</v>
      </c>
      <c r="F183" s="246" t="s">
        <v>322</v>
      </c>
      <c r="G183" s="246">
        <v>1046.78</v>
      </c>
      <c r="H183" s="246" t="s">
        <v>598</v>
      </c>
      <c r="I183" s="246" t="s">
        <v>599</v>
      </c>
      <c r="J183" s="246" t="s">
        <v>338</v>
      </c>
      <c r="K183" s="247" t="s">
        <v>326</v>
      </c>
      <c r="L183" s="248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0" customHeight="1" x14ac:dyDescent="0.2">
      <c r="A184" s="15"/>
      <c r="B184" s="4"/>
      <c r="C184" s="4"/>
      <c r="D184" s="4"/>
      <c r="E184" s="245">
        <v>2010</v>
      </c>
      <c r="F184" s="246" t="s">
        <v>322</v>
      </c>
      <c r="G184" s="246">
        <v>1590.2</v>
      </c>
      <c r="H184" s="246" t="s">
        <v>600</v>
      </c>
      <c r="I184" s="246" t="s">
        <v>601</v>
      </c>
      <c r="J184" s="246" t="s">
        <v>335</v>
      </c>
      <c r="K184" s="247" t="s">
        <v>333</v>
      </c>
      <c r="L184" s="24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0" customHeight="1" x14ac:dyDescent="0.2">
      <c r="A185" s="15"/>
      <c r="B185" s="4"/>
      <c r="C185" s="4"/>
      <c r="D185" s="4"/>
      <c r="E185" s="245">
        <v>2010</v>
      </c>
      <c r="F185" s="246" t="s">
        <v>322</v>
      </c>
      <c r="G185" s="246">
        <v>1701.31</v>
      </c>
      <c r="H185" s="246" t="s">
        <v>363</v>
      </c>
      <c r="I185" s="246" t="s">
        <v>602</v>
      </c>
      <c r="J185" s="246" t="s">
        <v>365</v>
      </c>
      <c r="K185" s="247" t="s">
        <v>366</v>
      </c>
      <c r="L185" s="248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0" customHeight="1" x14ac:dyDescent="0.2">
      <c r="A186" s="15"/>
      <c r="B186" s="4"/>
      <c r="C186" s="4"/>
      <c r="D186" s="4"/>
      <c r="E186" s="245">
        <v>2010</v>
      </c>
      <c r="F186" s="246" t="s">
        <v>322</v>
      </c>
      <c r="G186" s="246">
        <v>983.83</v>
      </c>
      <c r="H186" s="246" t="s">
        <v>603</v>
      </c>
      <c r="I186" s="246" t="s">
        <v>604</v>
      </c>
      <c r="J186" s="246" t="s">
        <v>325</v>
      </c>
      <c r="K186" s="247" t="s">
        <v>326</v>
      </c>
      <c r="L186" s="24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0" customHeight="1" x14ac:dyDescent="0.2">
      <c r="A187" s="15"/>
      <c r="B187" s="4"/>
      <c r="C187" s="4"/>
      <c r="D187" s="4"/>
      <c r="E187" s="245">
        <v>2010</v>
      </c>
      <c r="F187" s="246" t="s">
        <v>322</v>
      </c>
      <c r="G187" s="246">
        <v>922.7</v>
      </c>
      <c r="H187" s="246" t="s">
        <v>471</v>
      </c>
      <c r="I187" s="246" t="s">
        <v>605</v>
      </c>
      <c r="J187" s="246" t="s">
        <v>338</v>
      </c>
      <c r="K187" s="247" t="s">
        <v>326</v>
      </c>
      <c r="L187" s="248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0" customHeight="1" x14ac:dyDescent="0.2">
      <c r="A188" s="15"/>
      <c r="B188" s="4"/>
      <c r="C188" s="4"/>
      <c r="D188" s="4"/>
      <c r="E188" s="245">
        <v>2011</v>
      </c>
      <c r="F188" s="246" t="s">
        <v>322</v>
      </c>
      <c r="G188" s="246">
        <v>1929.35</v>
      </c>
      <c r="H188" s="246" t="s">
        <v>336</v>
      </c>
      <c r="I188" s="246" t="s">
        <v>589</v>
      </c>
      <c r="J188" s="246" t="s">
        <v>338</v>
      </c>
      <c r="K188" s="247" t="s">
        <v>326</v>
      </c>
      <c r="L188" s="248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0" customHeight="1" x14ac:dyDescent="0.2">
      <c r="A189" s="15"/>
      <c r="B189" s="4"/>
      <c r="C189" s="4"/>
      <c r="D189" s="4"/>
      <c r="E189" s="245">
        <v>2011</v>
      </c>
      <c r="F189" s="246" t="s">
        <v>322</v>
      </c>
      <c r="G189" s="246">
        <v>1963.52</v>
      </c>
      <c r="H189" s="246" t="s">
        <v>606</v>
      </c>
      <c r="I189" s="246" t="s">
        <v>607</v>
      </c>
      <c r="J189" s="246" t="s">
        <v>365</v>
      </c>
      <c r="K189" s="247" t="s">
        <v>366</v>
      </c>
      <c r="L189" s="248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0" customHeight="1" x14ac:dyDescent="0.2">
      <c r="A190" s="15"/>
      <c r="B190" s="4"/>
      <c r="C190" s="4"/>
      <c r="D190" s="4"/>
      <c r="E190" s="245">
        <v>2011</v>
      </c>
      <c r="F190" s="246" t="s">
        <v>327</v>
      </c>
      <c r="G190" s="246">
        <v>2117.36</v>
      </c>
      <c r="H190" s="246" t="s">
        <v>336</v>
      </c>
      <c r="I190" s="246" t="s">
        <v>608</v>
      </c>
      <c r="J190" s="246" t="s">
        <v>338</v>
      </c>
      <c r="K190" s="247" t="s">
        <v>326</v>
      </c>
      <c r="L190" s="248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0" customHeight="1" x14ac:dyDescent="0.2">
      <c r="A191" s="15"/>
      <c r="B191" s="4"/>
      <c r="C191" s="4"/>
      <c r="D191" s="4"/>
      <c r="E191" s="245">
        <v>2011</v>
      </c>
      <c r="F191" s="246" t="s">
        <v>322</v>
      </c>
      <c r="G191" s="246">
        <v>1023.18</v>
      </c>
      <c r="H191" s="246" t="s">
        <v>547</v>
      </c>
      <c r="I191" s="246" t="s">
        <v>609</v>
      </c>
      <c r="J191" s="246" t="s">
        <v>325</v>
      </c>
      <c r="K191" s="247" t="s">
        <v>326</v>
      </c>
      <c r="L191" s="248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0" customHeight="1" x14ac:dyDescent="0.2">
      <c r="A192" s="15"/>
      <c r="B192" s="4"/>
      <c r="C192" s="4"/>
      <c r="D192" s="4"/>
      <c r="E192" s="245">
        <v>2011</v>
      </c>
      <c r="F192" s="246" t="s">
        <v>327</v>
      </c>
      <c r="G192" s="246">
        <v>2359.4499999999998</v>
      </c>
      <c r="H192" s="246" t="s">
        <v>336</v>
      </c>
      <c r="I192" s="246" t="s">
        <v>459</v>
      </c>
      <c r="J192" s="246" t="s">
        <v>338</v>
      </c>
      <c r="K192" s="247" t="s">
        <v>326</v>
      </c>
      <c r="L192" s="24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0" customHeight="1" x14ac:dyDescent="0.2">
      <c r="A193" s="15"/>
      <c r="B193" s="4"/>
      <c r="C193" s="4"/>
      <c r="D193" s="4"/>
      <c r="E193" s="245">
        <v>2011</v>
      </c>
      <c r="F193" s="246" t="s">
        <v>322</v>
      </c>
      <c r="G193" s="246">
        <v>997.95</v>
      </c>
      <c r="H193" s="246" t="s">
        <v>610</v>
      </c>
      <c r="I193" s="246" t="s">
        <v>611</v>
      </c>
      <c r="J193" s="246" t="s">
        <v>325</v>
      </c>
      <c r="K193" s="247" t="s">
        <v>326</v>
      </c>
      <c r="L193" s="248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0" customHeight="1" x14ac:dyDescent="0.2">
      <c r="A194" s="15"/>
      <c r="B194" s="4"/>
      <c r="C194" s="4"/>
      <c r="D194" s="4"/>
      <c r="E194" s="245">
        <v>2011</v>
      </c>
      <c r="F194" s="246" t="s">
        <v>322</v>
      </c>
      <c r="G194" s="246">
        <v>1093.06</v>
      </c>
      <c r="H194" s="246" t="s">
        <v>612</v>
      </c>
      <c r="I194" s="246" t="s">
        <v>613</v>
      </c>
      <c r="J194" s="246" t="s">
        <v>341</v>
      </c>
      <c r="K194" s="247" t="s">
        <v>326</v>
      </c>
      <c r="L194" s="24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0" customHeight="1" x14ac:dyDescent="0.2">
      <c r="A195" s="15"/>
      <c r="B195" s="4"/>
      <c r="C195" s="4"/>
      <c r="D195" s="4"/>
      <c r="E195" s="245">
        <v>2011</v>
      </c>
      <c r="F195" s="246" t="s">
        <v>322</v>
      </c>
      <c r="G195" s="246">
        <v>2244.1099999999997</v>
      </c>
      <c r="H195" s="246" t="s">
        <v>614</v>
      </c>
      <c r="I195" s="246" t="s">
        <v>615</v>
      </c>
      <c r="J195" s="246" t="s">
        <v>325</v>
      </c>
      <c r="K195" s="247" t="s">
        <v>326</v>
      </c>
      <c r="L195" s="248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0" customHeight="1" x14ac:dyDescent="0.2">
      <c r="A196" s="15"/>
      <c r="B196" s="4"/>
      <c r="C196" s="4"/>
      <c r="D196" s="4"/>
      <c r="E196" s="245">
        <v>2011</v>
      </c>
      <c r="F196" s="246" t="s">
        <v>322</v>
      </c>
      <c r="G196" s="246">
        <v>1164.5</v>
      </c>
      <c r="H196" s="246" t="s">
        <v>616</v>
      </c>
      <c r="I196" s="246" t="s">
        <v>617</v>
      </c>
      <c r="J196" s="246" t="s">
        <v>325</v>
      </c>
      <c r="K196" s="247" t="s">
        <v>326</v>
      </c>
      <c r="L196" s="24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0" customHeight="1" x14ac:dyDescent="0.2">
      <c r="A197" s="15"/>
      <c r="B197" s="4"/>
      <c r="C197" s="4"/>
      <c r="D197" s="4"/>
      <c r="E197" s="245">
        <v>2011</v>
      </c>
      <c r="F197" s="246" t="s">
        <v>322</v>
      </c>
      <c r="G197" s="246">
        <v>1140</v>
      </c>
      <c r="H197" s="246" t="s">
        <v>618</v>
      </c>
      <c r="I197" s="246" t="s">
        <v>619</v>
      </c>
      <c r="J197" s="246" t="s">
        <v>341</v>
      </c>
      <c r="K197" s="247" t="s">
        <v>326</v>
      </c>
      <c r="L197" s="248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0" customHeight="1" x14ac:dyDescent="0.2">
      <c r="A198" s="15"/>
      <c r="B198" s="4"/>
      <c r="C198" s="4"/>
      <c r="D198" s="4"/>
      <c r="E198" s="245">
        <v>2011</v>
      </c>
      <c r="F198" s="246" t="s">
        <v>322</v>
      </c>
      <c r="G198" s="246">
        <v>1838.28</v>
      </c>
      <c r="H198" s="246" t="s">
        <v>323</v>
      </c>
      <c r="I198" s="246" t="s">
        <v>620</v>
      </c>
      <c r="J198" s="246" t="s">
        <v>325</v>
      </c>
      <c r="K198" s="247" t="s">
        <v>326</v>
      </c>
      <c r="L198" s="24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0" customHeight="1" x14ac:dyDescent="0.2">
      <c r="A199" s="15"/>
      <c r="B199" s="4"/>
      <c r="C199" s="4"/>
      <c r="D199" s="4"/>
      <c r="E199" s="245">
        <v>2011</v>
      </c>
      <c r="F199" s="246" t="s">
        <v>322</v>
      </c>
      <c r="G199" s="246">
        <v>1782.83</v>
      </c>
      <c r="H199" s="246" t="s">
        <v>464</v>
      </c>
      <c r="I199" s="246" t="s">
        <v>621</v>
      </c>
      <c r="J199" s="246" t="s">
        <v>325</v>
      </c>
      <c r="K199" s="247" t="s">
        <v>326</v>
      </c>
      <c r="L199" s="248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0" customHeight="1" x14ac:dyDescent="0.2">
      <c r="A200" s="15"/>
      <c r="B200" s="4"/>
      <c r="C200" s="4"/>
      <c r="D200" s="4"/>
      <c r="E200" s="245">
        <v>2011</v>
      </c>
      <c r="F200" s="246" t="s">
        <v>322</v>
      </c>
      <c r="G200" s="246">
        <v>2001.61</v>
      </c>
      <c r="H200" s="246" t="s">
        <v>622</v>
      </c>
      <c r="I200" s="246" t="s">
        <v>623</v>
      </c>
      <c r="J200" s="246" t="s">
        <v>396</v>
      </c>
      <c r="K200" s="247" t="s">
        <v>326</v>
      </c>
      <c r="L200" s="24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0" customHeight="1" x14ac:dyDescent="0.2">
      <c r="A201" s="15"/>
      <c r="B201" s="4"/>
      <c r="C201" s="4"/>
      <c r="D201" s="4"/>
      <c r="E201" s="245">
        <v>2011</v>
      </c>
      <c r="F201" s="246" t="s">
        <v>322</v>
      </c>
      <c r="G201" s="246">
        <v>1005.4</v>
      </c>
      <c r="H201" s="246" t="s">
        <v>624</v>
      </c>
      <c r="I201" s="246" t="s">
        <v>625</v>
      </c>
      <c r="J201" s="246" t="s">
        <v>325</v>
      </c>
      <c r="K201" s="247" t="s">
        <v>326</v>
      </c>
      <c r="L201" s="248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0" customHeight="1" x14ac:dyDescent="0.2">
      <c r="A202" s="15"/>
      <c r="B202" s="4"/>
      <c r="C202" s="4"/>
      <c r="D202" s="4"/>
      <c r="E202" s="245">
        <v>2011</v>
      </c>
      <c r="F202" s="246" t="s">
        <v>322</v>
      </c>
      <c r="G202" s="246">
        <v>1122.26</v>
      </c>
      <c r="H202" s="246" t="s">
        <v>380</v>
      </c>
      <c r="I202" s="246" t="s">
        <v>626</v>
      </c>
      <c r="J202" s="246" t="s">
        <v>325</v>
      </c>
      <c r="K202" s="247" t="s">
        <v>326</v>
      </c>
      <c r="L202" s="24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0" customHeight="1" x14ac:dyDescent="0.2">
      <c r="A203" s="15"/>
      <c r="B203" s="4"/>
      <c r="C203" s="4"/>
      <c r="D203" s="4"/>
      <c r="E203" s="245">
        <v>2011</v>
      </c>
      <c r="F203" s="246" t="s">
        <v>322</v>
      </c>
      <c r="G203" s="246">
        <v>1886.92</v>
      </c>
      <c r="H203" s="246" t="s">
        <v>627</v>
      </c>
      <c r="I203" s="246" t="s">
        <v>628</v>
      </c>
      <c r="J203" s="246" t="s">
        <v>426</v>
      </c>
      <c r="K203" s="247" t="s">
        <v>366</v>
      </c>
      <c r="L203" s="248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0" customHeight="1" x14ac:dyDescent="0.2">
      <c r="A204" s="15"/>
      <c r="B204" s="4"/>
      <c r="C204" s="4"/>
      <c r="D204" s="4"/>
      <c r="E204" s="245">
        <v>2011</v>
      </c>
      <c r="F204" s="246" t="s">
        <v>322</v>
      </c>
      <c r="G204" s="246">
        <v>2072.36</v>
      </c>
      <c r="H204" s="246" t="s">
        <v>629</v>
      </c>
      <c r="I204" s="246" t="s">
        <v>630</v>
      </c>
      <c r="J204" s="246" t="s">
        <v>365</v>
      </c>
      <c r="K204" s="247" t="s">
        <v>366</v>
      </c>
      <c r="L204" s="248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0" customHeight="1" x14ac:dyDescent="0.2">
      <c r="A205" s="15"/>
      <c r="B205" s="4"/>
      <c r="C205" s="4"/>
      <c r="D205" s="4"/>
      <c r="E205" s="245">
        <v>2011</v>
      </c>
      <c r="F205" s="246" t="s">
        <v>322</v>
      </c>
      <c r="G205" s="246">
        <v>2120.84</v>
      </c>
      <c r="H205" s="246" t="s">
        <v>431</v>
      </c>
      <c r="I205" s="246" t="s">
        <v>631</v>
      </c>
      <c r="J205" s="246" t="s">
        <v>433</v>
      </c>
      <c r="K205" s="247" t="s">
        <v>366</v>
      </c>
      <c r="L205" s="248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0" customHeight="1" x14ac:dyDescent="0.2">
      <c r="A206" s="15"/>
      <c r="B206" s="4"/>
      <c r="C206" s="4"/>
      <c r="D206" s="4"/>
      <c r="E206" s="245">
        <v>2012</v>
      </c>
      <c r="F206" s="246" t="s">
        <v>322</v>
      </c>
      <c r="G206" s="246">
        <v>1983.8400000000001</v>
      </c>
      <c r="H206" s="246" t="s">
        <v>334</v>
      </c>
      <c r="I206" s="246" t="s">
        <v>632</v>
      </c>
      <c r="J206" s="246" t="s">
        <v>335</v>
      </c>
      <c r="K206" s="247" t="s">
        <v>333</v>
      </c>
      <c r="L206" s="248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0" customHeight="1" x14ac:dyDescent="0.2">
      <c r="A207" s="15"/>
      <c r="B207" s="4"/>
      <c r="C207" s="4"/>
      <c r="D207" s="4"/>
      <c r="E207" s="245">
        <v>2012</v>
      </c>
      <c r="F207" s="246" t="s">
        <v>322</v>
      </c>
      <c r="G207" s="246">
        <v>1950.75</v>
      </c>
      <c r="H207" s="246" t="s">
        <v>397</v>
      </c>
      <c r="I207" s="246" t="s">
        <v>633</v>
      </c>
      <c r="J207" s="246" t="s">
        <v>399</v>
      </c>
      <c r="K207" s="247" t="s">
        <v>400</v>
      </c>
      <c r="L207" s="248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0" customHeight="1" x14ac:dyDescent="0.2">
      <c r="A208" s="15"/>
      <c r="B208" s="4"/>
      <c r="C208" s="4"/>
      <c r="D208" s="4"/>
      <c r="E208" s="245">
        <v>2012</v>
      </c>
      <c r="F208" s="246" t="s">
        <v>322</v>
      </c>
      <c r="G208" s="246">
        <v>2025.25</v>
      </c>
      <c r="H208" s="246" t="s">
        <v>634</v>
      </c>
      <c r="I208" s="246" t="s">
        <v>635</v>
      </c>
      <c r="J208" s="246" t="s">
        <v>408</v>
      </c>
      <c r="K208" s="247" t="s">
        <v>366</v>
      </c>
      <c r="L208" s="248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0" customHeight="1" x14ac:dyDescent="0.2">
      <c r="A209" s="15"/>
      <c r="B209" s="4"/>
      <c r="C209" s="4"/>
      <c r="D209" s="4"/>
      <c r="E209" s="245">
        <v>2012</v>
      </c>
      <c r="F209" s="246" t="s">
        <v>322</v>
      </c>
      <c r="G209" s="246">
        <v>2011</v>
      </c>
      <c r="H209" s="246" t="s">
        <v>339</v>
      </c>
      <c r="I209" s="246" t="s">
        <v>636</v>
      </c>
      <c r="J209" s="246" t="s">
        <v>341</v>
      </c>
      <c r="K209" s="247" t="s">
        <v>326</v>
      </c>
      <c r="L209" s="248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0" customHeight="1" x14ac:dyDescent="0.2">
      <c r="A210" s="15"/>
      <c r="B210" s="4"/>
      <c r="C210" s="4"/>
      <c r="D210" s="4"/>
      <c r="E210" s="245">
        <v>2012</v>
      </c>
      <c r="F210" s="246" t="s">
        <v>322</v>
      </c>
      <c r="G210" s="246">
        <v>1003.5</v>
      </c>
      <c r="H210" s="246" t="s">
        <v>370</v>
      </c>
      <c r="I210" s="246" t="s">
        <v>477</v>
      </c>
      <c r="J210" s="246" t="s">
        <v>372</v>
      </c>
      <c r="K210" s="247" t="s">
        <v>366</v>
      </c>
      <c r="L210" s="248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0" customHeight="1" x14ac:dyDescent="0.2">
      <c r="A211" s="15"/>
      <c r="B211" s="4"/>
      <c r="C211" s="4"/>
      <c r="D211" s="4"/>
      <c r="E211" s="245">
        <v>2012</v>
      </c>
      <c r="F211" s="246" t="s">
        <v>322</v>
      </c>
      <c r="G211" s="246">
        <v>2336.0100000000002</v>
      </c>
      <c r="H211" s="246" t="s">
        <v>363</v>
      </c>
      <c r="I211" s="246" t="s">
        <v>637</v>
      </c>
      <c r="J211" s="246" t="s">
        <v>365</v>
      </c>
      <c r="K211" s="247" t="s">
        <v>366</v>
      </c>
      <c r="L211" s="248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0" customHeight="1" x14ac:dyDescent="0.2">
      <c r="A212" s="15"/>
      <c r="B212" s="4"/>
      <c r="C212" s="4"/>
      <c r="D212" s="4"/>
      <c r="E212" s="245">
        <v>2012</v>
      </c>
      <c r="F212" s="246" t="s">
        <v>322</v>
      </c>
      <c r="G212" s="246">
        <v>1008.76</v>
      </c>
      <c r="H212" s="246" t="s">
        <v>500</v>
      </c>
      <c r="I212" s="246" t="s">
        <v>638</v>
      </c>
      <c r="J212" s="246" t="s">
        <v>372</v>
      </c>
      <c r="K212" s="247" t="s">
        <v>366</v>
      </c>
      <c r="L212" s="248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0" customHeight="1" x14ac:dyDescent="0.2">
      <c r="A213" s="15"/>
      <c r="B213" s="4"/>
      <c r="C213" s="4"/>
      <c r="D213" s="4"/>
      <c r="E213" s="245">
        <v>2012</v>
      </c>
      <c r="F213" s="246" t="s">
        <v>322</v>
      </c>
      <c r="G213" s="246">
        <v>2239.7799999999997</v>
      </c>
      <c r="H213" s="246" t="s">
        <v>639</v>
      </c>
      <c r="I213" s="246" t="s">
        <v>640</v>
      </c>
      <c r="J213" s="246" t="s">
        <v>433</v>
      </c>
      <c r="K213" s="247" t="s">
        <v>366</v>
      </c>
      <c r="L213" s="24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0" customHeight="1" x14ac:dyDescent="0.2">
      <c r="A214" s="15"/>
      <c r="B214" s="4"/>
      <c r="C214" s="4"/>
      <c r="D214" s="4"/>
      <c r="E214" s="245">
        <v>2012</v>
      </c>
      <c r="F214" s="246" t="s">
        <v>322</v>
      </c>
      <c r="G214" s="246">
        <v>1876.6</v>
      </c>
      <c r="H214" s="246" t="s">
        <v>641</v>
      </c>
      <c r="I214" s="246" t="s">
        <v>642</v>
      </c>
      <c r="J214" s="246" t="s">
        <v>372</v>
      </c>
      <c r="K214" s="247" t="s">
        <v>366</v>
      </c>
      <c r="L214" s="248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0" customHeight="1" x14ac:dyDescent="0.2">
      <c r="A215" s="15"/>
      <c r="B215" s="4"/>
      <c r="C215" s="4"/>
      <c r="D215" s="4"/>
      <c r="E215" s="245">
        <v>2012</v>
      </c>
      <c r="F215" s="246" t="s">
        <v>322</v>
      </c>
      <c r="G215" s="246">
        <v>1163.23</v>
      </c>
      <c r="H215" s="246" t="s">
        <v>643</v>
      </c>
      <c r="I215" s="246" t="s">
        <v>644</v>
      </c>
      <c r="J215" s="246" t="s">
        <v>325</v>
      </c>
      <c r="K215" s="247" t="s">
        <v>326</v>
      </c>
      <c r="L215" s="248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0" customHeight="1" x14ac:dyDescent="0.2">
      <c r="A216" s="15"/>
      <c r="B216" s="4"/>
      <c r="C216" s="4"/>
      <c r="D216" s="4"/>
      <c r="E216" s="245">
        <v>2012</v>
      </c>
      <c r="F216" s="246" t="s">
        <v>322</v>
      </c>
      <c r="G216" s="246">
        <v>1735.32</v>
      </c>
      <c r="H216" s="246" t="s">
        <v>387</v>
      </c>
      <c r="I216" s="246" t="s">
        <v>645</v>
      </c>
      <c r="J216" s="246" t="s">
        <v>325</v>
      </c>
      <c r="K216" s="247" t="s">
        <v>326</v>
      </c>
      <c r="L216" s="248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0" customHeight="1" x14ac:dyDescent="0.2">
      <c r="A217" s="15"/>
      <c r="B217" s="4"/>
      <c r="C217" s="4"/>
      <c r="D217" s="4"/>
      <c r="E217" s="245">
        <v>2012</v>
      </c>
      <c r="F217" s="246" t="s">
        <v>322</v>
      </c>
      <c r="G217" s="246">
        <v>2322.39</v>
      </c>
      <c r="H217" s="246" t="s">
        <v>481</v>
      </c>
      <c r="I217" s="246" t="s">
        <v>646</v>
      </c>
      <c r="J217" s="246" t="s">
        <v>483</v>
      </c>
      <c r="K217" s="247" t="s">
        <v>333</v>
      </c>
      <c r="L217" s="248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0" customHeight="1" x14ac:dyDescent="0.2">
      <c r="A218" s="15"/>
      <c r="B218" s="4"/>
      <c r="C218" s="4"/>
      <c r="D218" s="4"/>
      <c r="E218" s="245">
        <v>2012</v>
      </c>
      <c r="F218" s="246" t="s">
        <v>322</v>
      </c>
      <c r="G218" s="246">
        <v>2250.0500000000002</v>
      </c>
      <c r="H218" s="246" t="s">
        <v>370</v>
      </c>
      <c r="I218" s="246" t="s">
        <v>647</v>
      </c>
      <c r="J218" s="246" t="s">
        <v>372</v>
      </c>
      <c r="K218" s="247" t="s">
        <v>366</v>
      </c>
      <c r="L218" s="248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0" customHeight="1" x14ac:dyDescent="0.2">
      <c r="A219" s="15"/>
      <c r="B219" s="4"/>
      <c r="C219" s="4"/>
      <c r="D219" s="4"/>
      <c r="E219" s="245">
        <v>2012</v>
      </c>
      <c r="F219" s="246" t="s">
        <v>322</v>
      </c>
      <c r="G219" s="246">
        <v>2252.56</v>
      </c>
      <c r="H219" s="246" t="s">
        <v>328</v>
      </c>
      <c r="I219" s="246" t="s">
        <v>648</v>
      </c>
      <c r="J219" s="246" t="s">
        <v>325</v>
      </c>
      <c r="K219" s="247" t="s">
        <v>326</v>
      </c>
      <c r="L219" s="248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0" customHeight="1" x14ac:dyDescent="0.2">
      <c r="A220" s="15"/>
      <c r="B220" s="4"/>
      <c r="C220" s="4"/>
      <c r="D220" s="4"/>
      <c r="E220" s="245">
        <v>2012</v>
      </c>
      <c r="F220" s="246" t="s">
        <v>322</v>
      </c>
      <c r="G220" s="246">
        <v>2127.14</v>
      </c>
      <c r="H220" s="246" t="s">
        <v>380</v>
      </c>
      <c r="I220" s="246" t="s">
        <v>649</v>
      </c>
      <c r="J220" s="246" t="s">
        <v>325</v>
      </c>
      <c r="K220" s="247" t="s">
        <v>326</v>
      </c>
      <c r="L220" s="248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0" customHeight="1" x14ac:dyDescent="0.2">
      <c r="A221" s="15"/>
      <c r="B221" s="4"/>
      <c r="C221" s="4"/>
      <c r="D221" s="4"/>
      <c r="E221" s="245">
        <v>2012</v>
      </c>
      <c r="F221" s="246" t="s">
        <v>322</v>
      </c>
      <c r="G221" s="246">
        <v>1112.3900000000001</v>
      </c>
      <c r="H221" s="246" t="s">
        <v>650</v>
      </c>
      <c r="I221" s="246" t="s">
        <v>651</v>
      </c>
      <c r="J221" s="246" t="s">
        <v>325</v>
      </c>
      <c r="K221" s="247" t="s">
        <v>326</v>
      </c>
      <c r="L221" s="248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0" customHeight="1" x14ac:dyDescent="0.2">
      <c r="A222" s="15"/>
      <c r="B222" s="4"/>
      <c r="C222" s="4"/>
      <c r="D222" s="4"/>
      <c r="E222" s="245">
        <v>2012</v>
      </c>
      <c r="F222" s="246" t="s">
        <v>322</v>
      </c>
      <c r="G222" s="246">
        <v>998.86</v>
      </c>
      <c r="H222" s="246" t="s">
        <v>449</v>
      </c>
      <c r="I222" s="246" t="s">
        <v>652</v>
      </c>
      <c r="J222" s="246" t="s">
        <v>396</v>
      </c>
      <c r="K222" s="247" t="s">
        <v>326</v>
      </c>
      <c r="L222" s="248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0" customHeight="1" x14ac:dyDescent="0.2">
      <c r="A223" s="15"/>
      <c r="B223" s="4"/>
      <c r="C223" s="4"/>
      <c r="D223" s="4"/>
      <c r="E223" s="245">
        <v>2012</v>
      </c>
      <c r="F223" s="246" t="s">
        <v>322</v>
      </c>
      <c r="G223" s="246">
        <v>2109.9</v>
      </c>
      <c r="H223" s="246" t="s">
        <v>336</v>
      </c>
      <c r="I223" s="246" t="s">
        <v>653</v>
      </c>
      <c r="J223" s="246" t="s">
        <v>338</v>
      </c>
      <c r="K223" s="247" t="s">
        <v>326</v>
      </c>
      <c r="L223" s="248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0" customHeight="1" x14ac:dyDescent="0.2">
      <c r="A224" s="15"/>
      <c r="B224" s="4"/>
      <c r="C224" s="4"/>
      <c r="D224" s="4"/>
      <c r="E224" s="245">
        <v>2012</v>
      </c>
      <c r="F224" s="246" t="s">
        <v>322</v>
      </c>
      <c r="G224" s="246">
        <v>1112.23</v>
      </c>
      <c r="H224" s="246" t="s">
        <v>498</v>
      </c>
      <c r="I224" s="246" t="s">
        <v>654</v>
      </c>
      <c r="J224" s="246" t="s">
        <v>332</v>
      </c>
      <c r="K224" s="247" t="s">
        <v>333</v>
      </c>
      <c r="L224" s="248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0" customHeight="1" x14ac:dyDescent="0.2">
      <c r="A225" s="15"/>
      <c r="B225" s="4"/>
      <c r="C225" s="4"/>
      <c r="D225" s="4"/>
      <c r="E225" s="245">
        <v>2013</v>
      </c>
      <c r="F225" s="246" t="s">
        <v>322</v>
      </c>
      <c r="G225" s="246">
        <v>1012.44</v>
      </c>
      <c r="H225" s="246" t="s">
        <v>655</v>
      </c>
      <c r="I225" s="246" t="s">
        <v>656</v>
      </c>
      <c r="J225" s="246" t="s">
        <v>426</v>
      </c>
      <c r="K225" s="247" t="s">
        <v>366</v>
      </c>
      <c r="L225" s="248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0" customHeight="1" x14ac:dyDescent="0.2">
      <c r="A226" s="15"/>
      <c r="B226" s="4"/>
      <c r="C226" s="4"/>
      <c r="D226" s="4"/>
      <c r="E226" s="245">
        <v>2013</v>
      </c>
      <c r="F226" s="246" t="s">
        <v>322</v>
      </c>
      <c r="G226" s="246">
        <v>2020.36</v>
      </c>
      <c r="H226" s="246" t="s">
        <v>657</v>
      </c>
      <c r="I226" s="246" t="s">
        <v>658</v>
      </c>
      <c r="J226" s="246" t="s">
        <v>399</v>
      </c>
      <c r="K226" s="247" t="s">
        <v>400</v>
      </c>
      <c r="L226" s="248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0" customHeight="1" x14ac:dyDescent="0.2">
      <c r="A227" s="15"/>
      <c r="B227" s="4"/>
      <c r="C227" s="4"/>
      <c r="D227" s="4"/>
      <c r="E227" s="245">
        <v>2013</v>
      </c>
      <c r="F227" s="246" t="s">
        <v>322</v>
      </c>
      <c r="G227" s="246">
        <v>2201.29</v>
      </c>
      <c r="H227" s="246" t="s">
        <v>659</v>
      </c>
      <c r="I227" s="246" t="s">
        <v>660</v>
      </c>
      <c r="J227" s="246" t="s">
        <v>341</v>
      </c>
      <c r="K227" s="247" t="s">
        <v>326</v>
      </c>
      <c r="L227" s="248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0" customHeight="1" x14ac:dyDescent="0.2">
      <c r="A228" s="15"/>
      <c r="B228" s="4"/>
      <c r="C228" s="4"/>
      <c r="D228" s="4"/>
      <c r="E228" s="245">
        <v>2013</v>
      </c>
      <c r="F228" s="246" t="s">
        <v>322</v>
      </c>
      <c r="G228" s="246">
        <v>1307.8699999999999</v>
      </c>
      <c r="H228" s="246" t="s">
        <v>661</v>
      </c>
      <c r="I228" s="246" t="s">
        <v>662</v>
      </c>
      <c r="J228" s="246" t="s">
        <v>663</v>
      </c>
      <c r="K228" s="247" t="s">
        <v>400</v>
      </c>
      <c r="L228" s="248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0" customHeight="1" x14ac:dyDescent="0.2">
      <c r="A229" s="15"/>
      <c r="B229" s="4"/>
      <c r="C229" s="4"/>
      <c r="D229" s="4"/>
      <c r="E229" s="245">
        <v>2013</v>
      </c>
      <c r="F229" s="246" t="s">
        <v>327</v>
      </c>
      <c r="G229" s="246">
        <v>1052.42</v>
      </c>
      <c r="H229" s="246" t="s">
        <v>664</v>
      </c>
      <c r="I229" s="246" t="s">
        <v>665</v>
      </c>
      <c r="J229" s="246" t="s">
        <v>386</v>
      </c>
      <c r="K229" s="247" t="s">
        <v>366</v>
      </c>
      <c r="L229" s="248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0" customHeight="1" x14ac:dyDescent="0.2">
      <c r="A230" s="15"/>
      <c r="B230" s="4"/>
      <c r="C230" s="4"/>
      <c r="D230" s="4"/>
      <c r="E230" s="245">
        <v>2013</v>
      </c>
      <c r="F230" s="246" t="s">
        <v>322</v>
      </c>
      <c r="G230" s="246">
        <v>1066.57</v>
      </c>
      <c r="H230" s="246" t="s">
        <v>666</v>
      </c>
      <c r="I230" s="246" t="s">
        <v>667</v>
      </c>
      <c r="J230" s="246" t="s">
        <v>325</v>
      </c>
      <c r="K230" s="247" t="s">
        <v>326</v>
      </c>
      <c r="L230" s="248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0" customHeight="1" x14ac:dyDescent="0.2">
      <c r="A231" s="15"/>
      <c r="B231" s="4"/>
      <c r="C231" s="4"/>
      <c r="D231" s="4"/>
      <c r="E231" s="245">
        <v>2013</v>
      </c>
      <c r="F231" s="246" t="s">
        <v>322</v>
      </c>
      <c r="G231" s="246">
        <v>1543.15</v>
      </c>
      <c r="H231" s="246" t="s">
        <v>336</v>
      </c>
      <c r="I231" s="246" t="s">
        <v>668</v>
      </c>
      <c r="J231" s="246" t="s">
        <v>338</v>
      </c>
      <c r="K231" s="247" t="s">
        <v>326</v>
      </c>
      <c r="L231" s="248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0" customHeight="1" x14ac:dyDescent="0.2">
      <c r="A232" s="15"/>
      <c r="B232" s="4"/>
      <c r="C232" s="4"/>
      <c r="D232" s="4"/>
      <c r="E232" s="245">
        <v>2013</v>
      </c>
      <c r="F232" s="246" t="s">
        <v>322</v>
      </c>
      <c r="G232" s="246">
        <v>1799</v>
      </c>
      <c r="H232" s="246" t="s">
        <v>384</v>
      </c>
      <c r="I232" s="246" t="s">
        <v>669</v>
      </c>
      <c r="J232" s="246" t="s">
        <v>386</v>
      </c>
      <c r="K232" s="247" t="s">
        <v>366</v>
      </c>
      <c r="L232" s="24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0" customHeight="1" x14ac:dyDescent="0.2">
      <c r="A233" s="15"/>
      <c r="B233" s="4"/>
      <c r="C233" s="4"/>
      <c r="D233" s="4"/>
      <c r="E233" s="245">
        <v>2013</v>
      </c>
      <c r="F233" s="246" t="s">
        <v>322</v>
      </c>
      <c r="G233" s="246">
        <v>1528.79</v>
      </c>
      <c r="H233" s="246" t="s">
        <v>406</v>
      </c>
      <c r="I233" s="246" t="s">
        <v>670</v>
      </c>
      <c r="J233" s="246" t="s">
        <v>408</v>
      </c>
      <c r="K233" s="247" t="s">
        <v>366</v>
      </c>
      <c r="L233" s="248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0" customHeight="1" x14ac:dyDescent="0.2">
      <c r="A234" s="15"/>
      <c r="B234" s="4"/>
      <c r="C234" s="4"/>
      <c r="D234" s="4"/>
      <c r="E234" s="245">
        <v>2013</v>
      </c>
      <c r="F234" s="246" t="s">
        <v>322</v>
      </c>
      <c r="G234" s="246">
        <v>2119.85</v>
      </c>
      <c r="H234" s="246" t="s">
        <v>348</v>
      </c>
      <c r="I234" s="246" t="s">
        <v>671</v>
      </c>
      <c r="J234" s="246" t="s">
        <v>350</v>
      </c>
      <c r="K234" s="247" t="s">
        <v>351</v>
      </c>
      <c r="L234" s="248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0" customHeight="1" x14ac:dyDescent="0.2">
      <c r="A235" s="15"/>
      <c r="B235" s="4"/>
      <c r="C235" s="4"/>
      <c r="D235" s="4"/>
      <c r="E235" s="245">
        <v>2013</v>
      </c>
      <c r="F235" s="246" t="s">
        <v>322</v>
      </c>
      <c r="G235" s="246">
        <v>2127.42</v>
      </c>
      <c r="H235" s="246" t="s">
        <v>672</v>
      </c>
      <c r="I235" s="246" t="s">
        <v>673</v>
      </c>
      <c r="J235" s="246" t="s">
        <v>360</v>
      </c>
      <c r="K235" s="247" t="s">
        <v>351</v>
      </c>
      <c r="L235" s="248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0" customHeight="1" x14ac:dyDescent="0.2">
      <c r="A236" s="15"/>
      <c r="B236" s="4"/>
      <c r="C236" s="4"/>
      <c r="D236" s="4"/>
      <c r="E236" s="245">
        <v>2013</v>
      </c>
      <c r="F236" s="246" t="s">
        <v>322</v>
      </c>
      <c r="G236" s="246">
        <v>996.3</v>
      </c>
      <c r="H236" s="246" t="s">
        <v>496</v>
      </c>
      <c r="I236" s="246" t="s">
        <v>674</v>
      </c>
      <c r="J236" s="246" t="s">
        <v>325</v>
      </c>
      <c r="K236" s="247" t="s">
        <v>326</v>
      </c>
      <c r="L236" s="248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0" customHeight="1" x14ac:dyDescent="0.2">
      <c r="A237" s="15"/>
      <c r="B237" s="4"/>
      <c r="C237" s="4"/>
      <c r="D237" s="4"/>
      <c r="E237" s="245">
        <v>2013</v>
      </c>
      <c r="F237" s="246" t="s">
        <v>327</v>
      </c>
      <c r="G237" s="246">
        <v>980.1</v>
      </c>
      <c r="H237" s="246" t="s">
        <v>336</v>
      </c>
      <c r="I237" s="246" t="s">
        <v>675</v>
      </c>
      <c r="J237" s="246" t="s">
        <v>338</v>
      </c>
      <c r="K237" s="247" t="s">
        <v>326</v>
      </c>
      <c r="L237" s="248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0" customHeight="1" x14ac:dyDescent="0.2">
      <c r="A238" s="15"/>
      <c r="B238" s="4"/>
      <c r="C238" s="4"/>
      <c r="D238" s="4"/>
      <c r="E238" s="245">
        <v>2013</v>
      </c>
      <c r="F238" s="246" t="s">
        <v>322</v>
      </c>
      <c r="G238" s="246">
        <v>2198.73</v>
      </c>
      <c r="H238" s="246" t="s">
        <v>406</v>
      </c>
      <c r="I238" s="246" t="s">
        <v>676</v>
      </c>
      <c r="J238" s="246" t="s">
        <v>408</v>
      </c>
      <c r="K238" s="247" t="s">
        <v>366</v>
      </c>
      <c r="L238" s="248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0" customHeight="1" x14ac:dyDescent="0.2">
      <c r="A239" s="15"/>
      <c r="B239" s="4"/>
      <c r="C239" s="4"/>
      <c r="D239" s="4"/>
      <c r="E239" s="245">
        <v>2013</v>
      </c>
      <c r="F239" s="246" t="s">
        <v>322</v>
      </c>
      <c r="G239" s="246">
        <v>2197.63</v>
      </c>
      <c r="H239" s="246" t="s">
        <v>469</v>
      </c>
      <c r="I239" s="246" t="s">
        <v>677</v>
      </c>
      <c r="J239" s="246" t="s">
        <v>341</v>
      </c>
      <c r="K239" s="247" t="s">
        <v>326</v>
      </c>
      <c r="L239" s="248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0" customHeight="1" x14ac:dyDescent="0.2">
      <c r="A240" s="15"/>
      <c r="B240" s="4"/>
      <c r="C240" s="4"/>
      <c r="D240" s="4"/>
      <c r="E240" s="245">
        <v>2013</v>
      </c>
      <c r="F240" s="246" t="s">
        <v>322</v>
      </c>
      <c r="G240" s="246">
        <v>1000.36</v>
      </c>
      <c r="H240" s="246" t="s">
        <v>622</v>
      </c>
      <c r="I240" s="246" t="s">
        <v>678</v>
      </c>
      <c r="J240" s="246" t="s">
        <v>396</v>
      </c>
      <c r="K240" s="247" t="s">
        <v>326</v>
      </c>
      <c r="L240" s="24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0" customHeight="1" x14ac:dyDescent="0.2">
      <c r="A241" s="15"/>
      <c r="B241" s="4"/>
      <c r="C241" s="4"/>
      <c r="D241" s="4"/>
      <c r="E241" s="245">
        <v>2013</v>
      </c>
      <c r="F241" s="246" t="s">
        <v>322</v>
      </c>
      <c r="G241" s="246">
        <v>2172.31</v>
      </c>
      <c r="H241" s="246" t="s">
        <v>679</v>
      </c>
      <c r="I241" s="246" t="s">
        <v>680</v>
      </c>
      <c r="J241" s="246" t="s">
        <v>350</v>
      </c>
      <c r="K241" s="247" t="s">
        <v>351</v>
      </c>
      <c r="L241" s="248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0" customHeight="1" x14ac:dyDescent="0.2">
      <c r="A242" s="15"/>
      <c r="B242" s="4"/>
      <c r="C242" s="4"/>
      <c r="D242" s="4"/>
      <c r="E242" s="245">
        <v>2013</v>
      </c>
      <c r="F242" s="246" t="s">
        <v>322</v>
      </c>
      <c r="G242" s="246">
        <v>1646.01</v>
      </c>
      <c r="H242" s="246" t="s">
        <v>681</v>
      </c>
      <c r="I242" s="246" t="s">
        <v>682</v>
      </c>
      <c r="J242" s="246" t="s">
        <v>332</v>
      </c>
      <c r="K242" s="247" t="s">
        <v>333</v>
      </c>
      <c r="L242" s="248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0" customHeight="1" x14ac:dyDescent="0.2">
      <c r="A243" s="15"/>
      <c r="B243" s="4"/>
      <c r="C243" s="4"/>
      <c r="D243" s="4"/>
      <c r="E243" s="245">
        <v>2013</v>
      </c>
      <c r="F243" s="246" t="s">
        <v>322</v>
      </c>
      <c r="G243" s="246">
        <v>2226.06</v>
      </c>
      <c r="H243" s="246" t="s">
        <v>323</v>
      </c>
      <c r="I243" s="246" t="s">
        <v>683</v>
      </c>
      <c r="J243" s="246" t="s">
        <v>325</v>
      </c>
      <c r="K243" s="247" t="s">
        <v>326</v>
      </c>
      <c r="L243" s="248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0" customHeight="1" x14ac:dyDescent="0.2">
      <c r="A244" s="15"/>
      <c r="B244" s="4"/>
      <c r="C244" s="4"/>
      <c r="D244" s="4"/>
      <c r="E244" s="245">
        <v>2014</v>
      </c>
      <c r="F244" s="246" t="s">
        <v>322</v>
      </c>
      <c r="G244" s="246">
        <v>1559.21</v>
      </c>
      <c r="H244" s="246" t="s">
        <v>684</v>
      </c>
      <c r="I244" s="246" t="s">
        <v>685</v>
      </c>
      <c r="J244" s="246" t="s">
        <v>396</v>
      </c>
      <c r="K244" s="247" t="s">
        <v>326</v>
      </c>
      <c r="L244" s="248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0" customHeight="1" x14ac:dyDescent="0.2">
      <c r="A245" s="15"/>
      <c r="B245" s="4"/>
      <c r="C245" s="4"/>
      <c r="D245" s="4"/>
      <c r="E245" s="245">
        <v>2014</v>
      </c>
      <c r="F245" s="246" t="s">
        <v>327</v>
      </c>
      <c r="G245" s="246">
        <v>2267.34</v>
      </c>
      <c r="H245" s="246" t="s">
        <v>479</v>
      </c>
      <c r="I245" s="246" t="s">
        <v>686</v>
      </c>
      <c r="J245" s="246" t="s">
        <v>341</v>
      </c>
      <c r="K245" s="247" t="s">
        <v>326</v>
      </c>
      <c r="L245" s="248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0" customHeight="1" x14ac:dyDescent="0.2">
      <c r="A246" s="15"/>
      <c r="B246" s="4"/>
      <c r="C246" s="4"/>
      <c r="D246" s="4"/>
      <c r="E246" s="245">
        <v>2014</v>
      </c>
      <c r="F246" s="246" t="s">
        <v>322</v>
      </c>
      <c r="G246" s="246">
        <v>2162.27</v>
      </c>
      <c r="H246" s="246" t="s">
        <v>431</v>
      </c>
      <c r="I246" s="246" t="s">
        <v>687</v>
      </c>
      <c r="J246" s="246" t="s">
        <v>433</v>
      </c>
      <c r="K246" s="247" t="s">
        <v>366</v>
      </c>
      <c r="L246" s="248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0" customHeight="1" x14ac:dyDescent="0.2">
      <c r="A247" s="15"/>
      <c r="B247" s="4"/>
      <c r="C247" s="4"/>
      <c r="D247" s="4"/>
      <c r="E247" s="245">
        <v>2014</v>
      </c>
      <c r="F247" s="246" t="s">
        <v>322</v>
      </c>
      <c r="G247" s="246">
        <v>2201.6999999999998</v>
      </c>
      <c r="H247" s="246" t="s">
        <v>449</v>
      </c>
      <c r="I247" s="246" t="s">
        <v>688</v>
      </c>
      <c r="J247" s="246" t="s">
        <v>396</v>
      </c>
      <c r="K247" s="247" t="s">
        <v>326</v>
      </c>
      <c r="L247" s="248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0" customHeight="1" x14ac:dyDescent="0.2">
      <c r="A248" s="15"/>
      <c r="B248" s="4"/>
      <c r="C248" s="4"/>
      <c r="D248" s="4"/>
      <c r="E248" s="245">
        <v>2014</v>
      </c>
      <c r="F248" s="246" t="s">
        <v>322</v>
      </c>
      <c r="G248" s="246">
        <v>2304</v>
      </c>
      <c r="H248" s="246" t="s">
        <v>406</v>
      </c>
      <c r="I248" s="246" t="s">
        <v>689</v>
      </c>
      <c r="J248" s="246" t="s">
        <v>408</v>
      </c>
      <c r="K248" s="247" t="s">
        <v>366</v>
      </c>
      <c r="L248" s="24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0" customHeight="1" x14ac:dyDescent="0.2">
      <c r="A249" s="15"/>
      <c r="B249" s="4"/>
      <c r="C249" s="4"/>
      <c r="D249" s="4"/>
      <c r="E249" s="245">
        <v>2014</v>
      </c>
      <c r="F249" s="246" t="s">
        <v>322</v>
      </c>
      <c r="G249" s="246">
        <v>1029.96</v>
      </c>
      <c r="H249" s="246" t="s">
        <v>661</v>
      </c>
      <c r="I249" s="246" t="s">
        <v>690</v>
      </c>
      <c r="J249" s="246" t="s">
        <v>663</v>
      </c>
      <c r="K249" s="247" t="s">
        <v>400</v>
      </c>
      <c r="L249" s="248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0" customHeight="1" x14ac:dyDescent="0.2">
      <c r="A250" s="15"/>
      <c r="B250" s="4"/>
      <c r="C250" s="4"/>
      <c r="D250" s="4"/>
      <c r="E250" s="245">
        <v>2014</v>
      </c>
      <c r="F250" s="246" t="s">
        <v>322</v>
      </c>
      <c r="G250" s="246">
        <v>2129.5100000000002</v>
      </c>
      <c r="H250" s="246" t="s">
        <v>502</v>
      </c>
      <c r="I250" s="246" t="s">
        <v>691</v>
      </c>
      <c r="J250" s="246" t="s">
        <v>504</v>
      </c>
      <c r="K250" s="247" t="s">
        <v>366</v>
      </c>
      <c r="L250" s="248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0" customHeight="1" x14ac:dyDescent="0.2">
      <c r="A251" s="15"/>
      <c r="B251" s="4"/>
      <c r="C251" s="4"/>
      <c r="D251" s="4"/>
      <c r="E251" s="245">
        <v>2014</v>
      </c>
      <c r="F251" s="246" t="s">
        <v>322</v>
      </c>
      <c r="G251" s="246">
        <v>2050.33</v>
      </c>
      <c r="H251" s="246" t="s">
        <v>692</v>
      </c>
      <c r="I251" s="246" t="s">
        <v>693</v>
      </c>
      <c r="J251" s="246" t="s">
        <v>694</v>
      </c>
      <c r="K251" s="247" t="s">
        <v>400</v>
      </c>
      <c r="L251" s="248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0" customHeight="1" x14ac:dyDescent="0.2">
      <c r="A252" s="15"/>
      <c r="B252" s="4"/>
      <c r="C252" s="4"/>
      <c r="D252" s="4"/>
      <c r="E252" s="245">
        <v>2014</v>
      </c>
      <c r="F252" s="246" t="s">
        <v>322</v>
      </c>
      <c r="G252" s="246">
        <v>840.53</v>
      </c>
      <c r="H252" s="246" t="s">
        <v>464</v>
      </c>
      <c r="I252" s="246" t="s">
        <v>695</v>
      </c>
      <c r="J252" s="246" t="s">
        <v>325</v>
      </c>
      <c r="K252" s="247" t="s">
        <v>326</v>
      </c>
      <c r="L252" s="248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0" customHeight="1" x14ac:dyDescent="0.2">
      <c r="A253" s="15"/>
      <c r="B253" s="4"/>
      <c r="C253" s="4"/>
      <c r="D253" s="4"/>
      <c r="E253" s="245">
        <v>2014</v>
      </c>
      <c r="F253" s="246" t="s">
        <v>322</v>
      </c>
      <c r="G253" s="246">
        <v>1001.58</v>
      </c>
      <c r="H253" s="246" t="s">
        <v>696</v>
      </c>
      <c r="I253" s="246" t="s">
        <v>697</v>
      </c>
      <c r="J253" s="246" t="s">
        <v>350</v>
      </c>
      <c r="K253" s="247" t="s">
        <v>351</v>
      </c>
      <c r="L253" s="248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0" customHeight="1" x14ac:dyDescent="0.2">
      <c r="A254" s="15"/>
      <c r="B254" s="4"/>
      <c r="C254" s="4"/>
      <c r="D254" s="4"/>
      <c r="E254" s="245">
        <v>2014</v>
      </c>
      <c r="F254" s="246" t="s">
        <v>322</v>
      </c>
      <c r="G254" s="246">
        <v>1118.2</v>
      </c>
      <c r="H254" s="246" t="s">
        <v>698</v>
      </c>
      <c r="I254" s="246" t="s">
        <v>699</v>
      </c>
      <c r="J254" s="246" t="s">
        <v>350</v>
      </c>
      <c r="K254" s="247" t="s">
        <v>351</v>
      </c>
      <c r="L254" s="248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0" customHeight="1" x14ac:dyDescent="0.2">
      <c r="A255" s="15"/>
      <c r="B255" s="4"/>
      <c r="C255" s="4"/>
      <c r="D255" s="4"/>
      <c r="E255" s="245">
        <v>2014</v>
      </c>
      <c r="F255" s="246" t="s">
        <v>322</v>
      </c>
      <c r="G255" s="246">
        <v>2149.44</v>
      </c>
      <c r="H255" s="246" t="s">
        <v>700</v>
      </c>
      <c r="I255" s="246" t="s">
        <v>701</v>
      </c>
      <c r="J255" s="246" t="s">
        <v>702</v>
      </c>
      <c r="K255" s="247" t="s">
        <v>400</v>
      </c>
      <c r="L255" s="248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0" customHeight="1" x14ac:dyDescent="0.2">
      <c r="A256" s="15"/>
      <c r="B256" s="4"/>
      <c r="C256" s="4"/>
      <c r="D256" s="4"/>
      <c r="E256" s="245">
        <v>2014</v>
      </c>
      <c r="F256" s="246" t="s">
        <v>327</v>
      </c>
      <c r="G256" s="246">
        <v>2176.35</v>
      </c>
      <c r="H256" s="246" t="s">
        <v>459</v>
      </c>
      <c r="I256" s="246" t="s">
        <v>703</v>
      </c>
      <c r="J256" s="246" t="s">
        <v>461</v>
      </c>
      <c r="K256" s="247" t="s">
        <v>351</v>
      </c>
      <c r="L256" s="24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0" customHeight="1" x14ac:dyDescent="0.2">
      <c r="A257" s="15"/>
      <c r="B257" s="4"/>
      <c r="C257" s="4"/>
      <c r="D257" s="4"/>
      <c r="E257" s="245">
        <v>2014</v>
      </c>
      <c r="F257" s="246" t="s">
        <v>322</v>
      </c>
      <c r="G257" s="246">
        <v>2158.88</v>
      </c>
      <c r="H257" s="246" t="s">
        <v>420</v>
      </c>
      <c r="I257" s="246" t="s">
        <v>704</v>
      </c>
      <c r="J257" s="246" t="s">
        <v>422</v>
      </c>
      <c r="K257" s="247" t="s">
        <v>366</v>
      </c>
      <c r="L257" s="248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0" customHeight="1" x14ac:dyDescent="0.2">
      <c r="A258" s="15"/>
      <c r="B258" s="4"/>
      <c r="C258" s="4"/>
      <c r="D258" s="4"/>
      <c r="E258" s="245">
        <v>2014</v>
      </c>
      <c r="F258" s="246" t="s">
        <v>322</v>
      </c>
      <c r="G258" s="246">
        <v>1095.46</v>
      </c>
      <c r="H258" s="246" t="s">
        <v>705</v>
      </c>
      <c r="I258" s="246" t="s">
        <v>706</v>
      </c>
      <c r="J258" s="246" t="s">
        <v>408</v>
      </c>
      <c r="K258" s="247" t="s">
        <v>366</v>
      </c>
      <c r="L258" s="248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0" customHeight="1" x14ac:dyDescent="0.2">
      <c r="A259" s="15"/>
      <c r="B259" s="4"/>
      <c r="C259" s="4"/>
      <c r="D259" s="4"/>
      <c r="E259" s="245">
        <v>2014</v>
      </c>
      <c r="F259" s="246" t="s">
        <v>322</v>
      </c>
      <c r="G259" s="246">
        <v>2084.46</v>
      </c>
      <c r="H259" s="246" t="s">
        <v>439</v>
      </c>
      <c r="I259" s="246" t="s">
        <v>707</v>
      </c>
      <c r="J259" s="246" t="s">
        <v>441</v>
      </c>
      <c r="K259" s="247" t="s">
        <v>400</v>
      </c>
      <c r="L259" s="248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0" customHeight="1" x14ac:dyDescent="0.2">
      <c r="A260" s="15"/>
      <c r="B260" s="4"/>
      <c r="C260" s="4"/>
      <c r="D260" s="4"/>
      <c r="E260" s="245">
        <v>2014</v>
      </c>
      <c r="F260" s="246" t="s">
        <v>322</v>
      </c>
      <c r="G260" s="246">
        <v>2208.75</v>
      </c>
      <c r="H260" s="246" t="s">
        <v>439</v>
      </c>
      <c r="I260" s="246" t="s">
        <v>708</v>
      </c>
      <c r="J260" s="246" t="s">
        <v>441</v>
      </c>
      <c r="K260" s="247" t="s">
        <v>400</v>
      </c>
      <c r="L260" s="248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0" customHeight="1" x14ac:dyDescent="0.2">
      <c r="A261" s="15"/>
      <c r="B261" s="4"/>
      <c r="C261" s="4"/>
      <c r="D261" s="4"/>
      <c r="E261" s="245">
        <v>2014</v>
      </c>
      <c r="F261" s="246" t="s">
        <v>322</v>
      </c>
      <c r="G261" s="246">
        <v>2091.84</v>
      </c>
      <c r="H261" s="246" t="s">
        <v>709</v>
      </c>
      <c r="I261" s="246" t="s">
        <v>710</v>
      </c>
      <c r="J261" s="246" t="s">
        <v>399</v>
      </c>
      <c r="K261" s="247" t="s">
        <v>400</v>
      </c>
      <c r="L261" s="248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0" customHeight="1" x14ac:dyDescent="0.2">
      <c r="A262" s="15"/>
      <c r="B262" s="4"/>
      <c r="C262" s="4"/>
      <c r="D262" s="4"/>
      <c r="E262" s="245">
        <v>2014</v>
      </c>
      <c r="F262" s="246" t="s">
        <v>322</v>
      </c>
      <c r="G262" s="246">
        <v>1777.29</v>
      </c>
      <c r="H262" s="246" t="s">
        <v>336</v>
      </c>
      <c r="I262" s="246" t="s">
        <v>711</v>
      </c>
      <c r="J262" s="246" t="s">
        <v>338</v>
      </c>
      <c r="K262" s="247" t="s">
        <v>326</v>
      </c>
      <c r="L262" s="248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0" customHeight="1" x14ac:dyDescent="0.2">
      <c r="A263" s="15"/>
      <c r="B263" s="4"/>
      <c r="C263" s="4"/>
      <c r="D263" s="4"/>
      <c r="E263" s="245">
        <v>2015</v>
      </c>
      <c r="F263" s="246" t="s">
        <v>322</v>
      </c>
      <c r="G263" s="246">
        <v>2254.8000000000002</v>
      </c>
      <c r="H263" s="246" t="s">
        <v>712</v>
      </c>
      <c r="I263" s="246" t="s">
        <v>713</v>
      </c>
      <c r="J263" s="246" t="s">
        <v>433</v>
      </c>
      <c r="K263" s="247" t="s">
        <v>366</v>
      </c>
      <c r="L263" s="248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0" customHeight="1" x14ac:dyDescent="0.2">
      <c r="A264" s="15"/>
      <c r="B264" s="4"/>
      <c r="C264" s="4"/>
      <c r="D264" s="4"/>
      <c r="E264" s="245">
        <v>2015</v>
      </c>
      <c r="F264" s="246" t="s">
        <v>322</v>
      </c>
      <c r="G264" s="246">
        <v>1026.44</v>
      </c>
      <c r="H264" s="246" t="s">
        <v>427</v>
      </c>
      <c r="I264" s="246" t="s">
        <v>714</v>
      </c>
      <c r="J264" s="246" t="s">
        <v>325</v>
      </c>
      <c r="K264" s="247" t="s">
        <v>326</v>
      </c>
      <c r="L264" s="248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0" customHeight="1" x14ac:dyDescent="0.2">
      <c r="A265" s="15"/>
      <c r="B265" s="4"/>
      <c r="C265" s="4"/>
      <c r="D265" s="4"/>
      <c r="E265" s="245">
        <v>2015</v>
      </c>
      <c r="F265" s="246" t="s">
        <v>327</v>
      </c>
      <c r="G265" s="246">
        <v>2133.86</v>
      </c>
      <c r="H265" s="246" t="s">
        <v>403</v>
      </c>
      <c r="I265" s="246" t="s">
        <v>403</v>
      </c>
      <c r="J265" s="246" t="s">
        <v>338</v>
      </c>
      <c r="K265" s="247" t="s">
        <v>326</v>
      </c>
      <c r="L265" s="248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0" customHeight="1" x14ac:dyDescent="0.2">
      <c r="A266" s="15"/>
      <c r="B266" s="4"/>
      <c r="C266" s="4"/>
      <c r="D266" s="4"/>
      <c r="E266" s="245">
        <v>2015</v>
      </c>
      <c r="F266" s="246" t="s">
        <v>322</v>
      </c>
      <c r="G266" s="246">
        <v>956.08</v>
      </c>
      <c r="H266" s="246" t="s">
        <v>406</v>
      </c>
      <c r="I266" s="246" t="s">
        <v>715</v>
      </c>
      <c r="J266" s="246" t="s">
        <v>408</v>
      </c>
      <c r="K266" s="247" t="s">
        <v>366</v>
      </c>
      <c r="L266" s="248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0" customHeight="1" x14ac:dyDescent="0.2">
      <c r="A267" s="15"/>
      <c r="B267" s="4"/>
      <c r="C267" s="4"/>
      <c r="D267" s="4"/>
      <c r="E267" s="245">
        <v>2015</v>
      </c>
      <c r="F267" s="246" t="s">
        <v>322</v>
      </c>
      <c r="G267" s="246">
        <v>977.61</v>
      </c>
      <c r="H267" s="246" t="s">
        <v>328</v>
      </c>
      <c r="I267" s="246" t="s">
        <v>716</v>
      </c>
      <c r="J267" s="246" t="s">
        <v>325</v>
      </c>
      <c r="K267" s="247" t="s">
        <v>326</v>
      </c>
      <c r="L267" s="248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0" customHeight="1" x14ac:dyDescent="0.2">
      <c r="A268" s="15"/>
      <c r="B268" s="4"/>
      <c r="C268" s="4"/>
      <c r="D268" s="4"/>
      <c r="E268" s="245">
        <v>2015</v>
      </c>
      <c r="F268" s="246" t="s">
        <v>322</v>
      </c>
      <c r="G268" s="246">
        <v>1975.12</v>
      </c>
      <c r="H268" s="246" t="s">
        <v>717</v>
      </c>
      <c r="I268" s="246" t="s">
        <v>718</v>
      </c>
      <c r="J268" s="246" t="s">
        <v>719</v>
      </c>
      <c r="K268" s="247" t="s">
        <v>400</v>
      </c>
      <c r="L268" s="248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0" customHeight="1" x14ac:dyDescent="0.2">
      <c r="A269" s="15"/>
      <c r="B269" s="4"/>
      <c r="C269" s="4"/>
      <c r="D269" s="4"/>
      <c r="E269" s="245">
        <v>2015</v>
      </c>
      <c r="F269" s="246" t="s">
        <v>322</v>
      </c>
      <c r="G269" s="246">
        <v>2281.38</v>
      </c>
      <c r="H269" s="246" t="s">
        <v>397</v>
      </c>
      <c r="I269" s="246" t="s">
        <v>720</v>
      </c>
      <c r="J269" s="246" t="s">
        <v>399</v>
      </c>
      <c r="K269" s="247" t="s">
        <v>400</v>
      </c>
      <c r="L269" s="248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0" customHeight="1" x14ac:dyDescent="0.2">
      <c r="A270" s="15"/>
      <c r="B270" s="4"/>
      <c r="C270" s="4"/>
      <c r="D270" s="4"/>
      <c r="E270" s="245">
        <v>2015</v>
      </c>
      <c r="F270" s="246" t="s">
        <v>322</v>
      </c>
      <c r="G270" s="246">
        <v>2153</v>
      </c>
      <c r="H270" s="246" t="s">
        <v>721</v>
      </c>
      <c r="I270" s="246" t="s">
        <v>722</v>
      </c>
      <c r="J270" s="246" t="s">
        <v>341</v>
      </c>
      <c r="K270" s="247" t="s">
        <v>326</v>
      </c>
      <c r="L270" s="248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0" customHeight="1" x14ac:dyDescent="0.2">
      <c r="A271" s="15"/>
      <c r="B271" s="4"/>
      <c r="C271" s="4"/>
      <c r="D271" s="4"/>
      <c r="E271" s="245">
        <v>2015</v>
      </c>
      <c r="F271" s="246" t="s">
        <v>327</v>
      </c>
      <c r="G271" s="246">
        <v>1393.3200000000002</v>
      </c>
      <c r="H271" s="246" t="s">
        <v>323</v>
      </c>
      <c r="I271" s="246" t="s">
        <v>723</v>
      </c>
      <c r="J271" s="246" t="s">
        <v>325</v>
      </c>
      <c r="K271" s="247" t="s">
        <v>326</v>
      </c>
      <c r="L271" s="24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0" customHeight="1" x14ac:dyDescent="0.2">
      <c r="A272" s="15"/>
      <c r="B272" s="4"/>
      <c r="C272" s="4"/>
      <c r="D272" s="4"/>
      <c r="E272" s="245">
        <v>2015</v>
      </c>
      <c r="F272" s="246" t="s">
        <v>322</v>
      </c>
      <c r="G272" s="246">
        <v>2372.56</v>
      </c>
      <c r="H272" s="246" t="s">
        <v>502</v>
      </c>
      <c r="I272" s="246" t="s">
        <v>724</v>
      </c>
      <c r="J272" s="246" t="s">
        <v>504</v>
      </c>
      <c r="K272" s="247" t="s">
        <v>366</v>
      </c>
      <c r="L272" s="24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0" customHeight="1" x14ac:dyDescent="0.2">
      <c r="A273" s="15"/>
      <c r="B273" s="4"/>
      <c r="C273" s="4"/>
      <c r="D273" s="4"/>
      <c r="E273" s="245">
        <v>2015</v>
      </c>
      <c r="F273" s="246" t="s">
        <v>322</v>
      </c>
      <c r="G273" s="246">
        <v>2048.5500000000002</v>
      </c>
      <c r="H273" s="246" t="s">
        <v>725</v>
      </c>
      <c r="I273" s="246" t="s">
        <v>726</v>
      </c>
      <c r="J273" s="246" t="s">
        <v>372</v>
      </c>
      <c r="K273" s="247" t="s">
        <v>366</v>
      </c>
      <c r="L273" s="24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0" customHeight="1" x14ac:dyDescent="0.2">
      <c r="A274" s="15"/>
      <c r="B274" s="4"/>
      <c r="C274" s="4"/>
      <c r="D274" s="4"/>
      <c r="E274" s="245">
        <v>2015</v>
      </c>
      <c r="F274" s="246" t="s">
        <v>322</v>
      </c>
      <c r="G274" s="246">
        <v>998.11</v>
      </c>
      <c r="H274" s="246" t="s">
        <v>479</v>
      </c>
      <c r="I274" s="246" t="s">
        <v>727</v>
      </c>
      <c r="J274" s="246" t="s">
        <v>341</v>
      </c>
      <c r="K274" s="247" t="s">
        <v>326</v>
      </c>
      <c r="L274" s="24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0" customHeight="1" x14ac:dyDescent="0.2">
      <c r="A275" s="15"/>
      <c r="B275" s="4"/>
      <c r="C275" s="4"/>
      <c r="D275" s="4"/>
      <c r="E275" s="245">
        <v>2016</v>
      </c>
      <c r="F275" s="246" t="s">
        <v>322</v>
      </c>
      <c r="G275" s="246">
        <v>2184.59</v>
      </c>
      <c r="H275" s="246" t="s">
        <v>403</v>
      </c>
      <c r="I275" s="246" t="s">
        <v>728</v>
      </c>
      <c r="J275" s="246" t="s">
        <v>338</v>
      </c>
      <c r="K275" s="247" t="s">
        <v>326</v>
      </c>
      <c r="L275" s="248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0" customHeight="1" x14ac:dyDescent="0.2">
      <c r="A276" s="15"/>
      <c r="B276" s="4"/>
      <c r="C276" s="4"/>
      <c r="D276" s="4"/>
      <c r="E276" s="245">
        <v>2016</v>
      </c>
      <c r="F276" s="246" t="s">
        <v>322</v>
      </c>
      <c r="G276" s="246">
        <v>2178.14</v>
      </c>
      <c r="H276" s="246" t="s">
        <v>323</v>
      </c>
      <c r="I276" s="246" t="s">
        <v>729</v>
      </c>
      <c r="J276" s="246" t="s">
        <v>325</v>
      </c>
      <c r="K276" s="247" t="s">
        <v>326</v>
      </c>
      <c r="L276" s="248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0" customHeight="1" x14ac:dyDescent="0.2">
      <c r="A277" s="15"/>
      <c r="B277" s="4"/>
      <c r="C277" s="4"/>
      <c r="D277" s="4"/>
      <c r="E277" s="245">
        <v>2018</v>
      </c>
      <c r="F277" s="246" t="s">
        <v>327</v>
      </c>
      <c r="G277" s="246">
        <v>1975.94</v>
      </c>
      <c r="H277" s="246" t="s">
        <v>730</v>
      </c>
      <c r="I277" s="246" t="s">
        <v>730</v>
      </c>
      <c r="J277" s="246" t="s">
        <v>325</v>
      </c>
      <c r="K277" s="247" t="s">
        <v>326</v>
      </c>
      <c r="L277" s="248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0" customHeight="1" x14ac:dyDescent="0.2">
      <c r="A278" s="15"/>
      <c r="B278" s="4"/>
      <c r="C278" s="4"/>
      <c r="D278" s="4"/>
      <c r="E278" s="245">
        <v>2018</v>
      </c>
      <c r="F278" s="246" t="s">
        <v>322</v>
      </c>
      <c r="G278" s="246">
        <v>2061.3000000000002</v>
      </c>
      <c r="H278" s="246" t="s">
        <v>543</v>
      </c>
      <c r="I278" s="246" t="s">
        <v>731</v>
      </c>
      <c r="J278" s="246" t="s">
        <v>545</v>
      </c>
      <c r="K278" s="247" t="s">
        <v>351</v>
      </c>
      <c r="L278" s="248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0" customHeight="1" x14ac:dyDescent="0.2">
      <c r="A279" s="15"/>
      <c r="B279" s="4"/>
      <c r="C279" s="4"/>
      <c r="D279" s="4"/>
      <c r="E279" s="245">
        <v>2018</v>
      </c>
      <c r="F279" s="246" t="s">
        <v>322</v>
      </c>
      <c r="G279" s="246">
        <v>1853.8600000000001</v>
      </c>
      <c r="H279" s="246" t="s">
        <v>732</v>
      </c>
      <c r="I279" s="246" t="s">
        <v>733</v>
      </c>
      <c r="J279" s="246" t="s">
        <v>372</v>
      </c>
      <c r="K279" s="247" t="s">
        <v>366</v>
      </c>
      <c r="L279" s="248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0" customHeight="1" x14ac:dyDescent="0.2">
      <c r="A280" s="15"/>
      <c r="B280" s="4"/>
      <c r="C280" s="4"/>
      <c r="D280" s="4"/>
      <c r="E280" s="245">
        <v>2018</v>
      </c>
      <c r="F280" s="246" t="s">
        <v>322</v>
      </c>
      <c r="G280" s="246">
        <v>2099.04</v>
      </c>
      <c r="H280" s="246" t="s">
        <v>521</v>
      </c>
      <c r="I280" s="246" t="s">
        <v>734</v>
      </c>
      <c r="J280" s="246" t="s">
        <v>422</v>
      </c>
      <c r="K280" s="247" t="s">
        <v>366</v>
      </c>
      <c r="L280" s="248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0" customHeight="1" x14ac:dyDescent="0.2">
      <c r="A281" s="15"/>
      <c r="B281" s="4"/>
      <c r="C281" s="4"/>
      <c r="D281" s="4"/>
      <c r="E281" s="245">
        <v>2019</v>
      </c>
      <c r="F281" s="246" t="s">
        <v>322</v>
      </c>
      <c r="G281" s="246">
        <v>1993.96</v>
      </c>
      <c r="H281" s="246" t="s">
        <v>735</v>
      </c>
      <c r="I281" s="246" t="s">
        <v>736</v>
      </c>
      <c r="J281" s="246" t="s">
        <v>365</v>
      </c>
      <c r="K281" s="247" t="s">
        <v>366</v>
      </c>
      <c r="L281" s="248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0" customHeight="1" x14ac:dyDescent="0.2">
      <c r="A282" s="15"/>
      <c r="B282" s="4"/>
      <c r="C282" s="4"/>
      <c r="D282" s="4"/>
      <c r="E282" s="245">
        <v>2019</v>
      </c>
      <c r="F282" s="246" t="s">
        <v>322</v>
      </c>
      <c r="G282" s="246">
        <v>2234.0500000000002</v>
      </c>
      <c r="H282" s="246" t="s">
        <v>737</v>
      </c>
      <c r="I282" s="246" t="s">
        <v>738</v>
      </c>
      <c r="J282" s="246" t="s">
        <v>372</v>
      </c>
      <c r="K282" s="247" t="s">
        <v>366</v>
      </c>
      <c r="L282" s="248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0" customHeight="1" x14ac:dyDescent="0.2">
      <c r="A283" s="15"/>
      <c r="B283" s="4"/>
      <c r="C283" s="4"/>
      <c r="D283" s="4"/>
      <c r="E283" s="245">
        <v>2019</v>
      </c>
      <c r="F283" s="246" t="s">
        <v>322</v>
      </c>
      <c r="G283" s="246">
        <v>2177.0700000000002</v>
      </c>
      <c r="H283" s="246" t="s">
        <v>739</v>
      </c>
      <c r="I283" s="246" t="s">
        <v>740</v>
      </c>
      <c r="J283" s="246" t="s">
        <v>399</v>
      </c>
      <c r="K283" s="247" t="s">
        <v>400</v>
      </c>
      <c r="L283" s="248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0" customHeight="1" x14ac:dyDescent="0.2">
      <c r="A284" s="15"/>
      <c r="B284" s="4"/>
      <c r="C284" s="4"/>
      <c r="D284" s="4"/>
      <c r="E284" s="245">
        <v>2019</v>
      </c>
      <c r="F284" s="246" t="s">
        <v>322</v>
      </c>
      <c r="G284" s="246">
        <v>2012.82</v>
      </c>
      <c r="H284" s="246" t="s">
        <v>330</v>
      </c>
      <c r="I284" s="246" t="s">
        <v>741</v>
      </c>
      <c r="J284" s="246" t="s">
        <v>332</v>
      </c>
      <c r="K284" s="247" t="s">
        <v>333</v>
      </c>
      <c r="L284" s="248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0" customHeight="1" x14ac:dyDescent="0.2">
      <c r="A285" s="15"/>
      <c r="B285" s="4"/>
      <c r="C285" s="4"/>
      <c r="D285" s="4"/>
      <c r="E285" s="245">
        <v>2019</v>
      </c>
      <c r="F285" s="246" t="s">
        <v>322</v>
      </c>
      <c r="G285" s="246">
        <v>1397</v>
      </c>
      <c r="H285" s="246" t="s">
        <v>742</v>
      </c>
      <c r="I285" s="246" t="s">
        <v>743</v>
      </c>
      <c r="J285" s="246" t="s">
        <v>325</v>
      </c>
      <c r="K285" s="247" t="s">
        <v>326</v>
      </c>
      <c r="L285" s="248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0" customHeight="1" x14ac:dyDescent="0.2">
      <c r="A286" s="15"/>
      <c r="B286" s="4"/>
      <c r="C286" s="4"/>
      <c r="D286" s="4"/>
      <c r="E286" s="245">
        <v>2019</v>
      </c>
      <c r="F286" s="246" t="s">
        <v>322</v>
      </c>
      <c r="G286" s="246">
        <v>1740</v>
      </c>
      <c r="H286" s="246" t="s">
        <v>744</v>
      </c>
      <c r="I286" s="246" t="s">
        <v>745</v>
      </c>
      <c r="J286" s="246" t="s">
        <v>483</v>
      </c>
      <c r="K286" s="247" t="s">
        <v>333</v>
      </c>
      <c r="L286" s="248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0" customHeight="1" x14ac:dyDescent="0.2">
      <c r="A287" s="15"/>
      <c r="B287" s="4"/>
      <c r="C287" s="4"/>
      <c r="D287" s="4"/>
      <c r="E287" s="245">
        <v>2019</v>
      </c>
      <c r="F287" s="246" t="s">
        <v>322</v>
      </c>
      <c r="G287" s="246">
        <v>2191.16</v>
      </c>
      <c r="H287" s="246" t="s">
        <v>439</v>
      </c>
      <c r="I287" s="246" t="s">
        <v>746</v>
      </c>
      <c r="J287" s="246" t="s">
        <v>441</v>
      </c>
      <c r="K287" s="247" t="s">
        <v>400</v>
      </c>
      <c r="L287" s="248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0" customHeight="1" x14ac:dyDescent="0.2">
      <c r="A288" s="15"/>
      <c r="B288" s="4"/>
      <c r="C288" s="4"/>
      <c r="D288" s="4"/>
      <c r="E288" s="245">
        <v>2019</v>
      </c>
      <c r="F288" s="246" t="s">
        <v>322</v>
      </c>
      <c r="G288" s="246">
        <v>2129.5100000000002</v>
      </c>
      <c r="H288" s="246" t="s">
        <v>406</v>
      </c>
      <c r="I288" s="246" t="s">
        <v>747</v>
      </c>
      <c r="J288" s="246" t="s">
        <v>408</v>
      </c>
      <c r="K288" s="247" t="s">
        <v>366</v>
      </c>
      <c r="L288" s="248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0" customHeight="1" x14ac:dyDescent="0.2">
      <c r="A289" s="15"/>
      <c r="B289" s="4"/>
      <c r="C289" s="4"/>
      <c r="D289" s="4"/>
      <c r="E289" s="245">
        <v>2019</v>
      </c>
      <c r="F289" s="246" t="s">
        <v>322</v>
      </c>
      <c r="G289" s="246">
        <v>1853.94</v>
      </c>
      <c r="H289" s="246" t="s">
        <v>424</v>
      </c>
      <c r="I289" s="246" t="s">
        <v>748</v>
      </c>
      <c r="J289" s="246" t="s">
        <v>426</v>
      </c>
      <c r="K289" s="247" t="s">
        <v>366</v>
      </c>
      <c r="L289" s="248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0" customHeight="1" x14ac:dyDescent="0.2">
      <c r="A290" s="15"/>
      <c r="B290" s="4"/>
      <c r="C290" s="4"/>
      <c r="D290" s="4"/>
      <c r="E290" s="245">
        <v>2019</v>
      </c>
      <c r="F290" s="246" t="s">
        <v>322</v>
      </c>
      <c r="G290" s="246">
        <v>1750.74</v>
      </c>
      <c r="H290" s="246" t="s">
        <v>749</v>
      </c>
      <c r="I290" s="246" t="s">
        <v>750</v>
      </c>
      <c r="J290" s="246" t="s">
        <v>338</v>
      </c>
      <c r="K290" s="247" t="s">
        <v>326</v>
      </c>
      <c r="L290" s="248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0" customHeight="1" x14ac:dyDescent="0.2">
      <c r="A291" s="15"/>
      <c r="B291" s="4"/>
      <c r="C291" s="4"/>
      <c r="D291" s="4"/>
      <c r="E291" s="245">
        <v>2020</v>
      </c>
      <c r="F291" s="246" t="s">
        <v>322</v>
      </c>
      <c r="G291" s="246">
        <v>2130</v>
      </c>
      <c r="H291" s="246" t="s">
        <v>751</v>
      </c>
      <c r="I291" s="246" t="s">
        <v>752</v>
      </c>
      <c r="J291" s="246" t="s">
        <v>365</v>
      </c>
      <c r="K291" s="247" t="s">
        <v>366</v>
      </c>
      <c r="L291" s="248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0" customHeight="1" x14ac:dyDescent="0.2">
      <c r="A292" s="15"/>
      <c r="B292" s="4"/>
      <c r="C292" s="4"/>
      <c r="D292" s="4"/>
      <c r="E292" s="245">
        <v>2020</v>
      </c>
      <c r="F292" s="246" t="s">
        <v>322</v>
      </c>
      <c r="G292" s="246">
        <v>1736</v>
      </c>
      <c r="H292" s="246" t="s">
        <v>753</v>
      </c>
      <c r="I292" s="246" t="s">
        <v>754</v>
      </c>
      <c r="J292" s="246" t="s">
        <v>325</v>
      </c>
      <c r="K292" s="247" t="s">
        <v>326</v>
      </c>
      <c r="L292" s="248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0" customHeight="1" x14ac:dyDescent="0.2">
      <c r="A293" s="15"/>
      <c r="B293" s="4"/>
      <c r="C293" s="4"/>
      <c r="D293" s="4"/>
      <c r="E293" s="245">
        <v>2020</v>
      </c>
      <c r="F293" s="246" t="s">
        <v>322</v>
      </c>
      <c r="G293" s="246">
        <v>2126</v>
      </c>
      <c r="H293" s="246" t="s">
        <v>380</v>
      </c>
      <c r="I293" s="246" t="s">
        <v>755</v>
      </c>
      <c r="J293" s="246" t="s">
        <v>325</v>
      </c>
      <c r="K293" s="247" t="s">
        <v>326</v>
      </c>
      <c r="L293" s="248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0" customHeight="1" x14ac:dyDescent="0.2">
      <c r="A294" s="15"/>
      <c r="B294" s="4"/>
      <c r="C294" s="4"/>
      <c r="D294" s="4"/>
      <c r="E294" s="245">
        <v>2020</v>
      </c>
      <c r="F294" s="246" t="s">
        <v>322</v>
      </c>
      <c r="G294" s="246">
        <v>1865</v>
      </c>
      <c r="H294" s="246" t="s">
        <v>431</v>
      </c>
      <c r="I294" s="246" t="s">
        <v>756</v>
      </c>
      <c r="J294" s="246" t="s">
        <v>433</v>
      </c>
      <c r="K294" s="247" t="s">
        <v>366</v>
      </c>
      <c r="L294" s="248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0" customHeight="1" x14ac:dyDescent="0.2">
      <c r="A295" s="15"/>
      <c r="B295" s="4"/>
      <c r="C295" s="4"/>
      <c r="D295" s="4"/>
      <c r="E295" s="245">
        <v>2020</v>
      </c>
      <c r="F295" s="246" t="s">
        <v>322</v>
      </c>
      <c r="G295" s="246">
        <v>1313</v>
      </c>
      <c r="H295" s="246" t="s">
        <v>363</v>
      </c>
      <c r="I295" s="246" t="s">
        <v>757</v>
      </c>
      <c r="J295" s="246" t="s">
        <v>365</v>
      </c>
      <c r="K295" s="247" t="s">
        <v>366</v>
      </c>
      <c r="L295" s="248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0" customHeight="1" x14ac:dyDescent="0.2">
      <c r="A296" s="15"/>
      <c r="B296" s="4"/>
      <c r="C296" s="4"/>
      <c r="D296" s="4"/>
      <c r="E296" s="245">
        <v>2020</v>
      </c>
      <c r="F296" s="246" t="s">
        <v>322</v>
      </c>
      <c r="G296" s="246">
        <v>1762</v>
      </c>
      <c r="H296" s="246" t="s">
        <v>358</v>
      </c>
      <c r="I296" s="246" t="s">
        <v>758</v>
      </c>
      <c r="J296" s="246" t="s">
        <v>360</v>
      </c>
      <c r="K296" s="247" t="s">
        <v>351</v>
      </c>
      <c r="L296" s="248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0" customHeight="1" x14ac:dyDescent="0.2">
      <c r="A297" s="15"/>
      <c r="B297" s="4"/>
      <c r="C297" s="4"/>
      <c r="D297" s="4"/>
      <c r="E297" s="245">
        <v>2020</v>
      </c>
      <c r="F297" s="246" t="s">
        <v>322</v>
      </c>
      <c r="G297" s="246">
        <v>1694</v>
      </c>
      <c r="H297" s="246" t="s">
        <v>759</v>
      </c>
      <c r="I297" s="246" t="s">
        <v>760</v>
      </c>
      <c r="J297" s="246" t="s">
        <v>335</v>
      </c>
      <c r="K297" s="247" t="s">
        <v>333</v>
      </c>
      <c r="L297" s="248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0" customHeight="1" x14ac:dyDescent="0.2">
      <c r="A298" s="15"/>
      <c r="B298" s="4"/>
      <c r="C298" s="4"/>
      <c r="D298" s="9"/>
      <c r="E298" s="245">
        <v>2020</v>
      </c>
      <c r="F298" s="246" t="s">
        <v>322</v>
      </c>
      <c r="G298" s="246">
        <v>1319</v>
      </c>
      <c r="H298" s="246" t="s">
        <v>761</v>
      </c>
      <c r="I298" s="246" t="s">
        <v>762</v>
      </c>
      <c r="J298" s="246" t="s">
        <v>483</v>
      </c>
      <c r="K298" s="247" t="s">
        <v>333</v>
      </c>
      <c r="L298" s="248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0" customHeight="1" x14ac:dyDescent="0.2">
      <c r="A299" s="15"/>
      <c r="B299" s="4"/>
      <c r="C299" s="4"/>
      <c r="D299" s="4"/>
      <c r="E299" s="245">
        <v>2020</v>
      </c>
      <c r="F299" s="246" t="s">
        <v>322</v>
      </c>
      <c r="G299" s="246">
        <v>1783</v>
      </c>
      <c r="H299" s="246" t="s">
        <v>763</v>
      </c>
      <c r="I299" s="246" t="s">
        <v>764</v>
      </c>
      <c r="J299" s="246" t="s">
        <v>487</v>
      </c>
      <c r="K299" s="247" t="s">
        <v>366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0" customHeight="1" x14ac:dyDescent="0.2">
      <c r="A300" s="15"/>
      <c r="B300" s="4"/>
      <c r="C300" s="4"/>
      <c r="D300" s="9"/>
      <c r="E300" s="245">
        <v>2020</v>
      </c>
      <c r="F300" s="246" t="s">
        <v>322</v>
      </c>
      <c r="G300" s="246">
        <v>1417</v>
      </c>
      <c r="H300" s="246" t="s">
        <v>323</v>
      </c>
      <c r="I300" s="246" t="s">
        <v>765</v>
      </c>
      <c r="J300" s="246" t="s">
        <v>325</v>
      </c>
      <c r="K300" s="247" t="s">
        <v>326</v>
      </c>
      <c r="L300" s="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0" customHeight="1" x14ac:dyDescent="0.2">
      <c r="A301" s="15"/>
      <c r="B301" s="4"/>
      <c r="C301" s="4"/>
      <c r="D301" s="9"/>
      <c r="E301" s="245">
        <v>2021</v>
      </c>
      <c r="F301" s="246" t="s">
        <v>322</v>
      </c>
      <c r="G301" s="246">
        <v>1828.09</v>
      </c>
      <c r="H301" s="246" t="s">
        <v>375</v>
      </c>
      <c r="I301" s="246" t="s">
        <v>766</v>
      </c>
      <c r="J301" s="246" t="s">
        <v>325</v>
      </c>
      <c r="K301" s="247" t="s">
        <v>326</v>
      </c>
      <c r="L301" s="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0" customHeight="1" x14ac:dyDescent="0.2">
      <c r="A302" s="15"/>
      <c r="B302" s="4"/>
      <c r="C302" s="4"/>
      <c r="D302" s="9"/>
      <c r="E302" s="245">
        <v>2021</v>
      </c>
      <c r="F302" s="246" t="s">
        <v>322</v>
      </c>
      <c r="G302" s="246">
        <v>1399.63</v>
      </c>
      <c r="H302" s="246" t="s">
        <v>767</v>
      </c>
      <c r="I302" s="246" t="s">
        <v>768</v>
      </c>
      <c r="J302" s="246" t="s">
        <v>332</v>
      </c>
      <c r="K302" s="247" t="s">
        <v>333</v>
      </c>
      <c r="L302" s="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0" customHeight="1" x14ac:dyDescent="0.2">
      <c r="A303" s="15"/>
      <c r="B303" s="4"/>
      <c r="C303" s="4"/>
      <c r="D303" s="9"/>
      <c r="E303" s="245">
        <v>2021</v>
      </c>
      <c r="F303" s="246" t="s">
        <v>322</v>
      </c>
      <c r="G303" s="246">
        <v>1789</v>
      </c>
      <c r="H303" s="246" t="s">
        <v>459</v>
      </c>
      <c r="I303" s="246" t="s">
        <v>769</v>
      </c>
      <c r="J303" s="246" t="s">
        <v>461</v>
      </c>
      <c r="K303" s="247" t="s">
        <v>351</v>
      </c>
      <c r="L303" s="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0" customHeight="1" x14ac:dyDescent="0.2">
      <c r="A304" s="15"/>
      <c r="B304" s="4"/>
      <c r="C304" s="4"/>
      <c r="D304" s="9"/>
      <c r="E304" s="245">
        <v>2021</v>
      </c>
      <c r="F304" s="246" t="s">
        <v>322</v>
      </c>
      <c r="G304" s="246">
        <v>1442</v>
      </c>
      <c r="H304" s="246" t="s">
        <v>467</v>
      </c>
      <c r="I304" s="246" t="s">
        <v>770</v>
      </c>
      <c r="J304" s="246" t="s">
        <v>325</v>
      </c>
      <c r="K304" s="247" t="s">
        <v>326</v>
      </c>
      <c r="L304" s="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0" customHeight="1" x14ac:dyDescent="0.2">
      <c r="A305" s="15"/>
      <c r="B305" s="4"/>
      <c r="C305" s="4"/>
      <c r="D305" s="9"/>
      <c r="E305" s="245">
        <v>2021</v>
      </c>
      <c r="F305" s="246" t="s">
        <v>322</v>
      </c>
      <c r="G305" s="246">
        <v>1695</v>
      </c>
      <c r="H305" s="246" t="s">
        <v>455</v>
      </c>
      <c r="I305" s="246" t="s">
        <v>771</v>
      </c>
      <c r="J305" s="246" t="s">
        <v>338</v>
      </c>
      <c r="K305" s="247" t="s">
        <v>326</v>
      </c>
      <c r="L305" s="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0" customHeight="1" x14ac:dyDescent="0.2">
      <c r="A306" s="15"/>
      <c r="B306" s="4"/>
      <c r="C306" s="4"/>
      <c r="D306" s="9"/>
      <c r="E306" s="245">
        <v>2021</v>
      </c>
      <c r="F306" s="246" t="s">
        <v>322</v>
      </c>
      <c r="G306" s="246">
        <v>1838.63</v>
      </c>
      <c r="H306" s="246" t="s">
        <v>772</v>
      </c>
      <c r="I306" s="246" t="s">
        <v>773</v>
      </c>
      <c r="J306" s="246" t="s">
        <v>332</v>
      </c>
      <c r="K306" s="247" t="s">
        <v>333</v>
      </c>
      <c r="L306" s="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0" customHeight="1" x14ac:dyDescent="0.2">
      <c r="A307" s="15"/>
      <c r="B307" s="4"/>
      <c r="C307" s="4"/>
      <c r="D307" s="9"/>
      <c r="E307" s="245">
        <v>2021</v>
      </c>
      <c r="F307" s="246" t="s">
        <v>322</v>
      </c>
      <c r="G307" s="246">
        <v>1264.1300000000001</v>
      </c>
      <c r="H307" s="246" t="s">
        <v>774</v>
      </c>
      <c r="I307" s="246" t="s">
        <v>775</v>
      </c>
      <c r="J307" s="246" t="s">
        <v>325</v>
      </c>
      <c r="K307" s="247" t="s">
        <v>326</v>
      </c>
      <c r="L307" s="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0" customHeight="1" x14ac:dyDescent="0.2">
      <c r="A308" s="15"/>
      <c r="B308" s="4"/>
      <c r="C308" s="4"/>
      <c r="D308" s="9"/>
      <c r="E308" s="245">
        <v>2021</v>
      </c>
      <c r="F308" s="246" t="s">
        <v>322</v>
      </c>
      <c r="G308" s="246">
        <v>1682.33</v>
      </c>
      <c r="H308" s="246" t="s">
        <v>776</v>
      </c>
      <c r="I308" s="246" t="s">
        <v>777</v>
      </c>
      <c r="J308" s="246" t="s">
        <v>545</v>
      </c>
      <c r="K308" s="247" t="s">
        <v>351</v>
      </c>
      <c r="L308" s="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0" customHeight="1" x14ac:dyDescent="0.2">
      <c r="A309" s="15"/>
      <c r="B309" s="4"/>
      <c r="C309" s="4"/>
      <c r="D309" s="9"/>
      <c r="E309" s="245">
        <v>2021</v>
      </c>
      <c r="F309" s="246" t="s">
        <v>322</v>
      </c>
      <c r="G309" s="246">
        <v>2526.14</v>
      </c>
      <c r="H309" s="246" t="s">
        <v>778</v>
      </c>
      <c r="I309" s="246" t="s">
        <v>779</v>
      </c>
      <c r="J309" s="246" t="s">
        <v>338</v>
      </c>
      <c r="K309" s="247" t="s">
        <v>326</v>
      </c>
      <c r="L309" s="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0" customHeight="1" x14ac:dyDescent="0.2">
      <c r="A310" s="15"/>
      <c r="B310" s="4"/>
      <c r="C310" s="4"/>
      <c r="D310" s="9"/>
      <c r="E310" s="245">
        <v>2021</v>
      </c>
      <c r="F310" s="246" t="s">
        <v>322</v>
      </c>
      <c r="G310" s="246">
        <v>1512.43</v>
      </c>
      <c r="H310" s="246" t="s">
        <v>780</v>
      </c>
      <c r="I310" s="246" t="s">
        <v>781</v>
      </c>
      <c r="J310" s="246" t="s">
        <v>332</v>
      </c>
      <c r="K310" s="247" t="s">
        <v>333</v>
      </c>
      <c r="L310" s="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0" customHeight="1" x14ac:dyDescent="0.2">
      <c r="A311" s="15"/>
      <c r="B311" s="4"/>
      <c r="C311" s="4"/>
      <c r="D311" s="9"/>
      <c r="E311" s="245">
        <v>2021</v>
      </c>
      <c r="F311" s="246" t="s">
        <v>322</v>
      </c>
      <c r="G311" s="246">
        <v>1424.87</v>
      </c>
      <c r="H311" s="246" t="s">
        <v>782</v>
      </c>
      <c r="I311" s="246" t="s">
        <v>783</v>
      </c>
      <c r="J311" s="246" t="s">
        <v>372</v>
      </c>
      <c r="K311" s="247" t="s">
        <v>366</v>
      </c>
      <c r="L311" s="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0" customHeight="1" x14ac:dyDescent="0.2">
      <c r="A312" s="15"/>
      <c r="B312" s="4"/>
      <c r="C312" s="4"/>
      <c r="D312" s="9"/>
      <c r="E312" s="245">
        <v>2021</v>
      </c>
      <c r="F312" s="246" t="s">
        <v>322</v>
      </c>
      <c r="G312" s="246">
        <v>1987.42</v>
      </c>
      <c r="H312" s="246" t="s">
        <v>348</v>
      </c>
      <c r="I312" s="246" t="s">
        <v>784</v>
      </c>
      <c r="J312" s="246" t="s">
        <v>350</v>
      </c>
      <c r="K312" s="247" t="s">
        <v>351</v>
      </c>
      <c r="L312" s="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0" customHeight="1" x14ac:dyDescent="0.2">
      <c r="A313" s="15"/>
      <c r="B313" s="4"/>
      <c r="C313" s="4"/>
      <c r="D313" s="9"/>
      <c r="E313" s="245">
        <v>2021</v>
      </c>
      <c r="F313" s="246" t="s">
        <v>322</v>
      </c>
      <c r="G313" s="246">
        <v>1184.43</v>
      </c>
      <c r="H313" s="246" t="s">
        <v>785</v>
      </c>
      <c r="I313" s="246" t="s">
        <v>786</v>
      </c>
      <c r="J313" s="246" t="s">
        <v>426</v>
      </c>
      <c r="K313" s="247" t="s">
        <v>366</v>
      </c>
      <c r="L313" s="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0" customHeight="1" x14ac:dyDescent="0.2">
      <c r="A314" s="15"/>
      <c r="B314" s="4"/>
      <c r="C314" s="4"/>
      <c r="D314" s="4"/>
      <c r="E314" s="245">
        <v>2021</v>
      </c>
      <c r="F314" s="246" t="s">
        <v>322</v>
      </c>
      <c r="G314" s="246">
        <v>1264.17</v>
      </c>
      <c r="H314" s="246" t="s">
        <v>787</v>
      </c>
      <c r="I314" s="246" t="s">
        <v>788</v>
      </c>
      <c r="J314" s="246" t="s">
        <v>422</v>
      </c>
      <c r="K314" s="247" t="s">
        <v>366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0" customHeight="1" x14ac:dyDescent="0.2">
      <c r="A315" s="15"/>
      <c r="B315" s="4"/>
      <c r="C315" s="4"/>
      <c r="D315" s="4"/>
      <c r="E315" s="245">
        <v>2021</v>
      </c>
      <c r="F315" s="246" t="s">
        <v>322</v>
      </c>
      <c r="G315" s="246">
        <v>1754.07</v>
      </c>
      <c r="H315" s="246" t="s">
        <v>789</v>
      </c>
      <c r="I315" s="246" t="s">
        <v>790</v>
      </c>
      <c r="J315" s="246" t="s">
        <v>483</v>
      </c>
      <c r="K315" s="247" t="s">
        <v>333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0" customHeight="1" x14ac:dyDescent="0.2">
      <c r="A316" s="15"/>
      <c r="B316" s="4"/>
      <c r="C316" s="4"/>
      <c r="D316" s="4"/>
      <c r="E316" s="245">
        <v>2021</v>
      </c>
      <c r="F316" s="246" t="s">
        <v>322</v>
      </c>
      <c r="G316" s="246">
        <v>1677</v>
      </c>
      <c r="H316" s="246" t="s">
        <v>791</v>
      </c>
      <c r="I316" s="246" t="s">
        <v>792</v>
      </c>
      <c r="J316" s="246" t="s">
        <v>545</v>
      </c>
      <c r="K316" s="247" t="s">
        <v>351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0" customHeight="1" x14ac:dyDescent="0.2">
      <c r="A317" s="15"/>
      <c r="B317" s="4"/>
      <c r="C317" s="4"/>
      <c r="D317" s="4"/>
      <c r="E317" s="245">
        <v>2021</v>
      </c>
      <c r="F317" s="246" t="s">
        <v>322</v>
      </c>
      <c r="G317" s="246">
        <v>1612</v>
      </c>
      <c r="H317" s="246" t="s">
        <v>336</v>
      </c>
      <c r="I317" s="246" t="s">
        <v>793</v>
      </c>
      <c r="J317" s="246" t="s">
        <v>338</v>
      </c>
      <c r="K317" s="247" t="s">
        <v>326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0" customHeight="1" x14ac:dyDescent="0.2">
      <c r="A318" s="15"/>
      <c r="B318" s="4"/>
      <c r="C318" s="4"/>
      <c r="D318" s="4"/>
      <c r="E318" s="245">
        <v>2021</v>
      </c>
      <c r="F318" s="246" t="s">
        <v>322</v>
      </c>
      <c r="G318" s="246">
        <v>2058</v>
      </c>
      <c r="H318" s="246" t="s">
        <v>336</v>
      </c>
      <c r="I318" s="246" t="s">
        <v>794</v>
      </c>
      <c r="J318" s="246" t="s">
        <v>338</v>
      </c>
      <c r="K318" s="247" t="s">
        <v>326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0" customHeight="1" x14ac:dyDescent="0.2">
      <c r="A319" s="15"/>
      <c r="B319" s="4"/>
      <c r="C319" s="4"/>
      <c r="D319" s="4"/>
      <c r="E319" s="245">
        <v>2021</v>
      </c>
      <c r="F319" s="246" t="s">
        <v>322</v>
      </c>
      <c r="G319" s="246">
        <v>1612</v>
      </c>
      <c r="H319" s="246" t="s">
        <v>795</v>
      </c>
      <c r="I319" s="246" t="s">
        <v>796</v>
      </c>
      <c r="J319" s="246" t="s">
        <v>399</v>
      </c>
      <c r="K319" s="247" t="s">
        <v>400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0" customHeight="1" x14ac:dyDescent="0.2">
      <c r="A320" s="15"/>
      <c r="B320" s="4"/>
      <c r="C320" s="4"/>
      <c r="D320" s="4"/>
      <c r="E320" s="245">
        <v>2021</v>
      </c>
      <c r="F320" s="246" t="s">
        <v>322</v>
      </c>
      <c r="G320" s="246">
        <v>1209</v>
      </c>
      <c r="H320" s="246" t="s">
        <v>797</v>
      </c>
      <c r="I320" s="246" t="s">
        <v>798</v>
      </c>
      <c r="J320" s="246" t="s">
        <v>365</v>
      </c>
      <c r="K320" s="247" t="s">
        <v>366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0" customHeight="1" x14ac:dyDescent="0.2">
      <c r="A321" s="15"/>
      <c r="B321" s="4"/>
      <c r="C321" s="4"/>
      <c r="D321" s="4"/>
      <c r="E321" s="245">
        <v>2021</v>
      </c>
      <c r="F321" s="246" t="s">
        <v>322</v>
      </c>
      <c r="G321" s="246">
        <v>1830</v>
      </c>
      <c r="H321" s="246" t="s">
        <v>799</v>
      </c>
      <c r="I321" s="246" t="s">
        <v>800</v>
      </c>
      <c r="J321" s="246" t="s">
        <v>504</v>
      </c>
      <c r="K321" s="247" t="s">
        <v>366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0" customHeight="1" x14ac:dyDescent="0.2">
      <c r="A322" s="15"/>
      <c r="B322" s="4"/>
      <c r="C322" s="4"/>
      <c r="D322" s="4"/>
      <c r="E322" s="245">
        <v>2021</v>
      </c>
      <c r="F322" s="246" t="s">
        <v>322</v>
      </c>
      <c r="G322" s="246">
        <v>1385</v>
      </c>
      <c r="H322" s="246" t="s">
        <v>600</v>
      </c>
      <c r="I322" s="246" t="s">
        <v>801</v>
      </c>
      <c r="J322" s="246" t="s">
        <v>335</v>
      </c>
      <c r="K322" s="247" t="s">
        <v>333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0" customHeight="1" x14ac:dyDescent="0.2">
      <c r="A323" s="15"/>
      <c r="B323" s="4"/>
      <c r="C323" s="4"/>
      <c r="D323" s="4"/>
      <c r="E323" s="245">
        <v>2021</v>
      </c>
      <c r="F323" s="246" t="s">
        <v>322</v>
      </c>
      <c r="G323" s="246">
        <v>1738</v>
      </c>
      <c r="H323" s="246" t="s">
        <v>802</v>
      </c>
      <c r="I323" s="246" t="s">
        <v>803</v>
      </c>
      <c r="J323" s="246" t="s">
        <v>325</v>
      </c>
      <c r="K323" s="247" t="s">
        <v>326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0" customHeight="1" x14ac:dyDescent="0.2">
      <c r="A324" s="15"/>
      <c r="B324" s="4"/>
      <c r="C324" s="4"/>
      <c r="D324" s="4"/>
      <c r="E324" s="245">
        <v>2021</v>
      </c>
      <c r="F324" s="246" t="s">
        <v>322</v>
      </c>
      <c r="G324" s="246">
        <v>1179</v>
      </c>
      <c r="H324" s="246" t="s">
        <v>804</v>
      </c>
      <c r="I324" s="246" t="s">
        <v>805</v>
      </c>
      <c r="J324" s="246" t="s">
        <v>338</v>
      </c>
      <c r="K324" s="247" t="s">
        <v>326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0" customHeight="1" x14ac:dyDescent="0.2">
      <c r="A325" s="15"/>
      <c r="B325" s="4"/>
      <c r="C325" s="4"/>
      <c r="D325" s="4"/>
      <c r="E325" s="245">
        <v>2021</v>
      </c>
      <c r="F325" s="246" t="s">
        <v>327</v>
      </c>
      <c r="G325" s="246">
        <v>895</v>
      </c>
      <c r="H325" s="246" t="s">
        <v>806</v>
      </c>
      <c r="I325" s="246" t="s">
        <v>807</v>
      </c>
      <c r="J325" s="246" t="s">
        <v>325</v>
      </c>
      <c r="K325" s="247" t="s">
        <v>326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0" customHeight="1" x14ac:dyDescent="0.2">
      <c r="A326" s="15"/>
      <c r="B326" s="4"/>
      <c r="C326" s="4"/>
      <c r="D326" s="4"/>
      <c r="E326" s="245">
        <v>2021</v>
      </c>
      <c r="F326" s="246" t="s">
        <v>322</v>
      </c>
      <c r="G326" s="246">
        <v>1395</v>
      </c>
      <c r="H326" s="246" t="s">
        <v>808</v>
      </c>
      <c r="I326" s="246" t="s">
        <v>809</v>
      </c>
      <c r="J326" s="246" t="s">
        <v>719</v>
      </c>
      <c r="K326" s="247" t="s">
        <v>400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0" customHeight="1" x14ac:dyDescent="0.2">
      <c r="A327" s="15"/>
      <c r="B327" s="4"/>
      <c r="C327" s="4"/>
      <c r="D327" s="4"/>
      <c r="E327" s="245">
        <v>2022</v>
      </c>
      <c r="F327" s="246" t="s">
        <v>322</v>
      </c>
      <c r="G327" s="246">
        <v>1775</v>
      </c>
      <c r="H327" s="246" t="s">
        <v>681</v>
      </c>
      <c r="I327" s="246" t="s">
        <v>810</v>
      </c>
      <c r="J327" s="246" t="s">
        <v>332</v>
      </c>
      <c r="K327" s="247" t="s">
        <v>333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0" customHeight="1" x14ac:dyDescent="0.2">
      <c r="A328" s="15"/>
      <c r="B328" s="4"/>
      <c r="C328" s="4"/>
      <c r="D328" s="4"/>
      <c r="E328" s="245">
        <v>2022</v>
      </c>
      <c r="F328" s="246" t="s">
        <v>322</v>
      </c>
      <c r="G328" s="246">
        <v>1712</v>
      </c>
      <c r="H328" s="246" t="s">
        <v>323</v>
      </c>
      <c r="I328" s="246" t="s">
        <v>811</v>
      </c>
      <c r="J328" s="246" t="s">
        <v>325</v>
      </c>
      <c r="K328" s="247" t="s">
        <v>326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0" customHeight="1" x14ac:dyDescent="0.2">
      <c r="A329" s="15"/>
      <c r="B329" s="4"/>
      <c r="C329" s="4"/>
      <c r="D329" s="4"/>
      <c r="E329" s="72"/>
      <c r="F329" s="74"/>
      <c r="G329" s="74"/>
      <c r="H329" s="74"/>
      <c r="I329" s="74"/>
      <c r="J329" s="74"/>
      <c r="K329" s="7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0" customHeight="1" x14ac:dyDescent="0.2">
      <c r="A330" s="15"/>
      <c r="B330" s="4"/>
      <c r="C330" s="4"/>
      <c r="D330" s="4"/>
      <c r="E330" s="72"/>
      <c r="F330" s="74"/>
      <c r="G330" s="74"/>
      <c r="H330" s="74"/>
      <c r="I330" s="74"/>
      <c r="J330" s="74"/>
      <c r="K330" s="7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0" customHeight="1" x14ac:dyDescent="0.2">
      <c r="A331" s="15"/>
      <c r="B331" s="4"/>
      <c r="C331" s="4"/>
      <c r="D331" s="4"/>
      <c r="E331" s="72"/>
      <c r="F331" s="74"/>
      <c r="G331" s="74"/>
      <c r="H331" s="74"/>
      <c r="I331" s="74"/>
      <c r="J331" s="74"/>
      <c r="K331" s="7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0" customHeight="1" x14ac:dyDescent="0.2">
      <c r="A332" s="15"/>
      <c r="B332" s="4"/>
      <c r="C332" s="4"/>
      <c r="D332" s="4"/>
      <c r="E332" s="72"/>
      <c r="F332" s="74"/>
      <c r="G332" s="74"/>
      <c r="H332" s="74"/>
      <c r="I332" s="74"/>
      <c r="J332" s="74"/>
      <c r="K332" s="7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0" customHeight="1" x14ac:dyDescent="0.2">
      <c r="A333" s="15"/>
      <c r="B333" s="4"/>
      <c r="C333" s="4"/>
      <c r="D333" s="4"/>
      <c r="E333" s="72"/>
      <c r="F333" s="74"/>
      <c r="G333" s="74"/>
      <c r="H333" s="74"/>
      <c r="I333" s="74"/>
      <c r="J333" s="74"/>
      <c r="K333" s="7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0" customHeight="1" x14ac:dyDescent="0.2">
      <c r="A334" s="15"/>
      <c r="B334" s="4"/>
      <c r="C334" s="4"/>
      <c r="D334" s="4"/>
      <c r="E334" s="72"/>
      <c r="F334" s="74"/>
      <c r="G334" s="74"/>
      <c r="H334" s="74"/>
      <c r="I334" s="74"/>
      <c r="J334" s="74"/>
      <c r="K334" s="7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0" customHeight="1" x14ac:dyDescent="0.2">
      <c r="A335" s="15"/>
      <c r="B335" s="4"/>
      <c r="C335" s="4"/>
      <c r="D335" s="4"/>
      <c r="E335" s="72"/>
      <c r="F335" s="74"/>
      <c r="G335" s="74"/>
      <c r="H335" s="74"/>
      <c r="I335" s="74"/>
      <c r="J335" s="74"/>
      <c r="K335" s="7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0" customHeight="1" x14ac:dyDescent="0.2">
      <c r="A336" s="15"/>
      <c r="B336" s="4"/>
      <c r="C336" s="4"/>
      <c r="D336" s="4"/>
      <c r="E336" s="72"/>
      <c r="F336" s="74"/>
      <c r="G336" s="74"/>
      <c r="H336" s="74"/>
      <c r="I336" s="74"/>
      <c r="J336" s="74"/>
      <c r="K336" s="7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0" customHeight="1" x14ac:dyDescent="0.2">
      <c r="A337" s="15"/>
      <c r="B337" s="4"/>
      <c r="C337" s="4"/>
      <c r="D337" s="4"/>
      <c r="E337" s="72"/>
      <c r="F337" s="74"/>
      <c r="G337" s="74"/>
      <c r="H337" s="74"/>
      <c r="I337" s="74"/>
      <c r="J337" s="74"/>
      <c r="K337" s="7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0" customHeight="1" x14ac:dyDescent="0.2">
      <c r="A338" s="15"/>
      <c r="B338" s="4"/>
      <c r="C338" s="4"/>
      <c r="D338" s="4"/>
      <c r="E338" s="72"/>
      <c r="F338" s="74"/>
      <c r="G338" s="74"/>
      <c r="H338" s="74"/>
      <c r="I338" s="74"/>
      <c r="J338" s="74"/>
      <c r="K338" s="7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0" customHeight="1" x14ac:dyDescent="0.2">
      <c r="A339" s="15"/>
      <c r="B339" s="4"/>
      <c r="C339" s="4"/>
      <c r="D339" s="4"/>
      <c r="E339" s="72"/>
      <c r="F339" s="74"/>
      <c r="G339" s="74"/>
      <c r="H339" s="74"/>
      <c r="I339" s="74"/>
      <c r="J339" s="74"/>
      <c r="K339" s="7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0" customHeight="1" x14ac:dyDescent="0.2">
      <c r="A340" s="15"/>
      <c r="B340" s="4"/>
      <c r="C340" s="4"/>
      <c r="D340" s="4"/>
      <c r="E340" s="72"/>
      <c r="F340" s="74"/>
      <c r="G340" s="74"/>
      <c r="H340" s="74"/>
      <c r="I340" s="74"/>
      <c r="J340" s="74"/>
      <c r="K340" s="7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0" customHeight="1" x14ac:dyDescent="0.2">
      <c r="A341" s="15"/>
      <c r="B341" s="4"/>
      <c r="C341" s="4"/>
      <c r="D341" s="4"/>
      <c r="E341" s="72"/>
      <c r="F341" s="74"/>
      <c r="G341" s="74"/>
      <c r="H341" s="74"/>
      <c r="I341" s="74"/>
      <c r="J341" s="74"/>
      <c r="K341" s="7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0" customHeight="1" x14ac:dyDescent="0.2">
      <c r="A342" s="15"/>
      <c r="B342" s="4"/>
      <c r="C342" s="4"/>
      <c r="D342" s="4"/>
      <c r="E342" s="72"/>
      <c r="F342" s="74"/>
      <c r="G342" s="74"/>
      <c r="H342" s="74"/>
      <c r="I342" s="74"/>
      <c r="J342" s="74"/>
      <c r="K342" s="7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0" customHeight="1" x14ac:dyDescent="0.2">
      <c r="A343" s="15"/>
      <c r="B343" s="4"/>
      <c r="C343" s="4"/>
      <c r="D343" s="4"/>
      <c r="E343" s="72"/>
      <c r="F343" s="74"/>
      <c r="G343" s="74"/>
      <c r="H343" s="74"/>
      <c r="I343" s="74"/>
      <c r="J343" s="74"/>
      <c r="K343" s="7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0" customHeight="1" x14ac:dyDescent="0.2">
      <c r="A344" s="15"/>
      <c r="B344" s="4"/>
      <c r="C344" s="4"/>
      <c r="D344" s="4"/>
      <c r="E344" s="72"/>
      <c r="F344" s="74"/>
      <c r="G344" s="74"/>
      <c r="H344" s="74"/>
      <c r="I344" s="74"/>
      <c r="J344" s="74"/>
      <c r="K344" s="7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0" customHeight="1" x14ac:dyDescent="0.2">
      <c r="A345" s="15"/>
      <c r="B345" s="4"/>
      <c r="C345" s="4"/>
      <c r="D345" s="4"/>
      <c r="E345" s="72"/>
      <c r="F345" s="74"/>
      <c r="G345" s="74"/>
      <c r="H345" s="74"/>
      <c r="I345" s="74"/>
      <c r="J345" s="74"/>
      <c r="K345" s="7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0" customHeight="1" x14ac:dyDescent="0.2">
      <c r="A346" s="15"/>
      <c r="B346" s="4"/>
      <c r="C346" s="4"/>
      <c r="D346" s="4"/>
      <c r="E346" s="72"/>
      <c r="F346" s="74"/>
      <c r="G346" s="74"/>
      <c r="H346" s="74"/>
      <c r="I346" s="74"/>
      <c r="J346" s="74"/>
      <c r="K346" s="7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0" customHeight="1" x14ac:dyDescent="0.2">
      <c r="A347" s="15"/>
      <c r="B347" s="4"/>
      <c r="C347" s="4"/>
      <c r="D347" s="4"/>
      <c r="E347" s="72"/>
      <c r="F347" s="74"/>
      <c r="G347" s="74"/>
      <c r="H347" s="74"/>
      <c r="I347" s="74"/>
      <c r="J347" s="74"/>
      <c r="K347" s="7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0" customHeight="1" x14ac:dyDescent="0.2">
      <c r="A348" s="15"/>
      <c r="B348" s="4"/>
      <c r="C348" s="4"/>
      <c r="D348" s="4"/>
      <c r="E348" s="72"/>
      <c r="F348" s="74"/>
      <c r="G348" s="74"/>
      <c r="H348" s="74"/>
      <c r="I348" s="74"/>
      <c r="J348" s="74"/>
      <c r="K348" s="7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0" customHeight="1" x14ac:dyDescent="0.2">
      <c r="A349" s="15"/>
      <c r="B349" s="4"/>
      <c r="C349" s="4"/>
      <c r="D349" s="4"/>
      <c r="E349" s="72"/>
      <c r="F349" s="74"/>
      <c r="G349" s="74"/>
      <c r="H349" s="74"/>
      <c r="I349" s="74"/>
      <c r="J349" s="74"/>
      <c r="K349" s="7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0" customHeight="1" x14ac:dyDescent="0.2">
      <c r="A350" s="15"/>
      <c r="B350" s="4"/>
      <c r="C350" s="4"/>
      <c r="D350" s="4"/>
      <c r="E350" s="72"/>
      <c r="F350" s="74"/>
      <c r="G350" s="74"/>
      <c r="H350" s="74"/>
      <c r="I350" s="74"/>
      <c r="J350" s="74"/>
      <c r="K350" s="7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0" customHeight="1" x14ac:dyDescent="0.2">
      <c r="A351" s="15"/>
      <c r="B351" s="4"/>
      <c r="C351" s="4"/>
      <c r="D351" s="4"/>
      <c r="E351" s="72"/>
      <c r="F351" s="74"/>
      <c r="G351" s="74"/>
      <c r="H351" s="74"/>
      <c r="I351" s="74"/>
      <c r="J351" s="74"/>
      <c r="K351" s="7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0" customHeight="1" x14ac:dyDescent="0.2">
      <c r="A352" s="15"/>
      <c r="B352" s="4"/>
      <c r="C352" s="4"/>
      <c r="D352" s="4"/>
      <c r="E352" s="72"/>
      <c r="F352" s="74"/>
      <c r="G352" s="74"/>
      <c r="H352" s="74"/>
      <c r="I352" s="74"/>
      <c r="J352" s="74"/>
      <c r="K352" s="7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0" customHeight="1" x14ac:dyDescent="0.2">
      <c r="A353" s="15"/>
      <c r="B353" s="4"/>
      <c r="C353" s="4"/>
      <c r="D353" s="4"/>
      <c r="E353" s="72"/>
      <c r="F353" s="74"/>
      <c r="G353" s="74"/>
      <c r="H353" s="74"/>
      <c r="I353" s="74"/>
      <c r="J353" s="74"/>
      <c r="K353" s="7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0" customHeight="1" x14ac:dyDescent="0.2">
      <c r="A354" s="15"/>
      <c r="B354" s="4"/>
      <c r="C354" s="4"/>
      <c r="D354" s="4"/>
      <c r="E354" s="72"/>
      <c r="F354" s="74"/>
      <c r="G354" s="74"/>
      <c r="H354" s="74"/>
      <c r="I354" s="74"/>
      <c r="J354" s="74"/>
      <c r="K354" s="7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0" customHeight="1" x14ac:dyDescent="0.2">
      <c r="A355" s="15"/>
      <c r="B355" s="4"/>
      <c r="C355" s="4"/>
      <c r="D355" s="4"/>
      <c r="E355" s="72"/>
      <c r="F355" s="74"/>
      <c r="G355" s="74"/>
      <c r="H355" s="74"/>
      <c r="I355" s="74"/>
      <c r="J355" s="74"/>
      <c r="K355" s="7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0" customHeight="1" x14ac:dyDescent="0.2">
      <c r="A356" s="15"/>
      <c r="B356" s="4"/>
      <c r="C356" s="4"/>
      <c r="D356" s="4"/>
      <c r="E356" s="72"/>
      <c r="F356" s="74"/>
      <c r="G356" s="74"/>
      <c r="H356" s="74"/>
      <c r="I356" s="74"/>
      <c r="J356" s="74"/>
      <c r="K356" s="7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0" customHeight="1" x14ac:dyDescent="0.2">
      <c r="A357" s="15"/>
      <c r="B357" s="4"/>
      <c r="C357" s="4"/>
      <c r="D357" s="4"/>
      <c r="E357" s="72"/>
      <c r="F357" s="74"/>
      <c r="G357" s="74"/>
      <c r="H357" s="74"/>
      <c r="I357" s="74"/>
      <c r="J357" s="74"/>
      <c r="K357" s="7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0" customHeight="1" x14ac:dyDescent="0.2">
      <c r="A358" s="15"/>
      <c r="B358" s="4"/>
      <c r="C358" s="4"/>
      <c r="D358" s="4"/>
      <c r="E358" s="72"/>
      <c r="F358" s="74"/>
      <c r="G358" s="74"/>
      <c r="H358" s="74"/>
      <c r="I358" s="74"/>
      <c r="J358" s="74"/>
      <c r="K358" s="7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0" customHeight="1" x14ac:dyDescent="0.2">
      <c r="A359" s="15"/>
      <c r="B359" s="4"/>
      <c r="C359" s="4"/>
      <c r="D359" s="4"/>
      <c r="E359" s="72"/>
      <c r="F359" s="74"/>
      <c r="G359" s="74"/>
      <c r="H359" s="74"/>
      <c r="I359" s="74"/>
      <c r="J359" s="74"/>
      <c r="K359" s="7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0" customHeight="1" x14ac:dyDescent="0.2">
      <c r="A360" s="15"/>
      <c r="B360" s="4"/>
      <c r="C360" s="4"/>
      <c r="D360" s="4"/>
      <c r="E360" s="72"/>
      <c r="F360" s="74"/>
      <c r="G360" s="74"/>
      <c r="H360" s="74"/>
      <c r="I360" s="74"/>
      <c r="J360" s="74"/>
      <c r="K360" s="7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0" customHeight="1" x14ac:dyDescent="0.2">
      <c r="A361" s="15"/>
      <c r="B361" s="4"/>
      <c r="C361" s="4"/>
      <c r="D361" s="4"/>
      <c r="E361" s="72"/>
      <c r="F361" s="74"/>
      <c r="G361" s="74"/>
      <c r="H361" s="74"/>
      <c r="I361" s="74"/>
      <c r="J361" s="74"/>
      <c r="K361" s="7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0" customHeight="1" x14ac:dyDescent="0.2">
      <c r="A362" s="15"/>
      <c r="B362" s="4"/>
      <c r="C362" s="4"/>
      <c r="D362" s="4"/>
      <c r="E362" s="72"/>
      <c r="F362" s="74"/>
      <c r="G362" s="74"/>
      <c r="H362" s="74"/>
      <c r="I362" s="74"/>
      <c r="J362" s="74"/>
      <c r="K362" s="7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0" customHeight="1" x14ac:dyDescent="0.2">
      <c r="A363" s="15"/>
      <c r="B363" s="4"/>
      <c r="C363" s="4"/>
      <c r="D363" s="4"/>
      <c r="E363" s="72"/>
      <c r="F363" s="74"/>
      <c r="G363" s="74"/>
      <c r="H363" s="74"/>
      <c r="I363" s="74"/>
      <c r="J363" s="74"/>
      <c r="K363" s="7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0" customHeight="1" x14ac:dyDescent="0.2">
      <c r="A364" s="15"/>
      <c r="B364" s="4"/>
      <c r="C364" s="4"/>
      <c r="D364" s="4"/>
      <c r="E364" s="72"/>
      <c r="F364" s="74"/>
      <c r="G364" s="74"/>
      <c r="H364" s="74"/>
      <c r="I364" s="74"/>
      <c r="J364" s="74"/>
      <c r="K364" s="7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0" customHeight="1" x14ac:dyDescent="0.2">
      <c r="A365" s="15"/>
      <c r="B365" s="4"/>
      <c r="C365" s="4"/>
      <c r="D365" s="4"/>
      <c r="E365" s="72"/>
      <c r="F365" s="74"/>
      <c r="G365" s="74"/>
      <c r="H365" s="74"/>
      <c r="I365" s="74"/>
      <c r="J365" s="74"/>
      <c r="K365" s="7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0" customHeight="1" x14ac:dyDescent="0.2">
      <c r="A366" s="15"/>
      <c r="B366" s="4"/>
      <c r="C366" s="4"/>
      <c r="D366" s="4"/>
      <c r="E366" s="72"/>
      <c r="F366" s="74"/>
      <c r="G366" s="74"/>
      <c r="H366" s="74"/>
      <c r="I366" s="74"/>
      <c r="J366" s="74"/>
      <c r="K366" s="7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0" customHeight="1" x14ac:dyDescent="0.2">
      <c r="A367" s="15"/>
      <c r="B367" s="4"/>
      <c r="C367" s="4"/>
      <c r="D367" s="4"/>
      <c r="E367" s="72"/>
      <c r="F367" s="74"/>
      <c r="G367" s="74"/>
      <c r="H367" s="74"/>
      <c r="I367" s="74"/>
      <c r="J367" s="74"/>
      <c r="K367" s="7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0" customHeight="1" x14ac:dyDescent="0.2">
      <c r="A368" s="15"/>
      <c r="B368" s="4"/>
      <c r="C368" s="4"/>
      <c r="D368" s="4"/>
      <c r="E368" s="72"/>
      <c r="F368" s="74"/>
      <c r="G368" s="74"/>
      <c r="H368" s="74"/>
      <c r="I368" s="74"/>
      <c r="J368" s="74"/>
      <c r="K368" s="7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0" customHeight="1" x14ac:dyDescent="0.2">
      <c r="A369" s="15"/>
      <c r="B369" s="4"/>
      <c r="C369" s="4"/>
      <c r="D369" s="4"/>
      <c r="E369" s="72"/>
      <c r="F369" s="74"/>
      <c r="G369" s="74"/>
      <c r="H369" s="74"/>
      <c r="I369" s="74"/>
      <c r="J369" s="74"/>
      <c r="K369" s="7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0" customHeight="1" x14ac:dyDescent="0.2">
      <c r="A370" s="15"/>
      <c r="B370" s="4"/>
      <c r="C370" s="4"/>
      <c r="D370" s="4"/>
      <c r="E370" s="72"/>
      <c r="F370" s="74"/>
      <c r="G370" s="74"/>
      <c r="H370" s="74"/>
      <c r="I370" s="74"/>
      <c r="J370" s="74"/>
      <c r="K370" s="7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0" customHeight="1" x14ac:dyDescent="0.2">
      <c r="A371" s="15"/>
      <c r="B371" s="4"/>
      <c r="C371" s="4"/>
      <c r="D371" s="4"/>
      <c r="E371" s="72"/>
      <c r="F371" s="74"/>
      <c r="G371" s="74"/>
      <c r="H371" s="74"/>
      <c r="I371" s="74"/>
      <c r="J371" s="74"/>
      <c r="K371" s="7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0" customHeight="1" x14ac:dyDescent="0.2">
      <c r="A372" s="15"/>
      <c r="B372" s="4"/>
      <c r="C372" s="4"/>
      <c r="D372" s="4"/>
      <c r="E372" s="72"/>
      <c r="F372" s="74"/>
      <c r="G372" s="74"/>
      <c r="H372" s="74"/>
      <c r="I372" s="74"/>
      <c r="J372" s="74"/>
      <c r="K372" s="7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0" customHeight="1" x14ac:dyDescent="0.2">
      <c r="A373" s="15"/>
      <c r="B373" s="4"/>
      <c r="C373" s="4"/>
      <c r="D373" s="4"/>
      <c r="E373" s="72"/>
      <c r="F373" s="74"/>
      <c r="G373" s="74"/>
      <c r="H373" s="74"/>
      <c r="I373" s="74"/>
      <c r="J373" s="74"/>
      <c r="K373" s="7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0" customHeight="1" x14ac:dyDescent="0.2">
      <c r="A374" s="15"/>
      <c r="B374" s="4"/>
      <c r="C374" s="4"/>
      <c r="D374" s="4"/>
      <c r="E374" s="72"/>
      <c r="F374" s="74"/>
      <c r="G374" s="74"/>
      <c r="H374" s="74"/>
      <c r="I374" s="74"/>
      <c r="J374" s="74"/>
      <c r="K374" s="7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0" customHeight="1" x14ac:dyDescent="0.2">
      <c r="A375" s="15"/>
      <c r="B375" s="4"/>
      <c r="C375" s="4"/>
      <c r="D375" s="4"/>
      <c r="E375" s="72"/>
      <c r="F375" s="74"/>
      <c r="G375" s="74"/>
      <c r="H375" s="74"/>
      <c r="I375" s="74"/>
      <c r="J375" s="74"/>
      <c r="K375" s="7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0" customHeight="1" x14ac:dyDescent="0.2">
      <c r="A376" s="15"/>
      <c r="B376" s="4"/>
      <c r="C376" s="4"/>
      <c r="D376" s="4"/>
      <c r="E376" s="72"/>
      <c r="F376" s="74"/>
      <c r="G376" s="74"/>
      <c r="H376" s="74"/>
      <c r="I376" s="74"/>
      <c r="J376" s="74"/>
      <c r="K376" s="7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0" customHeight="1" x14ac:dyDescent="0.2">
      <c r="A377" s="15"/>
      <c r="B377" s="4"/>
      <c r="C377" s="4"/>
      <c r="D377" s="4"/>
      <c r="E377" s="72"/>
      <c r="F377" s="74"/>
      <c r="G377" s="74"/>
      <c r="H377" s="74"/>
      <c r="I377" s="74"/>
      <c r="J377" s="74"/>
      <c r="K377" s="7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0" customHeight="1" x14ac:dyDescent="0.2">
      <c r="A378" s="15"/>
      <c r="B378" s="4"/>
      <c r="C378" s="4"/>
      <c r="D378" s="4"/>
      <c r="E378" s="72"/>
      <c r="F378" s="74"/>
      <c r="G378" s="74"/>
      <c r="H378" s="74"/>
      <c r="I378" s="74"/>
      <c r="J378" s="74"/>
      <c r="K378" s="7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0" customHeight="1" x14ac:dyDescent="0.2">
      <c r="A379" s="15"/>
      <c r="B379" s="4"/>
      <c r="C379" s="4"/>
      <c r="D379" s="4"/>
      <c r="E379" s="72"/>
      <c r="F379" s="74"/>
      <c r="G379" s="74"/>
      <c r="H379" s="74"/>
      <c r="I379" s="74"/>
      <c r="J379" s="74"/>
      <c r="K379" s="7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0" customHeight="1" x14ac:dyDescent="0.2">
      <c r="A380" s="15"/>
      <c r="B380" s="4"/>
      <c r="C380" s="4"/>
      <c r="D380" s="4"/>
      <c r="E380" s="72"/>
      <c r="F380" s="74"/>
      <c r="G380" s="74"/>
      <c r="H380" s="74"/>
      <c r="I380" s="74"/>
      <c r="J380" s="74"/>
      <c r="K380" s="7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0" customHeight="1" x14ac:dyDescent="0.2">
      <c r="A381" s="15"/>
      <c r="B381" s="4"/>
      <c r="C381" s="4"/>
      <c r="D381" s="4"/>
      <c r="E381" s="72"/>
      <c r="F381" s="74"/>
      <c r="G381" s="74"/>
      <c r="H381" s="74"/>
      <c r="I381" s="74"/>
      <c r="J381" s="74"/>
      <c r="K381" s="7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0" customHeight="1" x14ac:dyDescent="0.2">
      <c r="A382" s="15"/>
      <c r="B382" s="4"/>
      <c r="C382" s="4"/>
      <c r="D382" s="4"/>
      <c r="E382" s="72"/>
      <c r="F382" s="74"/>
      <c r="G382" s="74"/>
      <c r="H382" s="74"/>
      <c r="I382" s="74"/>
      <c r="J382" s="74"/>
      <c r="K382" s="7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0" customHeight="1" x14ac:dyDescent="0.2">
      <c r="A383" s="15"/>
      <c r="B383" s="4"/>
      <c r="C383" s="4"/>
      <c r="D383" s="4"/>
      <c r="E383" s="72"/>
      <c r="F383" s="74"/>
      <c r="G383" s="74"/>
      <c r="H383" s="74"/>
      <c r="I383" s="74"/>
      <c r="J383" s="74"/>
      <c r="K383" s="7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0" customHeight="1" x14ac:dyDescent="0.2">
      <c r="A384" s="15"/>
      <c r="B384" s="4"/>
      <c r="C384" s="4"/>
      <c r="D384" s="4"/>
      <c r="E384" s="72"/>
      <c r="F384" s="74"/>
      <c r="G384" s="74"/>
      <c r="H384" s="74"/>
      <c r="I384" s="74"/>
      <c r="J384" s="74"/>
      <c r="K384" s="7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8" ht="30" customHeight="1" x14ac:dyDescent="0.2">
      <c r="A385" s="15"/>
      <c r="B385" s="4"/>
      <c r="C385" s="4"/>
      <c r="D385" s="4"/>
      <c r="E385" s="72"/>
      <c r="F385" s="74"/>
      <c r="G385" s="74"/>
      <c r="H385" s="74"/>
      <c r="I385" s="74"/>
      <c r="J385" s="74"/>
      <c r="K385" s="7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8" ht="30" customHeight="1" x14ac:dyDescent="0.2">
      <c r="A386" s="15"/>
      <c r="B386" s="4"/>
      <c r="C386" s="4"/>
      <c r="D386" s="4"/>
      <c r="E386" s="72"/>
      <c r="F386" s="74"/>
      <c r="G386" s="74"/>
      <c r="H386" s="74"/>
      <c r="I386" s="74"/>
      <c r="J386" s="74"/>
      <c r="K386" s="7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8" ht="30" customHeight="1" x14ac:dyDescent="0.2">
      <c r="A387" s="15"/>
      <c r="B387" s="4"/>
      <c r="C387" s="4"/>
      <c r="D387" s="4"/>
      <c r="E387" s="72"/>
      <c r="F387" s="74"/>
      <c r="G387" s="74"/>
      <c r="H387" s="74"/>
      <c r="I387" s="74"/>
      <c r="J387" s="74"/>
      <c r="K387" s="7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8" ht="30" customHeight="1" x14ac:dyDescent="0.2">
      <c r="A388" s="15"/>
      <c r="B388" s="4"/>
      <c r="C388" s="4"/>
      <c r="D388" s="4"/>
      <c r="E388" s="72"/>
      <c r="F388" s="74"/>
      <c r="G388" s="74"/>
      <c r="H388" s="74"/>
      <c r="I388" s="74"/>
      <c r="J388" s="74"/>
      <c r="K388" s="7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8" ht="30" customHeight="1" x14ac:dyDescent="0.2">
      <c r="A389" s="15"/>
      <c r="B389" s="4"/>
      <c r="C389" s="4"/>
      <c r="D389" s="4"/>
      <c r="E389" s="72"/>
      <c r="F389" s="74"/>
      <c r="G389" s="74"/>
      <c r="H389" s="74"/>
      <c r="I389" s="74"/>
      <c r="J389" s="74"/>
      <c r="K389" s="7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8" ht="30" customHeight="1" x14ac:dyDescent="0.2">
      <c r="A390" s="15"/>
      <c r="B390" s="4"/>
      <c r="C390" s="4"/>
      <c r="D390" s="4"/>
      <c r="E390" s="72"/>
      <c r="F390" s="74"/>
      <c r="G390" s="74"/>
      <c r="H390" s="74"/>
      <c r="I390" s="74"/>
      <c r="J390" s="74"/>
      <c r="K390" s="7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8" ht="30" customHeight="1" x14ac:dyDescent="0.2">
      <c r="A391" s="15"/>
      <c r="B391" s="4"/>
      <c r="C391" s="4"/>
      <c r="D391" s="4"/>
      <c r="E391" s="72"/>
      <c r="F391" s="74"/>
      <c r="G391" s="74"/>
      <c r="H391" s="74"/>
      <c r="I391" s="74"/>
      <c r="J391" s="74"/>
      <c r="K391" s="7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8" ht="30" customHeight="1" x14ac:dyDescent="0.2">
      <c r="A392" s="15"/>
      <c r="B392" s="4"/>
      <c r="C392" s="4"/>
      <c r="D392" s="4"/>
      <c r="E392" s="72"/>
      <c r="F392" s="74"/>
      <c r="G392" s="74"/>
      <c r="H392" s="74"/>
      <c r="I392" s="74"/>
      <c r="J392" s="74"/>
      <c r="K392" s="7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8" ht="30" customHeight="1" x14ac:dyDescent="0.2">
      <c r="A393" s="15"/>
      <c r="B393" s="4"/>
      <c r="C393" s="4"/>
      <c r="D393" s="4"/>
      <c r="E393" s="72"/>
      <c r="F393" s="74"/>
      <c r="G393" s="74"/>
      <c r="H393" s="74"/>
      <c r="I393" s="74"/>
      <c r="J393" s="74"/>
      <c r="K393" s="7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8" ht="30" customHeight="1" x14ac:dyDescent="0.2">
      <c r="A394" s="15"/>
      <c r="B394" s="4"/>
      <c r="C394" s="4"/>
      <c r="D394" s="4"/>
      <c r="E394" s="72"/>
      <c r="F394" s="74"/>
      <c r="G394" s="74"/>
      <c r="H394" s="74"/>
      <c r="I394" s="74"/>
      <c r="J394" s="74"/>
      <c r="K394" s="7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8" ht="30" customHeight="1" x14ac:dyDescent="0.2">
      <c r="A395" s="15"/>
      <c r="B395" s="4"/>
      <c r="C395" s="4"/>
      <c r="D395" s="4"/>
      <c r="E395" s="72"/>
      <c r="F395" s="74"/>
      <c r="G395" s="74"/>
      <c r="H395" s="74"/>
      <c r="I395" s="74"/>
      <c r="J395" s="74"/>
      <c r="K395" s="7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8" ht="30" customHeight="1" x14ac:dyDescent="0.2">
      <c r="A396" s="15"/>
      <c r="B396" s="4"/>
      <c r="C396" s="4"/>
      <c r="D396" s="4"/>
      <c r="E396" s="72"/>
      <c r="F396" s="74"/>
      <c r="G396" s="74"/>
      <c r="H396" s="74"/>
      <c r="I396" s="74"/>
      <c r="J396" s="74"/>
      <c r="K396" s="7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8" s="3" customFormat="1" ht="30" customHeight="1" x14ac:dyDescent="0.2">
      <c r="A397" s="15"/>
      <c r="B397" s="4"/>
      <c r="C397" s="4"/>
      <c r="D397" s="4"/>
      <c r="E397" s="72"/>
      <c r="F397" s="74"/>
      <c r="G397" s="74"/>
      <c r="H397" s="74"/>
      <c r="I397" s="74"/>
      <c r="J397" s="74"/>
      <c r="K397" s="7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1"/>
    </row>
    <row r="398" spans="1:28" s="3" customFormat="1" ht="30" customHeight="1" x14ac:dyDescent="0.2">
      <c r="A398" s="15"/>
      <c r="B398" s="4"/>
      <c r="C398" s="4"/>
      <c r="D398" s="4"/>
      <c r="E398" s="72"/>
      <c r="F398" s="74"/>
      <c r="G398" s="74"/>
      <c r="H398" s="74"/>
      <c r="I398" s="74"/>
      <c r="J398" s="74"/>
      <c r="K398" s="7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1"/>
    </row>
    <row r="399" spans="1:28" s="3" customFormat="1" ht="30" customHeight="1" x14ac:dyDescent="0.2">
      <c r="A399" s="15"/>
      <c r="B399" s="4"/>
      <c r="C399" s="4"/>
      <c r="D399" s="4"/>
      <c r="E399" s="72"/>
      <c r="F399" s="74"/>
      <c r="G399" s="74"/>
      <c r="H399" s="74"/>
      <c r="I399" s="74"/>
      <c r="J399" s="74"/>
      <c r="K399" s="7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1"/>
    </row>
    <row r="400" spans="1:28" s="3" customFormat="1" ht="30" customHeight="1" x14ac:dyDescent="0.2">
      <c r="A400" s="15"/>
      <c r="B400" s="4"/>
      <c r="C400" s="4"/>
      <c r="D400" s="4"/>
      <c r="E400" s="72"/>
      <c r="F400" s="74"/>
      <c r="G400" s="74"/>
      <c r="H400" s="74"/>
      <c r="I400" s="74"/>
      <c r="J400" s="74"/>
      <c r="K400" s="7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1"/>
    </row>
    <row r="401" spans="1:28" s="3" customFormat="1" ht="30" customHeight="1" x14ac:dyDescent="0.2">
      <c r="A401" s="15"/>
      <c r="B401" s="4"/>
      <c r="C401" s="4"/>
      <c r="D401" s="4"/>
      <c r="E401" s="72"/>
      <c r="F401" s="74"/>
      <c r="G401" s="74"/>
      <c r="H401" s="74"/>
      <c r="I401" s="74"/>
      <c r="J401" s="74"/>
      <c r="K401" s="7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1"/>
    </row>
    <row r="402" spans="1:28" s="3" customFormat="1" ht="30" customHeight="1" x14ac:dyDescent="0.2">
      <c r="A402" s="15"/>
      <c r="B402" s="4"/>
      <c r="C402" s="4"/>
      <c r="D402" s="4"/>
      <c r="E402" s="72"/>
      <c r="F402" s="74"/>
      <c r="G402" s="74"/>
      <c r="H402" s="74"/>
      <c r="I402" s="74"/>
      <c r="J402" s="74"/>
      <c r="K402" s="7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1"/>
    </row>
    <row r="403" spans="1:28" s="3" customFormat="1" ht="30" customHeight="1" x14ac:dyDescent="0.2">
      <c r="A403" s="15"/>
      <c r="B403" s="4"/>
      <c r="C403" s="4"/>
      <c r="D403" s="4"/>
      <c r="E403" s="72"/>
      <c r="F403" s="74"/>
      <c r="G403" s="74"/>
      <c r="H403" s="74"/>
      <c r="I403" s="74"/>
      <c r="J403" s="74"/>
      <c r="K403" s="74"/>
      <c r="L403" s="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1"/>
    </row>
    <row r="404" spans="1:28" ht="0" hidden="1" customHeight="1" x14ac:dyDescent="0.2">
      <c r="F404" s="97"/>
      <c r="G404" s="97"/>
      <c r="H404" s="97"/>
      <c r="I404" s="97"/>
      <c r="J404" s="97"/>
      <c r="K404" s="97"/>
    </row>
  </sheetData>
  <mergeCells count="1">
    <mergeCell ref="E4:K4"/>
  </mergeCells>
  <conditionalFormatting sqref="A1:XFD2 B8:XFD10 A314:XFD1048576 A3:H3 L3:XFD7 A5:F7 A4:E4 A21:D313 L11:XFD313 B11:D20 E299:K328">
    <cfRule type="cellIs" dxfId="3" priority="8" operator="equal">
      <formula>0</formula>
    </cfRule>
  </conditionalFormatting>
  <conditionalFormatting sqref="E11:K298">
    <cfRule type="cellIs" dxfId="2" priority="5" operator="equal">
      <formula>0</formula>
    </cfRule>
  </conditionalFormatting>
  <conditionalFormatting sqref="I3:K3 I5:K7">
    <cfRule type="cellIs" dxfId="1" priority="3" operator="equal">
      <formula>0</formula>
    </cfRule>
  </conditionalFormatting>
  <conditionalFormatting sqref="G5:H7">
    <cfRule type="cellIs" dxfId="0" priority="1" operator="equal">
      <formula>0</formula>
    </cfRule>
  </conditionalFormatting>
  <hyperlinks>
    <hyperlink ref="A9" location="WACC!A1" display="WACC" xr:uid="{93168EFE-C4DE-4244-8A4F-33C6B67342CB}"/>
    <hyperlink ref="A10" location="'DRE + DCF'!A1" display="DRE + DCF" xr:uid="{165F7EFD-BD81-4C75-9E00-5731F936A70A}"/>
    <hyperlink ref="A11" location="'Balanço Patrimonial'!A1" display="Balanço Patrimonial" xr:uid="{11A3FED6-68EE-4A28-A0BD-C3DEE4005767}"/>
    <hyperlink ref="A12" location="'Projeções - Receita'!A1" display="Projeções" xr:uid="{0F3C06BB-6837-4E22-9CDA-B0B8C5D575BA}"/>
    <hyperlink ref="A8" location="Dashboard!A1" display="Dashboard" xr:uid="{C57FA834-B08E-4517-881A-099FF04FA142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WACC</vt:lpstr>
      <vt:lpstr>DRE + DCF</vt:lpstr>
      <vt:lpstr>DRE - Contas Abertas</vt:lpstr>
      <vt:lpstr>Balanço Patrimonial</vt:lpstr>
      <vt:lpstr>Painel de Índices</vt:lpstr>
      <vt:lpstr>Provisões e Processos</vt:lpstr>
      <vt:lpstr>Projeções - Receita</vt:lpstr>
      <vt:lpstr>Projeções - EBIT</vt:lpstr>
      <vt:lpstr>Projeções - Capex + CG</vt:lpstr>
      <vt:lpstr>Trimestres 2022</vt:lpstr>
      <vt:lpstr>Lojas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Lacombe</dc:creator>
  <cp:keywords/>
  <dc:description/>
  <cp:lastModifiedBy>Leandro Siqueira</cp:lastModifiedBy>
  <cp:revision/>
  <dcterms:created xsi:type="dcterms:W3CDTF">2015-06-05T18:17:20Z</dcterms:created>
  <dcterms:modified xsi:type="dcterms:W3CDTF">2022-06-10T20:17:41Z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1336669342</vt:lpwstr>
  </property>
  <property fmtid="{D5CDD505-2E9C-101B-9397-08002B2CF9AE}" pid="3" name="EcoUpdateMessage">
    <vt:lpwstr>2022/05/10-17:02:22</vt:lpwstr>
  </property>
  <property fmtid="{D5CDD505-2E9C-101B-9397-08002B2CF9AE}" pid="4" name="EcoUpdateStatus">
    <vt:lpwstr>2022-05-09=BRA:St,ME,Fd,TP;USA:St,ME,TP;ARG:St,ME,Fd,TP;MEX:St,ME,Fd,TP;CHL:St,ME,Fd;COL:St,ME;PER:St,ME,Fd|2021-11-17=CHL:TP|2014-02-26=VEN:St|2002-11-08=JPN:St|2022-05-06=GBR:St,ME;COL:Fd|2016-08-18=NNN:St|2022-05-05=PER:TP|2007-01-31=ESP:St|2003-01-29=CHN:St|2003-01-28=TWN:St|2003-01-30=HKG:St;KOR:St</vt:lpwstr>
  </property>
</Properties>
</file>